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queryTables/queryTable1.xml" ContentType="application/vnd.openxmlformats-officedocument.spreadsheetml.query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codeName="EstaPastaDeTrabalho" defaultThemeVersion="166925"/>
  <mc:AlternateContent xmlns:mc="http://schemas.openxmlformats.org/markup-compatibility/2006">
    <mc:Choice Requires="x15">
      <x15ac:absPath xmlns:x15ac="http://schemas.microsoft.com/office/spreadsheetml/2010/11/ac" url="C:\Users\junior.dias\PycharmProjects\ilustracoes\testes\planilhas\"/>
    </mc:Choice>
  </mc:AlternateContent>
  <xr:revisionPtr revIDLastSave="0" documentId="13_ncr:1_{78924C61-F3AA-4CF4-81E6-F7B075797126}" xr6:coauthVersionLast="47" xr6:coauthVersionMax="47" xr10:uidLastSave="{00000000-0000-0000-0000-000000000000}"/>
  <bookViews>
    <workbookView xWindow="-108" yWindow="-108" windowWidth="23256" windowHeight="12456" tabRatio="587" xr2:uid="{9883F4FC-B2FC-40A4-9831-8F5DE08BF49E}"/>
  </bookViews>
  <sheets>
    <sheet name="ilustração" sheetId="1" r:id="rId1"/>
    <sheet name="créditos_base" sheetId="4" r:id="rId2"/>
    <sheet name="LISTAS" sheetId="2" r:id="rId3"/>
  </sheets>
  <definedNames>
    <definedName name="_msoanchor_1">ilustração!#REF!</definedName>
    <definedName name="DadosExternos_1" localSheetId="1" hidden="1">créditos_base!$A$1:$C$338</definedName>
    <definedName name="DadosExternos_2" localSheetId="1" hidden="1">créditos_base!$A$1:$C$342</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E2" i="1" l="1"/>
  <c r="AE3" i="1"/>
  <c r="AE4" i="1"/>
  <c r="AE5" i="1"/>
  <c r="AE6" i="1"/>
  <c r="AE7" i="1"/>
  <c r="AE8" i="1"/>
  <c r="AE9" i="1"/>
  <c r="AE10" i="1"/>
  <c r="AE11" i="1"/>
  <c r="AE12" i="1"/>
  <c r="AE13" i="1"/>
  <c r="AE14" i="1"/>
  <c r="AE15" i="1"/>
  <c r="AE16" i="1"/>
  <c r="AE17" i="1"/>
  <c r="AE18" i="1"/>
  <c r="AE19" i="1"/>
  <c r="AE20" i="1"/>
  <c r="AE21" i="1"/>
  <c r="AE22" i="1"/>
  <c r="AE23" i="1"/>
  <c r="AE24" i="1"/>
  <c r="AE25" i="1"/>
  <c r="AE26" i="1"/>
  <c r="AE27" i="1"/>
  <c r="AE28" i="1"/>
  <c r="AE29" i="1"/>
  <c r="AE30" i="1"/>
  <c r="AE31" i="1"/>
  <c r="AE32" i="1"/>
  <c r="AE33" i="1"/>
  <c r="AE34" i="1"/>
  <c r="AE35" i="1"/>
  <c r="AE36" i="1"/>
  <c r="AE37" i="1"/>
  <c r="AE38" i="1"/>
  <c r="AE39" i="1"/>
  <c r="AE40" i="1"/>
  <c r="AE41" i="1"/>
  <c r="AE42" i="1"/>
  <c r="AE43" i="1"/>
  <c r="AE44" i="1"/>
  <c r="AE45" i="1"/>
  <c r="AE46" i="1"/>
  <c r="AE47" i="1"/>
  <c r="AE48" i="1"/>
  <c r="AE49" i="1"/>
  <c r="AE50" i="1"/>
  <c r="AE51" i="1"/>
  <c r="AE52" i="1"/>
  <c r="AE53" i="1"/>
  <c r="AE54" i="1"/>
  <c r="AE55" i="1"/>
  <c r="AE56" i="1"/>
  <c r="AE57" i="1"/>
  <c r="AE58" i="1"/>
  <c r="AE59" i="1"/>
  <c r="AE60" i="1"/>
  <c r="AE61" i="1"/>
  <c r="AE62" i="1"/>
  <c r="AE63" i="1"/>
  <c r="AE64" i="1"/>
  <c r="AE65" i="1"/>
  <c r="AE66" i="1"/>
  <c r="AE67" i="1"/>
  <c r="AE68" i="1"/>
  <c r="AE69" i="1"/>
  <c r="AE70" i="1"/>
  <c r="AE71" i="1"/>
  <c r="AE72" i="1"/>
  <c r="AE73" i="1"/>
  <c r="AE74" i="1"/>
  <c r="AE75" i="1"/>
  <c r="AE76" i="1"/>
  <c r="AE77" i="1"/>
  <c r="AE78" i="1"/>
  <c r="AE79" i="1"/>
  <c r="AE80" i="1"/>
  <c r="AE81" i="1"/>
  <c r="AE82" i="1"/>
  <c r="AE83" i="1"/>
  <c r="AE84" i="1"/>
  <c r="AE85" i="1"/>
  <c r="AE86" i="1"/>
  <c r="AE87" i="1"/>
  <c r="AE88" i="1"/>
  <c r="AE89" i="1"/>
  <c r="AE90" i="1"/>
  <c r="AE91" i="1"/>
  <c r="AE92" i="1"/>
  <c r="AE93" i="1"/>
  <c r="AE94" i="1"/>
  <c r="AE95" i="1"/>
  <c r="AE96" i="1"/>
  <c r="AE97" i="1"/>
  <c r="AE98" i="1"/>
  <c r="AE99" i="1"/>
  <c r="AE100" i="1"/>
  <c r="AE101" i="1"/>
  <c r="AE102" i="1"/>
  <c r="AE103" i="1"/>
  <c r="AE104" i="1"/>
  <c r="AE105" i="1"/>
  <c r="AE106" i="1"/>
  <c r="AE107" i="1"/>
  <c r="AE108" i="1"/>
  <c r="AE109" i="1"/>
  <c r="AE110" i="1"/>
  <c r="AE111" i="1"/>
  <c r="AE112" i="1"/>
  <c r="AE113" i="1"/>
  <c r="AE114" i="1"/>
  <c r="AE115" i="1"/>
  <c r="AE116" i="1"/>
  <c r="AE117" i="1"/>
  <c r="AE118" i="1"/>
  <c r="AE119" i="1"/>
  <c r="AE120" i="1"/>
  <c r="AE121" i="1"/>
  <c r="AE122" i="1"/>
  <c r="AE123" i="1"/>
  <c r="AE124" i="1"/>
  <c r="AE125" i="1"/>
  <c r="AE126" i="1"/>
  <c r="AE127" i="1"/>
  <c r="AE128" i="1"/>
  <c r="AE129" i="1"/>
  <c r="AE130" i="1"/>
  <c r="AE131" i="1"/>
  <c r="AE132" i="1"/>
  <c r="AE133" i="1"/>
  <c r="AE134" i="1"/>
  <c r="AE135" i="1"/>
  <c r="AE136" i="1"/>
  <c r="AE137" i="1"/>
  <c r="AE138" i="1"/>
  <c r="AE139" i="1"/>
  <c r="AE140" i="1"/>
  <c r="AE141" i="1"/>
  <c r="AE142" i="1"/>
  <c r="AE143" i="1"/>
  <c r="AE144" i="1"/>
  <c r="AE145" i="1"/>
  <c r="AE146" i="1"/>
  <c r="AE147" i="1"/>
  <c r="AE148" i="1"/>
  <c r="AE149" i="1"/>
  <c r="AE150" i="1"/>
  <c r="AE151" i="1"/>
  <c r="AE152" i="1"/>
  <c r="AE153" i="1"/>
  <c r="AE154" i="1"/>
  <c r="AE155" i="1"/>
  <c r="AE156" i="1"/>
  <c r="AE157" i="1"/>
  <c r="AE158" i="1"/>
  <c r="AE159" i="1"/>
  <c r="AE160" i="1"/>
  <c r="AE161" i="1"/>
  <c r="AE162" i="1"/>
  <c r="AE163" i="1"/>
  <c r="AE164" i="1"/>
  <c r="AE165" i="1"/>
  <c r="AE166" i="1"/>
  <c r="AE167" i="1"/>
  <c r="AE168" i="1"/>
  <c r="AE169" i="1"/>
  <c r="AE170" i="1"/>
  <c r="AE171" i="1"/>
  <c r="AE172" i="1"/>
  <c r="AE173" i="1"/>
  <c r="AE174" i="1"/>
  <c r="AE175" i="1"/>
  <c r="AE176" i="1"/>
  <c r="AE177" i="1"/>
  <c r="AE178" i="1"/>
  <c r="AE179" i="1"/>
  <c r="AE180" i="1"/>
  <c r="AE181" i="1"/>
  <c r="AE182" i="1"/>
  <c r="AE183" i="1"/>
  <c r="AE184" i="1"/>
  <c r="AE185" i="1"/>
  <c r="AE186" i="1"/>
  <c r="AE187" i="1"/>
  <c r="AE188" i="1"/>
  <c r="AE189" i="1"/>
  <c r="AE190" i="1"/>
  <c r="AE191" i="1"/>
  <c r="AE192" i="1"/>
  <c r="AE193" i="1"/>
  <c r="AE194" i="1"/>
  <c r="AE195" i="1"/>
  <c r="AE196" i="1"/>
  <c r="AE197" i="1"/>
  <c r="AE198" i="1"/>
  <c r="AE199" i="1"/>
  <c r="AE200" i="1"/>
  <c r="AE201" i="1"/>
  <c r="AE202" i="1"/>
  <c r="AE203" i="1"/>
  <c r="AE204" i="1"/>
  <c r="AE205" i="1"/>
  <c r="AE206" i="1"/>
  <c r="AE207" i="1"/>
  <c r="AE208" i="1"/>
  <c r="AE209" i="1"/>
  <c r="AE210" i="1"/>
  <c r="AE211" i="1"/>
  <c r="AE212" i="1"/>
  <c r="AE213" i="1"/>
  <c r="AE214" i="1"/>
  <c r="AE215" i="1"/>
  <c r="AE216" i="1"/>
  <c r="AE217" i="1"/>
  <c r="AE218" i="1"/>
  <c r="AE219" i="1"/>
  <c r="AE220" i="1"/>
  <c r="AE221" i="1"/>
  <c r="AE222" i="1"/>
  <c r="AE223" i="1"/>
  <c r="AE224" i="1"/>
  <c r="AE225" i="1"/>
  <c r="AD2" i="1"/>
  <c r="AD3" i="1"/>
  <c r="AD4" i="1"/>
  <c r="AD5" i="1"/>
  <c r="AD6" i="1"/>
  <c r="AD7" i="1"/>
  <c r="AD8" i="1"/>
  <c r="AD9" i="1"/>
  <c r="AD10" i="1"/>
  <c r="AD11" i="1"/>
  <c r="AD12" i="1"/>
  <c r="AD13" i="1"/>
  <c r="AD14" i="1"/>
  <c r="AD15" i="1"/>
  <c r="AD16" i="1"/>
  <c r="AD17" i="1"/>
  <c r="AD18" i="1"/>
  <c r="AD19" i="1"/>
  <c r="AD20" i="1"/>
  <c r="AD21" i="1"/>
  <c r="AD22" i="1"/>
  <c r="AD23" i="1"/>
  <c r="AD24" i="1"/>
  <c r="AD25" i="1"/>
  <c r="AD26" i="1"/>
  <c r="AD27" i="1"/>
  <c r="AD28" i="1"/>
  <c r="AD29" i="1"/>
  <c r="AD30" i="1"/>
  <c r="AD31" i="1"/>
  <c r="AD32" i="1"/>
  <c r="AD33" i="1"/>
  <c r="AD34" i="1"/>
  <c r="AD35" i="1"/>
  <c r="AD36" i="1"/>
  <c r="AD37" i="1"/>
  <c r="AD38" i="1"/>
  <c r="AD39" i="1"/>
  <c r="AD40" i="1"/>
  <c r="AD41" i="1"/>
  <c r="AD42" i="1"/>
  <c r="AD43" i="1"/>
  <c r="AD44" i="1"/>
  <c r="AD45" i="1"/>
  <c r="AD46" i="1"/>
  <c r="AD47" i="1"/>
  <c r="AD48" i="1"/>
  <c r="AD49" i="1"/>
  <c r="AD50" i="1"/>
  <c r="AD51" i="1"/>
  <c r="AD52" i="1"/>
  <c r="AD53" i="1"/>
  <c r="AD54" i="1"/>
  <c r="AD55" i="1"/>
  <c r="AD56" i="1"/>
  <c r="AD57" i="1"/>
  <c r="AD58" i="1"/>
  <c r="AD59" i="1"/>
  <c r="AD60" i="1"/>
  <c r="AD61" i="1"/>
  <c r="AD62" i="1"/>
  <c r="AD63" i="1"/>
  <c r="AD64" i="1"/>
  <c r="AD65" i="1"/>
  <c r="AD66" i="1"/>
  <c r="AD67" i="1"/>
  <c r="AD68" i="1"/>
  <c r="AD69" i="1"/>
  <c r="AD70" i="1"/>
  <c r="AD71" i="1"/>
  <c r="AD72" i="1"/>
  <c r="AD73" i="1"/>
  <c r="AD74" i="1"/>
  <c r="AD75" i="1"/>
  <c r="AD76" i="1"/>
  <c r="AD77" i="1"/>
  <c r="AD78" i="1"/>
  <c r="AD79" i="1"/>
  <c r="AD80" i="1"/>
  <c r="AD81" i="1"/>
  <c r="AD82" i="1"/>
  <c r="AD83" i="1"/>
  <c r="AD84" i="1"/>
  <c r="AD85" i="1"/>
  <c r="AD86" i="1"/>
  <c r="AD87" i="1"/>
  <c r="AD88" i="1"/>
  <c r="AD89" i="1"/>
  <c r="AD90" i="1"/>
  <c r="AD91" i="1"/>
  <c r="AD92" i="1"/>
  <c r="AD93" i="1"/>
  <c r="AD94" i="1"/>
  <c r="AD95" i="1"/>
  <c r="AD96" i="1"/>
  <c r="AD97" i="1"/>
  <c r="AD98" i="1"/>
  <c r="AD99" i="1"/>
  <c r="AD100" i="1"/>
  <c r="AD101" i="1"/>
  <c r="AD102" i="1"/>
  <c r="AD103" i="1"/>
  <c r="AD104" i="1"/>
  <c r="AD105" i="1"/>
  <c r="AD106" i="1"/>
  <c r="AD107" i="1"/>
  <c r="AD108" i="1"/>
  <c r="AD109" i="1"/>
  <c r="AD110" i="1"/>
  <c r="AD111" i="1"/>
  <c r="AD112" i="1"/>
  <c r="AD113" i="1"/>
  <c r="AD114" i="1"/>
  <c r="AD115" i="1"/>
  <c r="AD116" i="1"/>
  <c r="AD117" i="1"/>
  <c r="AD118" i="1"/>
  <c r="AD119" i="1"/>
  <c r="AD120" i="1"/>
  <c r="AD121" i="1"/>
  <c r="AD122" i="1"/>
  <c r="AD123" i="1"/>
  <c r="AD124" i="1"/>
  <c r="AD125" i="1"/>
  <c r="AD126" i="1"/>
  <c r="AD127" i="1"/>
  <c r="AD128" i="1"/>
  <c r="AD129" i="1"/>
  <c r="AD130" i="1"/>
  <c r="AD131" i="1"/>
  <c r="AD132" i="1"/>
  <c r="AD133" i="1"/>
  <c r="AD134" i="1"/>
  <c r="AD135" i="1"/>
  <c r="AD136" i="1"/>
  <c r="AD137" i="1"/>
  <c r="AD138" i="1"/>
  <c r="AD139" i="1"/>
  <c r="AD140" i="1"/>
  <c r="AD141" i="1"/>
  <c r="AD142" i="1"/>
  <c r="AD143" i="1"/>
  <c r="AD144" i="1"/>
  <c r="AD145" i="1"/>
  <c r="AD146" i="1"/>
  <c r="AD147" i="1"/>
  <c r="AD148" i="1"/>
  <c r="AD149" i="1"/>
  <c r="AD150" i="1"/>
  <c r="AD151" i="1"/>
  <c r="AD152" i="1"/>
  <c r="AD153" i="1"/>
  <c r="AD154" i="1"/>
  <c r="AD155" i="1"/>
  <c r="AD156" i="1"/>
  <c r="AD157" i="1"/>
  <c r="AD158" i="1"/>
  <c r="AD159" i="1"/>
  <c r="AD160" i="1"/>
  <c r="AD161" i="1"/>
  <c r="AD162" i="1"/>
  <c r="AD163" i="1"/>
  <c r="AD164" i="1"/>
  <c r="AD165" i="1"/>
  <c r="AD166" i="1"/>
  <c r="AD167" i="1"/>
  <c r="AD168" i="1"/>
  <c r="AD169" i="1"/>
  <c r="AD170" i="1"/>
  <c r="AD171" i="1"/>
  <c r="AD172" i="1"/>
  <c r="AD173" i="1"/>
  <c r="AD174" i="1"/>
  <c r="AD175" i="1"/>
  <c r="AD176" i="1"/>
  <c r="AD177" i="1"/>
  <c r="AD178" i="1"/>
  <c r="AD179" i="1"/>
  <c r="AD180" i="1"/>
  <c r="AD181" i="1"/>
  <c r="AD182" i="1"/>
  <c r="AD183" i="1"/>
  <c r="AD184" i="1"/>
  <c r="AD185" i="1"/>
  <c r="AD186" i="1"/>
  <c r="AD187" i="1"/>
  <c r="AD188" i="1"/>
  <c r="AD189" i="1"/>
  <c r="AD190" i="1"/>
  <c r="AD191" i="1"/>
  <c r="AD192" i="1"/>
  <c r="AD193" i="1"/>
  <c r="AD194" i="1"/>
  <c r="AD195" i="1"/>
  <c r="AD196" i="1"/>
  <c r="AD197" i="1"/>
  <c r="AD198" i="1"/>
  <c r="AD199" i="1"/>
  <c r="AD200" i="1"/>
  <c r="AD201" i="1"/>
  <c r="AD202" i="1"/>
  <c r="AD203" i="1"/>
  <c r="AD204" i="1"/>
  <c r="AD205" i="1"/>
  <c r="AD206" i="1"/>
  <c r="AD207" i="1"/>
  <c r="AD208" i="1"/>
  <c r="AD209" i="1"/>
  <c r="AD210" i="1"/>
  <c r="AD211" i="1"/>
  <c r="AD212" i="1"/>
  <c r="AD213" i="1"/>
  <c r="AD214" i="1"/>
  <c r="AD215" i="1"/>
  <c r="AD216" i="1"/>
  <c r="AD217" i="1"/>
  <c r="AD218" i="1"/>
  <c r="AD219" i="1"/>
  <c r="AD220" i="1"/>
  <c r="AD221" i="1"/>
  <c r="AD222" i="1"/>
  <c r="AD223" i="1"/>
  <c r="AD224" i="1"/>
  <c r="AD225" i="1"/>
  <c r="X214" i="1"/>
  <c r="Z214" i="1" s="1"/>
  <c r="X13" i="1"/>
  <c r="X15" i="1"/>
  <c r="X17" i="1"/>
  <c r="X19" i="1"/>
  <c r="X21" i="1"/>
  <c r="X22" i="1"/>
  <c r="X23" i="1"/>
  <c r="X24" i="1"/>
  <c r="X25" i="1"/>
  <c r="X26" i="1"/>
  <c r="X28" i="1"/>
  <c r="X215" i="1"/>
  <c r="X29" i="1"/>
  <c r="X216" i="1"/>
  <c r="X30" i="1"/>
  <c r="X32" i="1"/>
  <c r="X33" i="1"/>
  <c r="X34" i="1"/>
  <c r="X35" i="1"/>
  <c r="X36" i="1"/>
  <c r="X218" i="1"/>
  <c r="X44" i="1"/>
  <c r="X45" i="1"/>
  <c r="X46" i="1"/>
  <c r="X48" i="1"/>
  <c r="X50" i="1"/>
  <c r="X52" i="1"/>
  <c r="X37" i="1"/>
  <c r="X57" i="1"/>
  <c r="X59" i="1"/>
  <c r="X60" i="1"/>
  <c r="X61" i="1"/>
  <c r="X27" i="1"/>
  <c r="X63" i="1"/>
  <c r="X62" i="1"/>
  <c r="X64" i="1"/>
  <c r="X220" i="1"/>
  <c r="X66" i="1"/>
  <c r="X68" i="1"/>
  <c r="X70" i="1"/>
  <c r="Z70" i="1" s="1"/>
  <c r="X72" i="1"/>
  <c r="Z72" i="1" s="1"/>
  <c r="X77" i="1"/>
  <c r="Z77" i="1" s="1"/>
  <c r="X79" i="1"/>
  <c r="Z79" i="1" s="1"/>
  <c r="X81" i="1"/>
  <c r="Z81" i="1" s="1"/>
  <c r="X85" i="1"/>
  <c r="Z85" i="1" s="1"/>
  <c r="X86" i="1"/>
  <c r="Z86" i="1" s="1"/>
  <c r="X87" i="1"/>
  <c r="Z87" i="1" s="1"/>
  <c r="X89" i="1"/>
  <c r="Z89" i="1" s="1"/>
  <c r="X90" i="1"/>
  <c r="Z90" i="1" s="1"/>
  <c r="X91" i="1"/>
  <c r="Z91" i="1" s="1"/>
  <c r="X92" i="1"/>
  <c r="Z92" i="1" s="1"/>
  <c r="X93" i="1"/>
  <c r="Z93" i="1" s="1"/>
  <c r="X94" i="1"/>
  <c r="Z94" i="1" s="1"/>
  <c r="X95" i="1"/>
  <c r="Z95" i="1" s="1"/>
  <c r="X97" i="1"/>
  <c r="Z97" i="1" s="1"/>
  <c r="X99" i="1"/>
  <c r="X101" i="1"/>
  <c r="Z101" i="1" s="1"/>
  <c r="X103" i="1"/>
  <c r="Z103" i="1" s="1"/>
  <c r="X104" i="1"/>
  <c r="Z104" i="1" s="1"/>
  <c r="X110" i="1"/>
  <c r="Z110" i="1" s="1"/>
  <c r="X116" i="1"/>
  <c r="X118" i="1"/>
  <c r="X120" i="1"/>
  <c r="X122" i="1"/>
  <c r="X124" i="1"/>
  <c r="X125" i="1"/>
  <c r="X126" i="1"/>
  <c r="X127" i="1"/>
  <c r="X128" i="1"/>
  <c r="X129" i="1"/>
  <c r="X130" i="1"/>
  <c r="X131" i="1"/>
  <c r="Z131" i="1" s="1"/>
  <c r="X132" i="1"/>
  <c r="Z132" i="1" s="1"/>
  <c r="X135" i="1"/>
  <c r="Z135" i="1" s="1"/>
  <c r="X136" i="1"/>
  <c r="Z136" i="1" s="1"/>
  <c r="X137" i="1"/>
  <c r="Z137" i="1" s="1"/>
  <c r="X138" i="1"/>
  <c r="X139" i="1"/>
  <c r="X140" i="1"/>
  <c r="X141" i="1"/>
  <c r="X142" i="1"/>
  <c r="X143" i="1"/>
  <c r="Z143" i="1" s="1"/>
  <c r="X144" i="1"/>
  <c r="Z144" i="1" s="1"/>
  <c r="X145" i="1"/>
  <c r="Z145" i="1" s="1"/>
  <c r="X146" i="1"/>
  <c r="Z146" i="1" s="1"/>
  <c r="X147" i="1"/>
  <c r="Z147" i="1" s="1"/>
  <c r="X148" i="1"/>
  <c r="Z148" i="1" s="1"/>
  <c r="X149" i="1"/>
  <c r="Z149" i="1" s="1"/>
  <c r="X150" i="1"/>
  <c r="Z150" i="1" s="1"/>
  <c r="X151" i="1"/>
  <c r="Z151" i="1" s="1"/>
  <c r="X152" i="1"/>
  <c r="Z152" i="1" s="1"/>
  <c r="X153" i="1"/>
  <c r="X154" i="1"/>
  <c r="X155" i="1"/>
  <c r="X156" i="1"/>
  <c r="X157" i="1"/>
  <c r="X158" i="1"/>
  <c r="X159" i="1"/>
  <c r="X160" i="1"/>
  <c r="X161" i="1"/>
  <c r="X162" i="1"/>
  <c r="X163" i="1"/>
  <c r="X164" i="1"/>
  <c r="X165" i="1"/>
  <c r="X166" i="1"/>
  <c r="X167" i="1"/>
  <c r="X168" i="1"/>
  <c r="X169" i="1"/>
  <c r="X221" i="1"/>
  <c r="X170" i="1"/>
  <c r="X222" i="1"/>
  <c r="Z222" i="1" s="1"/>
  <c r="X2" i="1"/>
  <c r="Z2" i="1" s="1"/>
  <c r="X3" i="1"/>
  <c r="Z3" i="1" s="1"/>
  <c r="X4" i="1"/>
  <c r="Z4" i="1" s="1"/>
  <c r="X5" i="1"/>
  <c r="Z5" i="1" s="1"/>
  <c r="X6" i="1"/>
  <c r="X7" i="1"/>
  <c r="Z7" i="1" s="1"/>
  <c r="X8" i="1"/>
  <c r="Z8" i="1" s="1"/>
  <c r="X9" i="1"/>
  <c r="Z9" i="1" s="1"/>
  <c r="X10" i="1"/>
  <c r="Z10" i="1" s="1"/>
  <c r="X11" i="1"/>
  <c r="Z11" i="1" s="1"/>
  <c r="X12" i="1"/>
  <c r="Z12" i="1" s="1"/>
  <c r="X14" i="1"/>
  <c r="Z14" i="1" s="1"/>
  <c r="X16" i="1"/>
  <c r="Z16" i="1" s="1"/>
  <c r="X18" i="1"/>
  <c r="Z18" i="1" s="1"/>
  <c r="X20" i="1"/>
  <c r="Z20" i="1" s="1"/>
  <c r="X117" i="1"/>
  <c r="Z117" i="1" s="1"/>
  <c r="X119" i="1"/>
  <c r="Z119" i="1" s="1"/>
  <c r="X121" i="1"/>
  <c r="Z121" i="1" s="1"/>
  <c r="X123" i="1"/>
  <c r="Z123" i="1" s="1"/>
  <c r="X133" i="1"/>
  <c r="Z133" i="1" s="1"/>
  <c r="X134" i="1"/>
  <c r="Z134" i="1" s="1"/>
  <c r="X31" i="1"/>
  <c r="X38" i="1"/>
  <c r="X39" i="1"/>
  <c r="Z39" i="1" s="1"/>
  <c r="X217" i="1"/>
  <c r="Z217" i="1" s="1"/>
  <c r="X40" i="1"/>
  <c r="Z40" i="1" s="1"/>
  <c r="X41" i="1"/>
  <c r="Z41" i="1" s="1"/>
  <c r="X42" i="1"/>
  <c r="Z42" i="1" s="1"/>
  <c r="X43" i="1"/>
  <c r="Z43" i="1" s="1"/>
  <c r="X219" i="1"/>
  <c r="Z219" i="1" s="1"/>
  <c r="X47" i="1"/>
  <c r="Z47" i="1" s="1"/>
  <c r="X49" i="1"/>
  <c r="Z49" i="1" s="1"/>
  <c r="X51" i="1"/>
  <c r="Z51" i="1" s="1"/>
  <c r="X53" i="1"/>
  <c r="Z53" i="1" s="1"/>
  <c r="X54" i="1"/>
  <c r="Z54" i="1" s="1"/>
  <c r="X55" i="1"/>
  <c r="Z55" i="1" s="1"/>
  <c r="X56" i="1"/>
  <c r="Z56" i="1" s="1"/>
  <c r="X58" i="1"/>
  <c r="Z58" i="1" s="1"/>
  <c r="X65" i="1"/>
  <c r="Z65" i="1" s="1"/>
  <c r="X67" i="1"/>
  <c r="Z67" i="1" s="1"/>
  <c r="X69" i="1"/>
  <c r="X71" i="1"/>
  <c r="Z71" i="1" s="1"/>
  <c r="X73" i="1"/>
  <c r="Z73" i="1" s="1"/>
  <c r="X74" i="1"/>
  <c r="Z74" i="1" s="1"/>
  <c r="X75" i="1"/>
  <c r="Z75" i="1" s="1"/>
  <c r="X115" i="1"/>
  <c r="Z115" i="1" s="1"/>
  <c r="X76" i="1"/>
  <c r="Z76" i="1" s="1"/>
  <c r="X78" i="1"/>
  <c r="Z78" i="1" s="1"/>
  <c r="X80" i="1"/>
  <c r="Z80" i="1" s="1"/>
  <c r="X82" i="1"/>
  <c r="Z82" i="1" s="1"/>
  <c r="X83" i="1"/>
  <c r="Z83" i="1" s="1"/>
  <c r="X84" i="1"/>
  <c r="Z84" i="1" s="1"/>
  <c r="X88" i="1"/>
  <c r="X96" i="1"/>
  <c r="X98" i="1"/>
  <c r="Z98" i="1" s="1"/>
  <c r="X100" i="1"/>
  <c r="Z100" i="1" s="1"/>
  <c r="X102" i="1"/>
  <c r="Z102" i="1" s="1"/>
  <c r="X105" i="1"/>
  <c r="Z105" i="1" s="1"/>
  <c r="X106" i="1"/>
  <c r="Z106" i="1" s="1"/>
  <c r="X107" i="1"/>
  <c r="Z107" i="1" s="1"/>
  <c r="X108" i="1"/>
  <c r="Z108" i="1" s="1"/>
  <c r="X109" i="1"/>
  <c r="Z109" i="1" s="1"/>
  <c r="X111" i="1"/>
  <c r="Z111" i="1" s="1"/>
  <c r="X112" i="1"/>
  <c r="Z112" i="1" s="1"/>
  <c r="X113" i="1"/>
  <c r="X114" i="1"/>
  <c r="Z114" i="1" s="1"/>
  <c r="X196" i="1"/>
  <c r="Z196" i="1" s="1"/>
  <c r="X197" i="1"/>
  <c r="Z197" i="1" s="1"/>
  <c r="X225" i="1"/>
  <c r="Z225" i="1" s="1"/>
  <c r="X198" i="1"/>
  <c r="Z198" i="1" s="1"/>
  <c r="X199" i="1"/>
  <c r="Z199" i="1" s="1"/>
  <c r="X200" i="1"/>
  <c r="Z200" i="1" s="1"/>
  <c r="X201" i="1"/>
  <c r="Z201" i="1" s="1"/>
  <c r="X202" i="1"/>
  <c r="Z202" i="1" s="1"/>
  <c r="X203" i="1"/>
  <c r="Z203" i="1" s="1"/>
  <c r="X204" i="1"/>
  <c r="Z204" i="1" s="1"/>
  <c r="X205" i="1"/>
  <c r="Z205" i="1" s="1"/>
  <c r="X206" i="1"/>
  <c r="Z206" i="1" s="1"/>
  <c r="X207" i="1"/>
  <c r="Z207" i="1" s="1"/>
  <c r="X208" i="1"/>
  <c r="Z208" i="1" s="1"/>
  <c r="X209" i="1"/>
  <c r="Z209" i="1" s="1"/>
  <c r="X210" i="1"/>
  <c r="Z210" i="1" s="1"/>
  <c r="X211" i="1"/>
  <c r="Z211" i="1" s="1"/>
  <c r="X212" i="1"/>
  <c r="Z212" i="1" s="1"/>
  <c r="X213" i="1"/>
  <c r="Z213" i="1" s="1"/>
  <c r="X172" i="1"/>
  <c r="Z172" i="1" s="1"/>
  <c r="X173" i="1"/>
  <c r="Z173" i="1" s="1"/>
  <c r="X174" i="1"/>
  <c r="Z174" i="1" s="1"/>
  <c r="X175" i="1"/>
  <c r="Z175" i="1" s="1"/>
  <c r="X176" i="1"/>
  <c r="Z176" i="1" s="1"/>
  <c r="X177" i="1"/>
  <c r="Z177" i="1" s="1"/>
  <c r="X178" i="1"/>
  <c r="Z178" i="1" s="1"/>
  <c r="X179" i="1"/>
  <c r="Z179" i="1" s="1"/>
  <c r="X180" i="1"/>
  <c r="Z180" i="1" s="1"/>
  <c r="X181" i="1"/>
  <c r="Z181" i="1" s="1"/>
  <c r="X182" i="1"/>
  <c r="Z182" i="1" s="1"/>
  <c r="X183" i="1"/>
  <c r="Z183" i="1" s="1"/>
  <c r="X184" i="1"/>
  <c r="Z184" i="1" s="1"/>
  <c r="X185" i="1"/>
  <c r="Z185" i="1" s="1"/>
  <c r="X186" i="1"/>
  <c r="Z186" i="1" s="1"/>
  <c r="X187" i="1"/>
  <c r="Z187" i="1" s="1"/>
  <c r="X188" i="1"/>
  <c r="Z188" i="1" s="1"/>
  <c r="X189" i="1"/>
  <c r="Z189" i="1" s="1"/>
  <c r="X190" i="1"/>
  <c r="Z190" i="1" s="1"/>
  <c r="X191" i="1"/>
  <c r="Z191" i="1" s="1"/>
  <c r="X192" i="1"/>
  <c r="Z192" i="1" s="1"/>
  <c r="X193" i="1"/>
  <c r="Z193" i="1" s="1"/>
  <c r="X223" i="1"/>
  <c r="Z223" i="1" s="1"/>
  <c r="X194" i="1"/>
  <c r="Z194" i="1" s="1"/>
  <c r="X195" i="1"/>
  <c r="Z195" i="1" s="1"/>
  <c r="X224" i="1"/>
  <c r="Z224" i="1" s="1"/>
  <c r="X171" i="1"/>
  <c r="Z171" i="1" s="1"/>
  <c r="Z220" i="1"/>
  <c r="Z66" i="1"/>
  <c r="Z68" i="1"/>
  <c r="Z99" i="1"/>
  <c r="Z6" i="1"/>
  <c r="Z31" i="1"/>
  <c r="Z38" i="1"/>
  <c r="Z69" i="1"/>
  <c r="Z88" i="1"/>
  <c r="Z96" i="1"/>
  <c r="Z113"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Lucia Moniz das Neves</author>
  </authors>
  <commentList>
    <comment ref="A1" authorId="0" shapeId="0" xr:uid="{B99F8197-E3DF-4EAE-850D-3C8A56F09382}">
      <text>
        <r>
          <rPr>
            <sz val="9"/>
            <color indexed="81"/>
            <rFont val="Segoe UI"/>
            <family val="2"/>
          </rPr>
          <t xml:space="preserve">Sequência numérica acompanhada do código que identifica a obra.
</t>
        </r>
      </text>
    </comment>
    <comment ref="B1" authorId="0" shapeId="0" xr:uid="{91893501-403B-4DED-B409-55EDA681932C}">
      <text>
        <r>
          <rPr>
            <sz val="9"/>
            <color indexed="81"/>
            <rFont val="Segoe UI"/>
            <family val="2"/>
          </rPr>
          <t>Selecione na lista suspensa em cada célula o status da ilustração.</t>
        </r>
      </text>
    </comment>
    <comment ref="C1" authorId="0" shapeId="0" xr:uid="{ACFA2034-FB52-4598-83DC-500E75C36A05}">
      <text>
        <r>
          <rPr>
            <sz val="9"/>
            <color indexed="81"/>
            <rFont val="Segoe UI"/>
            <family val="2"/>
          </rPr>
          <t>Selecione na lista suspensa em cada célula o status da ilustração.</t>
        </r>
      </text>
    </comment>
    <comment ref="D1" authorId="0" shapeId="0" xr:uid="{F20004DF-387A-44E6-AEDD-E3AD63BA2E76}">
      <text>
        <r>
          <rPr>
            <sz val="9"/>
            <color indexed="81"/>
            <rFont val="Segoe UI"/>
            <family val="2"/>
          </rPr>
          <t>Selecione na lista suspensa em cada célula o status da ilustração.</t>
        </r>
      </text>
    </comment>
    <comment ref="E1" authorId="0" shapeId="0" xr:uid="{4102BA50-FE24-44A4-9B82-875B3D5D76A8}">
      <text>
        <r>
          <rPr>
            <sz val="9"/>
            <color indexed="81"/>
            <rFont val="Segoe UI"/>
            <family val="2"/>
          </rPr>
          <t>Preencher estes campos com números 
de páginas.</t>
        </r>
      </text>
    </comment>
    <comment ref="F1" authorId="0" shapeId="0" xr:uid="{679BEBA2-459B-44AF-AA85-6F60970AA21C}">
      <text>
        <r>
          <rPr>
            <sz val="9"/>
            <color indexed="81"/>
            <rFont val="Segoe UI"/>
            <family val="2"/>
          </rPr>
          <t>Preencher estes campos com números 
de páginas.</t>
        </r>
      </text>
    </comment>
    <comment ref="G1" authorId="0" shapeId="0" xr:uid="{8BC4BA52-6131-4944-BC8F-A3B1B0A96EC5}">
      <text>
        <r>
          <rPr>
            <sz val="9"/>
            <color indexed="81"/>
            <rFont val="Segoe UI"/>
            <family val="2"/>
          </rPr>
          <t>Preencher este campo com o número do capítulo ou nome da seção.</t>
        </r>
      </text>
    </comment>
    <comment ref="H1" authorId="0" shapeId="0" xr:uid="{CA3A5048-F6C2-4AA5-81B7-E87B24FFC964}">
      <text>
        <r>
          <rPr>
            <sz val="9"/>
            <color indexed="81"/>
            <rFont val="Segoe UI"/>
            <family val="2"/>
          </rPr>
          <t xml:space="preserve">Preencher estes campos com números do capítulos ou os nomes padronizados das seções.
</t>
        </r>
      </text>
    </comment>
    <comment ref="I1" authorId="0" shapeId="0" xr:uid="{CCA9828B-758A-4D90-A9DE-DFC1A416C9DC}">
      <text>
        <r>
          <rPr>
            <sz val="9"/>
            <color indexed="81"/>
            <rFont val="Segoe UI"/>
            <family val="2"/>
          </rPr>
          <t xml:space="preserve">Preencher estes campos com números do capítulos ou os nomes padronizados das seções.
</t>
        </r>
      </text>
    </comment>
    <comment ref="J1" authorId="0" shapeId="0" xr:uid="{0E43F4E7-B456-4C6D-89D5-51A118E4447A}">
      <text>
        <r>
          <rPr>
            <sz val="9"/>
            <color indexed="81"/>
            <rFont val="Segoe UI"/>
            <family val="2"/>
          </rPr>
          <t xml:space="preserve">Se o tipo de imagem escolhida for RESGATE ou AJUSTE, coloque aqui o nome da obra de origem.
</t>
        </r>
      </text>
    </comment>
    <comment ref="K1" authorId="0" shapeId="0" xr:uid="{7895F3CF-F7F1-40CC-B157-AC247D816675}">
      <text>
        <r>
          <rPr>
            <sz val="9"/>
            <color indexed="81"/>
            <rFont val="Segoe UI"/>
            <family val="2"/>
          </rPr>
          <t xml:space="preserve">Se o tipo de imagem escolhida for RESGATE ou AJUSTE, coloque aqui apenas o número da página da obra de origem.
</t>
        </r>
      </text>
    </comment>
    <comment ref="L1" authorId="0" shapeId="0" xr:uid="{5F279D88-6CF2-4376-973C-45F4E9BE03A7}">
      <text>
        <r>
          <rPr>
            <sz val="9"/>
            <color indexed="81"/>
            <rFont val="Segoe UI"/>
            <family val="2"/>
          </rPr>
          <t>Se o tipo de imagem escolhida for RESGATE ou AJUSTE, coloque aqui apenas o número do volume da obra de origem.</t>
        </r>
      </text>
    </comment>
    <comment ref="M1" authorId="0" shapeId="0" xr:uid="{8159B57C-4EAD-4C87-9694-5256379140AA}">
      <text>
        <r>
          <rPr>
            <sz val="9"/>
            <color indexed="81"/>
            <rFont val="Segoe UI"/>
            <family val="2"/>
          </rPr>
          <t xml:space="preserve">
Se o tipo de imagem escolhida for RESGATE ou AJUSTE, coloque aqui apenas o número do volume da obra de origem.</t>
        </r>
      </text>
    </comment>
    <comment ref="N1" authorId="0" shapeId="0" xr:uid="{B97B2613-A94F-439C-9CFB-D147D0995878}">
      <text>
        <r>
          <rPr>
            <sz val="9"/>
            <color indexed="81"/>
            <rFont val="Segoe UI"/>
            <family val="2"/>
          </rPr>
          <t>Qual editora possui o direito de uso da ilustração.</t>
        </r>
      </text>
    </comment>
    <comment ref="O1" authorId="0" shapeId="0" xr:uid="{907474F2-DEBA-4C48-99C8-F11D605CEA7D}">
      <text>
        <r>
          <rPr>
            <sz val="9"/>
            <color indexed="81"/>
            <rFont val="Segoe UI"/>
            <family val="2"/>
          </rPr>
          <t xml:space="preserve">Descrição da imagem detalhada de acordo com a edição.
</t>
        </r>
      </text>
    </comment>
    <comment ref="P1" authorId="0" shapeId="0" xr:uid="{20BF7D08-067C-4F30-A113-FB335FFEFBCC}">
      <text>
        <r>
          <rPr>
            <sz val="9"/>
            <color indexed="81"/>
            <rFont val="Segoe UI"/>
            <family val="2"/>
          </rPr>
          <t>Anotações gerais/adicionais da equipe/núcleo sobre a produção da imagem.</t>
        </r>
      </text>
    </comment>
    <comment ref="Q1" authorId="0" shapeId="0" xr:uid="{502522E6-3EFF-4610-8E0D-E931399DD44C}">
      <text>
        <r>
          <rPr>
            <sz val="9"/>
            <color indexed="81"/>
            <rFont val="Segoe UI"/>
            <family val="2"/>
          </rPr>
          <t xml:space="preserve">Número do lote de acordo com a data de liberação para arte.
</t>
        </r>
      </text>
    </comment>
    <comment ref="R1" authorId="0" shapeId="0" xr:uid="{795C016F-3DFB-4572-B806-3CAF7BE317E1}">
      <text>
        <r>
          <rPr>
            <sz val="9"/>
            <color indexed="81"/>
            <rFont val="Segoe UI"/>
            <family val="2"/>
          </rPr>
          <t xml:space="preserve">Data que o lote foi liberado para edição de arte.
</t>
        </r>
      </text>
    </comment>
    <comment ref="S1" authorId="0" shapeId="0" xr:uid="{3FF10516-0A09-41C7-AFC1-0F513DC23852}">
      <text>
        <r>
          <rPr>
            <sz val="9"/>
            <color indexed="81"/>
            <rFont val="Segoe UI"/>
            <family val="2"/>
          </rPr>
          <t>Data de envio da edição de arte para o ilustrador.</t>
        </r>
      </text>
    </comment>
    <comment ref="T1" authorId="0" shapeId="0" xr:uid="{EBBB6D70-D542-4D52-81DF-39227685F9CA}">
      <text>
        <r>
          <rPr>
            <sz val="9"/>
            <color indexed="81"/>
            <rFont val="Segoe UI"/>
            <family val="2"/>
          </rPr>
          <t xml:space="preserve">Data de recebimento 
do rafe do ilustrador.
</t>
        </r>
      </text>
    </comment>
    <comment ref="U1" authorId="0" shapeId="0" xr:uid="{7831501E-12E4-4317-815A-0A00C30A580E}">
      <text>
        <r>
          <rPr>
            <sz val="9"/>
            <color indexed="81"/>
            <rFont val="Segoe UI"/>
            <family val="2"/>
          </rPr>
          <t xml:space="preserve">Data de envio para finalizar a ilustração.
</t>
        </r>
      </text>
    </comment>
    <comment ref="V1" authorId="0" shapeId="0" xr:uid="{C9536459-79AA-4082-9E31-34B9F461CCB7}">
      <text>
        <r>
          <rPr>
            <sz val="9"/>
            <color indexed="81"/>
            <rFont val="Segoe UI"/>
            <family val="2"/>
          </rPr>
          <t>Data de retorno da ilustração finalizada pelo ilustrador.</t>
        </r>
      </text>
    </comment>
    <comment ref="W1" authorId="0" shapeId="0" xr:uid="{9DF38E76-B916-4BEB-BF05-3E7DEC8B6093}">
      <text>
        <r>
          <rPr>
            <sz val="9"/>
            <color indexed="81"/>
            <rFont val="Segoe UI"/>
            <family val="2"/>
          </rPr>
          <t>Data de retorno da ilustração finalizada pelo ilustrador.</t>
        </r>
      </text>
    </comment>
    <comment ref="X1" authorId="0" shapeId="0" xr:uid="{CD2CE986-0D49-4A5A-B3E4-B9CD24C85796}">
      <text>
        <r>
          <rPr>
            <sz val="9"/>
            <color indexed="81"/>
            <rFont val="Segoe UI"/>
            <family val="2"/>
          </rPr>
          <t>Nome do ilustrador que produziu ou produzirá a ilustração ou o nome do criador da ilustração do padrão.
Coluna bloqueada para edição manual.</t>
        </r>
      </text>
    </comment>
    <comment ref="Y1" authorId="0" shapeId="0" xr:uid="{A2DBCC83-FF5B-4B83-98E2-74382826FACC}">
      <text>
        <r>
          <rPr>
            <sz val="9"/>
            <color indexed="81"/>
            <rFont val="Segoe UI"/>
            <family val="2"/>
          </rPr>
          <t>Nome de quem ajustou ou coloriu a ilustração.</t>
        </r>
      </text>
    </comment>
    <comment ref="Z1" authorId="0" shapeId="0" xr:uid="{CB587850-9ACB-44EE-8197-2BC05A4B4DD2}">
      <text>
        <r>
          <rPr>
            <sz val="9"/>
            <color indexed="81"/>
            <rFont val="Segoe UI"/>
            <family val="2"/>
          </rPr>
          <t>O crédito deve ser de quem criou a ilustração e produziu-a pela primeira vez. Em casos de mais de um ilustrador, separar por /. Ex: Sergio Lima/Rogério Casagrande</t>
        </r>
      </text>
    </comment>
    <comment ref="AA1" authorId="0" shapeId="0" xr:uid="{2879990D-3178-48C4-B7CF-96C01289E5ED}">
      <text>
        <r>
          <rPr>
            <sz val="9"/>
            <color indexed="81"/>
            <rFont val="Segoe UI"/>
            <family val="2"/>
          </rPr>
          <t xml:space="preserve">Selecione na lista suspensa em cada célula a classificação da ilustração.
</t>
        </r>
      </text>
    </comment>
    <comment ref="AB1" authorId="0" shapeId="0" xr:uid="{A0B47332-CE7B-4937-9DCB-33503C235664}">
      <text>
        <r>
          <rPr>
            <sz val="9"/>
            <color indexed="81"/>
            <rFont val="Segoe UI"/>
            <family val="2"/>
          </rPr>
          <t>Anotações gerais/adicionais do designer sobre a produção da imagem.</t>
        </r>
      </text>
    </comment>
    <comment ref="AC1" authorId="0" shapeId="0" xr:uid="{8D7D31CF-9E34-4FE9-A8D9-BD0746380BC6}">
      <text>
        <r>
          <rPr>
            <sz val="9"/>
            <color indexed="81"/>
            <rFont val="Segoe UI"/>
            <family val="2"/>
          </rPr>
          <t>Anotações para fechamento dos pagamentos mensais das ilustrações.</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435B6A94-FF72-4736-A74D-25B1507F65DA}" keepAlive="1" name="Consulta - CRÉDITOS_GERAIS" description="Conexão com a consulta 'CRÉDITOS_GERAIS' na pasta de trabalho." type="5" refreshedVersion="8" background="1" saveData="1">
    <dbPr connection="Provider=Microsoft.Mashup.OleDb.1;Data Source=$Workbook$;Location=CRÉDITOS_GERAIS;Extended Properties=&quot;&quot;" command="SELECT * FROM [CRÉDITOS_GERAIS]"/>
  </connection>
  <connection id="2" xr16:uid="{CC29A384-129A-45E6-969F-C86C7FD1625B}" keepAlive="1" name="Consulta - CRÉDITOS_GERAIS (2)" description="Conexão com a consulta 'CRÉDITOS_GERAIS (2)' na pasta de trabalho." type="5" refreshedVersion="8" background="1" saveData="1">
    <dbPr connection="Provider=Microsoft.Mashup.OleDb.1;Data Source=$Workbook$;Location=&quot;CRÉDITOS_GERAIS (2)&quot;;Extended Properties=&quot;&quot;" command="SELECT * FROM [CRÉDITOS_GERAIS (2)]"/>
  </connection>
</connections>
</file>

<file path=xl/sharedStrings.xml><?xml version="1.0" encoding="utf-8"?>
<sst xmlns="http://schemas.openxmlformats.org/spreadsheetml/2006/main" count="3117" uniqueCount="1369">
  <si>
    <t>NOME DA OBRA
 PARA RESGATE</t>
  </si>
  <si>
    <t>PÁGINA PARA RESGATE</t>
  </si>
  <si>
    <t>VOLUME PARA RESGATE</t>
  </si>
  <si>
    <t>VERSÃO PARA RESGATE</t>
  </si>
  <si>
    <t>PROPRIEDADE</t>
  </si>
  <si>
    <t>if0108_4p009m_m25_e010</t>
  </si>
  <si>
    <t>APLICADA</t>
  </si>
  <si>
    <t>IL + FOTO</t>
  </si>
  <si>
    <t>MIOLO</t>
  </si>
  <si>
    <t>NOVA</t>
  </si>
  <si>
    <t xml:space="preserve">Foto+ilustração: Duas fotos da shutter conectadas por uma ilustração de um caminho “de linha” levemente ondulado. Ver referência.
if0108a_4p009m_m25_e010
Foto/vetor escolhida: de menina empurrando a cadeira de rodas de outra criança.
escolhida: https://www.shutterstock.com/pt/image-vector/little-kid-sit-on-wheelchair-friend-2187842395
Foto/vetor escolhida: de crianças ao lado da professora.
escolhida: https://www.shutterstock.com/pt/image-vector/happy-cute-kids-smile-teacher-together-1580607742
Compor caminho semelhante ao da referência a seguir, porém deve ser APENAS O CONTORNO, a criança irá traçar o caminho dentro.
</t>
  </si>
  <si>
    <t>ti</t>
  </si>
  <si>
    <t>Rafaela Panissa</t>
  </si>
  <si>
    <t>FINALIZADO</t>
  </si>
  <si>
    <t>i0139_4p009m_m25_e010</t>
  </si>
  <si>
    <t>ILUSTRAÇÃO</t>
  </si>
  <si>
    <t>ARTE: Ilustrar uma cena com quatro meninos brincando com bola, MAS NÃO ILUSTRAR AS BOLAS. Um oriental, um negro, um ruivo usando óculos e um branco com cabelo castanho com colar do autismo (de girassóis). Eles devem estar em movimento. As crianças irão desenhar as bolas, por isso, compor um fundo/gramado mais limpo e em um tom mais claro. ver ideia na referência</t>
  </si>
  <si>
    <t>tc</t>
  </si>
  <si>
    <t>Thais Castro</t>
  </si>
  <si>
    <t>R: 24/03  F: 28/03 (editado)</t>
  </si>
  <si>
    <t>PAGO</t>
  </si>
  <si>
    <t>i0140_4p009m_m25_e010</t>
  </si>
  <si>
    <t>PRONTA</t>
  </si>
  <si>
    <t xml:space="preserve">Ilustrar DUAS crianças brincando com blocos de montar coloridos. Um menino com características de síndrome de down e uma menina usando óculos com grau bem forte (baixa visão). As peças que estão manuseando devem ser grandes e coloridas. Eles estão sentados no chão e cada um deve tem uma quantidade de blocos posicionados à sua frente e estar segurando uma peça na mão dando a impressão que estão montando. A menina tem MAIS peças que o menino e isso deve estar bem evidente.
ver exemplo na referencia
</t>
  </si>
  <si>
    <t>di</t>
  </si>
  <si>
    <t>Débora Mini</t>
  </si>
  <si>
    <t>R: 24/03  F: 28/03</t>
  </si>
  <si>
    <t>i0141_4p009m_m25_e010</t>
  </si>
  <si>
    <t xml:space="preserve">Ilustrar um aquário com 3 peixes dentro. Os peixes devem ser coloridos e diferentes. 
Ver referencia:
</t>
  </si>
  <si>
    <t>i0142_4p009m_m25_e010</t>
  </si>
  <si>
    <t xml:space="preserve">Ilustrar um aquário com 1 peixe dentro. </t>
  </si>
  <si>
    <t>i0143_4p009m_m25_e010</t>
  </si>
  <si>
    <t xml:space="preserve">Ilustrar um aquário com 2 peixes dentro. Os peixes devem ser coloridos e diferentes. </t>
  </si>
  <si>
    <t>i0144_4p009m_m25_e010</t>
  </si>
  <si>
    <t xml:space="preserve">Ilustrar um aquário com 2 peixes dentro. diferente da il 0143 Os peixes devem ser iguais. 
Ver referência.
</t>
  </si>
  <si>
    <t>i0145_4p009m_m25_e010</t>
  </si>
  <si>
    <t xml:space="preserve">Ilustrar um aquário com 1 peixe dentro diferente da il i0142. </t>
  </si>
  <si>
    <t>i0146_4p009m_m25_e010</t>
  </si>
  <si>
    <t>Ilustrar um aquário com 3 peixes dentro. diferente da il 0141 Os peixes devem ser iguais. Ver referência.</t>
  </si>
  <si>
    <t>i0151_4p009m_m25_e010</t>
  </si>
  <si>
    <t>Ilustrar uma figura de um gato bem simples e com poucos espaços para a criança pintar. Veja a seguir uma referência para o tipo de atividade. Porém a figura dever ter bem menos espaços para pintar deixar mais simples do que a referência. Os espaços que irão ser pintados devem ter o número 1 e nos espaços em que não aparece o número 1, colocar letras e outros símbolos, como asteriscos, estrelas, bolinhas etc, ao pintar todos os espaços deve aparecer um gato fazer parecido com a referencia</t>
  </si>
  <si>
    <t>Tatiane Galheiro</t>
  </si>
  <si>
    <t>Rafe em avaliação.</t>
  </si>
  <si>
    <t>i0167_4p009m_m25_e010</t>
  </si>
  <si>
    <t xml:space="preserve">Ilustrar um menino negro colorido segurando 5 bexigas em fio preto para o aluno pintar as bexigas Ver referência </t>
  </si>
  <si>
    <t>gk</t>
  </si>
  <si>
    <t>Gabriel Kyu</t>
  </si>
  <si>
    <t>R: 24/03  F: 26/03</t>
  </si>
  <si>
    <t>i0301_4p009m_m25_e010</t>
  </si>
  <si>
    <t xml:space="preserve">Compor ilustração de duas torres de brinquedo IGUAIS (de aneis de plástico), uma ao lado da outra, semelhante a referencia. Porém, fazer apenas o contorno em fio preto, para a criança poder pintar. 
A primeira deve conter 6 aneis e a segunda 4. Ambas devem estar no mesmo nivel, no mesmo plano, fazer uma base para as duas, para podermos comparar suas alturas. 
</t>
  </si>
  <si>
    <t>vc</t>
  </si>
  <si>
    <t>Vinícius Costa</t>
  </si>
  <si>
    <t>if0302_4p009m_m25_e010</t>
  </si>
  <si>
    <t xml:space="preserve">Ilustração de um caminho que leva os 3 porquinhos as 3 casinhas
Separar os 3 porquinhos e as 3 casas. Compor um caminho largo e um estreito ligando os porquinhos às casas. Compor pontos, no caminho mais largo e no caminho mais estreito para a criança ligar. Ver referencia. Ocupar grande parte da página vertical, colocar os porquinhos e as casas sobre um fundinho verde/um gramadinho da própria ilustração.
Shutter escolhida: https://www.shutterstock.com/pt/image-vector/three-little-pigs-near-their-small-1059506360
</t>
  </si>
  <si>
    <t>Felipe Grigoli</t>
  </si>
  <si>
    <t>Resgate Ajuste</t>
  </si>
  <si>
    <t>i0303_4p009m_m25_e010</t>
  </si>
  <si>
    <t xml:space="preserve">Compor ilustração de 2 vasos semelhantes, um grande e um pequeno, cada um sobre uma mesa, a mesa deve ser exatamente a mesma para os dois, fazer um chão onde apoia as duas mesas, devem estar na mesma altura e perspectiva, para ser possível compará-los. Não fazer os vasos de vidro como na referência, fica difícil de ver e ter contraste com o fundo da página. </t>
  </si>
  <si>
    <t>if0306_4p009m_m25_e010</t>
  </si>
  <si>
    <t xml:space="preserve">foto/vetor de carros de corrida da Shutter escolhida.
Ajustar: inserir um “portal” escrito CHEGADA sobre a faixa quadriculada e REMOVER as 2 bandeiras quadriculadas. 
Escolhida: https://www.shutterstock.com/pt/image-vector/formula-racing-sport-car-reach-on-2179900139
</t>
  </si>
  <si>
    <t>i0310_4p009m_m25_e010</t>
  </si>
  <si>
    <t xml:space="preserve">Compor ilustração de duas janelas iguais, porém uma fechada e outra aberta. Ver referência, porém as janelas podem ser mais coloridas e com detalhes em volta, porém deixar o centro delas com alguma parte em branco, para a criança poder desenhar por cima. Ocupar a página toda. </t>
  </si>
  <si>
    <t>i0318_4p009m_m25_e010</t>
  </si>
  <si>
    <t>Compor ilustração de sequência de baldinhos de tinta conforme referência. compor uma lata azul uma amarela e uma azul e uma em branco (só linha contorno), na ordem da referência. A criança irá pintar a última lata. A ilustração deve ser “limpa” e ampla, para facilitar a pintura. Ver referência.</t>
  </si>
  <si>
    <t>i0319_4p009m_m25_e010</t>
  </si>
  <si>
    <t>Compor ilustração de sequência de pincéis de tinta conforme referência. Compor 1 pincel rosa, um pincel verde, um pincel rosa e um em branco (só linha contorno), na ordem da referência. A criança irá pintar o último pincel. A ilustração deve ser “limpa” e ampla, para facilitar a pintura. Ver referência.</t>
  </si>
  <si>
    <t>i0320_4p009m_m25_e010</t>
  </si>
  <si>
    <t>Compor ilustração de sequência de lápis de cor conforme referência. Compor 1 lápis vermelho, um lápis azul, um lápis vermelho e um em branco (só linha contorno), na ordem da referência. A criança irá pintar o último lápis. A ilustração deve ser “limpa” e ampla, para facilitar a pintura. Ver referência.</t>
  </si>
  <si>
    <t>i0321_4p009m_m25_e010</t>
  </si>
  <si>
    <t xml:space="preserve">Ilustração de um pontilhado semelhante a uma nuvem. Compor o interior amplo, para a criança ter espaço para desenhar dentro. 
as duas ilustrações devem ocupar a pagina toda
</t>
  </si>
  <si>
    <t>i0322_4p009m_m25_e010</t>
  </si>
  <si>
    <t xml:space="preserve">Ilustração de um pontilhado aberto. Compor o interior amplo, proporcionalmente ao tamanho da ilustração anterior. A referência é uma linha contínua, mas é para ser PONTILHADO, como a ilustração anterior. 
as duas ilustrações devem ocupar a pagina toda
</t>
  </si>
  <si>
    <t>if0335_4p009m_m25_e010</t>
  </si>
  <si>
    <t xml:space="preserve">Ilustração+foto: compor ilustração de um caminho com alguns desvios. O caminho completo que leva o astronauta até o foguete deve conter apenas o número 4, já os caminhos “errados” podem conter apenas os números 1, 2 ou 3. Ver referência. 
A ilustração deve ocupar todo o espaço disponível na página (verificar que há um quadrinho no canto direito superior). Fazer um fundo com estrelas e planetas. 
Pode-se utilizar os elementos da ilustração da shutter disponível em:
“USAR SOMENTE A ASTRONAUTA MENINA.”
ESCOLHIDA: https://www.shutterstock.com/pt/image-vector/maze-games-find-path-astronaut-space-1315669757
</t>
  </si>
  <si>
    <t>i0349_4p009m_m25_e010</t>
  </si>
  <si>
    <t xml:space="preserve">Ilustração de uma bolinha na cor roxa. </t>
  </si>
  <si>
    <t>i0350_4p009m_m25_e010</t>
  </si>
  <si>
    <t xml:space="preserve">Ilustração de uma bolinha na cor rosa. </t>
  </si>
  <si>
    <t>i0351_4p009m_m25_e010</t>
  </si>
  <si>
    <t xml:space="preserve">Ilustração de uma bolinha na cor vermelha. </t>
  </si>
  <si>
    <t>i0352_4p009m_m25_e010</t>
  </si>
  <si>
    <t xml:space="preserve">Ilustração de uma bolinha na cor verde. </t>
  </si>
  <si>
    <t>i0353_4p009m_m25_e010</t>
  </si>
  <si>
    <t xml:space="preserve">Ilustração de uma bolinha na cor amarela escuro. </t>
  </si>
  <si>
    <t>i0354_4p009m_m25_e010</t>
  </si>
  <si>
    <t xml:space="preserve">Ilustração de uma bolinha na cor azul claro. </t>
  </si>
  <si>
    <t>i0323_4p009m_m25_e010</t>
  </si>
  <si>
    <t xml:space="preserve">Imagem gerada por IA.
Arquivo disponível em: https://ensinolivre.sharepoint.com/:f:/r/sites/M25_E010_EI/Documentos%20Compartilhados/M25_E010_EI/P009/4ANO/MATEMATICA/LIVRO/1TXT_ASS/IMAGEM_IA?csf=1&amp;web=1&amp;e=dFN8hE
</t>
  </si>
  <si>
    <t>ia</t>
  </si>
  <si>
    <t>Arquivo da editora</t>
  </si>
  <si>
    <t>i0360_4p009m_m25_e010</t>
  </si>
  <si>
    <t xml:space="preserve">Ilustração de uma horta. Compor um fundo de um sítio e na frente um espaço de terra plantados exatamente e apenas: 
4 cenouras, 5 repolhos e 6 rabanetes.
 Ver referência gerada por IA.
</t>
  </si>
  <si>
    <t>i0361_4p009m_m25_e010</t>
  </si>
  <si>
    <t>Recorte da ilustração i0360_4p009m_m25_e010, apenas da cenoura.</t>
  </si>
  <si>
    <t>Arte</t>
  </si>
  <si>
    <t>i0362_4p009m_m25_e010</t>
  </si>
  <si>
    <t>Recorte da ilustração i0360_4p009m_m25_e010, apenas do repolho.</t>
  </si>
  <si>
    <t>i0363_4p009m_m25_e010</t>
  </si>
  <si>
    <t>Recorte da ilustração i0360_4p009m_m25_e010, apenas do rabanete.</t>
  </si>
  <si>
    <t>i0169_4p009m_m25_e010</t>
  </si>
  <si>
    <t xml:space="preserve">ilustração de uma cena de sala na qual apareçam, entre outros elementos, um sofá e uma mesa (pode ser uma mesa grande ou uma mesinha de centro). Em cima do sofá deve haver um gato e embaixo da mesa deve haver um cachorro. Lembrar que a página é vertical e que a imagem deve usar todo o espaço livre da página. O fundo da imagem onde estão o gato e o cachorro devem ser bem claros para que a criança marque a resposta.
Se for usar parecido com a IA gerada tomar cuidado com os seguintes itens:
as cores devem ter mais contraste, por exemplo a cor da parede com o sofá, a cor do gato com o sofá (gato pode ser laranjinha) a cor do tapete com a cor do sofá
o tamanho da imagem, ela deve ser mais vertical para ocupar a pagina toda não deixar tão quadrada
ter bordas retas
</t>
  </si>
  <si>
    <t>R: 31/03  F: 03/04</t>
  </si>
  <si>
    <t>i0365_4p009m_m25_e010</t>
  </si>
  <si>
    <t xml:space="preserve">Ilustração de um menino branco, + ou – 10 anos, usando cordão de autismo, observando o crescimento de uma plantinha. O vaso deve estar sobre uma superfície de modo que só apareça a parte de cima do corpo do menino. A ilustração fará parte de uma sequência de 4 cenas. Os traços podem ser bem simples, sem muitos detalhes, como na referência a seguir.
i0365A_4p009m_m25_e010
Nessa cena o menino observa o vaso com terra. 
i0365B_4p009m_m25_e010
Nessa cena o menino está regando uma planta bem pequena, a planta que já cresceu no vaso em que ele plantou as sementes. Ver referência a seguir.
i0365C_4p009m_m25_e010
Nessa cena o menino está observando feliz a flor no vaso onde ele plantou as sementes. Ver referência a seguir.
i0365D_4p009m_m25_e010
Nessa cena o menino está despejando sementes no vaso com terra. Ver referência a seguir.
</t>
  </si>
  <si>
    <t>R: 02/04 F: 04/04</t>
  </si>
  <si>
    <t>i0364_4p009m_m25_e010</t>
  </si>
  <si>
    <t xml:space="preserve">Compor ilustração de duas cestas de palha, uma grande e uma pequena, cada uma sobre uma mesa, a mesa deve ser a mesma da i0303_4p009m_m25_e010 e deve ser exatamente igual para as duas cestas, fazer um chão onde as duas mesas estão apoiadas, devem estar na mesma altura e perspectiva, para ser possível compará-las. Usar a ilustração abaixo como referência para a diferença de tamanho entre as cestas.
Se possível mandar para o mesmo ilustrador da i0303_4p009m_m25_e010, pois entrará na mesma página
</t>
  </si>
  <si>
    <t>i0376_4p009m_m25_e010</t>
  </si>
  <si>
    <t xml:space="preserve">Compor ilustração de duas torres de brinquedo IGUAIS, em contorno fio preto, uma ao lado da outra, na mesma linguagem e perspectiva da i0301, produzida para esta página. Porém, o formato das peças será diferente. Neste caso não serão redondas e sim quadradas e um pouco mais finas. 
A primeira torre deve conter 6 peças e a segunda 3. Ambas devem estar no mesmo nível, no mesmo plano, fazer uma base para as duas, para podermos comparar suas alturas. 
</t>
  </si>
  <si>
    <t>if0501_4p009m_m25_e010</t>
  </si>
  <si>
    <t xml:space="preserve">Ilustração + foto de uma família indo para a praia. Usar a shutter escolhida: https://www.shutterstock.com/pt/image-vector/family-walking-303919556 para a família no início da ilustração. Esta família estará no início de um caminho tracejado que o aluno irá cobrir e, ao final desse caminho, haverá a ilustração de uma praia para a qual a família está indo. O caminho deve ser feito com linhas retas e com um tracejado no seu interior, conforme a referência a seguir. Utilizar os elementos estrela do mar, concha, baldinho e pedra para compor um fundo na ilustração, coloca-los próximo ao caminho, shutter escolhida: https://www.shutterstock.com/pt/image-vector/children-making-sand-castle-beach-535677898 . Ao final do caminho, inserir a mesma foto da shutter escolhida: https://www.shutterstock.com/pt/image-vector/children-making-sand-castle-beach-535677898 mas remover as crianças e o castelo, deixar apenas a praia.
Ver a seguir referência para a ilustração do caminho e para o formato que o caminho deve ter.
Verticalizar a imagem para ocupar o máximo de espaço disponível na página. 
</t>
  </si>
  <si>
    <t>bv</t>
  </si>
  <si>
    <t>R: 17/04 ; F: 22/04</t>
  </si>
  <si>
    <t>i0502_4p009m_m25_e010</t>
  </si>
  <si>
    <t>Arte: ilustrar duas gravatas somente em fio contorno para a criança desenhar dentro, uma mais larga e outra mais estreita. O comprimento das duas gravatas deve ser exatamente o mesmo e a diferença entre a largura das gravatas deve ser bem evidente. Ver referência abaixo.</t>
  </si>
  <si>
    <t>rm</t>
  </si>
  <si>
    <t>R: 15/04 ; F: 17/04</t>
  </si>
  <si>
    <t>i0503_4p009m_m25_e010</t>
  </si>
  <si>
    <t>Arte: ilustrar duas portas somente em fio contorno para a criança pintar, uma mais larga e outra mais estreita. A altura das duas portas deve ser exatamente a mesma e a diferença entre a largura das portas deve ser bem evidente. Ver referência abaixo.</t>
  </si>
  <si>
    <t>i0504_4p009m_m25_e010</t>
  </si>
  <si>
    <t xml:space="preserve">Ilustração de duas cenas. 
A primeira deve conter um homem utilizando roupas de um chef de cozinha pardo segurando uma maça com apenas uma das mãos, como se estivesse verificando o peso dela, compor um fundo como se fosse uma cozinha simples, com algum armário no fundo, no alto, uma lâmpada também, talvez, para deixar a imagem verticalizada, pois entrará a outra cena ao lado dela e ambas devem ocupar o máximo da página. 
</t>
  </si>
  <si>
    <t>R:16/04 ; F: 18/04</t>
  </si>
  <si>
    <t>i0505_4p009m_m25_e010</t>
  </si>
  <si>
    <t xml:space="preserve">Na outra cena, com o mesmo homem e o mesmo fundo, segura agora uma melancia com as duas mãos, como se estivesse fazendo um pouco mais de força para segurá-la, mas não precisa intensificar tanto as expressões dele, de maneira sutil. 
Veja a seguir uma referência para a verticalização da cena.
</t>
  </si>
  <si>
    <t>i0513_4p009m_m25_e010</t>
  </si>
  <si>
    <t>Ilustrar um menino de aprox. 4 anos, cadeirante, acompanhado de um homem adulto, finalizando a confecção de uma pipa. Na cena deve conter os materiais que foram utilizados na primeira cena e deve aparecer a pipa quase pronta. Esta é a segunda cena de três.</t>
  </si>
  <si>
    <t>R: 16/04 ; F: 18/04</t>
  </si>
  <si>
    <t>i0514_4p009m_m25_e010</t>
  </si>
  <si>
    <t>Ilustrar cena em que o mesmo menino cadeirante aparece feliz soltando a pipa pronta e o pai empurrando sua cadeira de rodas. Eles devem estar em um lugar aberto em que não haja postes e fios elétricos. Esta é a terceira cena de três.</t>
  </si>
  <si>
    <t>i0515_4p009m_m25_e010</t>
  </si>
  <si>
    <t>Ilustrar um menino de aprox. 4 anos, cadeirante, juntamente com seu pai estão em uma mesa, sentados. Eles devem estar organizando os materiais que serão utilizados na confecção de uma pipa: folhas coloridas, régua, cola, varetas de bambu, tesoura com pontas arredondadas, carretel de linha. Esta é a primeira cena de três.</t>
  </si>
  <si>
    <t>i0519_4p009m_m25_e010</t>
  </si>
  <si>
    <t>IL TEC ARTE</t>
  </si>
  <si>
    <t>Ilustração de um cilindro na cor azul. Atentar-se para que ele esteja na mesma posição da lata de metal que será usada nesta página. ILUSTRAÇÃO TÉCNICA CONFORME O PADRÃO DA OBRA.</t>
  </si>
  <si>
    <t>bp</t>
  </si>
  <si>
    <t>i0520_4p009m_m25_e010</t>
  </si>
  <si>
    <t>Ilustração de uma esfera na cor verde. ILUSTRAÇÃO TÉCNICA CONFORME O PADRÃO DA OBRA.</t>
  </si>
  <si>
    <t>i0521_4p009m_m25_e010</t>
  </si>
  <si>
    <t>Ilustração de um cone na cor roxa. Atentar-se para que ele esteja na mesma posição do chapéu de aniversário que será usado nesta página. ILUSTRAÇÃO TÉCNICA CONFORME O PADRÃO DA OBRA.</t>
  </si>
  <si>
    <t>i0525_4p009m_m25_e010</t>
  </si>
  <si>
    <t>Ilustração de um paralelepípedo, uma pirâmide e um cubo, um ao lado do outro. A ilustração das figuras geométricas deve ser feita em fio preto para a criança pintar. ILUSTRAÇÃO TÉCNICA CONFORME O PADRÃO DA OBRA.</t>
  </si>
  <si>
    <t>i0526_4p009m_m25_e010</t>
  </si>
  <si>
    <t>Ilustrar sequência de figuras geométricas espaciais: esfera azul clara, cilindro amarelo, cone verde, cubo azul escuro, paralelepípedo laranja e pirâmide rosa. ILUSTRAÇÕES TÉCNICAS CONFORME O PADRÃO DA OBRA.</t>
  </si>
  <si>
    <t>i0527_4p009m_m25_e010</t>
  </si>
  <si>
    <t>Ilustrar sequência de figuras geométricas espaciais: cubo azul escuro, cilindro amarelo, paralelepípedo laranja, cone verde, esfera azul clara e pirâmide rosa. As figuras são as mesmas do primeiro quadro, organizadas em outra sequência. ILUSTRAÇÕES TÉCNICAS CONFORME O PADRÃO DA OBRA.</t>
  </si>
  <si>
    <t>i0528_4p009m_m25_e010</t>
  </si>
  <si>
    <t>Ilustrar sequência de figuras geométricas espaciais: esfera azul clara, cilindro amarelo, paralelepípedo laranja, cone verde, cubo azul escuro e pirâmide rosa. As figuras são as mesmas do primeiro quadro, organizadas em outra sequência. ILUSTRAÇÕES TÉCNICAS CONFORME O PADRÃO DA OBRA.</t>
  </si>
  <si>
    <t>i0529_4p009m_m25_e010</t>
  </si>
  <si>
    <t>Ilustrar sequência de figuras geométricas espaciais: esfera azul clara, pirâmide rosa, cubo azul escuro, cilindro amarelo, paralelepípedo laranja e cone verde. As figuras são as mesmas do primeiro quadro, organizadas em outra sequência. ILUSTRAÇÕES TÉCNICAS CONFORME O PADRÃO DA OBRA.</t>
  </si>
  <si>
    <t>i0534_4p009m_m25_e010</t>
  </si>
  <si>
    <t xml:space="preserve">ILUSTRAÇÃO GERADA POR IA. 6 potes de tinta guache, um ao lado do outro, nas seguintes cores: VERMELHO, AZUL, AMARELO, VERDE, ALARANJADO E PRETO. Arquivo JPG disponível na pasta. </t>
  </si>
  <si>
    <t>i0535_4p009m_m25_e010</t>
  </si>
  <si>
    <t xml:space="preserve">ILUSTRAÇÃO GERADA POR IA. Uma paleta de tinta oval e um pincel sobre a paleta ou encaixado na abertura da paleta, mas sem cobrir os espaços que serão pintados. A paleta deve ter 6 espaços, ELES DEVEM ESTAR SEM TINTA, somente o espaço para a criança pintar. AJUSTAR. Deixar os 6 espaços de tinta brancos, para a criança pintar. Arquivo JPG disponível na pasta. </t>
  </si>
  <si>
    <t>Bruna Campos</t>
  </si>
  <si>
    <t>IA</t>
  </si>
  <si>
    <t>i0542_4p009m_m25_e010</t>
  </si>
  <si>
    <t xml:space="preserve">ILUSTRAÇÃO GERADA POR IA. Ajustar a il e deixar com apenas 7 lápis de cor, encurtar a caixa para adequar a quantidade de lápis. </t>
  </si>
  <si>
    <t>i0543_4p009m_m25_e010</t>
  </si>
  <si>
    <t>ILUSTRAÇÃO GERADA POR IA. Caixa de lápis de cor com 9 lápis de cor.</t>
  </si>
  <si>
    <t>i0544_4p009m_m25_e010</t>
  </si>
  <si>
    <t xml:space="preserve">ILUSTRAÇÃO GERADA POR IA. Ajustar a il e deixar com apenas 8 lápis de cor, encurtar a caixa para adequar a quantidade de lápis. </t>
  </si>
  <si>
    <t>i0545_4p009m_m25_e010</t>
  </si>
  <si>
    <t xml:space="preserve">ILUSTRAÇÃO GERADA POR IA. Ajustar a il e deixar com apenas 6 lápis de cor, encurtar a caixa para adequar a quantidade de lápis. </t>
  </si>
  <si>
    <t>i0546_4p009m_m25_e010</t>
  </si>
  <si>
    <t xml:space="preserve">iLUSTRAÇÃO GERADA POR IA. Três flores SEM PÉTALAS, deve aparecer apenas o caule, as folhas e o miolo. Dentro de cada miolo colocar os números 7, 9 e 8 respectivamente. A ilustração deverá estar colorida e deve haver espaço para a criança desenhar as pétalas no miolo de cada flor. AJUSTE: remover as pétalas das flores e separar um pouco mais as duas flores maiores da flor menor, para ter mais espaço para a criança desenhar as pétalas. Cuidado para não ficar muito na borda exterior da página, pois a criança precisa conseguir desenhar as pétalas. </t>
  </si>
  <si>
    <t>i0553_4p009m_m25_e010</t>
  </si>
  <si>
    <t>Ilustrar duas crianças, um menino e uma menina, aprox. 8 anos brincando de pular corda. O menino deve ter traços orientais e a menina deve ser negra e usar óculos. A corda que o menino está pulando deve ser FINA e a corda da menina deve ser bem mais GROSSA. Essa diferença deve estar bem evidente. Incluir outros elementos para criar um cenário para as crianças e fazer a ilustração de forma verticalizada afim de que ocupe toda a página.</t>
  </si>
  <si>
    <t>bx</t>
  </si>
  <si>
    <t>i0707_4p009m_m25_e010</t>
  </si>
  <si>
    <t>Ilustração de 3 cenas: Ver a proporção das cenas nos retângulos indicados abaixo nesta página.
Cena 1: Ilustrar um coelho chegando em uma plantação de cenouras. Não precisa aparecer a plantação inteira, pode aparecer apenas algumas cenouras, como na REFERÊNCIA abaixo. (Cena 1 de 3)</t>
  </si>
  <si>
    <t>R:28/04 F:02/05</t>
  </si>
  <si>
    <t>i0708_4p009m_m25_e010</t>
  </si>
  <si>
    <t>Cena 2: Ilustrar o mesmo coelho da primeira cena, agora comendo uma cenoura da plantação. (Cena 2 de 3)</t>
  </si>
  <si>
    <t>Recorte da  i0707</t>
  </si>
  <si>
    <t>i0709_4p009m_m25_e010</t>
  </si>
  <si>
    <t>Cena 3: Ilustrar cena em que o mesmo coelho aparece dormindo na plantação de cenouras, com a barriga bem cheia. (Cena 3 de 3)</t>
  </si>
  <si>
    <t>i0710_4p009m_m25_e010</t>
  </si>
  <si>
    <t>IMAGEM GERADA POR IA. Arquivo na pasta: cestos_de_roupas.jpg.</t>
  </si>
  <si>
    <t>i0711_4p009m_m25_e010</t>
  </si>
  <si>
    <t>AJUSTE</t>
  </si>
  <si>
    <t>IMAGEM GERADA POR IA. Arquivo na pasta: jarras.jpg.
AJUSTE: deixar o líquido sem cor e virar as jarras para o mesmo lado. Compor umas poucas bolhas no líquido para deixar mais evidente que tem algo.</t>
  </si>
  <si>
    <t>i0712_4p009m_m25_e010</t>
  </si>
  <si>
    <t>ILUSTRAÇÃO GERADA POR IA. Arquivo na pasta: crianças_piscina.jpeg
AJUSTES indicados no PDF de ajuste com o mesmo nome na pasta.</t>
  </si>
  <si>
    <t>i0715_4p009m_m25_e010</t>
  </si>
  <si>
    <t>Ilustrar uma cena na qual uma professora negra, usando guarda-pó está conduzindo 4 crianças em fila. São dois meninos e duas meninas. O primeiro menino que está de mãos dadas com a professora, deve usar cordão do autismo (de girassóis), o outro menino é negro. Uma menina é ruiva e usa óculos que aparenta ter grau bem forte (baixa visão) e a outra menina é negra. Todas as crianças estão uniformizadas. As pessoas na fila devem estar de lado, ficando bem evidente quem está na frente e atrás. Ver referência.
Além disso, completar a parte de baixo e a parte de cima com um fundo de contexto de escola com poucos elementos mas que completem a página de forma a fechar todo o espaço disponível</t>
  </si>
  <si>
    <t>i0716_4p009m_m25_e010</t>
  </si>
  <si>
    <t>Ilustrar um parquinho. Nele deve ter um escorregador e outros elementos. Perto do escorregador, deve ter um menino com traços orientais, e longe do escorregador deve ter uma menina com características de síndrome de down. Ambos estão de uniforme escolar. Deve aparecer também uma pessoa adulta, observando as crianças brincarem. Veja referência do parque. 
Cuidar para que a ilustração fique vertical e ocupe todo o espaço disponível na página</t>
  </si>
  <si>
    <t>Bianca Tavares</t>
  </si>
  <si>
    <t>R:28/04 F:30/04</t>
  </si>
  <si>
    <t>i0717_4p009m_m25_e010</t>
  </si>
  <si>
    <t xml:space="preserve">Ilustrar a cena de uma rodovia com veículos indo APENAS em uma direção. Compor alguma seta no chão indicado a direção dos veículos. Compor poucos veículos, no máximo 4. Deixar os carrinhos sem cores, apenas fio contorno para as crianças pintarem. A ilustração deve ocupar o máximo da página, ou seja, levemente vertical. Utilizar uma perspectiva semelhante à referência, para as crianças identificarem os carrinhos. </t>
  </si>
  <si>
    <t>Heloísa Pintarelli</t>
  </si>
  <si>
    <t>i0718_4p009m_m25_e010</t>
  </si>
  <si>
    <t>Ilustrar em fio contorno QUATRO “molhos de chaves”, um diferente do outro. Cada molho deve ter cinco chaves. (Somente o contorno). Em cada molho, as chaves devem ser idênticas, somente UMA delas deve ser diferente das demais. Ver referência para a ilustração dos molhos de chave.
espalhar os quatro molhos de chaves pelo tamanho da página para completar o máximo possível</t>
  </si>
  <si>
    <t>i0719_4p009m_m25_e010</t>
  </si>
  <si>
    <t xml:space="preserve">Ilustrar um quarto de criança. No quarto pode aparecer uma cama. O foco da cena é a estante com TRÊS prateleiras. Ela deve estar posicionada no chão, de modo que uma criança a alcance. A primeira prateleira da estante, de baixo para cima, deve conter UM bichinho de pelúcia e UMA boneca. A segunda prateleira deve conter TRÊS livros. A terceira prateleira deve conter DOIS porta-retratos. No chão do quarto devem estar espalhados um porta-retratos, dois bichinhos de pelúcia, uma boneca e dois livros. Esses objetos espalhados devem estar posicionados de modo que fique fácil da criança ligar o objeto à estante. Não deve haver nenhum outro objeto, como tapete, almofada, vaso, luminária, entre outros, no chão do quarto além desses que a criança vai ligar à estante. As ilustrações dos elementos da estante e do chão devem ser diferentes. Fazer a ilustração na vertical para que ocupe toda a página.
Ver referência para a ilustração do quarto e da estante.
</t>
  </si>
  <si>
    <t>Gabirel Brum</t>
  </si>
  <si>
    <t>i0720_4p009m_m25_e010</t>
  </si>
  <si>
    <t>Ilustrar uma circunferência tracejada, apenas fio contorno, em preto, conforme o padrão da obra. Incluir a seta vermelha no início.
Ver referência.</t>
  </si>
  <si>
    <t>i0721_4p009m_m25_e010</t>
  </si>
  <si>
    <t>Ilustrar um triângulo tracejado, apenas fio contorno, em preto, conforme o padrão da obra. Incluir a seta vermelha no início.
Ver referência.</t>
  </si>
  <si>
    <t>i0728_4p009m_m25_e010</t>
  </si>
  <si>
    <t>Ilustrar um quadrado tracejado, apenas fio contorno, em preto, conforme o padrão da obra. Incluir a seta vermelha no início.
Ver referência.</t>
  </si>
  <si>
    <t>i0729_4p009m_m25_e010</t>
  </si>
  <si>
    <t>Ilustrar as seguintes figuras em fio preto, apenas o contorno, conforme o padrão da obra:
5 quadrados de tamanhos diferentes;
3 triângulos de tamanhos diferentes;
4 círculos de tamanhos diferentes.
Distribuir essas figuras neste espaço de maneira aleatória. As crianças irão pintar os quadrados como resposta.</t>
  </si>
  <si>
    <t>i0730_4p009m_m25_e010</t>
  </si>
  <si>
    <t>Ilustrar um retângulo tracejado, apenas fio contorno, em preto, conforme o padrão da obra. Incluir a seta vermelha no início.
Ver referência</t>
  </si>
  <si>
    <t>i0731_4p009m_m25_e010</t>
  </si>
  <si>
    <t>IMAGEM GERADA POR IA. Porta-retrato com formato retangular, apenas o contorno, em fio preto, para a criança pintar. Arquivo na pasta: portaretrato.</t>
  </si>
  <si>
    <t>i0732_4p009m_m25_e010</t>
  </si>
  <si>
    <t>IMAGEM GERADA POR IA. Triângulo de sinalização, apenas o contorno, em fio preto, para a criança pintar. Arquivo na pasta: placa_sinalizacao.</t>
  </si>
  <si>
    <t>i0733_4p009m_m25_e010</t>
  </si>
  <si>
    <t>IMAGEM GERADA POR IA. Porta de madeira retangular, apenas o contorno, em fio preto, para a criança pintar. Arquivo na pasta: porta.</t>
  </si>
  <si>
    <t>i0734_4p009m_m25_e010</t>
  </si>
  <si>
    <t>IMAGEM GERADA POR IA. Ilustração de um relógio de parede redondo, apenas o contorno, em fio preto para a criança pintar. Arquivo na pasta: relógio.</t>
  </si>
  <si>
    <t>i0735_4p009m_m25_e010</t>
  </si>
  <si>
    <t>EXCLUIDA</t>
  </si>
  <si>
    <t>IMAGEM GERADA POR IA. Ilustração de um tapete retangular, apenas o contorne, em fio preto, para a criança pintar. Arquivo na pasta: tapete.</t>
  </si>
  <si>
    <t>i0737_4p009m_m25_e010</t>
  </si>
  <si>
    <t>Ilustrar um quadrado azul</t>
  </si>
  <si>
    <t>i0738_4p009m_m25_e010</t>
  </si>
  <si>
    <t>Ilustrar um triângulo amarelo</t>
  </si>
  <si>
    <t>i0739_4p009m_m25_e010</t>
  </si>
  <si>
    <t>Ilustrar um círculo alaranjado</t>
  </si>
  <si>
    <t>i0740_4p009m_m25_e010</t>
  </si>
  <si>
    <t>Ilustrar um retângulo verde</t>
  </si>
  <si>
    <t>i0741_4p009m_m25_e010</t>
  </si>
  <si>
    <t>Ilustrar um triângulo roxo</t>
  </si>
  <si>
    <t>i0742_4p009m_m25_e010</t>
  </si>
  <si>
    <t>Ilustrar um círculo azul</t>
  </si>
  <si>
    <t>i0743_4p009m_m25_e010</t>
  </si>
  <si>
    <t>Ilustrar um retângulo amarelo</t>
  </si>
  <si>
    <t>i0744_4p009m_m25_e010</t>
  </si>
  <si>
    <t>Ilustrar um triângulo verde</t>
  </si>
  <si>
    <t>i0745_4p009m_m25_e010</t>
  </si>
  <si>
    <t>Ilustrar um círculo roxo</t>
  </si>
  <si>
    <t>i0746_4p009m_m25_e010</t>
  </si>
  <si>
    <t>Ilustrar um quadrado alaranjado</t>
  </si>
  <si>
    <t>i0747_4p009m_m25_e010</t>
  </si>
  <si>
    <t>Ilustrar uma cena de paisagem com árvores, terra, gramado, céu azul, nuvens... A cena deve conter DOIS pássaros, estes somente o contorno e do mesmo tamanho, voando na mesma direção, porém um deve estar voando mais alto no céu e o outro mais baixo. É preciso estar evidente o chão, que é o ponto de referência para comparar a altura. Ver referência, porém deixar mais evidente a diferença de altura.</t>
  </si>
  <si>
    <t>i0749_4p009m_m25_e010</t>
  </si>
  <si>
    <t>Ilustrar uma figura bem simples de um passarinho e com poucos espaços para a criança pintar. Veja a seguir uma referência para o tipo de atividade. Porém a figura deve ter os espaços maiores para pintar. NOS ESPAÇOS QUE REPRESENTAM A FIGURA COLOCAR O NÚMERO 0 e nos demais espaços colocar os números de 1 a 9. O bico já pode estar colorido de amarelo forte. Compor ilustração na vertical, afim de preencher todo o espaço disponível na página.</t>
  </si>
  <si>
    <t>i0751_4p009m_m25_e010</t>
  </si>
  <si>
    <t>Ilustrar uma galinha em pé e ao lado um ninho. O ninho deve estar posicionado de modo que a criança possa desenhar 10 ovos nele. Veja uma referência para a ilustração da galinha e para a posição do ninho. Ele deve ter palhas bem clarinhas e mais achatadas no chão, tudo isso para a criança poder desenhar dentro, deve ser grande também, distribuir a ilustração para ocupar o espaço da página, não há problemas inserir POUCOS elementos a mais no fundo para preencher o espaço, desde que não sejam ovos.</t>
  </si>
  <si>
    <t>i0752_4p009m_m25_e010</t>
  </si>
  <si>
    <t>ILUSTRAÇÃO GERADA POR IA. Balão azul. Arquivo na pasta: balao</t>
  </si>
  <si>
    <t>i0753_4p009m_m25_e010</t>
  </si>
  <si>
    <t>ILUSTRAÇÃO GERADA POR IA. Coração vermelho. Arquivo na pasta: coracao</t>
  </si>
  <si>
    <t>i0754_4p009m_m25_e010</t>
  </si>
  <si>
    <t>ILUSTRAÇÃO GERADA POR IA. Bola. Arquivo na pasta: bola</t>
  </si>
  <si>
    <t>i0755_4p009m_m25_e010</t>
  </si>
  <si>
    <t>ILUSTRAÇÃO GERADA POR IA. Estrela. Arquivo na pasta: estrela</t>
  </si>
  <si>
    <t>i0759_4p009m_m25_e010</t>
  </si>
  <si>
    <t>IMAGEM GERADA POR IA. DUAS flores. Arquivo na pasta: duas_flores</t>
  </si>
  <si>
    <t>i0760_4p009m_m25_e010</t>
  </si>
  <si>
    <t>IMAGEM GERADA POR IA. NOVE flores. Arquivo na pasta: nove_flores</t>
  </si>
  <si>
    <t>i0761_4p009m_m25_e010</t>
  </si>
  <si>
    <t>IMAGEM GERADA POR IA. TRÊS flores. Arquivo na pasta: tres_flores</t>
  </si>
  <si>
    <t>i0762_4p009m_m25_e010</t>
  </si>
  <si>
    <t>IMAGEM GERADA POR IA. QUATRO flores. Arquivo na pasta: quatro_flores</t>
  </si>
  <si>
    <t>i0763_4p009m_m25_e010</t>
  </si>
  <si>
    <t>IMAGEM GERADA POR IA. SEIS flores. Arquivo na pasta: seis_flores</t>
  </si>
  <si>
    <t>i0764_4p009m_m25_e010</t>
  </si>
  <si>
    <t>IMAGEM GERADA POR IA. CINCO flores. Arquivo na pasta: cinco_flores
AJUSTE: remover uma flor, a menor delas.</t>
  </si>
  <si>
    <t>i0765_4p009m_m25_e010</t>
  </si>
  <si>
    <t>IMAGEM GERADA POR IA. UMA flor. Arquivo na pasta: uma_flor</t>
  </si>
  <si>
    <t>i0766_4p009m_m25_e010</t>
  </si>
  <si>
    <t>IMAGEM GERADA POR IA. OITO flores. Arquivo na pasta: oito_flores</t>
  </si>
  <si>
    <t>i0767_4p009m_m25_e010</t>
  </si>
  <si>
    <t>IMAGEM GERADA POR IA. DEZ  flores. Arquivo na pasta: dez_flores</t>
  </si>
  <si>
    <t>i0768_4p009m_m25_e010</t>
  </si>
  <si>
    <t>IMAGEM GERADA POR IA. SETE  flores. Arquivo na pasta: sete_flores</t>
  </si>
  <si>
    <t>if0773_4p009m_m25_e010</t>
  </si>
  <si>
    <t>AVALIANDO</t>
  </si>
  <si>
    <t>ilustração com foto de um caminho que contem uma foto de onça-pintada adulta no início de um caminho e uma foto de onça-pintada filhote no final do caminho. Entre as duas fotos haverá um quadro com números de 1 a 10 distribuídos de maneira que passando por uma sequência de números de 1 a 10 será possível levar a onça adulta até seu filhote. Os números devem estar distribuídos conforme a referência abaixo. Deve haver uma seta partindo da onça adulta para o número 1 e uma seta partindo do número 10 para a onça filhote.
Caso as fotos escolhidas não encaixem na composição, aceitamos sugestões da arte</t>
  </si>
  <si>
    <t>i0774_4p009m_m25_e010</t>
  </si>
  <si>
    <t>Ilustrar um livro de receitas, aberto. Na página à esquerda desse livro, deve conter a ilustração de uma salada de frutas contendo as frutas citadas na receita (mamão, banana, maça, morango e uva), e na página à direita, deve conter a receita escrita a seguir. Veja uma referência da ideia da atividade.
SALADA DE FRUTAS
1 MAMÃO
3 BANANAS
2 MAÇÃS
5 MORANGOS
6 UVAS
CORTE EM PEDAÇOS PEQUENOS, MISTURE TUDO E ESTÁ PRONTO!</t>
  </si>
  <si>
    <t>if0775_4p009m_m25_e010</t>
  </si>
  <si>
    <t>ilustração+foto de um gráfico com um mamão, uma banana, uma maçã e um morango abaixo de cada coluna de quadrinhos, conforme a referência abaixo. Cada coluna deve ter 10 quadradinhos de tamanhos iguais
fotos escolhidas:
foto de uma uva escolhida shutter 2470212119 VER PDF AJ
Foto de um morango escolhida acervo scriba shutterstock_1904382304
foto de uma maça escolhida acervo scriba shutterstock_74946283
Foto de uma banana escolhida acervo scriba shutterstock_103637000
Foto de um mamão escolhida acervo scriba shutterstock_671606731</t>
  </si>
  <si>
    <t>i0101_5p009m_m25_e010</t>
  </si>
  <si>
    <t xml:space="preserve">Arte: ilustrar uma cena que mostra parte de um sítio. Na cena deve conter alguns elementos, como: uma casinha simples de madeira ao fundo (não é pra ser um celeiro estilo estadunidense) e na frente alguns animais soltos. Ilustrar uma galinha (QUE DEVE ESTAR DE FRENTE PARA O LEITOR), um porco (QUE DEVE ESTAR DE COSTAS PARA O LEITOR), uma vaca (QUE DEVE ESTAR DE FRENTE PARA O LEITOR) e um pato (QUE DEVE ESTAR DE COSTAS PARA O LEITOR), árvores, uma cerca ao fundo. Não compor outros animais além dos indicados, e estes devem estar bem evidentes. </t>
  </si>
  <si>
    <t>RAFE: 12/04 E FINAL: 14/05</t>
  </si>
  <si>
    <t>i0102_5p009m_m25_e010</t>
  </si>
  <si>
    <t>Ilustrar a sala de uma casa. Nesta sala deve conter alguns elementos que compõem uma sala de estar, ou tv, porém o foco são dois sofás, um MAIOR e outro MENOR. O sofá maior pode ter 4 lugares e o menor pode ter 2 lugares. Os dois sofás devem estar em fio, apenas o contorno. O restante da ilustração deve estar colorido. Ver referência para disposição da sala, não compor elementos que fiquem a frente dos sofás (como a mesinha de centro, ela poderia estar mais para o lado). Obs. A referência ilustra uma poltrona, mas precisamos de dois sofás.</t>
  </si>
  <si>
    <t>i0106_5p009m_m25_e010</t>
  </si>
  <si>
    <t>Ilustrar um cachorro brincando na lama, compor um pouco da cena, um gramado com a poça da lama, um céu azul. Serão 3 cenas, compor de maneira que as 3 ocupem toda a página.</t>
  </si>
  <si>
    <t>Rafe 13/05 e final 15/05</t>
  </si>
  <si>
    <t>i0107_5p009m_m25_e010</t>
  </si>
  <si>
    <t xml:space="preserve">Ilustrar o mesmo cachorro da i0106 limpo após o banho, compor um pouco mais a cena, com um tapete e a casinha do cachorro ao fundo. Serão 3 cenas, compor de maneira que as 3 ocupem toda a página. </t>
  </si>
  <si>
    <t>excluída virou i0106</t>
  </si>
  <si>
    <t>i0108_5p009m_m25_e010</t>
  </si>
  <si>
    <t xml:space="preserve">Ilustrar o mesmo cachorro da i0106 tomando banho, compor um fundo de azulejos, como se fosse um banheiro/petshop. Serão 3 cenas, compor de maneira que as 3 ocupem toda a página. Ver referência. </t>
  </si>
  <si>
    <t>i0109_5p009m_m25_e010</t>
  </si>
  <si>
    <t>Arte: ilustrar cinco sequências com cinco círculos em cada. Cada sequência está ligada à uma linha curva como na referência. Atenção para as cores de cada sequência. Ocupar todo o espaço da página.
Primeira sequência: rosa, roxo, rosa, roxo, em branco.
Segunda: azul, alaranjado, azul, em branco, azul. 
Terceira: em branco, rosa, verde, rosa, verde.
Quarta: amarelo, azul, alaranjado, amarelo, em branco.
Quinta: roxo, verde, azul, roxo, em branco.</t>
  </si>
  <si>
    <t>bk</t>
  </si>
  <si>
    <t>i0110_5p009m_m25_e010</t>
  </si>
  <si>
    <t xml:space="preserve">Arte, ilustrar algumas linhas curvas, pequenas e cada uma de uma cor. Uma não pode cruzar a outra e nem a si mesma. </t>
  </si>
  <si>
    <t>i0111_5p009m_m25_e010</t>
  </si>
  <si>
    <t xml:space="preserve">Arte, ilustrar algumas linhas retas, pequenas e cada uma de uma cor. Uma não pode cruzar a outra e nem a si mesma. </t>
  </si>
  <si>
    <t>i0122_5p009m_m25_e010</t>
  </si>
  <si>
    <t>IMAGEM GERADA POR IA. Sapo com língua esticada. Ajuste: fazer recorte orgânico. Ver referência.</t>
  </si>
  <si>
    <t>Rebecca Baniski</t>
  </si>
  <si>
    <t>i0123_5p009m_m25_e010</t>
  </si>
  <si>
    <t>IMAGEM GERADA POR IA. Sapo com língua esticada. Mesma ilustração anterior. 
AJUSTE: deixar a língua do sapo mais comprida e a mosca um pouco mais afastada dele. Fazer recorte orgânico conforme referência.</t>
  </si>
  <si>
    <t>i0131_5p009m_m25_e010</t>
  </si>
  <si>
    <t>Arte: ilustrar uma cena de duas crianças, uma menina e um menino de aproximadamente 6 anos de idade, realizando tarefa escolar. A menina deve ser negra de cabelos cacheados soltos e o menino também negro de cabelos curtos. Eles devem estar sentados à mesa, com materiais escolares espalhados sobre ela. A cena pode ser em uma sala de estar ou quarto. O intuito é “esconder” CINCO NÚMEROS 1 pela cena, não compor outros números escondido, apenas o 1. Os números 1 devem estar em fio preto vazado de um tamanho grande, para a criança pintar, e toda a cena deve estar em fio preto. Veja uma referência do tipo de atividade.</t>
  </si>
  <si>
    <t>RAFE: 12/05 E FINAL 19/05</t>
  </si>
  <si>
    <t>i0139_5p009m_m25_e010</t>
  </si>
  <si>
    <t>i0139_5p009m_m25_e010
Inserir o fundo gerado por IA (nomeado como: i0139a na pasta). Nesse fundo inserir as seguintes imagens geradas por IA (soltas para preencher o espaço da página. Compor na vertical, para ocupar o máximo de espaço disponível na página).
Aplicar no fundo 2 vezes a i0140, após ajuste solicitado.
Aplicar no fundo 3 vezes a imagem i0141.
Aplicar no fundo 1 vez a imagem i0142 após ajuste.</t>
  </si>
  <si>
    <t>i0140_5p009m_m25_e010</t>
  </si>
  <si>
    <t>IMAGEM GERADA POR IA: astronauta. AJUSTE: compor um dedo a mais na mão direita do astronauta para ficar com 5 dedos.</t>
  </si>
  <si>
    <t>i0141_5p009m_m25_e010</t>
  </si>
  <si>
    <t xml:space="preserve">IMAGEM GERADA POR IA: disco_voador </t>
  </si>
  <si>
    <t>i0142_5p009m_m25_e010</t>
  </si>
  <si>
    <t>IMAGEM GERADA POR IA: foguete. AJUSTE: inserir fio contorno para ficar padrão.</t>
  </si>
  <si>
    <t>i0707_5p009m_m25_e010</t>
  </si>
  <si>
    <t xml:space="preserve">Ilustração em que apareça um sapo dentro de um saco, aparecendo apenas a parte de cima do corpo dele (cabeça e braços) para fora do saco. Ao lado deste sapo deve haver outro sapo, aparecendo de corpo inteiro. O saco pode ser marrom bem clarinho, como se fosse um saco de estopa. Os sapos devem estar em um cenário que represente um espaço aberto, com poucos elementos, apenas chão e alguma vegetação. O fundo deve ser bem clarinho, pois a criança vai marcar X. </t>
  </si>
  <si>
    <t>R:09/05 F:14/05</t>
  </si>
  <si>
    <t>i0708_5p009m_m25_e010</t>
  </si>
  <si>
    <t>Ilustrar um saco igual ao da ilustração i0707. Aqui também deve aparecer o chão e um cenário de fundo bem clarinho, pois criança irá desenhar um sapo fora do saco.</t>
  </si>
  <si>
    <t>i0709_5p009m_m25_e010</t>
  </si>
  <si>
    <t xml:space="preserve">IMAGEM GERADA POR IA. Ilustração de uma floresta com algumas árvores, sol, nuvens, pássaro e lago. AJUSTE: completar laterais da ilustração. Preencher todo o lago de azul. Remover árvore indicada na referência. </t>
  </si>
  <si>
    <t>arte</t>
  </si>
  <si>
    <t>i0710_5p009m_m25_e010</t>
  </si>
  <si>
    <t>IMAGEM GERADA POR IA. Ilustração de uma floresta com algumas árvores, sol, nuvens, pássaro e lago. AJUSTE: completar laterais da ilustração. Preencher todo o lago de azul. Remover árvore indicada na referência, também remover da cena os seguintes elementos: o sol, um dos pássaros, a árvore maior, uma nuvem e uma flor. Nessa segunda cena a criança irá desenhar os elementos que estão faltando.</t>
  </si>
  <si>
    <t>i0724_5p009m_m25_e010</t>
  </si>
  <si>
    <t>No canto superior direito: Ilustração de alguns produtos de supermercado: uma bandeja com 6 ovos, uma bandeja com carne (bife), uma caixa de leite, um cacho com 3 bananas, um abacaxi, um repolho, três tomates e um pão de forma (o pão deve estar dentro de uma embalagem apropriada). Dos produtos devem partir dois fios tracejados (curvos e com algumas voltas), um que leva até uma cesta cheia de produtos (cesta de compras com um pão dentro do saquinho, maçã, pimentão, cebolinha e uma bandeja de iogurte) e outro que leva até uma cesta vazia. Veja abaixo uma referência da disposição dos alimentos, da cesta e dos fios tracejados.</t>
  </si>
  <si>
    <t>i0725_5p009m_m25_e010</t>
  </si>
  <si>
    <t>Ilustrar um céu noturno com uma lua e 22 estrelas grandes. O céu deve ser colorido, porém as estrelas devem ser brancas, para que a criança possa pintar. Cada estrela terá um número escrito nela, com a seguinte distribuição:
- 10 estrelas com o número 10
- 2 estrelas com o número 0
- 2 estrelas com o número 1
- as 8 estrelas restantes terão, cada uma, um número de 2 a 9
Distribuir os números aleatoriamente pelo espaço, sem seguir uma ordem numérica.
A ilustração deve ocupar todo o espaço disponível na página e as estrelas podem ser de tamanhos diferentes.</t>
  </si>
  <si>
    <t>i0314_5p009m_m25_e010</t>
  </si>
  <si>
    <t>Ilustrar uma mesa que tenha em cima um carrinho e um caderno e embaixo uma mochila, uma bola e um trenzinho de brinquedo. A imagem deve deixar bem visível quantos objetos estão embaixo e quantos estão em cima da mesa. Ver abaixo uma referência para a ilustração.</t>
  </si>
  <si>
    <t>R:08/06 F:12/06</t>
  </si>
  <si>
    <t>i0326_5p009m_m25_e010</t>
  </si>
  <si>
    <t xml:space="preserve">IMAGEM GERADA POR IA. Porta-lápis com vários lápis em fio contorno preto.
AJUSTE: remover carinha do urso e repetir o mesmo porta-lápis do lado e remover vários lápis deixando apenas 2. Compor também traço de parte do lápis que está faltando. </t>
  </si>
  <si>
    <t>i0327_5p009m_m25_e010</t>
  </si>
  <si>
    <t>IMAGEM GERADA POR IA. Vaso de flores com várias flores iguais em fio contorno preto.
AJUSTE: repetir o mesmo vaso ao lado e remover várias flores deixando apenas 3, ver sugestão.</t>
  </si>
  <si>
    <t>if0334_5p009m_m25_e010</t>
  </si>
  <si>
    <t>Compor um quadro com números de 1 a 9. Os números devem estar distribuídos de modo que, ao pintar os quadrinhos com número 4, a criança forme um caminho que leva um coelho, que estará no início do quadro, no canto superior esquerdo, até uma cenoura, que deverá estar ilustrada de forma que fique em cima do último número 4 do quadro, mas de plano de fundo e sem cobrir este número. Usar as imagens do coelho e da cenoura abaixo. ESCOLHIDAS:
Foto de coelho: https://www.shutterstock.com/pt/image-illustration/happy-rabbit-cartoon-1171994650
Foto da cenoura: https://www.shutterstock.com/pt/image-illustration/carrots-colorful-pathan-isolated-on-white-2199974009</t>
  </si>
  <si>
    <t>pn</t>
  </si>
  <si>
    <t>i0336_5p009m_m25_e010</t>
  </si>
  <si>
    <t>IMAGEM GERADA POR IA. Maçã.</t>
  </si>
  <si>
    <t>i0337_5p009m_m25_e010</t>
  </si>
  <si>
    <t xml:space="preserve">IMAGEM GERADA POR IA. Peixe. </t>
  </si>
  <si>
    <t>i0338_5p009m_m25_e010</t>
  </si>
  <si>
    <t>IMAGEM GERADA POR IA. Flor.</t>
  </si>
  <si>
    <t>i0339_5p009m_m25_e010</t>
  </si>
  <si>
    <t xml:space="preserve">IMAGEM GERADA POR IA. Estrela. </t>
  </si>
  <si>
    <t>if0344_5p009m_m25_e010</t>
  </si>
  <si>
    <t>Ilustrar um fundo na vertical de forma que ocupe toda a página.
Nele, inserir 3 grupos de brinquedos ligados a 3 números por caminhos emaranhados. À esquerda da página deve haver um grupo com 6 carrinhos, um grupo com 4 ursos e um grupo com 5 bolas, diagramados em quadros um abaixo do outro. À direita devem estar os números 5, 6 e 4, diagramados em quadros um abaixo do outro. Cada grupo de brinquedos deve estar ligado ao número correspondente por um caminho conforme a referência a seguir (deixar caminho um pouco mais largo e alongado para ocupar a página).
Carrinhos, ursos e bolas ESCOLHIDOS Shutter: https://www.shutterstock.com/pt/image-vector/matching-toys-correct-numbers-activity-maze-2476844471</t>
  </si>
  <si>
    <t>i0351_5p009m_m25_e010</t>
  </si>
  <si>
    <t xml:space="preserve">Ilustrar parte de um lápis de cor amarelo e um rabisco amarelo próximo à sua ponta. </t>
  </si>
  <si>
    <t>i0352_5p009m_m25_e010</t>
  </si>
  <si>
    <t>Ilustrar parte de um lápis de cor alaranjado e um rabisco alaranjado próximo à sua ponta.</t>
  </si>
  <si>
    <t>i0353_5p009m_m25_e010</t>
  </si>
  <si>
    <t>Ilustrar parte de um lápis de cor vermelho e um rabisco vermelho próximo à sua ponta.</t>
  </si>
  <si>
    <t>i0354_5p009m_m25_e010</t>
  </si>
  <si>
    <t>Ilustrar parte de um lápis de cor azul e um rabisco azul próximo à sua ponta.</t>
  </si>
  <si>
    <t>i0355_5p009m_m25_e010</t>
  </si>
  <si>
    <t>Ilustrar parte de um lápis de cor verde e um rabisco verde próximo à sua ponta.</t>
  </si>
  <si>
    <t>i0356_5p009m_m25_e010</t>
  </si>
  <si>
    <t>Ilustrar parte de um lápis de cor marrom e um rabisco marrom próximo à sua ponta.</t>
  </si>
  <si>
    <t>i0359_5p009m_m25_e010</t>
  </si>
  <si>
    <t>Ilustrar cena de sala de aula de Educação infantil em que aparece um menino negro em pé escrevendo no quadro, uma menina sentada de costas de cabelo enrolado, uma menina branca do lado da professora, uma menina negra de frente para professora e um menino cadeirante de frente para a professora, conforme a referência a seguir. Na ilustração, deve aparecer também a porta da sala. As crianças têm 5 ou 6 anos e devem estar usando uniforme.</t>
  </si>
  <si>
    <t>i0360_5p009m_m25_e010</t>
  </si>
  <si>
    <t>Ilustrar a mesma cena da i0359, porém agora a criança que estava em pé escrevendo no quadro e a que estava sentada de costas deverão estar saindo pela porta da sala. As outras crianças e a professora deverão estar no mesmo lugar, porém fazer algumas mudanças na posição das mãos e na expressão do rosto para não parecer que elas ficaram imóveis de uma cena para outra.</t>
  </si>
  <si>
    <t>i0501_5p009m_m25_e010</t>
  </si>
  <si>
    <t xml:space="preserve">Arte: Ilustrar uma casa (sem chaminé) em fio preto, apenas o contorno. Na casa deve conter DUAS janelas: uma mais LARGA e outra mais ESTREITA. Adicionar árvore, flor, cerca, ou outros elementos para “incrementar” a ilustração e fechar metade da página, tudo em fio contorno. </t>
  </si>
  <si>
    <t>R:12/05 F:14/05</t>
  </si>
  <si>
    <t>i0502_5p009m_m25_e010</t>
  </si>
  <si>
    <t xml:space="preserve">Arte: ilustrar a mesma casa e elementos da ilustração (i0501), porém retirar as janelas e colocar DUAS PORTAS, uma MAIS LARGA e outra MAIS ESTREITA. </t>
  </si>
  <si>
    <t>i0503_5p009m_m25_e010</t>
  </si>
  <si>
    <t xml:space="preserve">Arte: Ilustrar cena de um menino, moreno, +/- 5anos, cabelo levemente crespo, autista (com colar de girassóis) comemorando seu aniversário. A cena pode conter uma mesa, com um bolo de aniversário sem muitos detalhes de recheios e doces. Deve ser um bolo simples, sem cobertura etc, para evitar induzir o consumo de doces.(nem precisa ter uma fatia cortada como a referência). Com uma vela de 5 anos. Pode ter alguns balões e a frase na parede do fundo escrito PARABÉNS. Compor um adulto (representando o pai, +/- 33 anos, moreno e cabelo levemente crespo) próximo ao menino batendo palmas. Compor ilustração mais horizontalizada para ocupar o espaço disponível na página. Ver fotos de referência. </t>
  </si>
  <si>
    <t>R: 12/05 F:14/05</t>
  </si>
  <si>
    <t>i0504_5p009m_m25_e010</t>
  </si>
  <si>
    <t xml:space="preserve">Arte: ilustrar o “mesmo menino” da cena principal (i0503), porém quando bebê, em pé no berço olhando para "alguém" que não aparece na imagem. Compor a ilustração levemente “verticalizada” para ocupar o melhor espaço na página. </t>
  </si>
  <si>
    <t>i0505_5p009m_m25_e010</t>
  </si>
  <si>
    <t>Arte: ilustrar o “mesmo menino” da cena principal (i0503), porém agora com aproximadamente 15 anos, com o colar de girassóis, de mochila, como se estivesse indo para a escola no ensino médio.</t>
  </si>
  <si>
    <t>i0506_5p009m_m25_e010</t>
  </si>
  <si>
    <t>IMAGEM GERADA POR IA. Ilustrar cena de um menino negro de cabelos crespos, aprox. 5 anos em um gramado. Afastado dele deve haver alguns arbustos e uma bola de futebol próxima aos arbustos. Deixar um bom espaço de grama vazio próximo ao menino e a bola e os arbustos devem parecer longe.
AJUSTE: deixar o gramado com um verde bem mais claro, para facilitar o desenho da criança e complementar um pouco a ilustração no topo e na base, para deixar mais verticalizada para fechar a página.</t>
  </si>
  <si>
    <t>i0507_5p009m_m25_e010</t>
  </si>
  <si>
    <t xml:space="preserve">Arte: ilustrar DOIS aquários iguais, um abaixo do outro. O aquário de cima deve estar com vários peixes, alguns ornamentos e água, já o segundo aquário debaixo, deve estar SEM água e SEM peixes. A duas ilustrações devem ocupar toda a página. </t>
  </si>
  <si>
    <t>i0563_5p009m_m25_e010</t>
  </si>
  <si>
    <t>Ilustrar o mesmo aquário da i0507, porém este deve estar SEM água e SEM peixes. As ilustrações devem ocupar toda a página.</t>
  </si>
  <si>
    <t>i0508_5p009m_m25_e010</t>
  </si>
  <si>
    <t>Arte: ilustrar uma estante de livros grande, ocupando uma parede inteira de um cômodo, com várias prateleiras e muitos livros por toda ela (com capas coloridas). Em uma das prateleiras deve haver um prato com algumas frutas, morangos inteiros e mordidos, mexericas descascadas, kiwi, entre outras (são apenas exemplos, mas compor apenas frutas). O prato não deve estar evidente, pode estar mais no canto, levemente disfarçado. A estante não pode ser escura, pois a criança vai circular o elemento intruso.  Compor imagem na vertical para ocupar toda a página.</t>
  </si>
  <si>
    <t>i0513_5p009m_m25_e010</t>
  </si>
  <si>
    <t xml:space="preserve">Ilustração técnica de uma pirâmide na cor roxa. </t>
  </si>
  <si>
    <t>i0514_5p009m_m25_e010</t>
  </si>
  <si>
    <t xml:space="preserve">Ilustração técnica deum cone na cor roxa. </t>
  </si>
  <si>
    <t>i0515_5p009m_m25_e010</t>
  </si>
  <si>
    <t xml:space="preserve">Ilustração técnica de um cubo na cor roxa. </t>
  </si>
  <si>
    <t>i0516_5p009m_m25_e010</t>
  </si>
  <si>
    <t xml:space="preserve">Ilustração técnica de um cilindro na cor roxa. </t>
  </si>
  <si>
    <t>i0517_5p009m_m25_e010</t>
  </si>
  <si>
    <t>Ilustração técnica de uma esfera na cor azul.</t>
  </si>
  <si>
    <t>i0521_5p009m_m25_e010</t>
  </si>
  <si>
    <t>Ilustração técnica de um paralelepípedo na cor azul.</t>
  </si>
  <si>
    <t>i0541_5p009m_m25_e010</t>
  </si>
  <si>
    <t xml:space="preserve">IMAGEM GERADA POR IA. Pipa. </t>
  </si>
  <si>
    <t>i0542_5p009m_m25_e010</t>
  </si>
  <si>
    <t xml:space="preserve">IMAGEM GERADA POR IA. Bicicleta. </t>
  </si>
  <si>
    <t>i0543_5p009m_m25_e010</t>
  </si>
  <si>
    <t xml:space="preserve">IMAGEM GERADA POR IA. Boneca russa. </t>
  </si>
  <si>
    <t>i0544_5p009m_m25_e010</t>
  </si>
  <si>
    <t xml:space="preserve">IMAGEM GERADA POR IA. Avião. </t>
  </si>
  <si>
    <t>i0546_5p009m_m25_e010</t>
  </si>
  <si>
    <t>Ilustrar cena de uma criança mergulhando. Ilustrar um fundo de mar com algas, corais, alguns itens de tesouro como moedas, cálice, bússola, estrelas do mar, algumas bolhas, um menino de mais ou menos 6 anos, ruivo, com óculos de mergulho. Fazer a cor azul do mar bem clarinha, pois a criança precisará marcar um x nos erros. Ver referência. Compor cena mais verticalizadas para fechar a página.</t>
  </si>
  <si>
    <t>R: 13/05 F:15/05</t>
  </si>
  <si>
    <t>i0547_5p009m_m25_e010</t>
  </si>
  <si>
    <t>Repetir a cena da i0546, porém, remover da cena 7 “coisas”: estrela do mar, óculos de mergulho, um coral, uma alga, moedas, bolhas e bússola. Não precisa ser tão difícil, pode ficar evidente essas diferenças.
Ver referência. Compor cena mais verticalizadas para fechar a página.</t>
  </si>
  <si>
    <t>i0548_5p009m_m25_e010</t>
  </si>
  <si>
    <t>Arte: Ilustrar uma figura bem simples de um ABACAXI com poucos espaços, e grandes, para a criança pintar. Veja a seguir uma referência para o tipo de atividade. NOS ESPAÇOS QUE REPRESENTAM A FIGURA COLOCAR O NÚMERO 8 e nos demais espaços colocar letras e outros símbolos como asteriscos, estrelas, bolinhas etc. Compor de maneira a fechar a página.</t>
  </si>
  <si>
    <t>BX</t>
  </si>
  <si>
    <t>R: 12/05 F:15/05</t>
  </si>
  <si>
    <t>i0551_5p009m_m25_e010</t>
  </si>
  <si>
    <t xml:space="preserve">IMAGEM GERADA POR IA. Nuvem de chuva com o número 7 dentro. </t>
  </si>
  <si>
    <t>i0552_5p009m_m25_e010</t>
  </si>
  <si>
    <t xml:space="preserve">IMAGEM GERADA POR IA. Nuvem de chuva com o número 8 dentro. </t>
  </si>
  <si>
    <t>i0553_5p009m_m25_e010</t>
  </si>
  <si>
    <t>IMAGEM GERADA POR IA. Nuvem de chuva com o número 9 dentro.</t>
  </si>
  <si>
    <t>i0554_5p009m_m25_e010</t>
  </si>
  <si>
    <t>Ilustrar uma caixa com 9 (NOVE) ferramentas. Utilizar a caixa de ferramentas com 8 (OITO) ferramentas (i0556) e acrescentar um rolo de pintura dentro da caixa como sendo a nona ferramenta. Ver referência, mas fazer COLORIDA: não ilustrar nenhuma ferramenta fora da caixa</t>
  </si>
  <si>
    <t>i0555_5p009m_m25_e010</t>
  </si>
  <si>
    <t>Ilustrar uma caixa com 7 (SETE) ferramentas. As ferramentas não podem estar sobrepostas, a criança precisa identificar a contar cada uma delas. Além disso, boa parte da ferramenta deve estar visível para fora da caixa, a caixa servirá apenas de suporte. Nessa ilustração, pode ilustrar as mesmas 7 ferramentas da referência. Ver referência, mas fazer COLORIDA: não ilustrar nenhuma ferramenta fora da caixa.</t>
  </si>
  <si>
    <t>i0556_5p009m_m25_e010</t>
  </si>
  <si>
    <t>Ilustrar da mesma caixa de ferramentas da (i0555), agora com 8 (OITO) ferramentas. As ferramentas não podem estar sobrepostas, a criança precisa identificar a contar cada uma delas. Além disso, boa parte da ferramenta deve estar para fora da caixa, a caixa servirá apenas de suporte. Nessa ilustração, pode ilustrar as mesmas 7 ferramentas da referência, e INCLUIR DENTRO DA CAIXA a trena, de maneira que ela fique visível mesmo dentro da caixa, pode estar quase saindo pra fora. Ver referência, mas fazer COLORIDA: não ilustrar nenhuma ferramenta fora da caixa</t>
  </si>
  <si>
    <t>i1101_5p009m_m25_e010</t>
  </si>
  <si>
    <t xml:space="preserve">Ilustrar um varal, com duas saias penduradas, uma mais curta e a outra mais comprida. A ilustração deve ser colorida, porém as saias devem ser apenas o contorno em fio preto para a criança pintar como resposta. </t>
  </si>
  <si>
    <t>R:15/05 F:19/05</t>
  </si>
  <si>
    <t>i1102_5p009m_m25_e010</t>
  </si>
  <si>
    <t xml:space="preserve">Ilustrar um varal semelhante ao anterior, agora com dois vestidos infantis pendurados, um mais curto e o outro mais comprido. A ilustração deve ser colorida, porém os vestidos devem apenas o contorno em fio preto para a criança pintar como resposta. </t>
  </si>
  <si>
    <t>if1113_5p009m_m25_e010</t>
  </si>
  <si>
    <t>Ilustrar um gráfico com os mesmos personagens da f1112 e 7 quadrinhos acima de cada personagem para a criança pintar conforme a quantidade de vezes que ele aparece no quadro. Ver referência abaixo.</t>
  </si>
  <si>
    <t>Aguardar tratamento da f1112 para poder aplicar os personagens atualizados.</t>
  </si>
  <si>
    <t>i1114_5p009m_m25_e010</t>
  </si>
  <si>
    <t xml:space="preserve">Ilustrar uma prateleira com 3 brinquedos (um macaco batendo pratos, um caminhãozinho e um disco voador) e uma mão de uma pessoa colocando uma boneca na prateleira, ao lado do disco voador. </t>
  </si>
  <si>
    <t>i1115_5p009m_m25_e010</t>
  </si>
  <si>
    <t>Ilustrar a mesma cena da i1114, porém, agora a boneca já está no lugar e a mão já não aparece mais.</t>
  </si>
  <si>
    <t>i1116_5p009m_m25_e010</t>
  </si>
  <si>
    <t xml:space="preserve">Ilustrar um galho de uma árvore com 4 pássaros e mais 2 pássaros chegando para pousar no mesmo galho. Esses dois já devem estar com os pés quase tocando o galho. </t>
  </si>
  <si>
    <t>i1117_5p009m_m25_e010</t>
  </si>
  <si>
    <t>Ilustrar a mesma cena da i1116, agora com os 6 pássaros já pousados no galho. Os pássaros devem ser dispostos de forma que fique fácil par a criança contar.</t>
  </si>
  <si>
    <t>i1118_5p009m_m25_e010</t>
  </si>
  <si>
    <t xml:space="preserve">Ilustrar um aquário com 2 peixes e uma mão segurando um saquinho transparente com água e três peixes dentro, como se estivesse colocando os peixes do saquinho dentro do aquário. </t>
  </si>
  <si>
    <t>i1119_5p009m_m25_e010</t>
  </si>
  <si>
    <t>ilustrar a mesma cena da i1118, agora com os 5 peixes dentro do aquário e a mão já não aparece mais. Os peixes, tanto do aquário quanto do saquinho, devem estar dispostos de forma que fique fácil para a criança contar.</t>
  </si>
  <si>
    <t>i1120_5p009m_m25_e010</t>
  </si>
  <si>
    <t>Ilustrar um triângulo azul.</t>
  </si>
  <si>
    <t>i1121_5p009m_m25_e010</t>
  </si>
  <si>
    <t>Ilustrar um círculo alaranjado.</t>
  </si>
  <si>
    <t>i1122_5p009m_m25_e010</t>
  </si>
  <si>
    <t>Ilustrar um quadrado verde.</t>
  </si>
  <si>
    <t>i1123_5p009m_m25_e010</t>
  </si>
  <si>
    <t xml:space="preserve">Ilustrar uma menina negra, aparentando ter 5 anos, segurando 4 bexigas com cara de feliz. Deve aparecer apenas a parte de cima do corpo da menina. O foco deve ser nas bexigas, que devem estar dispostas de modo que fique fácil contá-las. </t>
  </si>
  <si>
    <t>i1124_5p009m_m25_e010</t>
  </si>
  <si>
    <t>Ilustrar a mesma cena da i1123, porém, agora uma das bexigas deve estar estourada e a menina deve estar com cara de triste.</t>
  </si>
  <si>
    <t>i1125_5p009m_m25_e010</t>
  </si>
  <si>
    <t xml:space="preserve">Ilustrar uma bandeja de ovos com 6 ovos. Os ovos devem estar dispostos de modo que fique fácil contá-los. </t>
  </si>
  <si>
    <t>i1126_5p009m_m25_e010</t>
  </si>
  <si>
    <t>Ilustrar a mesma cena da i1125, porém, agora deve aparecer a mão de uma pessoa segurando 2 ovos que acabou de tirar da bandeja e na bandeja deve restar 4 ovos.</t>
  </si>
  <si>
    <t>i1127_5p009m_m25_e010</t>
  </si>
  <si>
    <t xml:space="preserve">Ilustrar uma lagoa com 5 patinhos dentro. Os patinhos devem estar dispostos de modo que fique fácil contá-los. </t>
  </si>
  <si>
    <t>i1128_5p009m_m25_e010</t>
  </si>
  <si>
    <t>Ilustrar a mesma cena da i1127, porém, 3 dos 5 patinhos devem estar fora da lagoa, como se estivessem indo embora.</t>
  </si>
  <si>
    <t>i1132_5p009m_m25_e010</t>
  </si>
  <si>
    <t>Ilustrar 8 cadeados com formatos e cores, sendo 4 com adições escritas e 4 com subtrações. Ilustrar também 4 chaves de formatos e cores diferentes, que terão os resultados das adições e subtrações escritos. 
Diagramar as imagens em 3 colunas. Uma coluna à esquerda com os 4 cadeados contendo adições, conforme a referência abaixo (destacar as adições). Uma coluna no meio com as 4 chaves contendo os resultados, conforme referência abaixo (as chaves não podem ser vazadas para que o valor possa aparecer nitidamente). Uma coluna à direta com os 4 cadeados contendo as subtrações, conforme referência.
As imagens abaixo podem ser usadas como referência para a ilustração dos cadeados e das chaves.
https://br.freepik.com/vetores-gratis/conjunto-de-icones-plana-de-cadeados-de-ferro-desenhos-animados-de-fechaduras-para-colecao-de-ilustracao-vetorial-isolado-de-protecao-de-seguranca-e-protecao-mecanismos-seguros-e-conceito-de-criptografia_10613130.htm#from_element=detail_alsolike
https://br.freepik.com/vetores-gratis/conjunto-de-ilustracao-plana-de-cadeados-de-metal-de-diferentes-formas_13146591.htm#fromView=search&amp;page=1&amp;position=16&amp;uuid=fb708196-43df-4a5d-8931 7e550e76bc34&amp;query=cadeados+e+chaves 
https://br.freepik.com/vetores-gratis/colecao-de-chaves-vintage_1577481.htm#fromView=search&amp;page=1&amp;position=7&amp;uuid=48c1c010-2cec-4a0b-8851-138a5c85a32e&amp;query=chaves 
A imagem abaixo pode ser usada como referência para a maneira como as adições e subtrações devem ser escritas nos cadeados e nas chaves.
https://www.shutterstock.com/image-vector/pick-key-lock-educational-math-game-2226879957</t>
  </si>
  <si>
    <t>i0901_5p009m_m25_e010</t>
  </si>
  <si>
    <t>Ilustrar em fio contorno preto, quatro piscinas de bolinhas iguais, duas cheias de bolinhas e duas sem nenhuma, vazias. Ver referência, mas fazê-las na mesma perspectiva (de frente). De forma que feche a página.</t>
  </si>
  <si>
    <t>sl</t>
  </si>
  <si>
    <t>i0902_5p009m_m25_e010</t>
  </si>
  <si>
    <t xml:space="preserve">IMAGEM GERADA POR IA. Mochila. </t>
  </si>
  <si>
    <t>i0903_5p009m_m25_e010</t>
  </si>
  <si>
    <t xml:space="preserve">IMAGEM GERADA POR IA. Tesoura. </t>
  </si>
  <si>
    <t>i0904_5p009m_m25_e010</t>
  </si>
  <si>
    <t xml:space="preserve">IMAGEM GERADA POR IA. Caderno. </t>
  </si>
  <si>
    <t>i0905_5p009m_m25_e010</t>
  </si>
  <si>
    <t xml:space="preserve">IMAGEM GERADA POR IA. Lápis. </t>
  </si>
  <si>
    <t>i0906_5p009m_m25_e010</t>
  </si>
  <si>
    <t xml:space="preserve">IMAGEM GERADA POR IA. Ferro de passar roupas. </t>
  </si>
  <si>
    <t>i0907_5p009m_m25_e010</t>
  </si>
  <si>
    <t xml:space="preserve">IMAGEM GERADA POR IA. Secador de cabelos. </t>
  </si>
  <si>
    <t>i0908_5p009m_m25_e010</t>
  </si>
  <si>
    <t xml:space="preserve">IMAGEM GERADA POR IA. Martelo. </t>
  </si>
  <si>
    <t>i0909_5p009m_m25_e010</t>
  </si>
  <si>
    <t xml:space="preserve">IMAGEM GERADA POR IA. Lâmpada. </t>
  </si>
  <si>
    <t>i0910_5p009m_m25_e010</t>
  </si>
  <si>
    <t xml:space="preserve">Ilustrar um quadrado azul. </t>
  </si>
  <si>
    <t>i0915_5p009m_m25_e010</t>
  </si>
  <si>
    <t xml:space="preserve">Ilustrar um círculo azul, mesmo azul do quadrado anterior. </t>
  </si>
  <si>
    <t>i0920_5p009m_m25_e010</t>
  </si>
  <si>
    <t xml:space="preserve">Ilustrar um retângulo azul, mesmo azul do quadrado anterior. </t>
  </si>
  <si>
    <t>i0925_5p009m_m25_e010</t>
  </si>
  <si>
    <t xml:space="preserve">Ilustrar um triângulo azul, mesmo azul do quadrado anterior. </t>
  </si>
  <si>
    <t>i0930_5p009m_m25_e010</t>
  </si>
  <si>
    <t>Ilustrar em fio contorno a figura geométrica: quadrado.</t>
  </si>
  <si>
    <t>i0931_5p009m_m25_e010</t>
  </si>
  <si>
    <t>Ilustrar em fio contorno a figura geométrica: triângulo (equilátero)</t>
  </si>
  <si>
    <t>i0932_5p009m_m25_e010</t>
  </si>
  <si>
    <t>Ilustrar em fio contorno a figura geométrica:
retângulo</t>
  </si>
  <si>
    <t>i0933_5p009m_m25_e010</t>
  </si>
  <si>
    <t xml:space="preserve"> ilustrar um quadro pontilhado, para a criança desenhar as figuras geométricas ligando os pontos.
Deixar feito, no canto superior esquerdo, um triângulo (retângulo) conforme a referência como modelo. Ver referência. A ilustração deve ocupar a maior parte da página</t>
  </si>
  <si>
    <t>i0934_5p009m_m25_e010</t>
  </si>
  <si>
    <t xml:space="preserve">IMAGEM GERADA POR IA. Menina pensando em um desenha de frente para duas telas. 
AJUSTES: completar teto e chão da ilustração para deixá-la mais vertical, pode-se compor no teto uma lâmpada. Precisamos ampliar a tela da direita, deixando bem evidente a diferença e facilitado para a criança desenhar dentro. Ela pode ficar maior inclusive na altura, não apenas na largura. Ver referências para ajustes. 
Se possível, compor a tela ainda maior do que na referência. </t>
  </si>
  <si>
    <t>i0940_5p009m_m25_e010</t>
  </si>
  <si>
    <t xml:space="preserve">Ilustração de um “labirinto”. No início deve haver um músico, um homem, negro, usando paletó e gravata, segurando uma folha partitura, e no fim um piano de calda. Os caminhos podem ser semelhantes ao da referência, porém o caminho correto deve ter exatamente a sequência de números de 1 a 13, os outros caminhos devem ter números sortidos fora de sequência. A ilustração deve ocupar todo o espaço disponível da página. Ver referências. </t>
  </si>
  <si>
    <t>r:23/05 f:26/05</t>
  </si>
  <si>
    <t>i0941_5p009m_m25_e010</t>
  </si>
  <si>
    <t>Arte, ilustrar um sol “escondido” entre outras linhas, bem semelhante a referência a seguir, mas não pode ficar igual. Onde a criança deve pintar, ou seja, onde forma o sol, deve conter apenas números 15, e no restante da imagem distribuir aleatoriamente números de 10 a 14.</t>
  </si>
  <si>
    <t>i0942_5p009m_m25_e010</t>
  </si>
  <si>
    <t xml:space="preserve">Arte, ilustrar uma malha quadriculada com 9 colunas por 11 linhas. 
Ver referência. Nela deve estar pintado uma abelha seguindo a referência. As asas não devem estar pintadas, apenas contornadas com um fio preto um pouco mais grosso do que o da malha quadriculada para evidenciar onde a criança deve pintar. As asas devem ocupar exatamente 8 quadrinhos cada. A malha quadriculada deve ocupar todo o espaço disponível na página, visando deixar os quadrinhos o maior possível. </t>
  </si>
  <si>
    <t>i0945_5p009m_m25_e010</t>
  </si>
  <si>
    <t xml:space="preserve">Arte ilustrar em fio contorno, parte de um balão (o cesto com duas crianças e um adulto dentro devem estar em fio completo) no restante da ilustração deve conter apenas pontinhos para ligar seguindo a sequência de 1 a 18, exatamente, formando o balão. Veja uma referência do tipo de atividade. A ilustração deve ocupar todo o espaço disponível na página. </t>
  </si>
  <si>
    <t>if0946_5p009m_m25_e010</t>
  </si>
  <si>
    <t xml:space="preserve">Ilustração com foto de um labirinto. No primeiro quadro à esquerda inserir a foto da menina ruiva, segurando o regador, flipar a imagem para o regador ficar à direita. No quadrinho com número 1 inserir uma seta indicando início, sentido à direita. No quadrinho com o número 19 (chegada) inserir seta para baixo, indicando a chegada aos amigos. No último quadro à direita, inserir a ilustração dos amigos plantando uma árvore. Nos outros quadros, estarão espalhados os números em tamanho grande, na sequência conforme indicado abaixo, manter o quadro com fundo branco. Ver referência. </t>
  </si>
  <si>
    <t>i0947_5p009m_m25_e010</t>
  </si>
  <si>
    <t>Ilustrar uma macieira com 20 maçãs. Embaixo da árvore deve estar um menino de aproximadamente 5 anos, negro, vestido com shorts, camiseta e tênis. Ele deve segurar uma cesta VAZIA. Ver referência abaixo.</t>
  </si>
  <si>
    <t>i0948_5p009m_m25_e010</t>
  </si>
  <si>
    <t xml:space="preserve">Arte: Ilustrar uma lousa. Nela, deve conter os registros de uma votação, escritos com giz. Escrever o seguinte título: “BRINCADEIRAS PREFERIDAS DA TURMA”, e, abaixo os dados contidos na tabela/quadro a seguir. </t>
  </si>
  <si>
    <t>if0949_5p009m_m25_e010</t>
  </si>
  <si>
    <t>Compor QUATRO barras verticais divididas em 12 quadrinhos cada uma. Abaixo de cada barra inserir a foto das brincadeiras: pular corda, jogar bola, amarelinha e esconde-esconde.</t>
  </si>
  <si>
    <t>i0776_4p009m_m25_e010</t>
  </si>
  <si>
    <t>ilustração gerada por IA. Tapete. Ajuste cropar somente o tapete.</t>
  </si>
  <si>
    <t>ATUALIZADO EM 22/08/2025</t>
  </si>
  <si>
    <t>SIGLA ARTE</t>
  </si>
  <si>
    <t>CRÉDITO A SER PUBLICADO</t>
  </si>
  <si>
    <t>Acervo da editora</t>
  </si>
  <si>
    <t>xx</t>
  </si>
  <si>
    <t>Sigla ZZ (ver documento de ils. técnicas)</t>
  </si>
  <si>
    <t>zz</t>
  </si>
  <si>
    <t>Ver documento de ils. Técnicas</t>
  </si>
  <si>
    <t>ILUSTRAÇOES DE PROVAS OFICIAIS (somente se não houver crédito)</t>
  </si>
  <si>
    <t>yv</t>
  </si>
  <si>
    <t>Confirmar com Iconografia a cada projeto</t>
  </si>
  <si>
    <t>ILUSTRAÇÕES DE PLACAS DE TRÂNSITO</t>
  </si>
  <si>
    <t>yy</t>
  </si>
  <si>
    <t>ILUSTRAÇÕES DE BANDEIRAS DE PAÍS</t>
  </si>
  <si>
    <t>yp</t>
  </si>
  <si>
    <t>ILUSTRAÇÕES DE BANDEIRAS DE ESTADO</t>
  </si>
  <si>
    <t>ye</t>
  </si>
  <si>
    <t>ILUSTRAÇÕES GERADAS POR PROGRAMAS C/ IA</t>
  </si>
  <si>
    <t>a</t>
  </si>
  <si>
    <t>3 Pixel Studio</t>
  </si>
  <si>
    <t>px</t>
  </si>
  <si>
    <t>Robson Olivieri</t>
  </si>
  <si>
    <t>A7 Estudio</t>
  </si>
  <si>
    <t>ao</t>
  </si>
  <si>
    <t>Jorge Ribeiro</t>
  </si>
  <si>
    <t xml:space="preserve">Adilson Farias </t>
  </si>
  <si>
    <t>af</t>
  </si>
  <si>
    <t>Adilson Farias</t>
  </si>
  <si>
    <t xml:space="preserve">Adilson Secco </t>
  </si>
  <si>
    <t>ac</t>
  </si>
  <si>
    <t>Adilson Secco</t>
  </si>
  <si>
    <t>Adriano Cesar Moreno Pátaro</t>
  </si>
  <si>
    <t>ad</t>
  </si>
  <si>
    <t>Adriano Pátaro</t>
  </si>
  <si>
    <t>Adriel Contieri</t>
  </si>
  <si>
    <t>av</t>
  </si>
  <si>
    <t>Águeda Horn</t>
  </si>
  <si>
    <t>ah</t>
  </si>
  <si>
    <t>Alessandra Tozi</t>
  </si>
  <si>
    <t>az</t>
  </si>
  <si>
    <t>Alexandre Affonso</t>
  </si>
  <si>
    <t>ax</t>
  </si>
  <si>
    <t>Alexandre de Lima Barvik</t>
  </si>
  <si>
    <t>ab</t>
  </si>
  <si>
    <t>Alexandre de Souza</t>
  </si>
  <si>
    <t>xe</t>
  </si>
  <si>
    <t>Alexandre Koyama</t>
  </si>
  <si>
    <t>ak</t>
  </si>
  <si>
    <t>Alexandre Rampazo</t>
  </si>
  <si>
    <t>am</t>
  </si>
  <si>
    <t>Amanda Neves</t>
  </si>
  <si>
    <t>nv</t>
  </si>
  <si>
    <t>Ana Elisa Carneiro</t>
  </si>
  <si>
    <t>ae</t>
  </si>
  <si>
    <t>Ana Laura Alexius</t>
  </si>
  <si>
    <t>au</t>
  </si>
  <si>
    <t>Ana Alexius</t>
  </si>
  <si>
    <t>Ana Kozuki</t>
  </si>
  <si>
    <t>zk</t>
  </si>
  <si>
    <t>Andressa Meissner</t>
  </si>
  <si>
    <t>aq</t>
  </si>
  <si>
    <t>André Aguiar</t>
  </si>
  <si>
    <t>aa</t>
  </si>
  <si>
    <t>André Leandro Silva</t>
  </si>
  <si>
    <t>an</t>
  </si>
  <si>
    <t>André L. Silva</t>
  </si>
  <si>
    <t>André Rodrigues</t>
  </si>
  <si>
    <t>ag</t>
  </si>
  <si>
    <t xml:space="preserve">Angelo Shuman </t>
  </si>
  <si>
    <t>as</t>
  </si>
  <si>
    <t>Angelo Shuman</t>
  </si>
  <si>
    <t>Anna Anjos</t>
  </si>
  <si>
    <t>nn</t>
  </si>
  <si>
    <t>Anna Simonin</t>
  </si>
  <si>
    <t>ai</t>
  </si>
  <si>
    <t>Ariel Fajtlowicz</t>
  </si>
  <si>
    <t>aj</t>
  </si>
  <si>
    <t>Art Capri - Gustavo Machado</t>
  </si>
  <si>
    <t>gm</t>
  </si>
  <si>
    <t>Gustavo Machado</t>
  </si>
  <si>
    <t>Arthur Moreno Milan Parreira</t>
  </si>
  <si>
    <t>at</t>
  </si>
  <si>
    <t>Arthur M. M. Parreira</t>
  </si>
  <si>
    <t>Arthur Rosseto</t>
  </si>
  <si>
    <t>ar</t>
  </si>
  <si>
    <t>Bárbara Lô Sarzi</t>
  </si>
  <si>
    <t>ba</t>
  </si>
  <si>
    <t>Bárbara Sarzi</t>
  </si>
  <si>
    <t>Beatriz Carvalho</t>
  </si>
  <si>
    <t>bt</t>
  </si>
  <si>
    <t>Beatriz Mayumi</t>
  </si>
  <si>
    <t>bm</t>
  </si>
  <si>
    <t>Belli Studio Design</t>
  </si>
  <si>
    <t>bl</t>
  </si>
  <si>
    <t>Bernardo França</t>
  </si>
  <si>
    <t>be</t>
  </si>
  <si>
    <t>Bianca Nazari</t>
  </si>
  <si>
    <t>bi</t>
  </si>
  <si>
    <t>Brenda Bossato</t>
  </si>
  <si>
    <t>bd</t>
  </si>
  <si>
    <t>Brenda Goes</t>
  </si>
  <si>
    <t>bg</t>
  </si>
  <si>
    <t>Bruna Borges Campos</t>
  </si>
  <si>
    <t>Brunna Mancuso</t>
  </si>
  <si>
    <t>bs</t>
  </si>
  <si>
    <t>Bruna Menezes</t>
  </si>
  <si>
    <t>bz</t>
  </si>
  <si>
    <t>Bruno Badain</t>
  </si>
  <si>
    <t>bb</t>
  </si>
  <si>
    <t>Bruno H. S. Cerkuenik</t>
  </si>
  <si>
    <t>bc</t>
  </si>
  <si>
    <t>Bruno Cerkuenik</t>
  </si>
  <si>
    <t>Bruno Nunes Coelho</t>
  </si>
  <si>
    <t>bn</t>
  </si>
  <si>
    <t>Bruno Nunes</t>
  </si>
  <si>
    <t>Bruno Oliveira Sampaio</t>
  </si>
  <si>
    <t>br</t>
  </si>
  <si>
    <t>Bruno Sampaio</t>
  </si>
  <si>
    <t>Bruno Rosal de Vasconcelos</t>
  </si>
  <si>
    <t>bu</t>
  </si>
  <si>
    <t>Caio Hideki Takaso Tanaka</t>
  </si>
  <si>
    <t>ct</t>
  </si>
  <si>
    <t>Caio Tanaka</t>
  </si>
  <si>
    <t>Camila Cristiane Pereira dos Santos</t>
  </si>
  <si>
    <t>cd</t>
  </si>
  <si>
    <t>Camila Ferreira Carmona</t>
  </si>
  <si>
    <t>ca</t>
  </si>
  <si>
    <t>Camila Carmona</t>
  </si>
  <si>
    <t>Carlitos Pinheiro</t>
  </si>
  <si>
    <t>cq</t>
  </si>
  <si>
    <t>Carlito Pinheiro</t>
  </si>
  <si>
    <t>Carlos Alberto Borin Junior</t>
  </si>
  <si>
    <t>cj</t>
  </si>
  <si>
    <t>Carlos Borin</t>
  </si>
  <si>
    <t>Carlos Eduardo Nascimento</t>
  </si>
  <si>
    <t>cn</t>
  </si>
  <si>
    <t>Carmen Ferreira Martinez</t>
  </si>
  <si>
    <t>cc</t>
  </si>
  <si>
    <t>Carmen Martinez</t>
  </si>
  <si>
    <t>Carol Rempto</t>
  </si>
  <si>
    <t>cw</t>
  </si>
  <si>
    <t>Carol Sartori</t>
  </si>
  <si>
    <t>cx</t>
  </si>
  <si>
    <t>Carolina Coroa</t>
  </si>
  <si>
    <t>kk</t>
  </si>
  <si>
    <t>Carolina Herrera (Lina Pin)</t>
  </si>
  <si>
    <t>hh</t>
  </si>
  <si>
    <t>Carolina Herrera</t>
  </si>
  <si>
    <t>Caroline Romão Bezerra</t>
  </si>
  <si>
    <t>co</t>
  </si>
  <si>
    <t>Cartoon Pro</t>
  </si>
  <si>
    <t>cp</t>
  </si>
  <si>
    <t>Cássia Roriz</t>
  </si>
  <si>
    <t>cv</t>
  </si>
  <si>
    <t>Cássio Bittencourt</t>
  </si>
  <si>
    <t>cs</t>
  </si>
  <si>
    <t>Cássio Yoshiyaki Shibukawa</t>
  </si>
  <si>
    <t>cy</t>
  </si>
  <si>
    <t>Cátia Germani</t>
  </si>
  <si>
    <t>cm</t>
  </si>
  <si>
    <t>Cauê Zunchini</t>
  </si>
  <si>
    <t>ci</t>
  </si>
  <si>
    <t>Cecilia Andrade</t>
  </si>
  <si>
    <t>cl</t>
  </si>
  <si>
    <t xml:space="preserve">Chanceler </t>
  </si>
  <si>
    <t>ch</t>
  </si>
  <si>
    <t>Chris Borges</t>
  </si>
  <si>
    <t>cg</t>
  </si>
  <si>
    <t>Clarice Baracho</t>
  </si>
  <si>
    <t>Clarissa França</t>
  </si>
  <si>
    <t>cf</t>
  </si>
  <si>
    <t>Claudia Brito</t>
  </si>
  <si>
    <t>cb</t>
  </si>
  <si>
    <t>Claudia Souza</t>
  </si>
  <si>
    <t>cz</t>
  </si>
  <si>
    <t>Copa Studio</t>
  </si>
  <si>
    <t>ap</t>
  </si>
  <si>
    <t>Cria Ideias</t>
  </si>
  <si>
    <t>cr</t>
  </si>
  <si>
    <t>Cris Eich (Maria Cristina Pires de Carvalho)</t>
  </si>
  <si>
    <t>ce</t>
  </si>
  <si>
    <t>Cris Eich</t>
  </si>
  <si>
    <t>Cynthia Karina Sekiguchi</t>
  </si>
  <si>
    <t>ck</t>
  </si>
  <si>
    <t>Cynthia Sekiguchi</t>
  </si>
  <si>
    <t>Dani Mota</t>
  </si>
  <si>
    <t>dm</t>
  </si>
  <si>
    <t>Daniel Araujo</t>
  </si>
  <si>
    <t>da</t>
  </si>
  <si>
    <t>Daniel Carvalho</t>
  </si>
  <si>
    <t>dc</t>
  </si>
  <si>
    <t>Daniel Wu</t>
  </si>
  <si>
    <t>dw</t>
  </si>
  <si>
    <t>Daniel Zeppo</t>
  </si>
  <si>
    <t>dz</t>
  </si>
  <si>
    <t>Danielle Pioli</t>
  </si>
  <si>
    <t>dp</t>
  </si>
  <si>
    <t>Danillo Souza</t>
  </si>
  <si>
    <t>dl</t>
  </si>
  <si>
    <t>Danilo Santos - Red Dragon</t>
  </si>
  <si>
    <t>dd</t>
  </si>
  <si>
    <t>Danilo Santos</t>
  </si>
  <si>
    <t>Davi Augusto</t>
  </si>
  <si>
    <t>do</t>
  </si>
  <si>
    <t>David Renó</t>
  </si>
  <si>
    <t>dv</t>
  </si>
  <si>
    <t>Davi Renó</t>
  </si>
  <si>
    <t>Dayane A. Barbieri Ferreira</t>
  </si>
  <si>
    <t>db</t>
  </si>
  <si>
    <t>Dayane Barbieri</t>
  </si>
  <si>
    <t>Débora Ferreira</t>
  </si>
  <si>
    <t>df</t>
  </si>
  <si>
    <t>Débora Kamogawa</t>
  </si>
  <si>
    <t>dk</t>
  </si>
  <si>
    <t>Desenhorama Estúdio</t>
  </si>
  <si>
    <t>ds</t>
  </si>
  <si>
    <t>Deivy Lima Costa</t>
  </si>
  <si>
    <t>Dogzilla Studio - Walkir Fernandes</t>
  </si>
  <si>
    <t>dg</t>
  </si>
  <si>
    <t>Walkir Fernandes</t>
  </si>
  <si>
    <t>Dois de nós (Kime Rodrigues)</t>
  </si>
  <si>
    <t>dn</t>
  </si>
  <si>
    <t>Guilherme Rodrigues</t>
  </si>
  <si>
    <t>Eber Evangelista</t>
  </si>
  <si>
    <t>ee</t>
  </si>
  <si>
    <t>Edde Wagner Aguiar</t>
  </si>
  <si>
    <t>ew</t>
  </si>
  <si>
    <t>Edde Aguiar</t>
  </si>
  <si>
    <t>Edson Bellusci Cavalcante</t>
  </si>
  <si>
    <t>ed</t>
  </si>
  <si>
    <t>Edson Bellusci</t>
  </si>
  <si>
    <t>Edson Farias</t>
  </si>
  <si>
    <t>ef</t>
  </si>
  <si>
    <t>Eduardo A. Rosa Neto</t>
  </si>
  <si>
    <t>du</t>
  </si>
  <si>
    <t>Eduardo Rosa</t>
  </si>
  <si>
    <t>Eduardo Borges</t>
  </si>
  <si>
    <t>eb</t>
  </si>
  <si>
    <t>Eduardo Carriça dos Santos</t>
  </si>
  <si>
    <t>es</t>
  </si>
  <si>
    <t>Eduardo Carriça</t>
  </si>
  <si>
    <t>Ellen Beatriz Jacob</t>
  </si>
  <si>
    <t>ej</t>
  </si>
  <si>
    <t>Ellen Jacob</t>
  </si>
  <si>
    <t>Enágio Coelho</t>
  </si>
  <si>
    <t>en</t>
  </si>
  <si>
    <t>Erica Maria Rocha Santos (Erica Maradona)</t>
  </si>
  <si>
    <t>er</t>
  </si>
  <si>
    <t>Erica Maradona</t>
  </si>
  <si>
    <t>Erika Lourenço</t>
  </si>
  <si>
    <t>ek</t>
  </si>
  <si>
    <t>Estúdio Amplarena</t>
  </si>
  <si>
    <t>al</t>
  </si>
  <si>
    <t>Estúdio Guerra</t>
  </si>
  <si>
    <t>eg</t>
  </si>
  <si>
    <t>Estúdio Ilustranet</t>
  </si>
  <si>
    <t>it</t>
  </si>
  <si>
    <t>Rubens Tavares Lima Filho</t>
  </si>
  <si>
    <t>Estúdio Kiwi</t>
  </si>
  <si>
    <t>kw</t>
  </si>
  <si>
    <t>Thiago Lopes</t>
  </si>
  <si>
    <t>Estúdio Lab307</t>
  </si>
  <si>
    <t>lb</t>
  </si>
  <si>
    <t>Erik Malagrino</t>
  </si>
  <si>
    <t>Estúdio Meraki</t>
  </si>
  <si>
    <t>mk</t>
  </si>
  <si>
    <t>Natanaele Bilmaia</t>
  </si>
  <si>
    <t>Estúdio Mil</t>
  </si>
  <si>
    <t>em</t>
  </si>
  <si>
    <t>Estúdio Orangotango</t>
  </si>
  <si>
    <t>eo</t>
  </si>
  <si>
    <t>Estúdio Ornitorrinco</t>
  </si>
  <si>
    <t>ec</t>
  </si>
  <si>
    <t>Márcio Guerra</t>
  </si>
  <si>
    <t>Estúdio Um mais Dois</t>
  </si>
  <si>
    <t>ud</t>
  </si>
  <si>
    <t>Ezequiel Silva (Monge Lua)</t>
  </si>
  <si>
    <t>ez</t>
  </si>
  <si>
    <t>Ezequiel Silva</t>
  </si>
  <si>
    <t>Ewerton Xavier</t>
  </si>
  <si>
    <t>ex</t>
  </si>
  <si>
    <t>Fabio Eugenio</t>
  </si>
  <si>
    <t>fe</t>
  </si>
  <si>
    <t>Fabíola Petri</t>
  </si>
  <si>
    <t>fp</t>
  </si>
  <si>
    <t>fg</t>
  </si>
  <si>
    <t>Fernanda Monteiro</t>
  </si>
  <si>
    <t>fm</t>
  </si>
  <si>
    <t>Fernanda Pardini Biagio</t>
  </si>
  <si>
    <t>fb</t>
  </si>
  <si>
    <t>Flávia Nunes</t>
  </si>
  <si>
    <t>fn</t>
  </si>
  <si>
    <t>Flavio Roberto Pereira</t>
  </si>
  <si>
    <t>fl</t>
  </si>
  <si>
    <t>Flavio Pereira</t>
  </si>
  <si>
    <t>Francine Matsumoto</t>
  </si>
  <si>
    <t>fr</t>
  </si>
  <si>
    <t>Fran Matsumoto</t>
  </si>
  <si>
    <t>Gabi Vasko</t>
  </si>
  <si>
    <t>gv</t>
  </si>
  <si>
    <t>Gabriel Brum</t>
  </si>
  <si>
    <t>Gabriela Abreu de Souza</t>
  </si>
  <si>
    <t>gs</t>
  </si>
  <si>
    <t>Gabriela Abreu</t>
  </si>
  <si>
    <t>Gabriela Heberle</t>
  </si>
  <si>
    <t>gb</t>
  </si>
  <si>
    <t>Gabriela Tozati</t>
  </si>
  <si>
    <t>gt</t>
  </si>
  <si>
    <t>Gabriella Imai</t>
  </si>
  <si>
    <t>gx</t>
  </si>
  <si>
    <t xml:space="preserve">Gilberto Audibert Alicio </t>
  </si>
  <si>
    <t>ga</t>
  </si>
  <si>
    <t>Gilberto Alicio</t>
  </si>
  <si>
    <t>Giovana Medeiros</t>
  </si>
  <si>
    <t>gi</t>
  </si>
  <si>
    <t>Girafa Listrada</t>
  </si>
  <si>
    <t>gl</t>
  </si>
  <si>
    <t>Bruna Assis Brasil</t>
  </si>
  <si>
    <t xml:space="preserve">Giully Leão </t>
  </si>
  <si>
    <t>gy</t>
  </si>
  <si>
    <t>Giully Leão</t>
  </si>
  <si>
    <t xml:space="preserve">Giz de Cera Studio </t>
  </si>
  <si>
    <t>gz</t>
  </si>
  <si>
    <t>Graphorama</t>
  </si>
  <si>
    <t>gh</t>
  </si>
  <si>
    <t>Graziela Andrade</t>
  </si>
  <si>
    <t>ge</t>
  </si>
  <si>
    <t>Guilherme Aranega - Estudio Rufus</t>
  </si>
  <si>
    <t>gn</t>
  </si>
  <si>
    <t>Guilherme Aranega</t>
  </si>
  <si>
    <t>Guilherme Casagrandi</t>
  </si>
  <si>
    <t>gg</t>
  </si>
  <si>
    <t>Guilherme Da Cas</t>
  </si>
  <si>
    <t>gc</t>
  </si>
  <si>
    <t>Gustavo Conti</t>
  </si>
  <si>
    <t>gu</t>
  </si>
  <si>
    <t>Gustavo Pedrosa</t>
  </si>
  <si>
    <t>gp</t>
  </si>
  <si>
    <t>Gustavo Ramos</t>
  </si>
  <si>
    <t>gr</t>
  </si>
  <si>
    <t>Heloísa Pintarelli - Somma</t>
  </si>
  <si>
    <t>he</t>
  </si>
  <si>
    <t>Henrique Dan Fuzitani</t>
  </si>
  <si>
    <t>hf</t>
  </si>
  <si>
    <t>Henrique Jorge</t>
  </si>
  <si>
    <t>hj</t>
  </si>
  <si>
    <t>Henrique Jorge G. M. Silva</t>
  </si>
  <si>
    <t>Hiro Kawahara</t>
  </si>
  <si>
    <t>hk</t>
  </si>
  <si>
    <t xml:space="preserve">Hiro Kawahara </t>
  </si>
  <si>
    <t>Hugo Araújo</t>
  </si>
  <si>
    <t>ha</t>
  </si>
  <si>
    <t>Iberá Júnior</t>
  </si>
  <si>
    <t>ij</t>
  </si>
  <si>
    <t>Ideário Lab - Renato Ventura</t>
  </si>
  <si>
    <t>id</t>
  </si>
  <si>
    <t xml:space="preserve">Reinaldo Rosa </t>
  </si>
  <si>
    <t>Ilustra Cartoon</t>
  </si>
  <si>
    <t>ic</t>
  </si>
  <si>
    <t>Imaginario Studio - Fabio Eiji</t>
  </si>
  <si>
    <t>ig</t>
  </si>
  <si>
    <t>Fabio Eiji Sirasuma</t>
  </si>
  <si>
    <t>Ingrid Skare</t>
  </si>
  <si>
    <t>ik</t>
  </si>
  <si>
    <t>Ingridhi Fratoni Borges</t>
  </si>
  <si>
    <t>ib</t>
  </si>
  <si>
    <t>Ingridhi Borges</t>
  </si>
  <si>
    <t>Inkdrop Estudio</t>
  </si>
  <si>
    <t>ie</t>
  </si>
  <si>
    <t>Irena Freitas</t>
  </si>
  <si>
    <t>if</t>
  </si>
  <si>
    <t>Isabela Santos Ferreira do Vale</t>
  </si>
  <si>
    <t>ss</t>
  </si>
  <si>
    <t>Isabela Santos</t>
  </si>
  <si>
    <t>Isadora Zeferino</t>
  </si>
  <si>
    <t>is</t>
  </si>
  <si>
    <t>Ísis Duarte</t>
  </si>
  <si>
    <t>iu</t>
  </si>
  <si>
    <t>Ivy Nunes</t>
  </si>
  <si>
    <t>iv</t>
  </si>
  <si>
    <t>Izaac Brito</t>
  </si>
  <si>
    <t>zb</t>
  </si>
  <si>
    <t>Jacqueline Amadio</t>
  </si>
  <si>
    <t>jc</t>
  </si>
  <si>
    <t>Jacquie Lima</t>
  </si>
  <si>
    <t>jl</t>
  </si>
  <si>
    <t>Janaina de Oliveira Castro</t>
  </si>
  <si>
    <t>ja</t>
  </si>
  <si>
    <t>Janaina Oliveira</t>
  </si>
  <si>
    <t>Janyne Azevedo</t>
  </si>
  <si>
    <t>jz</t>
  </si>
  <si>
    <t>Jessica Machado</t>
  </si>
  <si>
    <t>jg</t>
  </si>
  <si>
    <t>Jéssica Sinnema</t>
  </si>
  <si>
    <t>jt</t>
  </si>
  <si>
    <t>Jéssyca Gomes</t>
  </si>
  <si>
    <t>je</t>
  </si>
  <si>
    <t>Jéssyka Gomes</t>
  </si>
  <si>
    <t>João Ricardo Sampaio</t>
  </si>
  <si>
    <t>js</t>
  </si>
  <si>
    <t>João Sampaio</t>
  </si>
  <si>
    <t>João Vitor Vanzela</t>
  </si>
  <si>
    <t>jv</t>
  </si>
  <si>
    <t>Johannes de Paulo</t>
  </si>
  <si>
    <t>jp</t>
  </si>
  <si>
    <t>Jorge Henrique Brazilio dos Santos</t>
  </si>
  <si>
    <t>jh</t>
  </si>
  <si>
    <t>Jorge Brazílio</t>
  </si>
  <si>
    <t>Jorge Zaiba</t>
  </si>
  <si>
    <t>za</t>
  </si>
  <si>
    <t>José Vitor Elorza Costa</t>
  </si>
  <si>
    <t>zv</t>
  </si>
  <si>
    <t>José Vitor Elorza</t>
  </si>
  <si>
    <t>Jotabe Ilustração Infantil</t>
  </si>
  <si>
    <t>jb</t>
  </si>
  <si>
    <t>Julia Mello</t>
  </si>
  <si>
    <t>jm</t>
  </si>
  <si>
    <t>Julia Ponnick</t>
  </si>
  <si>
    <t>jn</t>
  </si>
  <si>
    <t>Juliana Dacosta</t>
  </si>
  <si>
    <t>jx</t>
  </si>
  <si>
    <t>Juliana Del Anhol Azevedo</t>
  </si>
  <si>
    <t>jd</t>
  </si>
  <si>
    <t>Juliana Oliveira</t>
  </si>
  <si>
    <t>ju</t>
  </si>
  <si>
    <t>Juliana Oliveria</t>
  </si>
  <si>
    <t>Júnior Caramez (Antonio Carlos Caramez Jr.)</t>
  </si>
  <si>
    <t>jr</t>
  </si>
  <si>
    <t>Antonio Carlos Caramez Júnior</t>
  </si>
  <si>
    <t>Karina Oliveira</t>
  </si>
  <si>
    <t>ko</t>
  </si>
  <si>
    <t>Karina Tamaki Kobayashi</t>
  </si>
  <si>
    <t>kr</t>
  </si>
  <si>
    <t>Karyne Elise Teixeira</t>
  </si>
  <si>
    <t>ke</t>
  </si>
  <si>
    <t>Katharine Frota</t>
  </si>
  <si>
    <t>kf</t>
  </si>
  <si>
    <t>Keithy Kassiely Mostachi</t>
  </si>
  <si>
    <t>km</t>
  </si>
  <si>
    <t>Keithy Mostachi</t>
  </si>
  <si>
    <t>Kendra Rubio da Silva</t>
  </si>
  <si>
    <t>ks</t>
  </si>
  <si>
    <t>Kendra Rubio</t>
  </si>
  <si>
    <t>Kézia Trentini</t>
  </si>
  <si>
    <t>kt</t>
  </si>
  <si>
    <t>Kirlley Velôso</t>
  </si>
  <si>
    <t>kv</t>
  </si>
  <si>
    <t>Klayton Luz</t>
  </si>
  <si>
    <t>kl</t>
  </si>
  <si>
    <t>Kleber Maurício Coelho - GIZ DE CERA</t>
  </si>
  <si>
    <t>kb</t>
  </si>
  <si>
    <t>Kleber Maurício Coelho</t>
  </si>
  <si>
    <t>Laís Bicudo</t>
  </si>
  <si>
    <t>lc</t>
  </si>
  <si>
    <t xml:space="preserve">Laís Cristina Caldonazzo Garbelini </t>
  </si>
  <si>
    <t>lg</t>
  </si>
  <si>
    <t>Laís Garbelini</t>
  </si>
  <si>
    <t>Leandro Júnior Pimenta</t>
  </si>
  <si>
    <t>lt</t>
  </si>
  <si>
    <t>Leandro Pimenta</t>
  </si>
  <si>
    <t>Leandro Lassmar</t>
  </si>
  <si>
    <t xml:space="preserve">ls </t>
  </si>
  <si>
    <t xml:space="preserve">Leandro Lassmar </t>
  </si>
  <si>
    <t>Leo Gibran</t>
  </si>
  <si>
    <t>le</t>
  </si>
  <si>
    <t>Leo Natsume</t>
  </si>
  <si>
    <t>ln</t>
  </si>
  <si>
    <t>Leonardo de Moura Amaral - GIZ DE CERA</t>
  </si>
  <si>
    <t>la</t>
  </si>
  <si>
    <t>Leonardo de Moura Amaral</t>
  </si>
  <si>
    <t>Leonardo Mari</t>
  </si>
  <si>
    <t>lm</t>
  </si>
  <si>
    <t>Letícia Ribeiro</t>
  </si>
  <si>
    <t>lr</t>
  </si>
  <si>
    <t>Liberi</t>
  </si>
  <si>
    <t>l</t>
  </si>
  <si>
    <t>Lídia Farias</t>
  </si>
  <si>
    <t>ld</t>
  </si>
  <si>
    <t>Lislley Velani</t>
  </si>
  <si>
    <t>ly</t>
  </si>
  <si>
    <t>Lislley Gomes Feige</t>
  </si>
  <si>
    <t>Loquaz Design</t>
  </si>
  <si>
    <t>lq</t>
  </si>
  <si>
    <t>Lucas Kenzo Hamazaki</t>
  </si>
  <si>
    <t>kz</t>
  </si>
  <si>
    <t>Kenzo Hamazaki</t>
  </si>
  <si>
    <t>Lucas Palma</t>
  </si>
  <si>
    <t>lp</t>
  </si>
  <si>
    <t xml:space="preserve">Luciane Mori </t>
  </si>
  <si>
    <t>lu</t>
  </si>
  <si>
    <t>Luciane Mori</t>
  </si>
  <si>
    <t>Luciano Veronezi</t>
  </si>
  <si>
    <t>lv</t>
  </si>
  <si>
    <t>Luiz Fernando Fogaça</t>
  </si>
  <si>
    <t>lf</t>
  </si>
  <si>
    <t>Luiz F. Fogaça</t>
  </si>
  <si>
    <t>Luiz Lentini</t>
  </si>
  <si>
    <t>ll</t>
  </si>
  <si>
    <t>Luiz Perez Lentini</t>
  </si>
  <si>
    <t>Luiz Roberto Lúcio Correa</t>
  </si>
  <si>
    <t>bo</t>
  </si>
  <si>
    <t>Luiz Roberto</t>
  </si>
  <si>
    <t>Malu Menezes</t>
  </si>
  <si>
    <t>mx</t>
  </si>
  <si>
    <t>Marcela Pialarissi</t>
  </si>
  <si>
    <t>ma</t>
  </si>
  <si>
    <t>Marcello Araújo</t>
  </si>
  <si>
    <t>mj</t>
  </si>
  <si>
    <t>Marcello Araujo</t>
  </si>
  <si>
    <t>Marcelo Castro</t>
  </si>
  <si>
    <t>mc</t>
  </si>
  <si>
    <t>Marciano Palácio</t>
  </si>
  <si>
    <t>mz</t>
  </si>
  <si>
    <t>Marcos Farrell</t>
  </si>
  <si>
    <t>mr</t>
  </si>
  <si>
    <t>Marcos Machado</t>
  </si>
  <si>
    <t>mm</t>
  </si>
  <si>
    <t>Marcos Mello</t>
  </si>
  <si>
    <t>me</t>
  </si>
  <si>
    <t>Marco Mello</t>
  </si>
  <si>
    <t>Maria Gabriela Gama</t>
  </si>
  <si>
    <t>md</t>
  </si>
  <si>
    <t>Mariana Coan</t>
  </si>
  <si>
    <t>mq</t>
  </si>
  <si>
    <t>Minna Miná</t>
  </si>
  <si>
    <t>Mariana Valente</t>
  </si>
  <si>
    <t>mn</t>
  </si>
  <si>
    <t>Marília Bruno</t>
  </si>
  <si>
    <t>mb</t>
  </si>
  <si>
    <t xml:space="preserve">Marília Bruno </t>
  </si>
  <si>
    <t>Marilia Pirilo</t>
  </si>
  <si>
    <t>mp</t>
  </si>
  <si>
    <t>Mario Henrique Boaventura Nakano</t>
  </si>
  <si>
    <t>mh</t>
  </si>
  <si>
    <t>Mario Henrique</t>
  </si>
  <si>
    <t>Marlowa</t>
  </si>
  <si>
    <t>mw</t>
  </si>
  <si>
    <t>Maryane Vioto Silva</t>
  </si>
  <si>
    <t>mv</t>
  </si>
  <si>
    <t>Maurenilson Freire</t>
  </si>
  <si>
    <t>mu</t>
  </si>
  <si>
    <t>Maurício Loyola</t>
  </si>
  <si>
    <t>ml</t>
  </si>
  <si>
    <t>Maurício Planel</t>
  </si>
  <si>
    <t>mo</t>
  </si>
  <si>
    <t>Mauricio Planel</t>
  </si>
  <si>
    <t>Mauro Souza</t>
  </si>
  <si>
    <t>ms</t>
  </si>
  <si>
    <t>Melissa Garabeli</t>
  </si>
  <si>
    <t>mg</t>
  </si>
  <si>
    <t>Michael Altomani</t>
  </si>
  <si>
    <t>Michel Altomani</t>
  </si>
  <si>
    <t>Michel Ramalho</t>
  </si>
  <si>
    <t>mi</t>
  </si>
  <si>
    <t>Mosaico Fluído</t>
  </si>
  <si>
    <t>mf</t>
  </si>
  <si>
    <t>Motoca Design</t>
  </si>
  <si>
    <t>mt</t>
  </si>
  <si>
    <t>Murilo Moretti</t>
  </si>
  <si>
    <t>et</t>
  </si>
  <si>
    <t xml:space="preserve">Natanaele Lima Bilmaia </t>
  </si>
  <si>
    <t>nb</t>
  </si>
  <si>
    <t>Nathalia Ichioka</t>
  </si>
  <si>
    <t>ni</t>
  </si>
  <si>
    <t xml:space="preserve">Nelson Akira Ishikawa </t>
  </si>
  <si>
    <t>ne</t>
  </si>
  <si>
    <t xml:space="preserve">Nelson Ishikawa </t>
  </si>
  <si>
    <t>Nelson Cosentino</t>
  </si>
  <si>
    <t>nc</t>
  </si>
  <si>
    <t>Nicolas Furtado</t>
  </si>
  <si>
    <t>nf</t>
  </si>
  <si>
    <t>Nicole Santos</t>
  </si>
  <si>
    <t>ns</t>
  </si>
  <si>
    <t>Nik Neves</t>
  </si>
  <si>
    <t>nk</t>
  </si>
  <si>
    <t>Ohanna Schmitt Bolfe</t>
  </si>
  <si>
    <t>oh</t>
  </si>
  <si>
    <t>Ohanna Schmitt</t>
  </si>
  <si>
    <t>Patrícia Kelen Takahashi</t>
  </si>
  <si>
    <t>pk</t>
  </si>
  <si>
    <t>Patricia Paulozi de Menezes</t>
  </si>
  <si>
    <t>pp</t>
  </si>
  <si>
    <t>Patrícia Paulozi</t>
  </si>
  <si>
    <t>Patricia Pessoa</t>
  </si>
  <si>
    <t>pt</t>
  </si>
  <si>
    <t>Paula Diazzi Ferreira</t>
  </si>
  <si>
    <t>pa</t>
  </si>
  <si>
    <t>Paula Diazzi</t>
  </si>
  <si>
    <t>Paula Kranz</t>
  </si>
  <si>
    <t>pz</t>
  </si>
  <si>
    <t>Paula Radi</t>
  </si>
  <si>
    <t>pr</t>
  </si>
  <si>
    <t>Pedro Guilherme Pauletti Lorenzo</t>
  </si>
  <si>
    <t>pl</t>
  </si>
  <si>
    <t>Pedro Lorenzo</t>
  </si>
  <si>
    <t>Petra Mendes</t>
  </si>
  <si>
    <t>pm</t>
  </si>
  <si>
    <t>Poliana de Fátima Garcia</t>
  </si>
  <si>
    <t>po</t>
  </si>
  <si>
    <t>Poliana Garcia</t>
  </si>
  <si>
    <t>Poliana Fernandes dos Santos</t>
  </si>
  <si>
    <t>pf</t>
  </si>
  <si>
    <t>Pri Wi</t>
  </si>
  <si>
    <t>pw</t>
  </si>
  <si>
    <t>PriWi</t>
  </si>
  <si>
    <t xml:space="preserve">Priscilla Camacho </t>
  </si>
  <si>
    <t>ps</t>
  </si>
  <si>
    <t>Priscilla Camacho</t>
  </si>
  <si>
    <t>Quanta Studio (2014 em diante)</t>
  </si>
  <si>
    <t>qs</t>
  </si>
  <si>
    <t>Quanta Studio (até 2013)</t>
  </si>
  <si>
    <t>qt</t>
  </si>
  <si>
    <t>Rafael da Silva (ARTE)</t>
  </si>
  <si>
    <t>rd</t>
  </si>
  <si>
    <t>Rafael Silva</t>
  </si>
  <si>
    <t>Rafael da Silva Hatadani</t>
  </si>
  <si>
    <t>rh</t>
  </si>
  <si>
    <t>Rafael Hatadani</t>
  </si>
  <si>
    <t>Rafael Gallardo</t>
  </si>
  <si>
    <t>rf</t>
  </si>
  <si>
    <t>Rafael Lam</t>
  </si>
  <si>
    <t>rl</t>
  </si>
  <si>
    <t>Rafael Luís Gaion</t>
  </si>
  <si>
    <t>rn</t>
  </si>
  <si>
    <t>Rafael L. Gaion</t>
  </si>
  <si>
    <t>Rafael Luzio Rodrigues</t>
  </si>
  <si>
    <t>lz</t>
  </si>
  <si>
    <t xml:space="preserve">Rafael Luzio </t>
  </si>
  <si>
    <t>Rafael Martins - Somma</t>
  </si>
  <si>
    <t>Rafaela Harger</t>
  </si>
  <si>
    <t xml:space="preserve">rx </t>
  </si>
  <si>
    <t>Rafaela Hidalgo Pereira</t>
  </si>
  <si>
    <t>rp</t>
  </si>
  <si>
    <t>Rafaela H. Pereira</t>
  </si>
  <si>
    <t xml:space="preserve">Rafaela Panissa </t>
  </si>
  <si>
    <t>Rafaela Villela</t>
  </si>
  <si>
    <t>vi</t>
  </si>
  <si>
    <t>Raíssa Bulhões</t>
  </si>
  <si>
    <t>rs</t>
  </si>
  <si>
    <t>Raitan Ohi</t>
  </si>
  <si>
    <t>rt</t>
  </si>
  <si>
    <t>Raquel Silva</t>
  </si>
  <si>
    <t>rq</t>
  </si>
  <si>
    <t>Raquel Teixeira</t>
  </si>
  <si>
    <t>tx</t>
  </si>
  <si>
    <t>Raul Aguiar</t>
  </si>
  <si>
    <t>ra</t>
  </si>
  <si>
    <t>Ray Cardoso</t>
  </si>
  <si>
    <t>ay</t>
  </si>
  <si>
    <t>Reinaldo Rosa - Ideario Lab</t>
  </si>
  <si>
    <t>il</t>
  </si>
  <si>
    <t>Reinaldo Rosa</t>
  </si>
  <si>
    <t>Renan de Oliveira Fonseca</t>
  </si>
  <si>
    <t>re</t>
  </si>
  <si>
    <t>Renan Fonseca</t>
  </si>
  <si>
    <t>Renan Nuche</t>
  </si>
  <si>
    <t>rz</t>
  </si>
  <si>
    <t>Renato Rodrigues</t>
  </si>
  <si>
    <t>xr</t>
  </si>
  <si>
    <t>Rivaldo Ferreira Barboza Filho</t>
  </si>
  <si>
    <t>rv</t>
  </si>
  <si>
    <t>Rivaldo Barboza</t>
  </si>
  <si>
    <t>Roberto Bigas</t>
  </si>
  <si>
    <t>rb</t>
  </si>
  <si>
    <t>Roberto Weigand</t>
  </si>
  <si>
    <t>rw</t>
  </si>
  <si>
    <t>Robson Araújo</t>
  </si>
  <si>
    <t>rj</t>
  </si>
  <si>
    <t>Rodrigo Arraya</t>
  </si>
  <si>
    <t>ry</t>
  </si>
  <si>
    <t>Rodrigo Cordeiro</t>
  </si>
  <si>
    <t>rk</t>
  </si>
  <si>
    <t>Rodrigo Gafa</t>
  </si>
  <si>
    <t>ro</t>
  </si>
  <si>
    <t>Roger Cartoon</t>
  </si>
  <si>
    <t>rg</t>
  </si>
  <si>
    <t>Rogério Casagrande da Rocha</t>
  </si>
  <si>
    <t>rr</t>
  </si>
  <si>
    <t>Rogério Casagrande</t>
  </si>
  <si>
    <t>Rogério Coelho</t>
  </si>
  <si>
    <t>rc</t>
  </si>
  <si>
    <t xml:space="preserve">Rogério Coelho </t>
  </si>
  <si>
    <t>Ronaldo Inácio De Lucena</t>
  </si>
  <si>
    <t>ri</t>
  </si>
  <si>
    <t>Ronaldo Lucena</t>
  </si>
  <si>
    <t>Rosana Urbes</t>
  </si>
  <si>
    <t>ru</t>
  </si>
  <si>
    <t>RS2 Comunicação</t>
  </si>
  <si>
    <t>sm</t>
  </si>
  <si>
    <t>Sabrina Eras</t>
  </si>
  <si>
    <t>se</t>
  </si>
  <si>
    <t>Samanta Flôor</t>
  </si>
  <si>
    <t>sf</t>
  </si>
  <si>
    <t>Samanda Flôor</t>
  </si>
  <si>
    <t xml:space="preserve">Samuel Silva Nascimento </t>
  </si>
  <si>
    <t>sa</t>
  </si>
  <si>
    <t>Samuel Silva</t>
  </si>
  <si>
    <t>Saulo Nunes Marques</t>
  </si>
  <si>
    <t>sq</t>
  </si>
  <si>
    <t>Saulo Nunes</t>
  </si>
  <si>
    <t>Sergio Luiz de Lima Filho</t>
  </si>
  <si>
    <t>Sergio Lima</t>
  </si>
  <si>
    <t>Sidney Siqueira Meireles</t>
  </si>
  <si>
    <t>sd</t>
  </si>
  <si>
    <t>Silvia Otofuji</t>
  </si>
  <si>
    <t>so</t>
  </si>
  <si>
    <t>Simone Bellusci Cavalcante</t>
  </si>
  <si>
    <t>si</t>
  </si>
  <si>
    <t xml:space="preserve">Simone </t>
  </si>
  <si>
    <t>Sonia Horn</t>
  </si>
  <si>
    <t>sh</t>
  </si>
  <si>
    <t>Sonia Vaz</t>
  </si>
  <si>
    <t>VAZ</t>
  </si>
  <si>
    <t xml:space="preserve">Sputinik Studio </t>
  </si>
  <si>
    <t>sk</t>
  </si>
  <si>
    <t>Sputinik Studio</t>
  </si>
  <si>
    <t>Studio Caparroz (Selma)</t>
  </si>
  <si>
    <t>sc</t>
  </si>
  <si>
    <t xml:space="preserve">Selma Caparroz </t>
  </si>
  <si>
    <t>Studio Maya</t>
  </si>
  <si>
    <t>my</t>
  </si>
  <si>
    <t>Studio OPZ</t>
  </si>
  <si>
    <t>oz</t>
  </si>
  <si>
    <t>Anderson Gabriel Capeloto Macohin</t>
  </si>
  <si>
    <t>Studio Pack</t>
  </si>
  <si>
    <t>sp</t>
  </si>
  <si>
    <t>Suppa</t>
  </si>
  <si>
    <t>su</t>
  </si>
  <si>
    <t>Vivian Suppa</t>
  </si>
  <si>
    <t>Sylvia Muniz</t>
  </si>
  <si>
    <t>sy</t>
  </si>
  <si>
    <t>Sylvia S. Nakamura</t>
  </si>
  <si>
    <t>sn</t>
  </si>
  <si>
    <t>Sylvia Nakamura</t>
  </si>
  <si>
    <t>Tamires Rose Azevedo</t>
  </si>
  <si>
    <t>tr</t>
  </si>
  <si>
    <t>Tamires Azevedo</t>
  </si>
  <si>
    <t>Tânia Machado</t>
  </si>
  <si>
    <t>tm</t>
  </si>
  <si>
    <t xml:space="preserve">Tatiana Paiva </t>
  </si>
  <si>
    <t>tp</t>
  </si>
  <si>
    <t>Tatiana Paiva</t>
  </si>
  <si>
    <t>Tatiane Santos Galheiro</t>
  </si>
  <si>
    <t>Thamires Paredes - Universo Paralelo</t>
  </si>
  <si>
    <t>th</t>
  </si>
  <si>
    <t>Thamires Paredes</t>
  </si>
  <si>
    <t>Thiago Araujo Lima (Thiago Limon)</t>
  </si>
  <si>
    <t>tl</t>
  </si>
  <si>
    <t>Thiago Lima</t>
  </si>
  <si>
    <t>Thiago Barbosa De Almeida</t>
  </si>
  <si>
    <t>ta</t>
  </si>
  <si>
    <t>Thiago Almeida</t>
  </si>
  <si>
    <t xml:space="preserve">Thiago Moura Januário </t>
  </si>
  <si>
    <t>tj</t>
  </si>
  <si>
    <t>Thiago Moura Januário</t>
  </si>
  <si>
    <t>Thiago Neumann</t>
  </si>
  <si>
    <t>tn</t>
  </si>
  <si>
    <t>Thiago Soares</t>
  </si>
  <si>
    <t>tg</t>
  </si>
  <si>
    <t xml:space="preserve">TypoStudio </t>
  </si>
  <si>
    <t>ts</t>
  </si>
  <si>
    <t>Veridiana Pegoraro Camelo</t>
  </si>
  <si>
    <t>vo</t>
  </si>
  <si>
    <t xml:space="preserve">Veridiana Scarpelli - IMAGERIA ESTUDIO </t>
  </si>
  <si>
    <t>vs</t>
  </si>
  <si>
    <t>Viridiana Scarpelli</t>
  </si>
  <si>
    <t>Victor Ferreira Lemos</t>
  </si>
  <si>
    <t>vf</t>
  </si>
  <si>
    <t>Victor Lemos</t>
  </si>
  <si>
    <t>Vinícius Soares Costa</t>
  </si>
  <si>
    <t>Vitor Locatelli</t>
  </si>
  <si>
    <t>vl</t>
  </si>
  <si>
    <t>Volpe Studio</t>
  </si>
  <si>
    <t>vp</t>
  </si>
  <si>
    <t xml:space="preserve">Waldomiro Neto </t>
  </si>
  <si>
    <t>wn</t>
  </si>
  <si>
    <t>Waldomiro Neto</t>
  </si>
  <si>
    <t xml:space="preserve">Wandson Rocha </t>
  </si>
  <si>
    <t>wr</t>
  </si>
  <si>
    <t>Wandson Rocha</t>
  </si>
  <si>
    <t>Wanick Correa Flores</t>
  </si>
  <si>
    <t>wk</t>
  </si>
  <si>
    <t>Wanick Correa</t>
  </si>
  <si>
    <t>Werllen Holanda</t>
  </si>
  <si>
    <t>wh</t>
  </si>
  <si>
    <t>EDICAO_EQUIPE</t>
  </si>
  <si>
    <t>CAPA</t>
  </si>
  <si>
    <t>SCRIBA</t>
  </si>
  <si>
    <t>PREVISAO</t>
  </si>
  <si>
    <t>Sintonia E010 - Gente Contente!</t>
  </si>
  <si>
    <t>Bons Amigos Pré Escola I - Vol 1 _PNLD2022</t>
  </si>
  <si>
    <t>MAT</t>
  </si>
  <si>
    <t>EDICAO_ARTE</t>
  </si>
  <si>
    <t>APRESENT.</t>
  </si>
  <si>
    <t>FTD</t>
  </si>
  <si>
    <t>Bons Amigos Pré Escola II - Vol 2_PNLD2022</t>
  </si>
  <si>
    <t>PORT</t>
  </si>
  <si>
    <t>ILUSTRANDO</t>
  </si>
  <si>
    <t>GRÁFICO</t>
  </si>
  <si>
    <t>SUMÁRIO</t>
  </si>
  <si>
    <t>RESGATE</t>
  </si>
  <si>
    <t>SCRIBAPLAY</t>
  </si>
  <si>
    <t>FINALIZADO RAFE</t>
  </si>
  <si>
    <t>Bons Amigos Creche - Vol 1 PNLD2022</t>
  </si>
  <si>
    <t>GRAF TEC</t>
  </si>
  <si>
    <t>ABERTURA</t>
  </si>
  <si>
    <t>Bons Amigos Creche - Vol 2 PNLD2022</t>
  </si>
  <si>
    <t>AJUSTANDO</t>
  </si>
  <si>
    <t>MAPA</t>
  </si>
  <si>
    <t>PAGO RAFE</t>
  </si>
  <si>
    <t>Bons Amigos Pré-Escola - Guia Educ Infantil - PNLD2022</t>
  </si>
  <si>
    <t>FINALIZANDO</t>
  </si>
  <si>
    <t>LINHA TEMPO</t>
  </si>
  <si>
    <t>PAG.ESPECIAL</t>
  </si>
  <si>
    <t>INFOGRÁFICO</t>
  </si>
  <si>
    <t>MP-G</t>
  </si>
  <si>
    <t>ÚNICO</t>
  </si>
  <si>
    <t>MP-E</t>
  </si>
  <si>
    <t>IL TEC PADRÃO</t>
  </si>
  <si>
    <t>IL TEC MAT</t>
  </si>
  <si>
    <t>retranca</t>
  </si>
  <si>
    <t>status</t>
  </si>
  <si>
    <t>categoria</t>
  </si>
  <si>
    <t>localizacao</t>
  </si>
  <si>
    <t>pagina</t>
  </si>
  <si>
    <t>volume</t>
  </si>
  <si>
    <t>unidade</t>
  </si>
  <si>
    <t>capitulo_secao</t>
  </si>
  <si>
    <t>tipo</t>
  </si>
  <si>
    <t>descricao</t>
  </si>
  <si>
    <t>observacao_edit_nuc</t>
  </si>
  <si>
    <t>lote</t>
  </si>
  <si>
    <t>data_liberacao_para_arte</t>
  </si>
  <si>
    <t>data_envio_pedido</t>
  </si>
  <si>
    <t>data_recebimento_rafe</t>
  </si>
  <si>
    <t>data_retorno_rafe</t>
  </si>
  <si>
    <t>data_recebimento_finalizada</t>
  </si>
  <si>
    <t>sigla</t>
  </si>
  <si>
    <t>ilustrador</t>
  </si>
  <si>
    <t>ilustrador_ajuste</t>
  </si>
  <si>
    <t>credito</t>
  </si>
  <si>
    <t>classificacao</t>
  </si>
  <si>
    <t>observacao_arte</t>
  </si>
  <si>
    <t>pagamento</t>
  </si>
  <si>
    <t>projeto</t>
  </si>
  <si>
    <t>componente</t>
  </si>
  <si>
    <t>ilustrador_resgate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</si>
</sst>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x14ac:knownFonts="1">
    <font>
      <sz val="11"/>
      <color theme="1"/>
      <name val="Calibri"/>
      <family val="2"/>
      <scheme val="minor"/>
    </font>
    <font>
      <sz val="10"/>
      <color theme="1"/>
      <name val="Arial"/>
      <family val="2"/>
    </font>
    <font>
      <sz val="10"/>
      <color rgb="FFBF9000"/>
      <name val="Arial"/>
      <family val="2"/>
    </font>
    <font>
      <sz val="9"/>
      <color indexed="81"/>
      <name val="Segoe UI"/>
      <family val="2"/>
    </font>
    <font>
      <sz val="8"/>
      <name val="Calibri"/>
      <family val="2"/>
      <scheme val="minor"/>
    </font>
    <font>
      <b/>
      <sz val="10"/>
      <color theme="1"/>
      <name val="Arial"/>
      <family val="2"/>
    </font>
    <font>
      <b/>
      <sz val="11"/>
      <color theme="1"/>
      <name val="Calibri"/>
      <family val="2"/>
      <scheme val="minor"/>
    </font>
    <font>
      <sz val="10"/>
      <name val="Arial"/>
      <family val="2"/>
    </font>
    <font>
      <sz val="11"/>
      <name val="Calibri"/>
      <family val="2"/>
      <scheme val="minor"/>
    </font>
    <font>
      <sz val="11"/>
      <color rgb="FF000000"/>
      <name val="Calibri"/>
      <family val="2"/>
    </font>
    <font>
      <u/>
      <sz val="11"/>
      <color theme="1"/>
      <name val="Calibri"/>
      <family val="2"/>
      <scheme val="minor"/>
    </font>
    <font>
      <b/>
      <sz val="11"/>
      <color theme="0"/>
      <name val="Calibri"/>
      <family val="2"/>
      <scheme val="minor"/>
    </font>
  </fonts>
  <fills count="11">
    <fill>
      <patternFill patternType="none"/>
    </fill>
    <fill>
      <patternFill patternType="gray125"/>
    </fill>
    <fill>
      <patternFill patternType="solid">
        <fgColor rgb="FFFF0000"/>
        <bgColor indexed="64"/>
      </patternFill>
    </fill>
    <fill>
      <patternFill patternType="solid">
        <fgColor theme="9" tint="-0.249977111117893"/>
        <bgColor indexed="64"/>
      </patternFill>
    </fill>
    <fill>
      <patternFill patternType="solid">
        <fgColor rgb="FFFFFFFF"/>
        <bgColor indexed="64"/>
      </patternFill>
    </fill>
    <fill>
      <patternFill patternType="solid">
        <fgColor rgb="FFFFFFFF"/>
        <bgColor rgb="FFFFFFFF"/>
      </patternFill>
    </fill>
    <fill>
      <patternFill patternType="solid">
        <fgColor rgb="FFFFC5C5"/>
        <bgColor indexed="64"/>
      </patternFill>
    </fill>
    <fill>
      <patternFill patternType="solid">
        <fgColor theme="0"/>
        <bgColor indexed="64"/>
      </patternFill>
    </fill>
    <fill>
      <patternFill patternType="solid">
        <fgColor theme="3" tint="0.249977111117893"/>
        <bgColor indexed="64"/>
      </patternFill>
    </fill>
    <fill>
      <patternFill patternType="solid">
        <fgColor rgb="FFCC9900"/>
        <bgColor indexed="64"/>
      </patternFill>
    </fill>
    <fill>
      <patternFill patternType="solid">
        <fgColor theme="9" tint="-0.249977111117893"/>
        <bgColor theme="1"/>
      </patternFill>
    </fill>
  </fills>
  <borders count="6">
    <border>
      <left/>
      <right/>
      <top/>
      <bottom/>
      <diagonal/>
    </border>
    <border>
      <left style="thin">
        <color theme="4" tint="0.39997558519241921"/>
      </left>
      <right style="thin">
        <color theme="4" tint="0.39997558519241921"/>
      </right>
      <top style="thin">
        <color theme="4" tint="0.39997558519241921"/>
      </top>
      <bottom/>
      <diagonal/>
    </border>
    <border>
      <left style="thin">
        <color indexed="64"/>
      </left>
      <right style="thin">
        <color indexed="64"/>
      </right>
      <top style="thin">
        <color indexed="64"/>
      </top>
      <bottom style="thin">
        <color indexed="64"/>
      </bottom>
      <diagonal/>
    </border>
    <border>
      <left style="thin">
        <color theme="1"/>
      </left>
      <right/>
      <top style="thin">
        <color theme="1"/>
      </top>
      <bottom/>
      <diagonal/>
    </border>
    <border>
      <left/>
      <right/>
      <top style="thin">
        <color theme="1"/>
      </top>
      <bottom/>
      <diagonal/>
    </border>
    <border>
      <left/>
      <right style="thin">
        <color theme="1"/>
      </right>
      <top style="thin">
        <color theme="1"/>
      </top>
      <bottom/>
      <diagonal/>
    </border>
  </borders>
  <cellStyleXfs count="1">
    <xf numFmtId="0" fontId="0" fillId="0" borderId="0"/>
  </cellStyleXfs>
  <cellXfs count="51">
    <xf numFmtId="0" fontId="0" fillId="0" borderId="0" xfId="0"/>
    <xf numFmtId="0" fontId="0" fillId="0" borderId="0" xfId="0" applyAlignment="1">
      <alignment horizontal="center" vertical="center"/>
    </xf>
    <xf numFmtId="0" fontId="1" fillId="4" borderId="0" xfId="0" applyFont="1" applyFill="1" applyAlignment="1">
      <alignment wrapText="1"/>
    </xf>
    <xf numFmtId="0" fontId="2" fillId="4" borderId="0" xfId="0" applyFont="1" applyFill="1" applyAlignment="1">
      <alignment vertical="center"/>
    </xf>
    <xf numFmtId="0" fontId="0" fillId="0" borderId="0" xfId="0" applyAlignment="1">
      <alignment horizontal="center"/>
    </xf>
    <xf numFmtId="0" fontId="1" fillId="4" borderId="0" xfId="0" applyFont="1" applyFill="1" applyAlignment="1">
      <alignment horizontal="center" wrapText="1"/>
    </xf>
    <xf numFmtId="0" fontId="1" fillId="5" borderId="0" xfId="0" applyFont="1" applyFill="1"/>
    <xf numFmtId="0" fontId="0" fillId="0" borderId="0" xfId="0" applyAlignment="1" applyProtection="1">
      <alignment horizontal="center"/>
      <protection locked="0"/>
    </xf>
    <xf numFmtId="0" fontId="0" fillId="0" borderId="0" xfId="0" applyProtection="1">
      <protection locked="0"/>
    </xf>
    <xf numFmtId="14" fontId="0" fillId="0" borderId="0" xfId="0" applyNumberFormat="1" applyProtection="1">
      <protection locked="0"/>
    </xf>
    <xf numFmtId="0" fontId="0" fillId="0" borderId="2" xfId="0" applyBorder="1" applyAlignment="1" applyProtection="1">
      <alignment horizontal="center" vertical="center"/>
      <protection locked="0"/>
    </xf>
    <xf numFmtId="0" fontId="1" fillId="0" borderId="2" xfId="0" applyFont="1" applyBorder="1" applyAlignment="1" applyProtection="1">
      <alignment horizontal="center" vertical="center" wrapText="1"/>
      <protection locked="0"/>
    </xf>
    <xf numFmtId="0" fontId="5" fillId="0" borderId="2" xfId="0" applyFont="1" applyBorder="1" applyAlignment="1" applyProtection="1">
      <alignment horizontal="center" vertical="center" wrapText="1"/>
      <protection locked="0"/>
    </xf>
    <xf numFmtId="0" fontId="0" fillId="0" borderId="2" xfId="0" applyBorder="1" applyAlignment="1" applyProtection="1">
      <alignment horizontal="left" vertical="center"/>
      <protection locked="0"/>
    </xf>
    <xf numFmtId="0" fontId="0" fillId="0" borderId="2" xfId="0" applyBorder="1" applyAlignment="1" applyProtection="1">
      <alignment vertical="center"/>
      <protection locked="0"/>
    </xf>
    <xf numFmtId="14" fontId="0" fillId="0" borderId="2" xfId="0" applyNumberFormat="1" applyBorder="1" applyAlignment="1" applyProtection="1">
      <alignment vertical="center"/>
      <protection locked="0"/>
    </xf>
    <xf numFmtId="0" fontId="0" fillId="0" borderId="0" xfId="0" applyAlignment="1" applyProtection="1">
      <alignment horizontal="center" vertical="center"/>
      <protection locked="0"/>
    </xf>
    <xf numFmtId="0" fontId="0" fillId="0" borderId="0" xfId="0" applyAlignment="1">
      <alignment wrapText="1"/>
    </xf>
    <xf numFmtId="0" fontId="0" fillId="0" borderId="2" xfId="0" applyBorder="1" applyAlignment="1" applyProtection="1">
      <alignment vertical="center" wrapText="1"/>
      <protection locked="0"/>
    </xf>
    <xf numFmtId="14" fontId="0" fillId="0" borderId="2" xfId="0" applyNumberFormat="1" applyBorder="1" applyAlignment="1" applyProtection="1">
      <alignment horizontal="center" vertical="center"/>
      <protection locked="0"/>
    </xf>
    <xf numFmtId="0" fontId="6" fillId="0" borderId="2" xfId="0" applyFont="1" applyBorder="1" applyAlignment="1" applyProtection="1">
      <alignment horizontal="center" vertical="center"/>
      <protection locked="0"/>
    </xf>
    <xf numFmtId="0" fontId="6" fillId="0" borderId="0" xfId="0" applyFont="1" applyAlignment="1" applyProtection="1">
      <alignment horizontal="center"/>
      <protection locked="0"/>
    </xf>
    <xf numFmtId="0" fontId="0" fillId="0" borderId="0" xfId="0" applyAlignment="1">
      <alignment horizontal="left" vertical="center" wrapText="1"/>
    </xf>
    <xf numFmtId="0" fontId="0" fillId="0" borderId="0" xfId="0" applyAlignment="1">
      <alignment horizontal="left" vertical="center"/>
    </xf>
    <xf numFmtId="0" fontId="0" fillId="0" borderId="2" xfId="0" applyBorder="1" applyAlignment="1" applyProtection="1">
      <alignment horizontal="left" vertical="center" wrapText="1"/>
      <protection locked="0"/>
    </xf>
    <xf numFmtId="0" fontId="1" fillId="0" borderId="2" xfId="0" applyFont="1" applyBorder="1" applyAlignment="1" applyProtection="1">
      <alignment horizontal="left" vertical="center" wrapText="1"/>
      <protection locked="0"/>
    </xf>
    <xf numFmtId="0" fontId="0" fillId="7" borderId="2" xfId="0" applyFill="1" applyBorder="1" applyAlignment="1" applyProtection="1">
      <alignment horizontal="left" vertical="center"/>
      <protection locked="0"/>
    </xf>
    <xf numFmtId="0" fontId="0" fillId="0" borderId="0" xfId="0" applyAlignment="1" applyProtection="1">
      <alignment horizontal="left" vertical="center"/>
      <protection locked="0"/>
    </xf>
    <xf numFmtId="0" fontId="7" fillId="4" borderId="0" xfId="0" applyFont="1" applyFill="1" applyAlignment="1">
      <alignment vertical="center"/>
    </xf>
    <xf numFmtId="0" fontId="7" fillId="4" borderId="0" xfId="0" applyFont="1" applyFill="1" applyAlignment="1">
      <alignment wrapText="1"/>
    </xf>
    <xf numFmtId="0" fontId="8" fillId="0" borderId="0" xfId="0" applyFont="1"/>
    <xf numFmtId="0" fontId="0" fillId="0" borderId="0" xfId="0" applyAlignment="1" applyProtection="1">
      <alignment wrapText="1"/>
      <protection locked="0"/>
    </xf>
    <xf numFmtId="0" fontId="0" fillId="6" borderId="2" xfId="0" applyFill="1" applyBorder="1" applyAlignment="1" applyProtection="1">
      <alignment vertical="center"/>
      <protection locked="0"/>
    </xf>
    <xf numFmtId="0" fontId="0" fillId="6" borderId="2" xfId="0" applyFill="1" applyBorder="1" applyAlignment="1">
      <alignment horizontal="center" vertical="center"/>
    </xf>
    <xf numFmtId="0" fontId="0" fillId="0" borderId="0" xfId="0" applyAlignment="1" applyProtection="1">
      <alignment vertical="top"/>
      <protection locked="0"/>
    </xf>
    <xf numFmtId="14" fontId="10" fillId="0" borderId="2" xfId="0" applyNumberFormat="1" applyFont="1" applyBorder="1" applyAlignment="1" applyProtection="1">
      <alignment horizontal="center" vertical="center"/>
      <protection locked="0"/>
    </xf>
    <xf numFmtId="0" fontId="11" fillId="3" borderId="4" xfId="0" applyFont="1" applyFill="1" applyBorder="1" applyAlignment="1" applyProtection="1">
      <alignment horizontal="center" vertical="center" wrapText="1"/>
      <protection locked="0"/>
    </xf>
    <xf numFmtId="0" fontId="11" fillId="8" borderId="3" xfId="0" applyFont="1" applyFill="1" applyBorder="1" applyAlignment="1">
      <alignment horizontal="center" vertical="center" wrapText="1"/>
    </xf>
    <xf numFmtId="0" fontId="11" fillId="8" borderId="4" xfId="0" applyFont="1" applyFill="1" applyBorder="1" applyAlignment="1">
      <alignment horizontal="center" vertical="center" wrapText="1"/>
    </xf>
    <xf numFmtId="14" fontId="11" fillId="8" borderId="4" xfId="0" applyNumberFormat="1" applyFont="1" applyFill="1" applyBorder="1" applyAlignment="1">
      <alignment horizontal="center" vertical="center" wrapText="1"/>
    </xf>
    <xf numFmtId="14" fontId="11" fillId="9" borderId="4" xfId="0" applyNumberFormat="1" applyFont="1" applyFill="1" applyBorder="1" applyAlignment="1">
      <alignment horizontal="center" vertical="center" wrapText="1"/>
    </xf>
    <xf numFmtId="14" fontId="11" fillId="9" borderId="1" xfId="0" applyNumberFormat="1" applyFont="1" applyFill="1" applyBorder="1" applyAlignment="1">
      <alignment horizontal="center" vertical="center" wrapText="1"/>
    </xf>
    <xf numFmtId="0" fontId="11" fillId="2" borderId="1" xfId="0" applyFont="1" applyFill="1" applyBorder="1" applyAlignment="1" applyProtection="1">
      <alignment vertical="center" wrapText="1"/>
      <protection locked="0"/>
    </xf>
    <xf numFmtId="0" fontId="11" fillId="9" borderId="1" xfId="0" applyFont="1" applyFill="1" applyBorder="1" applyAlignment="1">
      <alignment horizontal="center" vertical="center" wrapText="1"/>
    </xf>
    <xf numFmtId="0" fontId="11" fillId="2" borderId="1" xfId="0" applyFont="1" applyFill="1" applyBorder="1" applyAlignment="1">
      <alignment horizontal="center" vertical="center" wrapText="1"/>
    </xf>
    <xf numFmtId="0" fontId="11" fillId="10" borderId="5" xfId="0" applyFont="1" applyFill="1" applyBorder="1" applyAlignment="1">
      <alignment horizontal="center" vertical="center" wrapText="1"/>
    </xf>
    <xf numFmtId="0" fontId="0" fillId="0" borderId="0" xfId="0" applyAlignment="1">
      <alignment horizontal="center" vertical="center" wrapText="1"/>
    </xf>
    <xf numFmtId="0" fontId="0" fillId="0" borderId="0" xfId="0" applyAlignment="1">
      <alignment vertical="center"/>
    </xf>
    <xf numFmtId="0" fontId="0" fillId="0" borderId="0" xfId="0" applyBorder="1" applyAlignment="1" applyProtection="1">
      <alignment horizontal="center" vertical="center"/>
      <protection locked="0"/>
    </xf>
    <xf numFmtId="0" fontId="9" fillId="0" borderId="2" xfId="0" applyFont="1" applyBorder="1" applyProtection="1">
      <protection locked="0"/>
    </xf>
    <xf numFmtId="0" fontId="0" fillId="0" borderId="0" xfId="0" applyBorder="1" applyAlignment="1" applyProtection="1">
      <alignment vertical="center"/>
      <protection locked="0"/>
    </xf>
  </cellXfs>
  <cellStyles count="1">
    <cellStyle name="Normal" xfId="0" builtinId="0"/>
  </cellStyles>
  <dxfs count="36">
    <dxf>
      <numFmt numFmtId="0" formatCode="General"/>
      <alignment vertical="center" textRotation="0" indent="0" justifyLastLine="0" shrinkToFit="0" readingOrder="0"/>
    </dxf>
    <dxf>
      <numFmt numFmtId="0" formatCode="General"/>
      <fill>
        <patternFill patternType="solid">
          <fgColor indexed="64"/>
          <bgColor rgb="FFFFC5C5"/>
        </patternFill>
      </fill>
      <alignment vertical="center" textRotation="0" indent="0" justifyLastLine="0" shrinkToFit="0" readingOrder="0"/>
      <border diagonalUp="0" diagonalDown="0">
        <left style="thin">
          <color indexed="64"/>
        </left>
        <right style="thin">
          <color indexed="64"/>
        </right>
        <top style="thin">
          <color indexed="64"/>
        </top>
        <bottom style="thin">
          <color indexed="64"/>
        </bottom>
      </border>
      <protection locked="0" hidden="0"/>
    </dxf>
    <dxf>
      <alignment vertical="center" textRotation="0" indent="0" justifyLastLine="0" shrinkToFit="0" readingOrder="0"/>
    </dxf>
    <dxf>
      <numFmt numFmtId="0" formatCode="General"/>
    </dxf>
    <dxf>
      <numFmt numFmtId="0" formatCode="General"/>
    </dxf>
    <dxf>
      <numFmt numFmtId="0" formatCode="General"/>
    </dxf>
    <dxf>
      <fill>
        <patternFill patternType="none">
          <fgColor indexed="64"/>
          <bgColor auto="1"/>
        </patternFill>
      </fill>
      <alignment vertical="center" textRotation="0" indent="0" justifyLastLine="0" shrinkToFit="0" readingOrder="0"/>
      <border diagonalUp="0" diagonalDown="0">
        <left style="thin">
          <color indexed="64"/>
        </left>
        <right style="thin">
          <color indexed="64"/>
        </right>
        <top style="thin">
          <color indexed="64"/>
        </top>
        <bottom style="thin">
          <color indexed="64"/>
        </bottom>
      </border>
      <protection locked="0" hidden="0"/>
    </dxf>
    <dxf>
      <fill>
        <patternFill patternType="none">
          <fgColor indexed="64"/>
          <bgColor auto="1"/>
        </patternFill>
      </fill>
      <alignment vertical="center" textRotation="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protection locked="0" hidden="0"/>
    </dxf>
    <dxf>
      <fill>
        <patternFill patternType="none">
          <fgColor indexed="64"/>
          <bgColor auto="1"/>
        </patternFill>
      </fill>
      <alignment horizontal="general"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protection locked="0" hidden="0"/>
    </dxf>
    <dxf>
      <numFmt numFmtId="0" formatCode="General"/>
      <fill>
        <patternFill patternType="none">
          <fgColor indexed="64"/>
          <bgColor auto="1"/>
        </patternFill>
      </fill>
      <alignment vertical="center" textRotation="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protection locked="0" hidden="0"/>
    </dxf>
    <dxf>
      <fill>
        <patternFill patternType="none">
          <fgColor indexed="64"/>
          <bgColor auto="1"/>
        </patternFill>
      </fill>
      <alignment vertical="center" textRotation="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protection locked="0" hidden="0"/>
    </dxf>
    <dxf>
      <numFmt numFmtId="0" formatCode="General"/>
      <fill>
        <patternFill patternType="solid">
          <fgColor indexed="64"/>
          <bgColor rgb="FFFFC5C5"/>
        </patternFill>
      </fill>
      <alignment vertical="center" textRotation="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protection locked="1" hidden="0"/>
    </dxf>
    <dxf>
      <fill>
        <patternFill patternType="none">
          <fgColor indexed="64"/>
          <bgColor auto="1"/>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protection locked="0" hidden="0"/>
    </dxf>
    <dxf>
      <numFmt numFmtId="19" formatCode="dd/mm/yyyy"/>
      <fill>
        <patternFill patternType="none">
          <fgColor indexed="64"/>
          <bgColor auto="1"/>
        </patternFill>
      </fill>
      <alignment vertical="center" textRotation="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protection locked="0" hidden="0"/>
    </dxf>
    <dxf>
      <numFmt numFmtId="19" formatCode="dd/mm/yyyy"/>
      <fill>
        <patternFill patternType="none">
          <fgColor indexed="64"/>
          <bgColor auto="1"/>
        </patternFill>
      </fill>
      <alignment vertical="center" textRotation="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protection locked="0" hidden="0"/>
    </dxf>
    <dxf>
      <numFmt numFmtId="19" formatCode="dd/mm/yyyy"/>
      <fill>
        <patternFill patternType="none">
          <fgColor indexed="64"/>
          <bgColor auto="1"/>
        </patternFill>
      </fill>
      <alignment vertical="center" textRotation="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protection locked="0" hidden="0"/>
    </dxf>
    <dxf>
      <numFmt numFmtId="19" formatCode="dd/mm/yyyy"/>
      <fill>
        <patternFill patternType="none">
          <fgColor indexed="64"/>
          <bgColor auto="1"/>
        </patternFill>
      </fill>
      <alignment vertical="center" textRotation="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protection locked="0" hidden="0"/>
    </dxf>
    <dxf>
      <numFmt numFmtId="19" formatCode="dd/mm/yyyy"/>
      <fill>
        <patternFill patternType="none">
          <fgColor indexed="64"/>
          <bgColor auto="1"/>
        </patternFill>
      </fill>
      <alignment vertical="center" textRotation="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protection locked="0" hidden="0"/>
    </dxf>
    <dxf>
      <fill>
        <patternFill patternType="none">
          <fgColor indexed="64"/>
          <bgColor auto="1"/>
        </patternFill>
      </fill>
      <alignment vertical="center" textRotation="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protection locked="0" hidden="0"/>
    </dxf>
    <dxf>
      <fill>
        <patternFill patternType="none">
          <fgColor indexed="64"/>
          <bgColor auto="1"/>
        </patternFill>
      </fill>
      <alignment vertical="center" textRotation="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protection locked="0" hidden="0"/>
    </dxf>
    <dxf>
      <fill>
        <patternFill patternType="none">
          <fgColor indexed="64"/>
          <bgColor auto="1"/>
        </patternFill>
      </fill>
      <alignment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protection locked="0" hidden="0"/>
    </dxf>
    <dxf>
      <fill>
        <patternFill patternType="none">
          <fgColor indexed="64"/>
          <bgColor auto="1"/>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ill>
        <patternFill patternType="none">
          <fgColor indexed="64"/>
          <bgColor auto="1"/>
        </patternFill>
      </fill>
      <alignment horizontal="center" vertical="center" textRotation="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protection locked="0" hidden="0"/>
    </dxf>
    <dxf>
      <fill>
        <patternFill patternType="none">
          <fgColor indexed="64"/>
          <bgColor auto="1"/>
        </patternFill>
      </fill>
      <alignment horizontal="center" vertical="center" textRotation="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protection locked="0" hidden="0"/>
    </dxf>
    <dxf>
      <fill>
        <patternFill patternType="none">
          <fgColor indexed="64"/>
          <bgColor auto="1"/>
        </patternFill>
      </fill>
      <alignment horizontal="center" vertical="center" textRotation="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protection locked="0" hidden="0"/>
    </dxf>
    <dxf>
      <fill>
        <patternFill patternType="none">
          <fgColor indexed="64"/>
          <bgColor auto="1"/>
        </patternFill>
      </fill>
      <alignment horizontal="center" vertical="center" textRotation="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font>
      <fill>
        <patternFill patternType="none">
          <fgColor indexed="64"/>
          <bgColor auto="1"/>
        </patternFill>
      </fill>
      <alignment horizontal="center" vertical="center" textRotation="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protection locked="0" hidden="0"/>
    </dxf>
    <dxf>
      <fill>
        <patternFill patternType="none">
          <fgColor indexed="64"/>
          <bgColor auto="1"/>
        </patternFill>
      </fill>
      <alignment horizontal="center" vertical="center" textRotation="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protection locked="0" hidden="0"/>
    </dxf>
    <dxf>
      <fill>
        <patternFill patternType="none">
          <fgColor indexed="64"/>
          <bgColor auto="1"/>
        </patternFill>
      </fill>
      <alignment horizontal="center" vertical="center" textRotation="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protection locked="0" hidden="0"/>
    </dxf>
    <dxf>
      <fill>
        <patternFill patternType="none">
          <fgColor indexed="64"/>
          <bgColor auto="1"/>
        </patternFill>
      </fill>
      <alignment horizontal="center" vertical="center" textRotation="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protection locked="0" hidden="0"/>
    </dxf>
    <dxf>
      <fill>
        <patternFill patternType="none">
          <fgColor indexed="64"/>
          <bgColor auto="1"/>
        </patternFill>
      </fill>
      <alignment horizontal="center" vertical="center" textRotation="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protection locked="0" hidden="0"/>
    </dxf>
    <dxf>
      <fill>
        <patternFill patternType="none">
          <fgColor indexed="64"/>
          <bgColor auto="1"/>
        </patternFill>
      </fill>
      <alignment horizontal="center" vertical="center" textRotation="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protection locked="0" hidden="0"/>
    </dxf>
    <dxf>
      <fill>
        <patternFill patternType="none">
          <fgColor indexed="64"/>
          <bgColor auto="1"/>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protection locked="0" hidden="0"/>
    </dxf>
    <dxf>
      <fill>
        <patternFill patternType="none">
          <fgColor indexed="64"/>
          <bgColor auto="1"/>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protection locked="0" hidden="0"/>
    </dxf>
    <dxf>
      <fill>
        <patternFill patternType="none">
          <fgColor indexed="64"/>
          <bgColor auto="1"/>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alignment vertical="center" textRotation="0" indent="0" justifyLastLine="0" shrinkToFit="0" readingOrder="0"/>
    </dxf>
  </dxfs>
  <tableStyles count="0" defaultTableStyle="TableStyleMedium2" defaultPivotStyle="PivotStyleLight16"/>
  <colors>
    <mruColors>
      <color rgb="FFFFC5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connections" Target="connections.xml"/><Relationship Id="rId4" Type="http://schemas.openxmlformats.org/officeDocument/2006/relationships/theme" Target="theme/theme1.xml"/></Relationships>
</file>

<file path=xl/drawings/drawing1.xml><?xml version="1.0" encoding="utf-8"?>
<xdr:wsDr xmlns:xdr="http://schemas.openxmlformats.org/drawingml/2006/spreadsheetDrawing" xmlns:a="http://schemas.openxmlformats.org/drawingml/2006/main">
  <xdr:oneCellAnchor>
    <xdr:from>
      <xdr:col>15</xdr:col>
      <xdr:colOff>0</xdr:colOff>
      <xdr:row>225</xdr:row>
      <xdr:rowOff>0</xdr:rowOff>
    </xdr:from>
    <xdr:ext cx="184731" cy="264560"/>
    <xdr:sp macro="" textlink="">
      <xdr:nvSpPr>
        <xdr:cNvPr id="12" name="CaixaDeTexto 11">
          <a:extLst>
            <a:ext uri="{FF2B5EF4-FFF2-40B4-BE49-F238E27FC236}">
              <a16:creationId xmlns:a16="http://schemas.microsoft.com/office/drawing/2014/main" id="{C0D0B432-8808-E101-96C9-A52FA9314447}"/>
            </a:ext>
          </a:extLst>
        </xdr:cNvPr>
        <xdr:cNvSpPr txBox="1"/>
      </xdr:nvSpPr>
      <xdr:spPr>
        <a:xfrm>
          <a:off x="20507325" y="2809875"/>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pt-BR" sz="1100"/>
        </a:p>
      </xdr:txBody>
    </xdr:sp>
    <xdr:clientData/>
  </xdr:oneCellAnchor>
</xdr:wsDr>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DadosExternos_2" connectionId="2" xr16:uid="{5D2C13B5-383F-4530-A99C-D3CB14C69588}" autoFormatId="16" applyNumberFormats="0" applyBorderFormats="0" applyFontFormats="0" applyPatternFormats="0" applyAlignmentFormats="0" applyWidthHeightFormats="0">
  <queryTableRefresh nextId="27">
    <queryTableFields count="3">
      <queryTableField id="1" name="ATUALIZADO EM 17/07/2023" tableColumnId="1"/>
      <queryTableField id="2" name="SIGLA ARTE" tableColumnId="2"/>
      <queryTableField id="3" name="CRÉDITO A SER PUBLICADO" tableColumnId="3"/>
    </queryTableFields>
    <queryTableDeletedFields count="23">
      <deletedField name="Column4"/>
      <deletedField name="Column5"/>
      <deletedField name="Column6"/>
      <deletedField name="Column7"/>
      <deletedField name="Column8"/>
      <deletedField name="Column9"/>
      <deletedField name="Column10"/>
      <deletedField name="Column11"/>
      <deletedField name="Column12"/>
      <deletedField name="Column13"/>
      <deletedField name="Column14"/>
      <deletedField name="Column15"/>
      <deletedField name="Column16"/>
      <deletedField name="Column17"/>
      <deletedField name="Column18"/>
      <deletedField name="Column19"/>
      <deletedField name="Column20"/>
      <deletedField name="Column21"/>
      <deletedField name="Column22"/>
      <deletedField name="Column23"/>
      <deletedField name="Column24"/>
      <deletedField name="Column25"/>
      <deletedField name="Column26"/>
    </queryTableDeletedFields>
  </queryTableRefresh>
</queryTable>
</file>

<file path=xl/tables/_rels/table2.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165F8BA-DDD4-4801-9886-F4BA0F4995B3}" name="STAT" displayName="STAT" ref="A1:AF225" totalsRowShown="0" dataDxfId="35">
  <autoFilter ref="A1:AF225" xr:uid="{E165F8BA-DDD4-4801-9886-F4BA0F4995B3}"/>
  <sortState xmlns:xlrd2="http://schemas.microsoft.com/office/spreadsheetml/2017/richdata2" ref="A2:AF225">
    <sortCondition ref="A1:A225"/>
  </sortState>
  <tableColumns count="32">
    <tableColumn id="3" xr3:uid="{79764688-5733-4708-A963-D86A93E99502}" name="retranca" dataDxfId="34"/>
    <tableColumn id="4" xr3:uid="{F4D6860E-F9E5-4226-BE4A-085EF905E108}" name="status" dataDxfId="33"/>
    <tableColumn id="5" xr3:uid="{FDA8529D-7CC0-4CF4-BA4D-F3B1985DD80F}" name="categoria" dataDxfId="32"/>
    <tableColumn id="6" xr3:uid="{2A270988-BF58-44CE-9E7C-6612F7F6084C}" name="localizacao" dataDxfId="31"/>
    <tableColumn id="7" xr3:uid="{A5CCE7ED-62A7-49A8-A1B4-83ABB42FA914}" name="pagina" dataDxfId="30"/>
    <tableColumn id="8" xr3:uid="{A5570D63-BA8F-4145-833D-523E6552C87E}" name="volume" dataDxfId="29"/>
    <tableColumn id="9" xr3:uid="{2EC71D1F-A09E-422E-A999-F0DBEE2397B5}" name="unidade" dataDxfId="28"/>
    <tableColumn id="10" xr3:uid="{8618B8D2-1763-4CBF-80BA-D247CCCCEA59}" name="capitulo_secao" dataDxfId="27"/>
    <tableColumn id="11" xr3:uid="{77BEDB7B-AFF9-4F1B-8960-96986297B9A5}" name="tipo" dataDxfId="26"/>
    <tableColumn id="12" xr3:uid="{D83F2011-5608-40C2-B53B-ADEFB7F72300}" name="NOME DA OBRA_x000a_ PARA RESGATE" dataDxfId="25"/>
    <tableColumn id="13" xr3:uid="{041164D8-7ACF-4F23-8368-3CEDCDB81B36}" name="PÁGINA PARA RESGATE" dataDxfId="24"/>
    <tableColumn id="14" xr3:uid="{32A0632B-7090-4A4F-A498-1A50C1E4292B}" name="VOLUME PARA RESGATE" dataDxfId="23"/>
    <tableColumn id="15" xr3:uid="{33113DA6-0281-4B34-97EA-B026FCC0150B}" name="VERSÃO PARA RESGATE" dataDxfId="22"/>
    <tableColumn id="16" xr3:uid="{4BE61EEA-04AD-4387-B63C-CCA491EDFF45}" name="PROPRIEDADE" dataDxfId="21"/>
    <tableColumn id="17" xr3:uid="{D3FCFCEA-5D20-4890-9D85-6C559107F5BC}" name="descricao" dataDxfId="20"/>
    <tableColumn id="19" xr3:uid="{AF7AB69E-A7C9-4096-9602-FA4522964412}" name="observacao_edit_nuc" dataDxfId="19"/>
    <tableColumn id="20" xr3:uid="{B3D4B613-E88D-4AA4-A701-0DBACE65F8D3}" name="lote" dataDxfId="18"/>
    <tableColumn id="21" xr3:uid="{29D024E0-DD1A-4F91-B77D-DCDB3792B910}" name="data_liberacao_para_arte" dataDxfId="17"/>
    <tableColumn id="22" xr3:uid="{94F986EF-B305-46B7-B347-208C3C3890F3}" name="data_envio_pedido" dataDxfId="16"/>
    <tableColumn id="24" xr3:uid="{A3F57D5C-FA07-4CEE-944E-5608AF1387BF}" name="data_recebimento_rafe" dataDxfId="15"/>
    <tableColumn id="25" xr3:uid="{7E9ADEC2-5BFD-40AE-AE14-FC125C946342}" name="data_retorno_rafe" dataDxfId="14"/>
    <tableColumn id="26" xr3:uid="{8ADF9C41-1FF9-4047-95F3-F97562561A4E}" name="data_recebimento_finalizada" dataDxfId="13"/>
    <tableColumn id="27" xr3:uid="{15CF7325-8A27-4785-A934-4EE5126711CF}" name="sigla" dataDxfId="12"/>
    <tableColumn id="28" xr3:uid="{CCE623E1-CEC9-425E-9B31-18F88A3F8ABD}" name="ilustrador" dataDxfId="11">
      <calculatedColumnFormula>IF(STAT[[#This Row],[sigla]]="","",VLOOKUP(STAT[[#This Row],[sigla]],créditos_base!B:C,2,0))</calculatedColumnFormula>
    </tableColumn>
    <tableColumn id="29" xr3:uid="{3491B0AF-2F14-437E-8820-D238F07CCCAC}" name="ilustrador_ajuste" dataDxfId="10"/>
    <tableColumn id="31" xr3:uid="{D13CC50C-B3FE-49D0-90E2-7AB224ABA24A}" name="credito" dataDxfId="9"/>
    <tableColumn id="32" xr3:uid="{1CB107D6-30FB-49EC-A905-43B220FEB055}" name="classificacao" dataDxfId="8"/>
    <tableColumn id="33" xr3:uid="{1E6AA802-AB3F-4E96-93BC-B545A284E41E}" name="observacao_arte" dataDxfId="7"/>
    <tableColumn id="30" xr3:uid="{02C0DC24-AF57-4413-ACC4-230A6ADA34D8}" name="pagamento" dataDxfId="6"/>
    <tableColumn id="1" xr3:uid="{CA1FF9FD-BA57-410B-A1F0-55AE85063DE2}" name="projeto" dataDxfId="1">
      <calculatedColumnFormula>"Sintonia Educação Infantil P009m"</calculatedColumnFormula>
    </tableColumn>
    <tableColumn id="2" xr3:uid="{03913BC8-67C2-4058-A8A1-6F17914D4587}" name="componente" dataDxfId="0">
      <calculatedColumnFormula>"Edinfa"</calculatedColumnFormula>
    </tableColumn>
    <tableColumn id="18" xr3:uid="{4234F654-F45A-48C4-B7B8-D98DE7B6FD87}" name="ilustrador_resgate" dataDxfId="2"/>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C9E574CC-1F2B-445E-8EBE-559950FA6727}" name="CRÉDITOS_GERAIS" displayName="CRÉDITOS_GERAIS" ref="A1:C342" tableType="queryTable" totalsRowShown="0">
  <autoFilter ref="A1:C342" xr:uid="{C9E574CC-1F2B-445E-8EBE-559950FA6727}"/>
  <tableColumns count="3">
    <tableColumn id="1" xr3:uid="{DD8F8F16-A18A-41A0-B9BB-26594911DC78}" uniqueName="1" name="ATUALIZADO EM 22/08/2025" queryTableFieldId="1" dataDxfId="5"/>
    <tableColumn id="2" xr3:uid="{1899BC92-227E-4681-ADC2-F15E248A9EE5}" uniqueName="2" name="SIGLA ARTE" queryTableFieldId="2" dataDxfId="4"/>
    <tableColumn id="3" xr3:uid="{E754D8A2-74E4-4167-90B8-82E88E59C729}" uniqueName="3" name="CRÉDITO A SER PUBLICADO" queryTableFieldId="3" dataDxfId="3"/>
  </tableColumns>
  <tableStyleInfo name="TableStyleMedium7" showFirstColumn="0" showLastColumn="0" showRowStripes="1" showColumnStripes="0"/>
</table>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printerSettings" Target="../printerSettings/printerSettings1.bin"/><Relationship Id="rId5" Type="http://schemas.openxmlformats.org/officeDocument/2006/relationships/comments" Target="../comments1.xml"/><Relationship Id="rId4"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8F9F0B-776B-4BCA-8B21-F3103B732D38}">
  <sheetPr codeName="Planilha1"/>
  <dimension ref="A1:AF227"/>
  <sheetViews>
    <sheetView tabSelected="1" topLeftCell="Y221" zoomScaleNormal="100" workbookViewId="0">
      <selection activeCell="AD225" sqref="AD225"/>
    </sheetView>
  </sheetViews>
  <sheetFormatPr defaultRowHeight="14.4" x14ac:dyDescent="0.3"/>
  <cols>
    <col min="1" max="1" width="30.44140625" style="16" customWidth="1"/>
    <col min="2" max="2" width="15.33203125" style="7" customWidth="1"/>
    <col min="3" max="3" width="17" style="7" customWidth="1"/>
    <col min="4" max="4" width="12.44140625" style="7" customWidth="1"/>
    <col min="5" max="5" width="8.6640625" style="7" customWidth="1"/>
    <col min="6" max="6" width="8.33203125" style="7" customWidth="1"/>
    <col min="7" max="7" width="9.88671875" style="7" customWidth="1"/>
    <col min="8" max="8" width="14.5546875" style="7" customWidth="1"/>
    <col min="9" max="9" width="13.44140625" style="21" customWidth="1"/>
    <col min="10" max="10" width="40" style="16" customWidth="1"/>
    <col min="11" max="11" width="16.6640625" style="7" customWidth="1"/>
    <col min="12" max="12" width="17.44140625" style="7" customWidth="1"/>
    <col min="13" max="14" width="15.88671875" style="7" customWidth="1"/>
    <col min="15" max="15" width="88.88671875" style="31" customWidth="1"/>
    <col min="16" max="16" width="18" style="8" customWidth="1"/>
    <col min="17" max="17" width="11.33203125" style="8" customWidth="1"/>
    <col min="18" max="18" width="20.6640625" style="9" customWidth="1"/>
    <col min="19" max="19" width="15.5546875" style="9" customWidth="1"/>
    <col min="20" max="20" width="15.44140625" style="9" customWidth="1"/>
    <col min="21" max="21" width="15" style="9" customWidth="1"/>
    <col min="22" max="22" width="15.33203125" style="9" customWidth="1"/>
    <col min="23" max="23" width="11.33203125" style="8" customWidth="1"/>
    <col min="24" max="24" width="41.44140625" customWidth="1"/>
    <col min="25" max="25" width="38.6640625" style="8" customWidth="1"/>
    <col min="26" max="26" width="40.109375" style="8" bestFit="1" customWidth="1"/>
    <col min="27" max="27" width="17.109375" style="8" bestFit="1" customWidth="1"/>
    <col min="28" max="28" width="39.33203125" style="8" bestFit="1" customWidth="1"/>
    <col min="29" max="29" width="18.33203125" style="8" customWidth="1"/>
    <col min="30" max="30" width="35.88671875" customWidth="1"/>
  </cols>
  <sheetData>
    <row r="1" spans="1:32" s="34" customFormat="1" ht="72.75" customHeight="1" x14ac:dyDescent="0.3">
      <c r="A1" s="37" t="s">
        <v>1342</v>
      </c>
      <c r="B1" s="38" t="s">
        <v>1343</v>
      </c>
      <c r="C1" s="38" t="s">
        <v>1344</v>
      </c>
      <c r="D1" s="38" t="s">
        <v>1345</v>
      </c>
      <c r="E1" s="38" t="s">
        <v>1346</v>
      </c>
      <c r="F1" s="38" t="s">
        <v>1347</v>
      </c>
      <c r="G1" s="38" t="s">
        <v>1348</v>
      </c>
      <c r="H1" s="38" t="s">
        <v>1349</v>
      </c>
      <c r="I1" s="38" t="s">
        <v>1350</v>
      </c>
      <c r="J1" s="38" t="s">
        <v>0</v>
      </c>
      <c r="K1" s="38" t="s">
        <v>1</v>
      </c>
      <c r="L1" s="38" t="s">
        <v>2</v>
      </c>
      <c r="M1" s="38" t="s">
        <v>3</v>
      </c>
      <c r="N1" s="38" t="s">
        <v>4</v>
      </c>
      <c r="O1" s="38" t="s">
        <v>1351</v>
      </c>
      <c r="P1" s="38" t="s">
        <v>1352</v>
      </c>
      <c r="Q1" s="38" t="s">
        <v>1353</v>
      </c>
      <c r="R1" s="39" t="s">
        <v>1354</v>
      </c>
      <c r="S1" s="40" t="s">
        <v>1355</v>
      </c>
      <c r="T1" s="40" t="s">
        <v>1356</v>
      </c>
      <c r="U1" s="40" t="s">
        <v>1357</v>
      </c>
      <c r="V1" s="41" t="s">
        <v>1358</v>
      </c>
      <c r="W1" s="41" t="s">
        <v>1359</v>
      </c>
      <c r="X1" s="42" t="s">
        <v>1360</v>
      </c>
      <c r="Y1" s="43" t="s">
        <v>1361</v>
      </c>
      <c r="Z1" s="44" t="s">
        <v>1362</v>
      </c>
      <c r="AA1" s="43" t="s">
        <v>1363</v>
      </c>
      <c r="AB1" s="43" t="s">
        <v>1364</v>
      </c>
      <c r="AC1" s="36" t="s">
        <v>1365</v>
      </c>
      <c r="AD1" s="45" t="s">
        <v>1366</v>
      </c>
      <c r="AE1" s="46" t="s">
        <v>1367</v>
      </c>
      <c r="AF1" s="46" t="s">
        <v>1368</v>
      </c>
    </row>
    <row r="2" spans="1:32" x14ac:dyDescent="0.3">
      <c r="A2" s="24" t="s">
        <v>279</v>
      </c>
      <c r="B2" s="10" t="s">
        <v>6</v>
      </c>
      <c r="C2" s="10" t="s">
        <v>15</v>
      </c>
      <c r="D2" s="10" t="s">
        <v>8</v>
      </c>
      <c r="E2" s="10">
        <v>5</v>
      </c>
      <c r="F2" s="10">
        <v>5</v>
      </c>
      <c r="G2" s="10">
        <v>1</v>
      </c>
      <c r="H2" s="10">
        <v>1</v>
      </c>
      <c r="I2" s="20" t="s">
        <v>9</v>
      </c>
      <c r="J2" s="27"/>
      <c r="K2" s="10"/>
      <c r="L2" s="10"/>
      <c r="M2" s="10"/>
      <c r="N2" s="10"/>
      <c r="O2" s="18" t="s">
        <v>280</v>
      </c>
      <c r="P2" s="14"/>
      <c r="Q2" s="10">
        <v>10</v>
      </c>
      <c r="R2" s="19">
        <v>45776</v>
      </c>
      <c r="S2" s="19">
        <v>45784</v>
      </c>
      <c r="T2" s="19">
        <v>45789</v>
      </c>
      <c r="U2" s="19">
        <v>45789</v>
      </c>
      <c r="V2" s="19">
        <v>45791</v>
      </c>
      <c r="W2" s="10" t="s">
        <v>17</v>
      </c>
      <c r="X2" s="33" t="str">
        <f>IF(STAT[[#This Row],[sigla]]="","",VLOOKUP(STAT[[#This Row],[sigla]],créditos_base!B:C,2,0))</f>
        <v>Thais Castro</v>
      </c>
      <c r="Y2" s="10"/>
      <c r="Z2" s="10" t="str">
        <f>STAT[[#This Row],[ilustrador]]</f>
        <v>Thais Castro</v>
      </c>
      <c r="AA2" s="10">
        <v>3</v>
      </c>
      <c r="AB2" s="14" t="s">
        <v>281</v>
      </c>
      <c r="AC2" s="10" t="s">
        <v>20</v>
      </c>
      <c r="AD2" s="32" t="str">
        <f t="shared" ref="AD2:AD65" si="0">"Sintonia Educação Infantil P009m"</f>
        <v>Sintonia Educação Infantil P009m</v>
      </c>
      <c r="AE2" s="47" t="str">
        <f t="shared" ref="AE2:AE65" si="1">"Edinfa"</f>
        <v>Edinfa</v>
      </c>
      <c r="AF2" s="47"/>
    </row>
    <row r="3" spans="1:32" x14ac:dyDescent="0.3">
      <c r="A3" s="24" t="s">
        <v>282</v>
      </c>
      <c r="B3" s="10" t="s">
        <v>6</v>
      </c>
      <c r="C3" s="10" t="s">
        <v>15</v>
      </c>
      <c r="D3" s="10" t="s">
        <v>8</v>
      </c>
      <c r="E3" s="10">
        <v>6</v>
      </c>
      <c r="F3" s="10">
        <v>5</v>
      </c>
      <c r="G3" s="10">
        <v>1</v>
      </c>
      <c r="H3" s="10">
        <v>1</v>
      </c>
      <c r="I3" s="20" t="s">
        <v>9</v>
      </c>
      <c r="J3" s="27"/>
      <c r="K3" s="10"/>
      <c r="L3" s="10"/>
      <c r="M3" s="10"/>
      <c r="N3" s="10"/>
      <c r="O3" s="18" t="s">
        <v>283</v>
      </c>
      <c r="P3" s="14"/>
      <c r="Q3" s="10">
        <v>10</v>
      </c>
      <c r="R3" s="19">
        <v>45776</v>
      </c>
      <c r="S3" s="19">
        <v>45784</v>
      </c>
      <c r="T3" s="19">
        <v>45789</v>
      </c>
      <c r="U3" s="19">
        <v>45789</v>
      </c>
      <c r="V3" s="19">
        <v>45791</v>
      </c>
      <c r="W3" s="10" t="s">
        <v>17</v>
      </c>
      <c r="X3" s="33" t="str">
        <f>IF(STAT[[#This Row],[sigla]]="","",VLOOKUP(STAT[[#This Row],[sigla]],créditos_base!B:C,2,0))</f>
        <v>Thais Castro</v>
      </c>
      <c r="Y3" s="10"/>
      <c r="Z3" s="10" t="str">
        <f>STAT[[#This Row],[ilustrador]]</f>
        <v>Thais Castro</v>
      </c>
      <c r="AA3" s="10">
        <v>4</v>
      </c>
      <c r="AB3" s="49" t="s">
        <v>281</v>
      </c>
      <c r="AC3" s="10" t="s">
        <v>20</v>
      </c>
      <c r="AD3" s="32" t="str">
        <f t="shared" si="0"/>
        <v>Sintonia Educação Infantil P009m</v>
      </c>
      <c r="AE3" s="47" t="str">
        <f t="shared" si="1"/>
        <v>Edinfa</v>
      </c>
      <c r="AF3" s="47"/>
    </row>
    <row r="4" spans="1:32" x14ac:dyDescent="0.3">
      <c r="A4" s="24" t="s">
        <v>284</v>
      </c>
      <c r="B4" s="10" t="s">
        <v>6</v>
      </c>
      <c r="C4" s="10" t="s">
        <v>15</v>
      </c>
      <c r="D4" s="10" t="s">
        <v>8</v>
      </c>
      <c r="E4" s="10">
        <v>8</v>
      </c>
      <c r="F4" s="10">
        <v>5</v>
      </c>
      <c r="G4" s="10">
        <v>1</v>
      </c>
      <c r="H4" s="10">
        <v>1</v>
      </c>
      <c r="I4" s="20" t="s">
        <v>9</v>
      </c>
      <c r="J4" s="27"/>
      <c r="K4" s="10"/>
      <c r="L4" s="10"/>
      <c r="M4" s="10"/>
      <c r="N4" s="10"/>
      <c r="O4" s="18" t="s">
        <v>285</v>
      </c>
      <c r="P4" s="14"/>
      <c r="Q4" s="10">
        <v>10</v>
      </c>
      <c r="R4" s="19">
        <v>45776</v>
      </c>
      <c r="S4" s="19">
        <v>45784</v>
      </c>
      <c r="T4" s="19">
        <v>45789</v>
      </c>
      <c r="U4" s="19"/>
      <c r="V4" s="19">
        <v>45792</v>
      </c>
      <c r="W4" s="10" t="s">
        <v>24</v>
      </c>
      <c r="X4" s="33" t="str">
        <f>IF(STAT[[#This Row],[sigla]]="","",VLOOKUP(STAT[[#This Row],[sigla]],créditos_base!B:C,2,0))</f>
        <v>Débora Mini</v>
      </c>
      <c r="Y4" s="10"/>
      <c r="Z4" s="10" t="str">
        <f>STAT[[#This Row],[ilustrador]]</f>
        <v>Débora Mini</v>
      </c>
      <c r="AA4" s="10">
        <v>4</v>
      </c>
      <c r="AB4" s="49" t="s">
        <v>286</v>
      </c>
      <c r="AC4" s="10" t="s">
        <v>20</v>
      </c>
      <c r="AD4" s="32" t="str">
        <f t="shared" si="0"/>
        <v>Sintonia Educação Infantil P009m</v>
      </c>
      <c r="AE4" s="47" t="str">
        <f t="shared" si="1"/>
        <v>Edinfa</v>
      </c>
      <c r="AF4" s="47"/>
    </row>
    <row r="5" spans="1:32" x14ac:dyDescent="0.3">
      <c r="A5" s="24" t="s">
        <v>287</v>
      </c>
      <c r="B5" s="10" t="s">
        <v>216</v>
      </c>
      <c r="C5" s="10" t="s">
        <v>15</v>
      </c>
      <c r="D5" s="10" t="s">
        <v>8</v>
      </c>
      <c r="E5" s="10">
        <v>8</v>
      </c>
      <c r="F5" s="10">
        <v>5</v>
      </c>
      <c r="G5" s="10">
        <v>1</v>
      </c>
      <c r="H5" s="10">
        <v>1</v>
      </c>
      <c r="I5" s="20" t="s">
        <v>9</v>
      </c>
      <c r="J5" s="27"/>
      <c r="K5" s="10"/>
      <c r="L5" s="10"/>
      <c r="M5" s="10"/>
      <c r="N5" s="10"/>
      <c r="O5" s="18" t="s">
        <v>288</v>
      </c>
      <c r="P5" s="14"/>
      <c r="Q5" s="10">
        <v>10</v>
      </c>
      <c r="R5" s="19">
        <v>45776</v>
      </c>
      <c r="S5" s="19"/>
      <c r="T5" s="19"/>
      <c r="U5" s="19"/>
      <c r="V5" s="19"/>
      <c r="W5" s="10"/>
      <c r="X5" s="33" t="str">
        <f>IF(STAT[[#This Row],[sigla]]="","",VLOOKUP(STAT[[#This Row],[sigla]],créditos_base!B:C,2,0))</f>
        <v/>
      </c>
      <c r="Y5" s="10"/>
      <c r="Z5" s="10" t="str">
        <f>STAT[[#This Row],[ilustrador]]</f>
        <v/>
      </c>
      <c r="AA5" s="10"/>
      <c r="AB5" s="14" t="s">
        <v>289</v>
      </c>
      <c r="AC5" s="10"/>
      <c r="AD5" s="32" t="str">
        <f t="shared" si="0"/>
        <v>Sintonia Educação Infantil P009m</v>
      </c>
      <c r="AE5" s="47" t="str">
        <f t="shared" si="1"/>
        <v>Edinfa</v>
      </c>
      <c r="AF5" s="47"/>
    </row>
    <row r="6" spans="1:32" ht="172.8" x14ac:dyDescent="0.3">
      <c r="A6" s="24" t="s">
        <v>290</v>
      </c>
      <c r="B6" s="10" t="s">
        <v>216</v>
      </c>
      <c r="C6" s="10" t="s">
        <v>15</v>
      </c>
      <c r="D6" s="10" t="s">
        <v>8</v>
      </c>
      <c r="E6" s="10">
        <v>8</v>
      </c>
      <c r="F6" s="10">
        <v>5</v>
      </c>
      <c r="G6" s="10">
        <v>1</v>
      </c>
      <c r="H6" s="10">
        <v>1</v>
      </c>
      <c r="I6" s="20" t="s">
        <v>9</v>
      </c>
      <c r="J6" s="27"/>
      <c r="K6" s="10"/>
      <c r="L6" s="10"/>
      <c r="M6" s="10"/>
      <c r="N6" s="10"/>
      <c r="O6" s="18" t="s">
        <v>291</v>
      </c>
      <c r="P6" s="14"/>
      <c r="Q6" s="10">
        <v>10</v>
      </c>
      <c r="R6" s="19">
        <v>45776</v>
      </c>
      <c r="S6" s="19"/>
      <c r="T6" s="19"/>
      <c r="U6" s="19"/>
      <c r="V6" s="19"/>
      <c r="W6" s="10"/>
      <c r="X6" s="33" t="str">
        <f>IF(STAT[[#This Row],[sigla]]="","",VLOOKUP(STAT[[#This Row],[sigla]],créditos_base!B:C,2,0))</f>
        <v/>
      </c>
      <c r="Y6" s="10"/>
      <c r="Z6" s="10" t="str">
        <f>STAT[[#This Row],[ilustrador]]</f>
        <v/>
      </c>
      <c r="AA6" s="10"/>
      <c r="AB6" s="14" t="s">
        <v>289</v>
      </c>
      <c r="AC6" s="10"/>
      <c r="AD6" s="32" t="str">
        <f t="shared" si="0"/>
        <v>Sintonia Educação Infantil P009m</v>
      </c>
      <c r="AE6" s="47" t="str">
        <f t="shared" si="1"/>
        <v>Edinfa</v>
      </c>
      <c r="AF6" s="47"/>
    </row>
    <row r="7" spans="1:32" ht="57.6" x14ac:dyDescent="0.3">
      <c r="A7" s="24" t="s">
        <v>292</v>
      </c>
      <c r="B7" s="10" t="s">
        <v>6</v>
      </c>
      <c r="C7" s="10" t="s">
        <v>15</v>
      </c>
      <c r="D7" s="10" t="s">
        <v>8</v>
      </c>
      <c r="E7" s="10">
        <v>9</v>
      </c>
      <c r="F7" s="10">
        <v>5</v>
      </c>
      <c r="G7" s="10">
        <v>1</v>
      </c>
      <c r="H7" s="10">
        <v>1</v>
      </c>
      <c r="I7" s="20" t="s">
        <v>9</v>
      </c>
      <c r="J7" s="27"/>
      <c r="K7" s="10"/>
      <c r="L7" s="10"/>
      <c r="M7" s="10"/>
      <c r="N7" s="10"/>
      <c r="O7" s="18" t="s">
        <v>293</v>
      </c>
      <c r="P7" s="14"/>
      <c r="Q7" s="10">
        <v>10</v>
      </c>
      <c r="R7" s="19">
        <v>45776</v>
      </c>
      <c r="S7" s="19">
        <v>45780</v>
      </c>
      <c r="T7" s="19"/>
      <c r="U7" s="19"/>
      <c r="V7" s="19">
        <v>45783</v>
      </c>
      <c r="W7" s="10" t="s">
        <v>294</v>
      </c>
      <c r="X7" s="33" t="str">
        <f>IF(STAT[[#This Row],[sigla]]="","",VLOOKUP(STAT[[#This Row],[sigla]],créditos_base!B:C,2,0))</f>
        <v>Rebecca Baniski</v>
      </c>
      <c r="Y7" s="10"/>
      <c r="Z7" s="10" t="str">
        <f>STAT[[#This Row],[ilustrador]]</f>
        <v>Rebecca Baniski</v>
      </c>
      <c r="AA7" s="10">
        <v>7</v>
      </c>
      <c r="AB7" s="14"/>
      <c r="AC7" s="10" t="s">
        <v>13</v>
      </c>
      <c r="AD7" s="32" t="str">
        <f t="shared" si="0"/>
        <v>Sintonia Educação Infantil P009m</v>
      </c>
      <c r="AE7" s="47" t="str">
        <f t="shared" si="1"/>
        <v>Edinfa</v>
      </c>
      <c r="AF7" s="47"/>
    </row>
    <row r="8" spans="1:32" ht="100.8" x14ac:dyDescent="0.3">
      <c r="A8" s="24" t="s">
        <v>295</v>
      </c>
      <c r="B8" s="10" t="s">
        <v>6</v>
      </c>
      <c r="C8" s="10" t="s">
        <v>132</v>
      </c>
      <c r="D8" s="10" t="s">
        <v>8</v>
      </c>
      <c r="E8" s="10">
        <v>10</v>
      </c>
      <c r="F8" s="10">
        <v>5</v>
      </c>
      <c r="G8" s="10">
        <v>1</v>
      </c>
      <c r="H8" s="10">
        <v>1</v>
      </c>
      <c r="I8" s="20" t="s">
        <v>9</v>
      </c>
      <c r="J8" s="27"/>
      <c r="K8" s="10"/>
      <c r="L8" s="10"/>
      <c r="M8" s="10"/>
      <c r="N8" s="10"/>
      <c r="O8" s="18" t="s">
        <v>296</v>
      </c>
      <c r="P8" s="14"/>
      <c r="Q8" s="10">
        <v>10</v>
      </c>
      <c r="R8" s="19">
        <v>45776</v>
      </c>
      <c r="S8" s="19">
        <v>45780</v>
      </c>
      <c r="T8" s="19"/>
      <c r="U8" s="19"/>
      <c r="V8" s="19">
        <v>45783</v>
      </c>
      <c r="W8" s="10" t="s">
        <v>294</v>
      </c>
      <c r="X8" s="33" t="str">
        <f>IF(STAT[[#This Row],[sigla]]="","",VLOOKUP(STAT[[#This Row],[sigla]],créditos_base!B:C,2,0))</f>
        <v>Rebecca Baniski</v>
      </c>
      <c r="Y8" s="10"/>
      <c r="Z8" s="10" t="str">
        <f>STAT[[#This Row],[ilustrador]]</f>
        <v>Rebecca Baniski</v>
      </c>
      <c r="AA8" s="10">
        <v>8</v>
      </c>
      <c r="AB8" s="14"/>
      <c r="AC8" s="10" t="s">
        <v>13</v>
      </c>
      <c r="AD8" s="32" t="str">
        <f t="shared" si="0"/>
        <v>Sintonia Educação Infantil P009m</v>
      </c>
      <c r="AE8" s="47" t="str">
        <f t="shared" si="1"/>
        <v>Edinfa</v>
      </c>
      <c r="AF8" s="47"/>
    </row>
    <row r="9" spans="1:32" ht="43.2" x14ac:dyDescent="0.3">
      <c r="A9" s="24" t="s">
        <v>297</v>
      </c>
      <c r="B9" s="10" t="s">
        <v>6</v>
      </c>
      <c r="C9" s="10" t="s">
        <v>132</v>
      </c>
      <c r="D9" s="10" t="s">
        <v>8</v>
      </c>
      <c r="E9" s="10">
        <v>10</v>
      </c>
      <c r="F9" s="10">
        <v>5</v>
      </c>
      <c r="G9" s="10">
        <v>1</v>
      </c>
      <c r="H9" s="10">
        <v>1</v>
      </c>
      <c r="I9" s="20" t="s">
        <v>9</v>
      </c>
      <c r="J9" s="27"/>
      <c r="K9" s="10"/>
      <c r="L9" s="10"/>
      <c r="M9" s="10"/>
      <c r="N9" s="10"/>
      <c r="O9" s="18" t="s">
        <v>298</v>
      </c>
      <c r="P9" s="14"/>
      <c r="Q9" s="10">
        <v>10</v>
      </c>
      <c r="R9" s="19">
        <v>45776</v>
      </c>
      <c r="S9" s="19">
        <v>45780</v>
      </c>
      <c r="T9" s="19"/>
      <c r="U9" s="19"/>
      <c r="V9" s="19">
        <v>45783</v>
      </c>
      <c r="W9" s="10" t="s">
        <v>294</v>
      </c>
      <c r="X9" s="33" t="str">
        <f>IF(STAT[[#This Row],[sigla]]="","",VLOOKUP(STAT[[#This Row],[sigla]],créditos_base!B:C,2,0))</f>
        <v>Rebecca Baniski</v>
      </c>
      <c r="Y9" s="10"/>
      <c r="Z9" s="10" t="str">
        <f>STAT[[#This Row],[ilustrador]]</f>
        <v>Rebecca Baniski</v>
      </c>
      <c r="AA9" s="10">
        <v>8</v>
      </c>
      <c r="AB9" s="14"/>
      <c r="AC9" s="10" t="s">
        <v>13</v>
      </c>
      <c r="AD9" s="32" t="str">
        <f t="shared" si="0"/>
        <v>Sintonia Educação Infantil P009m</v>
      </c>
      <c r="AE9" s="47" t="str">
        <f t="shared" si="1"/>
        <v>Edinfa</v>
      </c>
      <c r="AF9" s="47"/>
    </row>
    <row r="10" spans="1:32" x14ac:dyDescent="0.3">
      <c r="A10" s="24" t="s">
        <v>299</v>
      </c>
      <c r="B10" s="10" t="s">
        <v>6</v>
      </c>
      <c r="C10" s="10" t="s">
        <v>15</v>
      </c>
      <c r="D10" s="10" t="s">
        <v>8</v>
      </c>
      <c r="E10" s="10">
        <v>12</v>
      </c>
      <c r="F10" s="10">
        <v>5</v>
      </c>
      <c r="G10" s="10">
        <v>1</v>
      </c>
      <c r="H10" s="10">
        <v>1</v>
      </c>
      <c r="I10" s="20" t="s">
        <v>9</v>
      </c>
      <c r="J10" s="27"/>
      <c r="K10" s="10"/>
      <c r="L10" s="10"/>
      <c r="M10" s="10"/>
      <c r="N10" s="10"/>
      <c r="O10" s="18" t="s">
        <v>300</v>
      </c>
      <c r="P10" s="14"/>
      <c r="Q10" s="10">
        <v>10</v>
      </c>
      <c r="R10" s="19">
        <v>45776</v>
      </c>
      <c r="S10" s="19">
        <v>45780</v>
      </c>
      <c r="T10" s="19"/>
      <c r="U10" s="19"/>
      <c r="V10" s="19">
        <v>45783</v>
      </c>
      <c r="W10" s="10" t="s">
        <v>88</v>
      </c>
      <c r="X10" s="33" t="str">
        <f>IF(STAT[[#This Row],[sigla]]="","",VLOOKUP(STAT[[#This Row],[sigla]],créditos_base!B:C,2,0))</f>
        <v>Arquivo da editora</v>
      </c>
      <c r="Y10" s="10" t="s">
        <v>301</v>
      </c>
      <c r="Z10" s="10" t="str">
        <f>STAT[[#This Row],[ilustrador]]</f>
        <v>Arquivo da editora</v>
      </c>
      <c r="AA10" s="10">
        <v>13</v>
      </c>
      <c r="AB10" s="14"/>
      <c r="AC10" s="10" t="s">
        <v>13</v>
      </c>
      <c r="AD10" s="32" t="str">
        <f t="shared" si="0"/>
        <v>Sintonia Educação Infantil P009m</v>
      </c>
      <c r="AE10" s="47" t="str">
        <f t="shared" si="1"/>
        <v>Edinfa</v>
      </c>
      <c r="AF10" s="47"/>
    </row>
    <row r="11" spans="1:32" x14ac:dyDescent="0.3">
      <c r="A11" s="24" t="s">
        <v>302</v>
      </c>
      <c r="B11" s="10" t="s">
        <v>6</v>
      </c>
      <c r="C11" s="10" t="s">
        <v>15</v>
      </c>
      <c r="D11" s="10" t="s">
        <v>8</v>
      </c>
      <c r="E11" s="10">
        <v>12</v>
      </c>
      <c r="F11" s="10">
        <v>5</v>
      </c>
      <c r="G11" s="10">
        <v>1</v>
      </c>
      <c r="H11" s="10">
        <v>1</v>
      </c>
      <c r="I11" s="20" t="s">
        <v>9</v>
      </c>
      <c r="J11" s="27"/>
      <c r="K11" s="10"/>
      <c r="L11" s="10"/>
      <c r="M11" s="10"/>
      <c r="N11" s="10"/>
      <c r="O11" s="18" t="s">
        <v>303</v>
      </c>
      <c r="P11" s="14"/>
      <c r="Q11" s="10">
        <v>10</v>
      </c>
      <c r="R11" s="19">
        <v>45776</v>
      </c>
      <c r="S11" s="19">
        <v>45780</v>
      </c>
      <c r="T11" s="19"/>
      <c r="U11" s="19"/>
      <c r="V11" s="19">
        <v>45783</v>
      </c>
      <c r="W11" s="10" t="s">
        <v>88</v>
      </c>
      <c r="X11" s="33" t="str">
        <f>IF(STAT[[#This Row],[sigla]]="","",VLOOKUP(STAT[[#This Row],[sigla]],créditos_base!B:C,2,0))</f>
        <v>Arquivo da editora</v>
      </c>
      <c r="Y11" s="10" t="s">
        <v>301</v>
      </c>
      <c r="Z11" s="10" t="str">
        <f>STAT[[#This Row],[ilustrador]]</f>
        <v>Arquivo da editora</v>
      </c>
      <c r="AA11" s="10">
        <v>13</v>
      </c>
      <c r="AB11" s="14"/>
      <c r="AC11" s="10" t="s">
        <v>13</v>
      </c>
      <c r="AD11" s="32" t="str">
        <f t="shared" si="0"/>
        <v>Sintonia Educação Infantil P009m</v>
      </c>
      <c r="AE11" s="47" t="str">
        <f t="shared" si="1"/>
        <v>Edinfa</v>
      </c>
      <c r="AF11" s="47"/>
    </row>
    <row r="12" spans="1:32" ht="43.2" x14ac:dyDescent="0.3">
      <c r="A12" s="24" t="s">
        <v>304</v>
      </c>
      <c r="B12" s="10" t="s">
        <v>6</v>
      </c>
      <c r="C12" s="10" t="s">
        <v>15</v>
      </c>
      <c r="D12" s="10" t="s">
        <v>8</v>
      </c>
      <c r="E12" s="10">
        <v>15</v>
      </c>
      <c r="F12" s="10">
        <v>5</v>
      </c>
      <c r="G12" s="10">
        <v>1</v>
      </c>
      <c r="H12" s="10">
        <v>1</v>
      </c>
      <c r="I12" s="20" t="s">
        <v>9</v>
      </c>
      <c r="J12" s="27"/>
      <c r="K12" s="10"/>
      <c r="L12" s="10"/>
      <c r="M12" s="10"/>
      <c r="N12" s="10"/>
      <c r="O12" s="18" t="s">
        <v>305</v>
      </c>
      <c r="P12" s="14"/>
      <c r="Q12" s="10">
        <v>10</v>
      </c>
      <c r="R12" s="19">
        <v>45776</v>
      </c>
      <c r="S12" s="19">
        <v>45784</v>
      </c>
      <c r="T12" s="19">
        <v>45789</v>
      </c>
      <c r="U12" s="19">
        <v>45792</v>
      </c>
      <c r="V12" s="19">
        <v>45793</v>
      </c>
      <c r="W12" s="10" t="s">
        <v>111</v>
      </c>
      <c r="X12" s="33" t="str">
        <f>IF(STAT[[#This Row],[sigla]]="","",VLOOKUP(STAT[[#This Row],[sigla]],créditos_base!B:C,2,0))</f>
        <v>Bianca Tavares</v>
      </c>
      <c r="Y12" s="10"/>
      <c r="Z12" s="10" t="str">
        <f>STAT[[#This Row],[ilustrador]]</f>
        <v>Bianca Tavares</v>
      </c>
      <c r="AA12" s="10">
        <v>4</v>
      </c>
      <c r="AB12" s="14" t="s">
        <v>306</v>
      </c>
      <c r="AC12" s="10" t="s">
        <v>20</v>
      </c>
      <c r="AD12" s="32" t="str">
        <f t="shared" si="0"/>
        <v>Sintonia Educação Infantil P009m</v>
      </c>
      <c r="AE12" s="47" t="str">
        <f t="shared" si="1"/>
        <v>Edinfa</v>
      </c>
      <c r="AF12" s="47"/>
    </row>
    <row r="13" spans="1:32" x14ac:dyDescent="0.3">
      <c r="A13" s="24" t="s">
        <v>14</v>
      </c>
      <c r="B13" s="10" t="s">
        <v>6</v>
      </c>
      <c r="C13" s="10" t="s">
        <v>15</v>
      </c>
      <c r="D13" s="10" t="s">
        <v>8</v>
      </c>
      <c r="E13" s="10">
        <v>19</v>
      </c>
      <c r="F13" s="10">
        <v>4</v>
      </c>
      <c r="G13" s="10">
        <v>1</v>
      </c>
      <c r="H13" s="10">
        <v>1</v>
      </c>
      <c r="I13" s="20" t="s">
        <v>9</v>
      </c>
      <c r="J13" s="27"/>
      <c r="K13" s="10"/>
      <c r="L13" s="10"/>
      <c r="M13" s="10"/>
      <c r="N13" s="10"/>
      <c r="O13" s="18" t="s">
        <v>16</v>
      </c>
      <c r="P13" s="14"/>
      <c r="Q13" s="10">
        <v>2</v>
      </c>
      <c r="R13" s="19">
        <v>45734</v>
      </c>
      <c r="S13" s="19">
        <v>45736</v>
      </c>
      <c r="T13" s="19">
        <v>45740</v>
      </c>
      <c r="U13" s="19">
        <v>45741</v>
      </c>
      <c r="V13" s="19">
        <v>45743</v>
      </c>
      <c r="W13" s="10" t="s">
        <v>17</v>
      </c>
      <c r="X13" s="33" t="str">
        <f>IF(STAT[[#This Row],[sigla]]="","",VLOOKUP(STAT[[#This Row],[sigla]],créditos_base!B:C,2,0))</f>
        <v>Thais Castro</v>
      </c>
      <c r="Y13" s="10"/>
      <c r="Z13" s="10" t="s">
        <v>18</v>
      </c>
      <c r="AA13" s="10">
        <v>3</v>
      </c>
      <c r="AB13" s="14" t="s">
        <v>19</v>
      </c>
      <c r="AC13" s="10" t="s">
        <v>20</v>
      </c>
      <c r="AD13" s="32" t="str">
        <f t="shared" si="0"/>
        <v>Sintonia Educação Infantil P009m</v>
      </c>
      <c r="AE13" s="47" t="str">
        <f t="shared" si="1"/>
        <v>Edinfa</v>
      </c>
      <c r="AF13" s="47"/>
    </row>
    <row r="14" spans="1:32" x14ac:dyDescent="0.3">
      <c r="A14" s="24" t="s">
        <v>307</v>
      </c>
      <c r="B14" s="10" t="s">
        <v>6</v>
      </c>
      <c r="C14" s="10" t="s">
        <v>15</v>
      </c>
      <c r="D14" s="10" t="s">
        <v>8</v>
      </c>
      <c r="E14" s="10">
        <v>18</v>
      </c>
      <c r="F14" s="10">
        <v>5</v>
      </c>
      <c r="G14" s="10">
        <v>1</v>
      </c>
      <c r="H14" s="10">
        <v>1</v>
      </c>
      <c r="I14" s="20" t="s">
        <v>9</v>
      </c>
      <c r="J14" s="27"/>
      <c r="K14" s="10"/>
      <c r="L14" s="10"/>
      <c r="M14" s="10"/>
      <c r="N14" s="10"/>
      <c r="O14" s="18" t="s">
        <v>308</v>
      </c>
      <c r="P14" s="14"/>
      <c r="Q14" s="10">
        <v>10</v>
      </c>
      <c r="R14" s="19">
        <v>45776</v>
      </c>
      <c r="S14" s="19">
        <v>45780</v>
      </c>
      <c r="T14" s="19"/>
      <c r="U14" s="19"/>
      <c r="V14" s="19">
        <v>45783</v>
      </c>
      <c r="W14" s="10" t="s">
        <v>88</v>
      </c>
      <c r="X14" s="33" t="str">
        <f>IF(STAT[[#This Row],[sigla]]="","",VLOOKUP(STAT[[#This Row],[sigla]],créditos_base!B:C,2,0))</f>
        <v>Arquivo da editora</v>
      </c>
      <c r="Y14" s="10" t="s">
        <v>301</v>
      </c>
      <c r="Z14" s="10" t="str">
        <f>STAT[[#This Row],[ilustrador]]</f>
        <v>Arquivo da editora</v>
      </c>
      <c r="AA14" s="10">
        <v>13</v>
      </c>
      <c r="AB14" s="14"/>
      <c r="AC14" s="10" t="s">
        <v>13</v>
      </c>
      <c r="AD14" s="32" t="str">
        <f t="shared" si="0"/>
        <v>Sintonia Educação Infantil P009m</v>
      </c>
      <c r="AE14" s="47" t="str">
        <f t="shared" si="1"/>
        <v>Edinfa</v>
      </c>
      <c r="AF14" s="47"/>
    </row>
    <row r="15" spans="1:32" ht="72" x14ac:dyDescent="0.3">
      <c r="A15" s="24" t="s">
        <v>21</v>
      </c>
      <c r="B15" s="10" t="s">
        <v>22</v>
      </c>
      <c r="C15" s="10" t="s">
        <v>15</v>
      </c>
      <c r="D15" s="10" t="s">
        <v>8</v>
      </c>
      <c r="E15" s="10">
        <v>20</v>
      </c>
      <c r="F15" s="10">
        <v>4</v>
      </c>
      <c r="G15" s="10">
        <v>1</v>
      </c>
      <c r="H15" s="10">
        <v>1</v>
      </c>
      <c r="I15" s="20" t="s">
        <v>9</v>
      </c>
      <c r="J15" s="27"/>
      <c r="K15" s="10"/>
      <c r="L15" s="10"/>
      <c r="M15" s="10"/>
      <c r="N15" s="10"/>
      <c r="O15" s="18" t="s">
        <v>23</v>
      </c>
      <c r="P15" s="14"/>
      <c r="Q15" s="10">
        <v>2</v>
      </c>
      <c r="R15" s="19">
        <v>45734</v>
      </c>
      <c r="S15" s="19">
        <v>45735</v>
      </c>
      <c r="T15" s="19">
        <v>45740</v>
      </c>
      <c r="U15" s="19">
        <v>45741</v>
      </c>
      <c r="V15" s="19">
        <v>45744</v>
      </c>
      <c r="W15" s="10" t="s">
        <v>24</v>
      </c>
      <c r="X15" s="33" t="str">
        <f>IF(STAT[[#This Row],[sigla]]="","",VLOOKUP(STAT[[#This Row],[sigla]],créditos_base!B:C,2,0))</f>
        <v>Débora Mini</v>
      </c>
      <c r="Y15" s="10"/>
      <c r="Z15" s="10" t="s">
        <v>25</v>
      </c>
      <c r="AA15" s="10">
        <v>5</v>
      </c>
      <c r="AB15" s="14" t="s">
        <v>26</v>
      </c>
      <c r="AC15" s="10" t="s">
        <v>20</v>
      </c>
      <c r="AD15" s="32" t="str">
        <f t="shared" si="0"/>
        <v>Sintonia Educação Infantil P009m</v>
      </c>
      <c r="AE15" s="47" t="str">
        <f t="shared" si="1"/>
        <v>Edinfa</v>
      </c>
      <c r="AF15" s="47"/>
    </row>
    <row r="16" spans="1:32" ht="28.8" x14ac:dyDescent="0.3">
      <c r="A16" s="24" t="s">
        <v>309</v>
      </c>
      <c r="B16" s="10" t="s">
        <v>6</v>
      </c>
      <c r="C16" s="10" t="s">
        <v>15</v>
      </c>
      <c r="D16" s="10" t="s">
        <v>8</v>
      </c>
      <c r="E16" s="10">
        <v>18</v>
      </c>
      <c r="F16" s="10">
        <v>5</v>
      </c>
      <c r="G16" s="10">
        <v>1</v>
      </c>
      <c r="H16" s="10">
        <v>1</v>
      </c>
      <c r="I16" s="20" t="s">
        <v>9</v>
      </c>
      <c r="J16" s="27"/>
      <c r="K16" s="10"/>
      <c r="L16" s="10"/>
      <c r="M16" s="10"/>
      <c r="N16" s="10"/>
      <c r="O16" s="18" t="s">
        <v>310</v>
      </c>
      <c r="P16" s="14"/>
      <c r="Q16" s="10">
        <v>10</v>
      </c>
      <c r="R16" s="19">
        <v>45776</v>
      </c>
      <c r="S16" s="19">
        <v>45780</v>
      </c>
      <c r="T16" s="19"/>
      <c r="U16" s="19"/>
      <c r="V16" s="19">
        <v>45783</v>
      </c>
      <c r="W16" s="10" t="s">
        <v>88</v>
      </c>
      <c r="X16" s="33" t="str">
        <f>IF(STAT[[#This Row],[sigla]]="","",VLOOKUP(STAT[[#This Row],[sigla]],créditos_base!B:C,2,0))</f>
        <v>Arquivo da editora</v>
      </c>
      <c r="Y16" s="10" t="s">
        <v>301</v>
      </c>
      <c r="Z16" s="10" t="str">
        <f>STAT[[#This Row],[ilustrador]]</f>
        <v>Arquivo da editora</v>
      </c>
      <c r="AA16" s="10">
        <v>7</v>
      </c>
      <c r="AB16" s="14"/>
      <c r="AC16" s="10" t="s">
        <v>13</v>
      </c>
      <c r="AD16" s="32" t="str">
        <f t="shared" si="0"/>
        <v>Sintonia Educação Infantil P009m</v>
      </c>
      <c r="AE16" s="47" t="str">
        <f t="shared" si="1"/>
        <v>Edinfa</v>
      </c>
      <c r="AF16" s="47"/>
    </row>
    <row r="17" spans="1:32" ht="72" x14ac:dyDescent="0.3">
      <c r="A17" s="24" t="s">
        <v>27</v>
      </c>
      <c r="B17" s="10" t="s">
        <v>22</v>
      </c>
      <c r="C17" s="10" t="s">
        <v>15</v>
      </c>
      <c r="D17" s="10" t="s">
        <v>8</v>
      </c>
      <c r="E17" s="10">
        <v>21</v>
      </c>
      <c r="F17" s="10">
        <v>4</v>
      </c>
      <c r="G17" s="10">
        <v>1</v>
      </c>
      <c r="H17" s="10">
        <v>1</v>
      </c>
      <c r="I17" s="20" t="s">
        <v>9</v>
      </c>
      <c r="J17" s="27"/>
      <c r="K17" s="10"/>
      <c r="L17" s="10"/>
      <c r="M17" s="10"/>
      <c r="N17" s="10"/>
      <c r="O17" s="18" t="s">
        <v>28</v>
      </c>
      <c r="P17" s="14"/>
      <c r="Q17" s="10">
        <v>2</v>
      </c>
      <c r="R17" s="19">
        <v>45734</v>
      </c>
      <c r="S17" s="19">
        <v>45735</v>
      </c>
      <c r="T17" s="19">
        <v>45740</v>
      </c>
      <c r="U17" s="19">
        <v>45741</v>
      </c>
      <c r="V17" s="19">
        <v>45744</v>
      </c>
      <c r="W17" s="10" t="s">
        <v>24</v>
      </c>
      <c r="X17" s="33" t="str">
        <f>IF(STAT[[#This Row],[sigla]]="","",VLOOKUP(STAT[[#This Row],[sigla]],créditos_base!B:C,2,0))</f>
        <v>Débora Mini</v>
      </c>
      <c r="Y17" s="10"/>
      <c r="Z17" s="10" t="s">
        <v>25</v>
      </c>
      <c r="AA17" s="10">
        <v>7</v>
      </c>
      <c r="AB17" s="14" t="s">
        <v>26</v>
      </c>
      <c r="AC17" s="10" t="s">
        <v>20</v>
      </c>
      <c r="AD17" s="32" t="str">
        <f t="shared" si="0"/>
        <v>Sintonia Educação Infantil P009m</v>
      </c>
      <c r="AE17" s="47" t="str">
        <f t="shared" si="1"/>
        <v>Edinfa</v>
      </c>
      <c r="AF17" s="47"/>
    </row>
    <row r="18" spans="1:32" ht="115.2" x14ac:dyDescent="0.3">
      <c r="A18" s="24" t="s">
        <v>311</v>
      </c>
      <c r="B18" s="10" t="s">
        <v>6</v>
      </c>
      <c r="C18" s="10" t="s">
        <v>15</v>
      </c>
      <c r="D18" s="10" t="s">
        <v>8</v>
      </c>
      <c r="E18" s="10">
        <v>18</v>
      </c>
      <c r="F18" s="10">
        <v>5</v>
      </c>
      <c r="G18" s="10">
        <v>1</v>
      </c>
      <c r="H18" s="10">
        <v>1</v>
      </c>
      <c r="I18" s="20" t="s">
        <v>9</v>
      </c>
      <c r="J18" s="27"/>
      <c r="K18" s="10"/>
      <c r="L18" s="10"/>
      <c r="M18" s="10"/>
      <c r="N18" s="10"/>
      <c r="O18" s="18" t="s">
        <v>312</v>
      </c>
      <c r="P18" s="14"/>
      <c r="Q18" s="10"/>
      <c r="R18" s="19"/>
      <c r="S18" s="19">
        <v>45780</v>
      </c>
      <c r="T18" s="19"/>
      <c r="U18" s="19"/>
      <c r="V18" s="19"/>
      <c r="W18" s="10" t="s">
        <v>88</v>
      </c>
      <c r="X18" s="33" t="str">
        <f>IF(STAT[[#This Row],[sigla]]="","",VLOOKUP(STAT[[#This Row],[sigla]],créditos_base!B:C,2,0))</f>
        <v>Arquivo da editora</v>
      </c>
      <c r="Y18" s="10" t="s">
        <v>301</v>
      </c>
      <c r="Z18" s="10" t="str">
        <f>STAT[[#This Row],[ilustrador]]</f>
        <v>Arquivo da editora</v>
      </c>
      <c r="AA18" s="10">
        <v>7</v>
      </c>
      <c r="AB18" s="50"/>
      <c r="AC18" s="10" t="s">
        <v>13</v>
      </c>
      <c r="AD18" s="32" t="str">
        <f t="shared" si="0"/>
        <v>Sintonia Educação Infantil P009m</v>
      </c>
      <c r="AE18" s="47" t="str">
        <f t="shared" si="1"/>
        <v>Edinfa</v>
      </c>
      <c r="AF18" s="47"/>
    </row>
    <row r="19" spans="1:32" ht="57.6" x14ac:dyDescent="0.3">
      <c r="A19" s="24" t="s">
        <v>29</v>
      </c>
      <c r="B19" s="10" t="s">
        <v>22</v>
      </c>
      <c r="C19" s="10" t="s">
        <v>15</v>
      </c>
      <c r="D19" s="10" t="s">
        <v>8</v>
      </c>
      <c r="E19" s="10">
        <v>21</v>
      </c>
      <c r="F19" s="10">
        <v>4</v>
      </c>
      <c r="G19" s="10">
        <v>1</v>
      </c>
      <c r="H19" s="10">
        <v>1</v>
      </c>
      <c r="I19" s="20" t="s">
        <v>9</v>
      </c>
      <c r="J19" s="27"/>
      <c r="K19" s="10"/>
      <c r="L19" s="10"/>
      <c r="M19" s="10"/>
      <c r="N19" s="10"/>
      <c r="O19" s="18" t="s">
        <v>30</v>
      </c>
      <c r="P19" s="14"/>
      <c r="Q19" s="10">
        <v>2</v>
      </c>
      <c r="R19" s="19">
        <v>45734</v>
      </c>
      <c r="S19" s="19">
        <v>45735</v>
      </c>
      <c r="T19" s="19">
        <v>45740</v>
      </c>
      <c r="U19" s="19">
        <v>45741</v>
      </c>
      <c r="V19" s="19">
        <v>45744</v>
      </c>
      <c r="W19" s="10" t="s">
        <v>24</v>
      </c>
      <c r="X19" s="33" t="str">
        <f>IF(STAT[[#This Row],[sigla]]="","",VLOOKUP(STAT[[#This Row],[sigla]],créditos_base!B:C,2,0))</f>
        <v>Débora Mini</v>
      </c>
      <c r="Y19" s="10"/>
      <c r="Z19" s="10" t="s">
        <v>25</v>
      </c>
      <c r="AA19" s="10">
        <v>8</v>
      </c>
      <c r="AB19" s="14" t="s">
        <v>26</v>
      </c>
      <c r="AC19" s="10" t="s">
        <v>20</v>
      </c>
      <c r="AD19" s="32" t="str">
        <f t="shared" si="0"/>
        <v>Sintonia Educação Infantil P009m</v>
      </c>
      <c r="AE19" s="47" t="str">
        <f t="shared" si="1"/>
        <v>Edinfa</v>
      </c>
      <c r="AF19" s="47"/>
    </row>
    <row r="20" spans="1:32" ht="86.4" x14ac:dyDescent="0.3">
      <c r="A20" s="24" t="s">
        <v>313</v>
      </c>
      <c r="B20" s="10" t="s">
        <v>6</v>
      </c>
      <c r="C20" s="10" t="s">
        <v>15</v>
      </c>
      <c r="D20" s="10" t="s">
        <v>8</v>
      </c>
      <c r="E20" s="10">
        <v>18</v>
      </c>
      <c r="F20" s="10">
        <v>5</v>
      </c>
      <c r="G20" s="10">
        <v>1</v>
      </c>
      <c r="H20" s="10">
        <v>1</v>
      </c>
      <c r="I20" s="20" t="s">
        <v>9</v>
      </c>
      <c r="J20" s="27"/>
      <c r="K20" s="10"/>
      <c r="L20" s="10"/>
      <c r="M20" s="10"/>
      <c r="N20" s="10"/>
      <c r="O20" s="18" t="s">
        <v>314</v>
      </c>
      <c r="P20" s="14"/>
      <c r="Q20" s="10">
        <v>10</v>
      </c>
      <c r="R20" s="19">
        <v>45776</v>
      </c>
      <c r="S20" s="19">
        <v>45780</v>
      </c>
      <c r="T20" s="19"/>
      <c r="U20" s="19"/>
      <c r="V20" s="19">
        <v>45783</v>
      </c>
      <c r="W20" s="10" t="s">
        <v>88</v>
      </c>
      <c r="X20" s="33" t="str">
        <f>IF(STAT[[#This Row],[sigla]]="","",VLOOKUP(STAT[[#This Row],[sigla]],créditos_base!B:C,2,0))</f>
        <v>Arquivo da editora</v>
      </c>
      <c r="Y20" s="10" t="s">
        <v>301</v>
      </c>
      <c r="Z20" s="10" t="str">
        <f>STAT[[#This Row],[ilustrador]]</f>
        <v>Arquivo da editora</v>
      </c>
      <c r="AA20" s="10">
        <v>7</v>
      </c>
      <c r="AB20" s="50"/>
      <c r="AC20" s="10" t="s">
        <v>13</v>
      </c>
      <c r="AD20" s="32" t="str">
        <f t="shared" si="0"/>
        <v>Sintonia Educação Infantil P009m</v>
      </c>
      <c r="AE20" s="47" t="str">
        <f t="shared" si="1"/>
        <v>Edinfa</v>
      </c>
      <c r="AF20" s="47"/>
    </row>
    <row r="21" spans="1:32" ht="43.2" x14ac:dyDescent="0.3">
      <c r="A21" s="24" t="s">
        <v>31</v>
      </c>
      <c r="B21" s="10" t="s">
        <v>22</v>
      </c>
      <c r="C21" s="10" t="s">
        <v>15</v>
      </c>
      <c r="D21" s="10" t="s">
        <v>8</v>
      </c>
      <c r="E21" s="10">
        <v>21</v>
      </c>
      <c r="F21" s="10">
        <v>4</v>
      </c>
      <c r="G21" s="10">
        <v>1</v>
      </c>
      <c r="H21" s="10">
        <v>1</v>
      </c>
      <c r="I21" s="20" t="s">
        <v>9</v>
      </c>
      <c r="J21" s="27"/>
      <c r="K21" s="10"/>
      <c r="L21" s="10"/>
      <c r="M21" s="10"/>
      <c r="N21" s="10"/>
      <c r="O21" s="18" t="s">
        <v>32</v>
      </c>
      <c r="P21" s="14"/>
      <c r="Q21" s="10">
        <v>2</v>
      </c>
      <c r="R21" s="19">
        <v>45734</v>
      </c>
      <c r="S21" s="19">
        <v>45735</v>
      </c>
      <c r="T21" s="19">
        <v>45740</v>
      </c>
      <c r="U21" s="19">
        <v>45741</v>
      </c>
      <c r="V21" s="19">
        <v>45744</v>
      </c>
      <c r="W21" s="10" t="s">
        <v>24</v>
      </c>
      <c r="X21" s="33" t="str">
        <f>IF(STAT[[#This Row],[sigla]]="","",VLOOKUP(STAT[[#This Row],[sigla]],créditos_base!B:C,2,0))</f>
        <v>Débora Mini</v>
      </c>
      <c r="Y21" s="10"/>
      <c r="Z21" s="10" t="s">
        <v>25</v>
      </c>
      <c r="AA21" s="10">
        <v>8</v>
      </c>
      <c r="AB21" s="14" t="s">
        <v>26</v>
      </c>
      <c r="AC21" s="10" t="s">
        <v>20</v>
      </c>
      <c r="AD21" s="32" t="str">
        <f t="shared" si="0"/>
        <v>Sintonia Educação Infantil P009m</v>
      </c>
      <c r="AE21" s="47" t="str">
        <f t="shared" si="1"/>
        <v>Edinfa</v>
      </c>
      <c r="AF21" s="47"/>
    </row>
    <row r="22" spans="1:32" ht="43.2" x14ac:dyDescent="0.3">
      <c r="A22" s="24" t="s">
        <v>33</v>
      </c>
      <c r="B22" s="10" t="s">
        <v>22</v>
      </c>
      <c r="C22" s="10" t="s">
        <v>15</v>
      </c>
      <c r="D22" s="10" t="s">
        <v>8</v>
      </c>
      <c r="E22" s="10">
        <v>21</v>
      </c>
      <c r="F22" s="10">
        <v>4</v>
      </c>
      <c r="G22" s="10">
        <v>1</v>
      </c>
      <c r="H22" s="10">
        <v>1</v>
      </c>
      <c r="I22" s="20" t="s">
        <v>9</v>
      </c>
      <c r="J22" s="27"/>
      <c r="K22" s="10"/>
      <c r="L22" s="10"/>
      <c r="M22" s="10"/>
      <c r="N22" s="10"/>
      <c r="O22" s="18" t="s">
        <v>34</v>
      </c>
      <c r="P22" s="14"/>
      <c r="Q22" s="10">
        <v>2</v>
      </c>
      <c r="R22" s="19">
        <v>45734</v>
      </c>
      <c r="S22" s="19">
        <v>45735</v>
      </c>
      <c r="T22" s="19">
        <v>45740</v>
      </c>
      <c r="U22" s="19">
        <v>45741</v>
      </c>
      <c r="V22" s="19">
        <v>45744</v>
      </c>
      <c r="W22" s="10" t="s">
        <v>24</v>
      </c>
      <c r="X22" s="33" t="str">
        <f>IF(STAT[[#This Row],[sigla]]="","",VLOOKUP(STAT[[#This Row],[sigla]],créditos_base!B:C,2,0))</f>
        <v>Débora Mini</v>
      </c>
      <c r="Y22" s="10"/>
      <c r="Z22" s="10" t="s">
        <v>25</v>
      </c>
      <c r="AA22" s="10">
        <v>8</v>
      </c>
      <c r="AB22" s="14" t="s">
        <v>26</v>
      </c>
      <c r="AC22" s="10" t="s">
        <v>20</v>
      </c>
      <c r="AD22" s="32" t="str">
        <f t="shared" si="0"/>
        <v>Sintonia Educação Infantil P009m</v>
      </c>
      <c r="AE22" s="47" t="str">
        <f t="shared" si="1"/>
        <v>Edinfa</v>
      </c>
      <c r="AF22" s="47"/>
    </row>
    <row r="23" spans="1:32" ht="43.2" x14ac:dyDescent="0.3">
      <c r="A23" s="24" t="s">
        <v>35</v>
      </c>
      <c r="B23" s="10" t="s">
        <v>22</v>
      </c>
      <c r="C23" s="10" t="s">
        <v>15</v>
      </c>
      <c r="D23" s="10" t="s">
        <v>8</v>
      </c>
      <c r="E23" s="10">
        <v>21</v>
      </c>
      <c r="F23" s="10">
        <v>4</v>
      </c>
      <c r="G23" s="10">
        <v>1</v>
      </c>
      <c r="H23" s="10">
        <v>1</v>
      </c>
      <c r="I23" s="20" t="s">
        <v>9</v>
      </c>
      <c r="J23" s="27"/>
      <c r="K23" s="10"/>
      <c r="L23" s="10"/>
      <c r="M23" s="10"/>
      <c r="N23" s="10"/>
      <c r="O23" s="18" t="s">
        <v>36</v>
      </c>
      <c r="P23" s="14"/>
      <c r="Q23" s="10">
        <v>2</v>
      </c>
      <c r="R23" s="19">
        <v>45734</v>
      </c>
      <c r="S23" s="19">
        <v>45735</v>
      </c>
      <c r="T23" s="19">
        <v>45740</v>
      </c>
      <c r="U23" s="19">
        <v>45741</v>
      </c>
      <c r="V23" s="19">
        <v>45744</v>
      </c>
      <c r="W23" s="10" t="s">
        <v>24</v>
      </c>
      <c r="X23" s="33" t="str">
        <f>IF(STAT[[#This Row],[sigla]]="","",VLOOKUP(STAT[[#This Row],[sigla]],créditos_base!B:C,2,0))</f>
        <v>Débora Mini</v>
      </c>
      <c r="Y23" s="10"/>
      <c r="Z23" s="10" t="s">
        <v>25</v>
      </c>
      <c r="AA23" s="10">
        <v>8</v>
      </c>
      <c r="AB23" s="14" t="s">
        <v>26</v>
      </c>
      <c r="AC23" s="10" t="s">
        <v>20</v>
      </c>
      <c r="AD23" s="32" t="str">
        <f t="shared" si="0"/>
        <v>Sintonia Educação Infantil P009m</v>
      </c>
      <c r="AE23" s="47" t="str">
        <f t="shared" si="1"/>
        <v>Edinfa</v>
      </c>
      <c r="AF23" s="47"/>
    </row>
    <row r="24" spans="1:32" ht="43.2" x14ac:dyDescent="0.3">
      <c r="A24" s="24" t="s">
        <v>37</v>
      </c>
      <c r="B24" s="10" t="s">
        <v>22</v>
      </c>
      <c r="C24" s="10" t="s">
        <v>15</v>
      </c>
      <c r="D24" s="10" t="s">
        <v>8</v>
      </c>
      <c r="E24" s="10">
        <v>21</v>
      </c>
      <c r="F24" s="10">
        <v>4</v>
      </c>
      <c r="G24" s="10">
        <v>1</v>
      </c>
      <c r="H24" s="10">
        <v>1</v>
      </c>
      <c r="I24" s="20" t="s">
        <v>9</v>
      </c>
      <c r="J24" s="27"/>
      <c r="K24" s="10"/>
      <c r="L24" s="10"/>
      <c r="M24" s="10"/>
      <c r="N24" s="10"/>
      <c r="O24" s="18" t="s">
        <v>38</v>
      </c>
      <c r="P24" s="14"/>
      <c r="Q24" s="10">
        <v>2</v>
      </c>
      <c r="R24" s="19">
        <v>45734</v>
      </c>
      <c r="S24" s="19">
        <v>45735</v>
      </c>
      <c r="T24" s="19">
        <v>45740</v>
      </c>
      <c r="U24" s="19">
        <v>45741</v>
      </c>
      <c r="V24" s="19">
        <v>45744</v>
      </c>
      <c r="W24" s="10" t="s">
        <v>24</v>
      </c>
      <c r="X24" s="33" t="str">
        <f>IF(STAT[[#This Row],[sigla]]="","",VLOOKUP(STAT[[#This Row],[sigla]],créditos_base!B:C,2,0))</f>
        <v>Débora Mini</v>
      </c>
      <c r="Y24" s="10"/>
      <c r="Z24" s="10" t="s">
        <v>25</v>
      </c>
      <c r="AA24" s="10">
        <v>8</v>
      </c>
      <c r="AB24" s="14" t="s">
        <v>26</v>
      </c>
      <c r="AC24" s="10" t="s">
        <v>20</v>
      </c>
      <c r="AD24" s="32" t="str">
        <f t="shared" si="0"/>
        <v>Sintonia Educação Infantil P009m</v>
      </c>
      <c r="AE24" s="47" t="str">
        <f t="shared" si="1"/>
        <v>Edinfa</v>
      </c>
      <c r="AF24" s="47"/>
    </row>
    <row r="25" spans="1:32" ht="57.6" x14ac:dyDescent="0.3">
      <c r="A25" s="24" t="s">
        <v>39</v>
      </c>
      <c r="B25" s="10" t="s">
        <v>6</v>
      </c>
      <c r="C25" s="10" t="s">
        <v>15</v>
      </c>
      <c r="D25" s="10" t="s">
        <v>8</v>
      </c>
      <c r="E25" s="10">
        <v>23</v>
      </c>
      <c r="F25" s="10">
        <v>4</v>
      </c>
      <c r="G25" s="10">
        <v>1</v>
      </c>
      <c r="H25" s="10">
        <v>1</v>
      </c>
      <c r="I25" s="20" t="s">
        <v>9</v>
      </c>
      <c r="J25" s="27"/>
      <c r="K25" s="10"/>
      <c r="L25" s="10"/>
      <c r="M25" s="10"/>
      <c r="N25" s="10"/>
      <c r="O25" s="18" t="s">
        <v>40</v>
      </c>
      <c r="P25" s="14"/>
      <c r="Q25" s="10">
        <v>2</v>
      </c>
      <c r="R25" s="19">
        <v>45734</v>
      </c>
      <c r="S25" s="19">
        <v>45736</v>
      </c>
      <c r="T25" s="19">
        <v>45736</v>
      </c>
      <c r="U25" s="19">
        <v>45741</v>
      </c>
      <c r="V25" s="19">
        <v>45741</v>
      </c>
      <c r="W25" s="10" t="s">
        <v>11</v>
      </c>
      <c r="X25" s="33" t="str">
        <f>IF(STAT[[#This Row],[sigla]]="","",VLOOKUP(STAT[[#This Row],[sigla]],créditos_base!B:C,2,0))</f>
        <v>Tatiane Galheiro</v>
      </c>
      <c r="Y25" s="10"/>
      <c r="Z25" s="10" t="s">
        <v>41</v>
      </c>
      <c r="AA25" s="10">
        <v>8</v>
      </c>
      <c r="AB25" s="14" t="s">
        <v>42</v>
      </c>
      <c r="AC25" s="10" t="s">
        <v>13</v>
      </c>
      <c r="AD25" s="32" t="str">
        <f t="shared" si="0"/>
        <v>Sintonia Educação Infantil P009m</v>
      </c>
      <c r="AE25" s="47" t="str">
        <f t="shared" si="1"/>
        <v>Edinfa</v>
      </c>
      <c r="AF25" s="47"/>
    </row>
    <row r="26" spans="1:32" ht="72" x14ac:dyDescent="0.3">
      <c r="A26" s="24" t="s">
        <v>43</v>
      </c>
      <c r="B26" s="10" t="s">
        <v>6</v>
      </c>
      <c r="C26" s="10" t="s">
        <v>15</v>
      </c>
      <c r="D26" s="10" t="s">
        <v>8</v>
      </c>
      <c r="E26" s="10">
        <v>28</v>
      </c>
      <c r="F26" s="10">
        <v>4</v>
      </c>
      <c r="G26" s="10">
        <v>1</v>
      </c>
      <c r="H26" s="10">
        <v>1</v>
      </c>
      <c r="I26" s="20" t="s">
        <v>9</v>
      </c>
      <c r="J26" s="27"/>
      <c r="K26" s="10"/>
      <c r="L26" s="10"/>
      <c r="M26" s="10"/>
      <c r="N26" s="10"/>
      <c r="O26" s="18" t="s">
        <v>44</v>
      </c>
      <c r="P26" s="14"/>
      <c r="Q26" s="10">
        <v>2</v>
      </c>
      <c r="R26" s="19">
        <v>45734</v>
      </c>
      <c r="S26" s="19">
        <v>45736</v>
      </c>
      <c r="T26" s="19">
        <v>45740</v>
      </c>
      <c r="U26" s="19">
        <v>45741</v>
      </c>
      <c r="V26" s="19">
        <v>45742</v>
      </c>
      <c r="W26" s="10" t="s">
        <v>45</v>
      </c>
      <c r="X26" s="33" t="str">
        <f>IF(STAT[[#This Row],[sigla]]="","",VLOOKUP(STAT[[#This Row],[sigla]],créditos_base!B:C,2,0))</f>
        <v>Gabriel Brum</v>
      </c>
      <c r="Y26" s="10"/>
      <c r="Z26" s="10" t="s">
        <v>46</v>
      </c>
      <c r="AA26" s="10">
        <v>6</v>
      </c>
      <c r="AB26" s="14" t="s">
        <v>47</v>
      </c>
      <c r="AC26" s="10" t="s">
        <v>20</v>
      </c>
      <c r="AD26" s="32" t="str">
        <f t="shared" si="0"/>
        <v>Sintonia Educação Infantil P009m</v>
      </c>
      <c r="AE26" s="47" t="str">
        <f t="shared" si="1"/>
        <v>Edinfa</v>
      </c>
      <c r="AF26" s="47"/>
    </row>
    <row r="27" spans="1:32" ht="144" x14ac:dyDescent="0.3">
      <c r="A27" s="24" t="s">
        <v>99</v>
      </c>
      <c r="B27" s="10" t="s">
        <v>22</v>
      </c>
      <c r="C27" s="10" t="s">
        <v>15</v>
      </c>
      <c r="D27" s="10" t="s">
        <v>8</v>
      </c>
      <c r="E27" s="10">
        <v>38</v>
      </c>
      <c r="F27" s="10">
        <v>4</v>
      </c>
      <c r="G27" s="10">
        <v>1</v>
      </c>
      <c r="H27" s="10">
        <v>2</v>
      </c>
      <c r="I27" s="20" t="s">
        <v>9</v>
      </c>
      <c r="J27" s="27"/>
      <c r="K27" s="10"/>
      <c r="L27" s="10"/>
      <c r="M27" s="10"/>
      <c r="N27" s="10"/>
      <c r="O27" s="18" t="s">
        <v>100</v>
      </c>
      <c r="P27" s="14"/>
      <c r="Q27" s="10">
        <v>5</v>
      </c>
      <c r="R27" s="19">
        <v>45743</v>
      </c>
      <c r="S27" s="19">
        <v>45744</v>
      </c>
      <c r="T27" s="19">
        <v>45747</v>
      </c>
      <c r="U27" s="19">
        <v>45747</v>
      </c>
      <c r="V27" s="19">
        <v>45750</v>
      </c>
      <c r="W27" s="10" t="s">
        <v>45</v>
      </c>
      <c r="X27" s="33" t="str">
        <f>IF(STAT[[#This Row],[sigla]]="","",VLOOKUP(STAT[[#This Row],[sigla]],créditos_base!B:C,2,0))</f>
        <v>Gabriel Brum</v>
      </c>
      <c r="Y27" s="10"/>
      <c r="Z27" s="10" t="s">
        <v>46</v>
      </c>
      <c r="AA27" s="10">
        <v>5</v>
      </c>
      <c r="AB27" s="14" t="s">
        <v>101</v>
      </c>
      <c r="AC27" s="10" t="s">
        <v>20</v>
      </c>
      <c r="AD27" s="32" t="str">
        <f t="shared" si="0"/>
        <v>Sintonia Educação Infantil P009m</v>
      </c>
      <c r="AE27" s="47" t="str">
        <f t="shared" si="1"/>
        <v>Edinfa</v>
      </c>
      <c r="AF27" s="47"/>
    </row>
    <row r="28" spans="1:32" x14ac:dyDescent="0.3">
      <c r="A28" s="24" t="s">
        <v>48</v>
      </c>
      <c r="B28" s="10" t="s">
        <v>6</v>
      </c>
      <c r="C28" s="10" t="s">
        <v>15</v>
      </c>
      <c r="D28" s="10" t="s">
        <v>8</v>
      </c>
      <c r="E28" s="10">
        <v>29</v>
      </c>
      <c r="F28" s="10">
        <v>4</v>
      </c>
      <c r="G28" s="10">
        <v>2</v>
      </c>
      <c r="H28" s="10">
        <v>2</v>
      </c>
      <c r="I28" s="20" t="s">
        <v>9</v>
      </c>
      <c r="J28" s="27"/>
      <c r="K28" s="10"/>
      <c r="L28" s="10"/>
      <c r="M28" s="10"/>
      <c r="N28" s="10"/>
      <c r="O28" s="18" t="s">
        <v>49</v>
      </c>
      <c r="P28" s="14"/>
      <c r="Q28" s="10">
        <v>3</v>
      </c>
      <c r="R28" s="19">
        <v>45736</v>
      </c>
      <c r="S28" s="19">
        <v>45736</v>
      </c>
      <c r="T28" s="19"/>
      <c r="U28" s="19"/>
      <c r="V28" s="19">
        <v>45740</v>
      </c>
      <c r="W28" s="10" t="s">
        <v>50</v>
      </c>
      <c r="X28" s="33" t="str">
        <f>IF(STAT[[#This Row],[sigla]]="","",VLOOKUP(STAT[[#This Row],[sigla]],créditos_base!B:C,2,0))</f>
        <v>Vinícius Costa</v>
      </c>
      <c r="Y28" s="10"/>
      <c r="Z28" s="10" t="s">
        <v>51</v>
      </c>
      <c r="AA28" s="10">
        <v>8</v>
      </c>
      <c r="AB28" s="14"/>
      <c r="AC28" s="10" t="s">
        <v>13</v>
      </c>
      <c r="AD28" s="32" t="str">
        <f t="shared" si="0"/>
        <v>Sintonia Educação Infantil P009m</v>
      </c>
      <c r="AE28" s="47" t="str">
        <f t="shared" si="1"/>
        <v>Edinfa</v>
      </c>
      <c r="AF28" s="47"/>
    </row>
    <row r="29" spans="1:32" x14ac:dyDescent="0.3">
      <c r="A29" s="24" t="s">
        <v>56</v>
      </c>
      <c r="B29" s="10" t="s">
        <v>6</v>
      </c>
      <c r="C29" s="10" t="s">
        <v>15</v>
      </c>
      <c r="D29" s="10" t="s">
        <v>8</v>
      </c>
      <c r="E29" s="10">
        <v>31</v>
      </c>
      <c r="F29" s="10">
        <v>4</v>
      </c>
      <c r="G29" s="10">
        <v>2</v>
      </c>
      <c r="H29" s="10">
        <v>2</v>
      </c>
      <c r="I29" s="20" t="s">
        <v>9</v>
      </c>
      <c r="J29" s="27"/>
      <c r="K29" s="10"/>
      <c r="L29" s="10"/>
      <c r="M29" s="10"/>
      <c r="N29" s="10"/>
      <c r="O29" s="18" t="s">
        <v>57</v>
      </c>
      <c r="P29" s="14"/>
      <c r="Q29" s="10">
        <v>3</v>
      </c>
      <c r="R29" s="19">
        <v>45736</v>
      </c>
      <c r="S29" s="19">
        <v>45736</v>
      </c>
      <c r="T29" s="19"/>
      <c r="U29" s="19"/>
      <c r="V29" s="19">
        <v>45740</v>
      </c>
      <c r="W29" s="10" t="s">
        <v>50</v>
      </c>
      <c r="X29" s="33" t="str">
        <f>IF(STAT[[#This Row],[sigla]]="","",VLOOKUP(STAT[[#This Row],[sigla]],créditos_base!B:C,2,0))</f>
        <v>Vinícius Costa</v>
      </c>
      <c r="Y29" s="10"/>
      <c r="Z29" s="10" t="s">
        <v>51</v>
      </c>
      <c r="AA29" s="10">
        <v>8</v>
      </c>
      <c r="AB29" s="14"/>
      <c r="AC29" s="10" t="s">
        <v>13</v>
      </c>
      <c r="AD29" s="32" t="str">
        <f t="shared" si="0"/>
        <v>Sintonia Educação Infantil P009m</v>
      </c>
      <c r="AE29" s="47" t="str">
        <f t="shared" si="1"/>
        <v>Edinfa</v>
      </c>
      <c r="AF29" s="47"/>
    </row>
    <row r="30" spans="1:32" x14ac:dyDescent="0.3">
      <c r="A30" s="24" t="s">
        <v>60</v>
      </c>
      <c r="B30" s="10" t="s">
        <v>6</v>
      </c>
      <c r="C30" s="10" t="s">
        <v>15</v>
      </c>
      <c r="D30" s="10" t="s">
        <v>8</v>
      </c>
      <c r="E30" s="10">
        <v>34</v>
      </c>
      <c r="F30" s="10">
        <v>4</v>
      </c>
      <c r="G30" s="10">
        <v>2</v>
      </c>
      <c r="H30" s="10">
        <v>2</v>
      </c>
      <c r="I30" s="20" t="s">
        <v>9</v>
      </c>
      <c r="J30" s="27"/>
      <c r="K30" s="10"/>
      <c r="L30" s="10"/>
      <c r="M30" s="10"/>
      <c r="N30" s="10"/>
      <c r="O30" s="18" t="s">
        <v>61</v>
      </c>
      <c r="P30" s="14"/>
      <c r="Q30" s="10">
        <v>3</v>
      </c>
      <c r="R30" s="19">
        <v>45736</v>
      </c>
      <c r="S30" s="19">
        <v>45736</v>
      </c>
      <c r="T30" s="19"/>
      <c r="U30" s="19"/>
      <c r="V30" s="19">
        <v>45740</v>
      </c>
      <c r="W30" s="10" t="s">
        <v>50</v>
      </c>
      <c r="X30" s="33" t="str">
        <f>IF(STAT[[#This Row],[sigla]]="","",VLOOKUP(STAT[[#This Row],[sigla]],créditos_base!B:C,2,0))</f>
        <v>Vinícius Costa</v>
      </c>
      <c r="Y30" s="10"/>
      <c r="Z30" s="10" t="s">
        <v>51</v>
      </c>
      <c r="AA30" s="10">
        <v>8</v>
      </c>
      <c r="AB30" s="14"/>
      <c r="AC30" s="10" t="s">
        <v>13</v>
      </c>
      <c r="AD30" s="32" t="str">
        <f t="shared" si="0"/>
        <v>Sintonia Educação Infantil P009m</v>
      </c>
      <c r="AE30" s="47" t="str">
        <f t="shared" si="1"/>
        <v>Edinfa</v>
      </c>
      <c r="AF30" s="47"/>
    </row>
    <row r="31" spans="1:32" x14ac:dyDescent="0.3">
      <c r="A31" s="13" t="s">
        <v>329</v>
      </c>
      <c r="B31" s="10" t="s">
        <v>6</v>
      </c>
      <c r="C31" s="11" t="s">
        <v>15</v>
      </c>
      <c r="D31" s="11" t="s">
        <v>8</v>
      </c>
      <c r="E31" s="10">
        <v>23</v>
      </c>
      <c r="F31" s="11">
        <v>5</v>
      </c>
      <c r="G31" s="10">
        <v>2</v>
      </c>
      <c r="H31" s="11">
        <v>2</v>
      </c>
      <c r="I31" s="12" t="s">
        <v>9</v>
      </c>
      <c r="J31" s="27"/>
      <c r="K31" s="10"/>
      <c r="L31" s="10"/>
      <c r="M31" s="10"/>
      <c r="N31" s="10"/>
      <c r="O31" s="25" t="s">
        <v>330</v>
      </c>
      <c r="P31" s="14"/>
      <c r="Q31" s="10">
        <v>12</v>
      </c>
      <c r="R31" s="19">
        <v>45782</v>
      </c>
      <c r="S31" s="19">
        <v>45783</v>
      </c>
      <c r="T31" s="19">
        <v>45785</v>
      </c>
      <c r="U31" s="19">
        <v>45786</v>
      </c>
      <c r="V31" s="19">
        <v>45926</v>
      </c>
      <c r="W31" s="10" t="s">
        <v>111</v>
      </c>
      <c r="X31" s="33" t="str">
        <f>IF(STAT[[#This Row],[sigla]]="","",VLOOKUP(STAT[[#This Row],[sigla]],créditos_base!B:C,2,0))</f>
        <v>Bianca Tavares</v>
      </c>
      <c r="Y31" s="10"/>
      <c r="Z31" s="10" t="str">
        <f>STAT[[#This Row],[ilustrador]]</f>
        <v>Bianca Tavares</v>
      </c>
      <c r="AA31" s="10">
        <v>7</v>
      </c>
      <c r="AB31" s="14" t="s">
        <v>331</v>
      </c>
      <c r="AC31" s="11" t="s">
        <v>20</v>
      </c>
      <c r="AD31" s="32" t="str">
        <f t="shared" si="0"/>
        <v>Sintonia Educação Infantil P009m</v>
      </c>
      <c r="AE31" s="47" t="str">
        <f t="shared" si="1"/>
        <v>Edinfa</v>
      </c>
      <c r="AF31" s="47"/>
    </row>
    <row r="32" spans="1:32" x14ac:dyDescent="0.3">
      <c r="A32" s="24" t="s">
        <v>62</v>
      </c>
      <c r="B32" s="10" t="s">
        <v>6</v>
      </c>
      <c r="C32" s="10" t="s">
        <v>15</v>
      </c>
      <c r="D32" s="10" t="s">
        <v>8</v>
      </c>
      <c r="E32" s="10">
        <v>38</v>
      </c>
      <c r="F32" s="10">
        <v>4</v>
      </c>
      <c r="G32" s="10">
        <v>2</v>
      </c>
      <c r="H32" s="10">
        <v>2</v>
      </c>
      <c r="I32" s="20" t="s">
        <v>9</v>
      </c>
      <c r="J32" s="27"/>
      <c r="K32" s="10"/>
      <c r="L32" s="10"/>
      <c r="M32" s="10"/>
      <c r="N32" s="10"/>
      <c r="O32" s="18" t="s">
        <v>63</v>
      </c>
      <c r="P32" s="14"/>
      <c r="Q32" s="10">
        <v>3</v>
      </c>
      <c r="R32" s="19">
        <v>45736</v>
      </c>
      <c r="S32" s="19">
        <v>45736</v>
      </c>
      <c r="T32" s="19"/>
      <c r="U32" s="19"/>
      <c r="V32" s="19">
        <v>45740</v>
      </c>
      <c r="W32" s="10" t="s">
        <v>50</v>
      </c>
      <c r="X32" s="33" t="str">
        <f>IF(STAT[[#This Row],[sigla]]="","",VLOOKUP(STAT[[#This Row],[sigla]],créditos_base!B:C,2,0))</f>
        <v>Vinícius Costa</v>
      </c>
      <c r="Y32" s="10" t="s">
        <v>54</v>
      </c>
      <c r="Z32" s="10" t="s">
        <v>51</v>
      </c>
      <c r="AA32" s="10">
        <v>8</v>
      </c>
      <c r="AB32" s="14" t="s">
        <v>55</v>
      </c>
      <c r="AC32" s="10" t="s">
        <v>13</v>
      </c>
      <c r="AD32" s="32" t="str">
        <f t="shared" si="0"/>
        <v>Sintonia Educação Infantil P009m</v>
      </c>
      <c r="AE32" s="47" t="str">
        <f t="shared" si="1"/>
        <v>Edinfa</v>
      </c>
      <c r="AF32" s="47"/>
    </row>
    <row r="33" spans="1:32" x14ac:dyDescent="0.3">
      <c r="A33" s="24" t="s">
        <v>64</v>
      </c>
      <c r="B33" s="10" t="s">
        <v>6</v>
      </c>
      <c r="C33" s="10" t="s">
        <v>15</v>
      </c>
      <c r="D33" s="10" t="s">
        <v>8</v>
      </c>
      <c r="E33" s="10">
        <v>38</v>
      </c>
      <c r="F33" s="10">
        <v>4</v>
      </c>
      <c r="G33" s="10">
        <v>2</v>
      </c>
      <c r="H33" s="10">
        <v>2</v>
      </c>
      <c r="I33" s="20" t="s">
        <v>9</v>
      </c>
      <c r="J33" s="27"/>
      <c r="K33" s="10"/>
      <c r="L33" s="10"/>
      <c r="M33" s="10"/>
      <c r="N33" s="10"/>
      <c r="O33" s="18" t="s">
        <v>65</v>
      </c>
      <c r="P33" s="14"/>
      <c r="Q33" s="10">
        <v>3</v>
      </c>
      <c r="R33" s="19">
        <v>45736</v>
      </c>
      <c r="S33" s="19">
        <v>45736</v>
      </c>
      <c r="T33" s="19"/>
      <c r="U33" s="19"/>
      <c r="V33" s="19">
        <v>45740</v>
      </c>
      <c r="W33" s="10" t="s">
        <v>50</v>
      </c>
      <c r="X33" s="33" t="str">
        <f>IF(STAT[[#This Row],[sigla]]="","",VLOOKUP(STAT[[#This Row],[sigla]],créditos_base!B:C,2,0))</f>
        <v>Vinícius Costa</v>
      </c>
      <c r="Y33" s="10" t="s">
        <v>54</v>
      </c>
      <c r="Z33" s="10" t="s">
        <v>51</v>
      </c>
      <c r="AA33" s="10">
        <v>8</v>
      </c>
      <c r="AB33" s="14" t="s">
        <v>55</v>
      </c>
      <c r="AC33" s="10" t="s">
        <v>13</v>
      </c>
      <c r="AD33" s="32" t="str">
        <f t="shared" si="0"/>
        <v>Sintonia Educação Infantil P009m</v>
      </c>
      <c r="AE33" s="47" t="str">
        <f t="shared" si="1"/>
        <v>Edinfa</v>
      </c>
      <c r="AF33" s="47"/>
    </row>
    <row r="34" spans="1:32" ht="72" x14ac:dyDescent="0.3">
      <c r="A34" s="24" t="s">
        <v>66</v>
      </c>
      <c r="B34" s="10" t="s">
        <v>6</v>
      </c>
      <c r="C34" s="10" t="s">
        <v>15</v>
      </c>
      <c r="D34" s="10" t="s">
        <v>8</v>
      </c>
      <c r="E34" s="10">
        <v>38</v>
      </c>
      <c r="F34" s="10">
        <v>4</v>
      </c>
      <c r="G34" s="10">
        <v>2</v>
      </c>
      <c r="H34" s="10">
        <v>2</v>
      </c>
      <c r="I34" s="20" t="s">
        <v>9</v>
      </c>
      <c r="J34" s="27"/>
      <c r="K34" s="10"/>
      <c r="L34" s="10"/>
      <c r="M34" s="10"/>
      <c r="N34" s="10"/>
      <c r="O34" s="18" t="s">
        <v>67</v>
      </c>
      <c r="P34" s="14"/>
      <c r="Q34" s="10">
        <v>3</v>
      </c>
      <c r="R34" s="19">
        <v>45736</v>
      </c>
      <c r="S34" s="19">
        <v>45736</v>
      </c>
      <c r="T34" s="19"/>
      <c r="U34" s="19"/>
      <c r="V34" s="19">
        <v>45740</v>
      </c>
      <c r="W34" s="10" t="s">
        <v>50</v>
      </c>
      <c r="X34" s="33" t="str">
        <f>IF(STAT[[#This Row],[sigla]]="","",VLOOKUP(STAT[[#This Row],[sigla]],créditos_base!B:C,2,0))</f>
        <v>Vinícius Costa</v>
      </c>
      <c r="Y34" s="10" t="s">
        <v>54</v>
      </c>
      <c r="Z34" s="10" t="s">
        <v>51</v>
      </c>
      <c r="AA34" s="10">
        <v>8</v>
      </c>
      <c r="AB34" s="14" t="s">
        <v>55</v>
      </c>
      <c r="AC34" s="10" t="s">
        <v>13</v>
      </c>
      <c r="AD34" s="32" t="str">
        <f t="shared" si="0"/>
        <v>Sintonia Educação Infantil P009m</v>
      </c>
      <c r="AE34" s="47" t="str">
        <f t="shared" si="1"/>
        <v>Edinfa</v>
      </c>
      <c r="AF34" s="47"/>
    </row>
    <row r="35" spans="1:32" ht="72" x14ac:dyDescent="0.3">
      <c r="A35" s="24" t="s">
        <v>68</v>
      </c>
      <c r="B35" s="10" t="s">
        <v>6</v>
      </c>
      <c r="C35" s="10" t="s">
        <v>15</v>
      </c>
      <c r="D35" s="10" t="s">
        <v>8</v>
      </c>
      <c r="E35" s="10">
        <v>39</v>
      </c>
      <c r="F35" s="10">
        <v>4</v>
      </c>
      <c r="G35" s="10">
        <v>2</v>
      </c>
      <c r="H35" s="10">
        <v>2</v>
      </c>
      <c r="I35" s="20" t="s">
        <v>9</v>
      </c>
      <c r="J35" s="27"/>
      <c r="K35" s="10"/>
      <c r="L35" s="10"/>
      <c r="M35" s="10"/>
      <c r="N35" s="10"/>
      <c r="O35" s="18" t="s">
        <v>69</v>
      </c>
      <c r="P35" s="14"/>
      <c r="Q35" s="10">
        <v>3</v>
      </c>
      <c r="R35" s="19">
        <v>45736</v>
      </c>
      <c r="S35" s="19">
        <v>45736</v>
      </c>
      <c r="T35" s="19"/>
      <c r="U35" s="19"/>
      <c r="V35" s="19">
        <v>45740</v>
      </c>
      <c r="W35" s="10" t="s">
        <v>50</v>
      </c>
      <c r="X35" s="33" t="str">
        <f>IF(STAT[[#This Row],[sigla]]="","",VLOOKUP(STAT[[#This Row],[sigla]],créditos_base!B:C,2,0))</f>
        <v>Vinícius Costa</v>
      </c>
      <c r="Y35" s="10"/>
      <c r="Z35" s="10" t="s">
        <v>51</v>
      </c>
      <c r="AA35" s="10">
        <v>8</v>
      </c>
      <c r="AB35" s="14"/>
      <c r="AC35" s="10" t="s">
        <v>13</v>
      </c>
      <c r="AD35" s="32" t="str">
        <f t="shared" si="0"/>
        <v>Sintonia Educação Infantil P009m</v>
      </c>
      <c r="AE35" s="47" t="str">
        <f t="shared" si="1"/>
        <v>Edinfa</v>
      </c>
      <c r="AF35" s="47"/>
    </row>
    <row r="36" spans="1:32" x14ac:dyDescent="0.3">
      <c r="A36" s="24" t="s">
        <v>70</v>
      </c>
      <c r="B36" s="10" t="s">
        <v>6</v>
      </c>
      <c r="C36" s="10" t="s">
        <v>15</v>
      </c>
      <c r="D36" s="10" t="s">
        <v>8</v>
      </c>
      <c r="E36" s="10">
        <v>39</v>
      </c>
      <c r="F36" s="10">
        <v>4</v>
      </c>
      <c r="G36" s="10">
        <v>2</v>
      </c>
      <c r="H36" s="10">
        <v>2</v>
      </c>
      <c r="I36" s="20" t="s">
        <v>9</v>
      </c>
      <c r="J36" s="27"/>
      <c r="K36" s="10"/>
      <c r="L36" s="10"/>
      <c r="M36" s="10"/>
      <c r="N36" s="10"/>
      <c r="O36" s="18" t="s">
        <v>71</v>
      </c>
      <c r="P36" s="14"/>
      <c r="Q36" s="10">
        <v>3</v>
      </c>
      <c r="R36" s="19">
        <v>45736</v>
      </c>
      <c r="S36" s="19">
        <v>45736</v>
      </c>
      <c r="T36" s="19"/>
      <c r="U36" s="19"/>
      <c r="V36" s="19">
        <v>45740</v>
      </c>
      <c r="W36" s="10" t="s">
        <v>50</v>
      </c>
      <c r="X36" s="33" t="str">
        <f>IF(STAT[[#This Row],[sigla]]="","",VLOOKUP(STAT[[#This Row],[sigla]],créditos_base!B:C,2,0))</f>
        <v>Vinícius Costa</v>
      </c>
      <c r="Y36" s="10"/>
      <c r="Z36" s="10" t="s">
        <v>51</v>
      </c>
      <c r="AA36" s="10">
        <v>8</v>
      </c>
      <c r="AB36" s="14"/>
      <c r="AC36" s="10" t="s">
        <v>13</v>
      </c>
      <c r="AD36" s="32" t="str">
        <f t="shared" si="0"/>
        <v>Sintonia Educação Infantil P009m</v>
      </c>
      <c r="AE36" s="47" t="str">
        <f t="shared" si="1"/>
        <v>Edinfa</v>
      </c>
      <c r="AF36" s="47"/>
    </row>
    <row r="37" spans="1:32" x14ac:dyDescent="0.3">
      <c r="A37" s="24" t="s">
        <v>86</v>
      </c>
      <c r="B37" s="10" t="s">
        <v>6</v>
      </c>
      <c r="C37" s="10" t="s">
        <v>15</v>
      </c>
      <c r="D37" s="10" t="s">
        <v>8</v>
      </c>
      <c r="E37" s="10"/>
      <c r="F37" s="10">
        <v>4</v>
      </c>
      <c r="G37" s="10">
        <v>2</v>
      </c>
      <c r="H37" s="10">
        <v>2</v>
      </c>
      <c r="I37" s="20" t="s">
        <v>9</v>
      </c>
      <c r="J37" s="27"/>
      <c r="K37" s="10"/>
      <c r="L37" s="10"/>
      <c r="M37" s="10"/>
      <c r="N37" s="10"/>
      <c r="O37" s="18" t="s">
        <v>87</v>
      </c>
      <c r="P37" s="14"/>
      <c r="Q37" s="10"/>
      <c r="R37" s="19"/>
      <c r="S37" s="19"/>
      <c r="T37" s="19"/>
      <c r="U37" s="19"/>
      <c r="V37" s="19"/>
      <c r="W37" s="10" t="s">
        <v>88</v>
      </c>
      <c r="X37" s="33" t="str">
        <f>IF(STAT[[#This Row],[sigla]]="","",VLOOKUP(STAT[[#This Row],[sigla]],créditos_base!B:C,2,0))</f>
        <v>Arquivo da editora</v>
      </c>
      <c r="Y37" s="10"/>
      <c r="Z37" s="10" t="s">
        <v>89</v>
      </c>
      <c r="AA37" s="10"/>
      <c r="AB37" s="14"/>
      <c r="AC37" s="10" t="s">
        <v>13</v>
      </c>
      <c r="AD37" s="32" t="str">
        <f t="shared" si="0"/>
        <v>Sintonia Educação Infantil P009m</v>
      </c>
      <c r="AE37" s="47" t="str">
        <f t="shared" si="1"/>
        <v>Edinfa</v>
      </c>
      <c r="AF37" s="47"/>
    </row>
    <row r="38" spans="1:32" x14ac:dyDescent="0.3">
      <c r="A38" s="13" t="s">
        <v>332</v>
      </c>
      <c r="B38" s="10" t="s">
        <v>6</v>
      </c>
      <c r="C38" s="11" t="s">
        <v>15</v>
      </c>
      <c r="D38" s="11" t="s">
        <v>8</v>
      </c>
      <c r="E38" s="10">
        <v>27</v>
      </c>
      <c r="F38" s="11">
        <v>5</v>
      </c>
      <c r="G38" s="10">
        <v>2</v>
      </c>
      <c r="H38" s="11">
        <v>2</v>
      </c>
      <c r="I38" s="12" t="s">
        <v>9</v>
      </c>
      <c r="J38" s="27"/>
      <c r="K38" s="10"/>
      <c r="L38" s="10"/>
      <c r="M38" s="10"/>
      <c r="N38" s="10"/>
      <c r="O38" s="25" t="s">
        <v>333</v>
      </c>
      <c r="P38" s="14"/>
      <c r="Q38" s="10">
        <v>12</v>
      </c>
      <c r="R38" s="19">
        <v>45782</v>
      </c>
      <c r="S38" s="19">
        <v>45783</v>
      </c>
      <c r="T38" s="19"/>
      <c r="U38" s="19"/>
      <c r="V38" s="19">
        <v>45783</v>
      </c>
      <c r="W38" s="10" t="s">
        <v>88</v>
      </c>
      <c r="X38" s="33" t="str">
        <f>IF(STAT[[#This Row],[sigla]]="","",VLOOKUP(STAT[[#This Row],[sigla]],créditos_base!B:C,2,0))</f>
        <v>Arquivo da editora</v>
      </c>
      <c r="Y38" s="10"/>
      <c r="Z38" s="10" t="str">
        <f>STAT[[#This Row],[ilustrador]]</f>
        <v>Arquivo da editora</v>
      </c>
      <c r="AA38" s="10">
        <v>13</v>
      </c>
      <c r="AB38" s="14" t="s">
        <v>322</v>
      </c>
      <c r="AC38" s="10" t="s">
        <v>13</v>
      </c>
      <c r="AD38" s="32" t="str">
        <f t="shared" si="0"/>
        <v>Sintonia Educação Infantil P009m</v>
      </c>
      <c r="AE38" s="47" t="str">
        <f t="shared" si="1"/>
        <v>Edinfa</v>
      </c>
      <c r="AF38" s="47"/>
    </row>
    <row r="39" spans="1:32" ht="158.4" x14ac:dyDescent="0.3">
      <c r="A39" s="13" t="s">
        <v>334</v>
      </c>
      <c r="B39" s="10" t="s">
        <v>6</v>
      </c>
      <c r="C39" s="11" t="s">
        <v>15</v>
      </c>
      <c r="D39" s="11" t="s">
        <v>8</v>
      </c>
      <c r="E39" s="10">
        <v>27</v>
      </c>
      <c r="F39" s="11">
        <v>5</v>
      </c>
      <c r="G39" s="10">
        <v>2</v>
      </c>
      <c r="H39" s="11">
        <v>2</v>
      </c>
      <c r="I39" s="12" t="s">
        <v>9</v>
      </c>
      <c r="J39" s="27"/>
      <c r="K39" s="10"/>
      <c r="L39" s="10"/>
      <c r="M39" s="10"/>
      <c r="N39" s="10"/>
      <c r="O39" s="25" t="s">
        <v>335</v>
      </c>
      <c r="P39" s="14"/>
      <c r="Q39" s="10">
        <v>12</v>
      </c>
      <c r="R39" s="19">
        <v>45782</v>
      </c>
      <c r="S39" s="19">
        <v>45783</v>
      </c>
      <c r="T39" s="19"/>
      <c r="U39" s="19"/>
      <c r="V39" s="19">
        <v>45783</v>
      </c>
      <c r="W39" s="10" t="s">
        <v>88</v>
      </c>
      <c r="X39" s="33" t="str">
        <f>IF(STAT[[#This Row],[sigla]]="","",VLOOKUP(STAT[[#This Row],[sigla]],créditos_base!B:C,2,0))</f>
        <v>Arquivo da editora</v>
      </c>
      <c r="Y39" s="10"/>
      <c r="Z39" s="10" t="str">
        <f>STAT[[#This Row],[ilustrador]]</f>
        <v>Arquivo da editora</v>
      </c>
      <c r="AA39" s="10">
        <v>13</v>
      </c>
      <c r="AB39" s="14" t="s">
        <v>322</v>
      </c>
      <c r="AC39" s="10" t="s">
        <v>13</v>
      </c>
      <c r="AD39" s="32" t="str">
        <f t="shared" si="0"/>
        <v>Sintonia Educação Infantil P009m</v>
      </c>
      <c r="AE39" s="47" t="str">
        <f t="shared" si="1"/>
        <v>Edinfa</v>
      </c>
      <c r="AF39" s="47"/>
    </row>
    <row r="40" spans="1:32" ht="216" x14ac:dyDescent="0.3">
      <c r="A40" s="13" t="s">
        <v>339</v>
      </c>
      <c r="B40" s="10" t="s">
        <v>6</v>
      </c>
      <c r="C40" s="11" t="s">
        <v>15</v>
      </c>
      <c r="D40" s="11" t="s">
        <v>8</v>
      </c>
      <c r="E40" s="10">
        <v>30</v>
      </c>
      <c r="F40" s="11">
        <v>5</v>
      </c>
      <c r="G40" s="10">
        <v>2</v>
      </c>
      <c r="H40" s="11">
        <v>2</v>
      </c>
      <c r="I40" s="12" t="s">
        <v>9</v>
      </c>
      <c r="J40" s="27"/>
      <c r="K40" s="10"/>
      <c r="L40" s="10"/>
      <c r="M40" s="10"/>
      <c r="N40" s="10"/>
      <c r="O40" s="25" t="s">
        <v>340</v>
      </c>
      <c r="P40" s="14"/>
      <c r="Q40" s="10"/>
      <c r="R40" s="19"/>
      <c r="S40" s="19"/>
      <c r="T40" s="19"/>
      <c r="U40" s="19"/>
      <c r="V40" s="19"/>
      <c r="W40" s="10" t="s">
        <v>88</v>
      </c>
      <c r="X40" s="33" t="str">
        <f>IF(STAT[[#This Row],[sigla]]="","",VLOOKUP(STAT[[#This Row],[sigla]],créditos_base!B:C,2,0))</f>
        <v>Arquivo da editora</v>
      </c>
      <c r="Y40" s="10"/>
      <c r="Z40" s="10" t="str">
        <f>STAT[[#This Row],[ilustrador]]</f>
        <v>Arquivo da editora</v>
      </c>
      <c r="AA40" s="10"/>
      <c r="AB40" s="14"/>
      <c r="AC40" s="10" t="s">
        <v>13</v>
      </c>
      <c r="AD40" s="32" t="str">
        <f t="shared" si="0"/>
        <v>Sintonia Educação Infantil P009m</v>
      </c>
      <c r="AE40" s="47" t="str">
        <f t="shared" si="1"/>
        <v>Edinfa</v>
      </c>
      <c r="AF40" s="47"/>
    </row>
    <row r="41" spans="1:32" ht="100.8" x14ac:dyDescent="0.3">
      <c r="A41" s="13" t="s">
        <v>341</v>
      </c>
      <c r="B41" s="10" t="s">
        <v>6</v>
      </c>
      <c r="C41" s="11" t="s">
        <v>15</v>
      </c>
      <c r="D41" s="11" t="s">
        <v>8</v>
      </c>
      <c r="E41" s="10">
        <v>30</v>
      </c>
      <c r="F41" s="11">
        <v>5</v>
      </c>
      <c r="G41" s="10">
        <v>2</v>
      </c>
      <c r="H41" s="11">
        <v>2</v>
      </c>
      <c r="I41" s="12" t="s">
        <v>9</v>
      </c>
      <c r="J41" s="27"/>
      <c r="K41" s="10"/>
      <c r="L41" s="10"/>
      <c r="M41" s="10"/>
      <c r="N41" s="10"/>
      <c r="O41" s="25" t="s">
        <v>342</v>
      </c>
      <c r="P41" s="14"/>
      <c r="Q41" s="10"/>
      <c r="R41" s="19"/>
      <c r="S41" s="19"/>
      <c r="T41" s="19"/>
      <c r="U41" s="19"/>
      <c r="V41" s="19"/>
      <c r="W41" s="10" t="s">
        <v>88</v>
      </c>
      <c r="X41" s="33" t="str">
        <f>IF(STAT[[#This Row],[sigla]]="","",VLOOKUP(STAT[[#This Row],[sigla]],créditos_base!B:C,2,0))</f>
        <v>Arquivo da editora</v>
      </c>
      <c r="Y41" s="10"/>
      <c r="Z41" s="10" t="str">
        <f>STAT[[#This Row],[ilustrador]]</f>
        <v>Arquivo da editora</v>
      </c>
      <c r="AA41" s="10"/>
      <c r="AB41" s="14"/>
      <c r="AC41" s="10" t="s">
        <v>13</v>
      </c>
      <c r="AD41" s="32" t="str">
        <f t="shared" si="0"/>
        <v>Sintonia Educação Infantil P009m</v>
      </c>
      <c r="AE41" s="47" t="str">
        <f t="shared" si="1"/>
        <v>Edinfa</v>
      </c>
      <c r="AF41" s="47"/>
    </row>
    <row r="42" spans="1:32" ht="86.4" x14ac:dyDescent="0.3">
      <c r="A42" s="13" t="s">
        <v>343</v>
      </c>
      <c r="B42" s="10" t="s">
        <v>6</v>
      </c>
      <c r="C42" s="11" t="s">
        <v>15</v>
      </c>
      <c r="D42" s="11" t="s">
        <v>8</v>
      </c>
      <c r="E42" s="10">
        <v>30</v>
      </c>
      <c r="F42" s="11">
        <v>5</v>
      </c>
      <c r="G42" s="10">
        <v>2</v>
      </c>
      <c r="H42" s="11">
        <v>2</v>
      </c>
      <c r="I42" s="12" t="s">
        <v>9</v>
      </c>
      <c r="J42" s="27"/>
      <c r="K42" s="10"/>
      <c r="L42" s="10"/>
      <c r="M42" s="10"/>
      <c r="N42" s="10"/>
      <c r="O42" s="25" t="s">
        <v>344</v>
      </c>
      <c r="P42" s="14"/>
      <c r="Q42" s="10"/>
      <c r="R42" s="19"/>
      <c r="S42" s="19"/>
      <c r="T42" s="19"/>
      <c r="U42" s="19"/>
      <c r="V42" s="19"/>
      <c r="W42" s="10" t="s">
        <v>88</v>
      </c>
      <c r="X42" s="33" t="str">
        <f>IF(STAT[[#This Row],[sigla]]="","",VLOOKUP(STAT[[#This Row],[sigla]],créditos_base!B:C,2,0))</f>
        <v>Arquivo da editora</v>
      </c>
      <c r="Y42" s="10"/>
      <c r="Z42" s="10" t="str">
        <f>STAT[[#This Row],[ilustrador]]</f>
        <v>Arquivo da editora</v>
      </c>
      <c r="AA42" s="10"/>
      <c r="AB42" s="14"/>
      <c r="AC42" s="10" t="s">
        <v>13</v>
      </c>
      <c r="AD42" s="32" t="str">
        <f t="shared" si="0"/>
        <v>Sintonia Educação Infantil P009m</v>
      </c>
      <c r="AE42" s="47" t="str">
        <f t="shared" si="1"/>
        <v>Edinfa</v>
      </c>
      <c r="AF42" s="47"/>
    </row>
    <row r="43" spans="1:32" ht="187.2" x14ac:dyDescent="0.3">
      <c r="A43" s="13" t="s">
        <v>345</v>
      </c>
      <c r="B43" s="10" t="s">
        <v>6</v>
      </c>
      <c r="C43" s="11" t="s">
        <v>15</v>
      </c>
      <c r="D43" s="11" t="s">
        <v>8</v>
      </c>
      <c r="E43" s="10">
        <v>30</v>
      </c>
      <c r="F43" s="11">
        <v>5</v>
      </c>
      <c r="G43" s="10">
        <v>2</v>
      </c>
      <c r="H43" s="11">
        <v>2</v>
      </c>
      <c r="I43" s="12" t="s">
        <v>9</v>
      </c>
      <c r="J43" s="27"/>
      <c r="K43" s="10"/>
      <c r="L43" s="10"/>
      <c r="M43" s="10"/>
      <c r="N43" s="10"/>
      <c r="O43" s="25" t="s">
        <v>346</v>
      </c>
      <c r="P43" s="14"/>
      <c r="Q43" s="10"/>
      <c r="R43" s="19"/>
      <c r="S43" s="19"/>
      <c r="T43" s="19"/>
      <c r="U43" s="19"/>
      <c r="V43" s="19"/>
      <c r="W43" s="10" t="s">
        <v>88</v>
      </c>
      <c r="X43" s="33" t="str">
        <f>IF(STAT[[#This Row],[sigla]]="","",VLOOKUP(STAT[[#This Row],[sigla]],créditos_base!B:C,2,0))</f>
        <v>Arquivo da editora</v>
      </c>
      <c r="Y43" s="10"/>
      <c r="Z43" s="10" t="str">
        <f>STAT[[#This Row],[ilustrador]]</f>
        <v>Arquivo da editora</v>
      </c>
      <c r="AA43" s="10"/>
      <c r="AB43" s="14"/>
      <c r="AC43" s="10" t="s">
        <v>13</v>
      </c>
      <c r="AD43" s="32" t="str">
        <f t="shared" si="0"/>
        <v>Sintonia Educação Infantil P009m</v>
      </c>
      <c r="AE43" s="47" t="str">
        <f t="shared" si="1"/>
        <v>Edinfa</v>
      </c>
      <c r="AF43" s="47"/>
    </row>
    <row r="44" spans="1:32" ht="43.2" x14ac:dyDescent="0.3">
      <c r="A44" s="24" t="s">
        <v>74</v>
      </c>
      <c r="B44" s="10" t="s">
        <v>6</v>
      </c>
      <c r="C44" s="10" t="s">
        <v>15</v>
      </c>
      <c r="D44" s="10" t="s">
        <v>8</v>
      </c>
      <c r="E44" s="10"/>
      <c r="F44" s="10">
        <v>4</v>
      </c>
      <c r="G44" s="10">
        <v>2</v>
      </c>
      <c r="H44" s="10">
        <v>2</v>
      </c>
      <c r="I44" s="20" t="s">
        <v>9</v>
      </c>
      <c r="J44" s="27"/>
      <c r="K44" s="10"/>
      <c r="L44" s="10"/>
      <c r="M44" s="10"/>
      <c r="N44" s="10"/>
      <c r="O44" s="18" t="s">
        <v>75</v>
      </c>
      <c r="P44" s="14"/>
      <c r="Q44" s="10">
        <v>3</v>
      </c>
      <c r="R44" s="19">
        <v>45736</v>
      </c>
      <c r="S44" s="19">
        <v>45736</v>
      </c>
      <c r="T44" s="19"/>
      <c r="U44" s="19"/>
      <c r="V44" s="19">
        <v>45740</v>
      </c>
      <c r="W44" s="10" t="s">
        <v>50</v>
      </c>
      <c r="X44" s="33" t="str">
        <f>IF(STAT[[#This Row],[sigla]]="","",VLOOKUP(STAT[[#This Row],[sigla]],créditos_base!B:C,2,0))</f>
        <v>Vinícius Costa</v>
      </c>
      <c r="Y44" s="10"/>
      <c r="Z44" s="10" t="s">
        <v>51</v>
      </c>
      <c r="AA44" s="10">
        <v>8</v>
      </c>
      <c r="AB44" s="14"/>
      <c r="AC44" s="10" t="s">
        <v>13</v>
      </c>
      <c r="AD44" s="32" t="str">
        <f t="shared" si="0"/>
        <v>Sintonia Educação Infantil P009m</v>
      </c>
      <c r="AE44" s="47" t="str">
        <f t="shared" si="1"/>
        <v>Edinfa</v>
      </c>
      <c r="AF44" s="47"/>
    </row>
    <row r="45" spans="1:32" ht="43.2" x14ac:dyDescent="0.3">
      <c r="A45" s="24" t="s">
        <v>76</v>
      </c>
      <c r="B45" s="10" t="s">
        <v>6</v>
      </c>
      <c r="C45" s="10" t="s">
        <v>15</v>
      </c>
      <c r="D45" s="10" t="s">
        <v>8</v>
      </c>
      <c r="E45" s="10"/>
      <c r="F45" s="10">
        <v>4</v>
      </c>
      <c r="G45" s="10">
        <v>2</v>
      </c>
      <c r="H45" s="10">
        <v>2</v>
      </c>
      <c r="I45" s="20" t="s">
        <v>9</v>
      </c>
      <c r="J45" s="13"/>
      <c r="K45" s="10"/>
      <c r="L45" s="10"/>
      <c r="M45" s="10"/>
      <c r="N45" s="10"/>
      <c r="O45" s="18" t="s">
        <v>77</v>
      </c>
      <c r="P45" s="14"/>
      <c r="Q45" s="10">
        <v>3</v>
      </c>
      <c r="R45" s="19">
        <v>45736</v>
      </c>
      <c r="S45" s="19">
        <v>45736</v>
      </c>
      <c r="T45" s="19"/>
      <c r="U45" s="19"/>
      <c r="V45" s="19">
        <v>45740</v>
      </c>
      <c r="W45" s="10" t="s">
        <v>50</v>
      </c>
      <c r="X45" s="33" t="str">
        <f>IF(STAT[[#This Row],[sigla]]="","",VLOOKUP(STAT[[#This Row],[sigla]],créditos_base!B:C,2,0))</f>
        <v>Vinícius Costa</v>
      </c>
      <c r="Y45" s="10"/>
      <c r="Z45" s="10" t="s">
        <v>51</v>
      </c>
      <c r="AA45" s="10">
        <v>8</v>
      </c>
      <c r="AB45" s="14"/>
      <c r="AC45" s="10" t="s">
        <v>13</v>
      </c>
      <c r="AD45" s="32" t="str">
        <f t="shared" si="0"/>
        <v>Sintonia Educação Infantil P009m</v>
      </c>
      <c r="AE45" s="47" t="str">
        <f t="shared" si="1"/>
        <v>Edinfa</v>
      </c>
      <c r="AF45" s="47"/>
    </row>
    <row r="46" spans="1:32" ht="86.4" x14ac:dyDescent="0.3">
      <c r="A46" s="24" t="s">
        <v>78</v>
      </c>
      <c r="B46" s="10" t="s">
        <v>6</v>
      </c>
      <c r="C46" s="10" t="s">
        <v>15</v>
      </c>
      <c r="D46" s="10" t="s">
        <v>8</v>
      </c>
      <c r="E46" s="10"/>
      <c r="F46" s="10">
        <v>4</v>
      </c>
      <c r="G46" s="10">
        <v>2</v>
      </c>
      <c r="H46" s="10">
        <v>2</v>
      </c>
      <c r="I46" s="20" t="s">
        <v>9</v>
      </c>
      <c r="J46" s="27"/>
      <c r="K46" s="10"/>
      <c r="L46" s="10"/>
      <c r="M46" s="10"/>
      <c r="N46" s="10"/>
      <c r="O46" s="18" t="s">
        <v>79</v>
      </c>
      <c r="P46" s="14"/>
      <c r="Q46" s="10">
        <v>3</v>
      </c>
      <c r="R46" s="19">
        <v>45736</v>
      </c>
      <c r="S46" s="19">
        <v>45736</v>
      </c>
      <c r="T46" s="19"/>
      <c r="U46" s="19"/>
      <c r="V46" s="19">
        <v>45740</v>
      </c>
      <c r="W46" s="10" t="s">
        <v>50</v>
      </c>
      <c r="X46" s="33" t="str">
        <f>IF(STAT[[#This Row],[sigla]]="","",VLOOKUP(STAT[[#This Row],[sigla]],créditos_base!B:C,2,0))</f>
        <v>Vinícius Costa</v>
      </c>
      <c r="Y46" s="10"/>
      <c r="Z46" s="10" t="s">
        <v>51</v>
      </c>
      <c r="AA46" s="10">
        <v>8</v>
      </c>
      <c r="AB46" s="14"/>
      <c r="AC46" s="10" t="s">
        <v>13</v>
      </c>
      <c r="AD46" s="32" t="str">
        <f t="shared" si="0"/>
        <v>Sintonia Educação Infantil P009m</v>
      </c>
      <c r="AE46" s="47" t="str">
        <f t="shared" si="1"/>
        <v>Edinfa</v>
      </c>
      <c r="AF46" s="47"/>
    </row>
    <row r="47" spans="1:32" ht="72" x14ac:dyDescent="0.3">
      <c r="A47" s="13" t="s">
        <v>349</v>
      </c>
      <c r="B47" s="10" t="s">
        <v>6</v>
      </c>
      <c r="C47" s="11" t="s">
        <v>15</v>
      </c>
      <c r="D47" s="11" t="s">
        <v>8</v>
      </c>
      <c r="E47" s="10">
        <v>34</v>
      </c>
      <c r="F47" s="11">
        <v>5</v>
      </c>
      <c r="G47" s="10">
        <v>2</v>
      </c>
      <c r="H47" s="11">
        <v>2</v>
      </c>
      <c r="I47" s="12" t="s">
        <v>9</v>
      </c>
      <c r="J47" s="27"/>
      <c r="K47" s="10"/>
      <c r="L47" s="10"/>
      <c r="M47" s="10"/>
      <c r="N47" s="10"/>
      <c r="O47" s="25" t="s">
        <v>350</v>
      </c>
      <c r="P47" s="14"/>
      <c r="Q47" s="10">
        <v>12</v>
      </c>
      <c r="R47" s="19">
        <v>45782</v>
      </c>
      <c r="S47" s="19">
        <v>45783</v>
      </c>
      <c r="T47" s="19"/>
      <c r="U47" s="19"/>
      <c r="V47" s="19">
        <v>45783</v>
      </c>
      <c r="W47" s="10" t="s">
        <v>338</v>
      </c>
      <c r="X47" s="33" t="str">
        <f>IF(STAT[[#This Row],[sigla]]="","",VLOOKUP(STAT[[#This Row],[sigla]],créditos_base!B:C,2,0))</f>
        <v>Rafaela Panissa</v>
      </c>
      <c r="Y47" s="10"/>
      <c r="Z47" s="10" t="str">
        <f>STAT[[#This Row],[ilustrador]]</f>
        <v>Rafaela Panissa</v>
      </c>
      <c r="AA47" s="10">
        <v>8</v>
      </c>
      <c r="AB47" s="14" t="s">
        <v>322</v>
      </c>
      <c r="AC47" s="10" t="s">
        <v>13</v>
      </c>
      <c r="AD47" s="32" t="str">
        <f t="shared" si="0"/>
        <v>Sintonia Educação Infantil P009m</v>
      </c>
      <c r="AE47" s="47" t="str">
        <f t="shared" si="1"/>
        <v>Edinfa</v>
      </c>
      <c r="AF47" s="47"/>
    </row>
    <row r="48" spans="1:32" ht="43.2" x14ac:dyDescent="0.3">
      <c r="A48" s="24" t="s">
        <v>80</v>
      </c>
      <c r="B48" s="10" t="s">
        <v>6</v>
      </c>
      <c r="C48" s="10" t="s">
        <v>15</v>
      </c>
      <c r="D48" s="10" t="s">
        <v>8</v>
      </c>
      <c r="E48" s="10"/>
      <c r="F48" s="10">
        <v>4</v>
      </c>
      <c r="G48" s="10">
        <v>2</v>
      </c>
      <c r="H48" s="10">
        <v>2</v>
      </c>
      <c r="I48" s="20" t="s">
        <v>9</v>
      </c>
      <c r="J48" s="27"/>
      <c r="K48" s="10"/>
      <c r="L48" s="10"/>
      <c r="M48" s="10"/>
      <c r="N48" s="10"/>
      <c r="O48" s="18" t="s">
        <v>81</v>
      </c>
      <c r="P48" s="14"/>
      <c r="Q48" s="10">
        <v>3</v>
      </c>
      <c r="R48" s="19">
        <v>45736</v>
      </c>
      <c r="S48" s="19">
        <v>45736</v>
      </c>
      <c r="T48" s="19"/>
      <c r="U48" s="19"/>
      <c r="V48" s="19">
        <v>45740</v>
      </c>
      <c r="W48" s="10" t="s">
        <v>50</v>
      </c>
      <c r="X48" s="33" t="str">
        <f>IF(STAT[[#This Row],[sigla]]="","",VLOOKUP(STAT[[#This Row],[sigla]],créditos_base!B:C,2,0))</f>
        <v>Vinícius Costa</v>
      </c>
      <c r="Y48" s="10"/>
      <c r="Z48" s="10" t="s">
        <v>51</v>
      </c>
      <c r="AA48" s="10">
        <v>8</v>
      </c>
      <c r="AB48" s="14"/>
      <c r="AC48" s="10" t="s">
        <v>13</v>
      </c>
      <c r="AD48" s="32" t="str">
        <f t="shared" si="0"/>
        <v>Sintonia Educação Infantil P009m</v>
      </c>
      <c r="AE48" s="47" t="str">
        <f t="shared" si="1"/>
        <v>Edinfa</v>
      </c>
      <c r="AF48" s="47"/>
    </row>
    <row r="49" spans="1:32" ht="43.2" x14ac:dyDescent="0.3">
      <c r="A49" s="13" t="s">
        <v>351</v>
      </c>
      <c r="B49" s="10" t="s">
        <v>6</v>
      </c>
      <c r="C49" s="11" t="s">
        <v>15</v>
      </c>
      <c r="D49" s="11" t="s">
        <v>8</v>
      </c>
      <c r="E49" s="10">
        <v>34</v>
      </c>
      <c r="F49" s="11">
        <v>5</v>
      </c>
      <c r="G49" s="10">
        <v>2</v>
      </c>
      <c r="H49" s="11">
        <v>2</v>
      </c>
      <c r="I49" s="12" t="s">
        <v>9</v>
      </c>
      <c r="J49" s="27"/>
      <c r="K49" s="10"/>
      <c r="L49" s="10"/>
      <c r="M49" s="10"/>
      <c r="N49" s="10"/>
      <c r="O49" s="25" t="s">
        <v>352</v>
      </c>
      <c r="P49" s="14"/>
      <c r="Q49" s="10">
        <v>12</v>
      </c>
      <c r="R49" s="19">
        <v>45782</v>
      </c>
      <c r="S49" s="19">
        <v>45783</v>
      </c>
      <c r="T49" s="19"/>
      <c r="U49" s="19"/>
      <c r="V49" s="19">
        <v>45783</v>
      </c>
      <c r="W49" s="10" t="s">
        <v>338</v>
      </c>
      <c r="X49" s="33" t="str">
        <f>IF(STAT[[#This Row],[sigla]]="","",VLOOKUP(STAT[[#This Row],[sigla]],créditos_base!B:C,2,0))</f>
        <v>Rafaela Panissa</v>
      </c>
      <c r="Y49" s="10"/>
      <c r="Z49" s="10" t="str">
        <f>STAT[[#This Row],[ilustrador]]</f>
        <v>Rafaela Panissa</v>
      </c>
      <c r="AA49" s="10">
        <v>8</v>
      </c>
      <c r="AB49" s="14" t="s">
        <v>322</v>
      </c>
      <c r="AC49" s="10" t="s">
        <v>13</v>
      </c>
      <c r="AD49" s="32" t="str">
        <f t="shared" si="0"/>
        <v>Sintonia Educação Infantil P009m</v>
      </c>
      <c r="AE49" s="47" t="str">
        <f t="shared" si="1"/>
        <v>Edinfa</v>
      </c>
      <c r="AF49" s="47"/>
    </row>
    <row r="50" spans="1:32" ht="57.6" x14ac:dyDescent="0.3">
      <c r="A50" s="24" t="s">
        <v>82</v>
      </c>
      <c r="B50" s="10" t="s">
        <v>6</v>
      </c>
      <c r="C50" s="10" t="s">
        <v>15</v>
      </c>
      <c r="D50" s="10" t="s">
        <v>8</v>
      </c>
      <c r="E50" s="10"/>
      <c r="F50" s="10">
        <v>4</v>
      </c>
      <c r="G50" s="10">
        <v>2</v>
      </c>
      <c r="H50" s="10">
        <v>2</v>
      </c>
      <c r="I50" s="20" t="s">
        <v>9</v>
      </c>
      <c r="J50" s="27"/>
      <c r="K50" s="10"/>
      <c r="L50" s="10"/>
      <c r="M50" s="10"/>
      <c r="N50" s="10"/>
      <c r="O50" s="18" t="s">
        <v>83</v>
      </c>
      <c r="P50" s="14"/>
      <c r="Q50" s="10">
        <v>3</v>
      </c>
      <c r="R50" s="19">
        <v>45736</v>
      </c>
      <c r="S50" s="19">
        <v>45736</v>
      </c>
      <c r="T50" s="19"/>
      <c r="U50" s="19"/>
      <c r="V50" s="19">
        <v>45740</v>
      </c>
      <c r="W50" s="10" t="s">
        <v>50</v>
      </c>
      <c r="X50" s="33" t="str">
        <f>IF(STAT[[#This Row],[sigla]]="","",VLOOKUP(STAT[[#This Row],[sigla]],créditos_base!B:C,2,0))</f>
        <v>Vinícius Costa</v>
      </c>
      <c r="Y50" s="10"/>
      <c r="Z50" s="10" t="s">
        <v>51</v>
      </c>
      <c r="AA50" s="10">
        <v>8</v>
      </c>
      <c r="AB50" s="14"/>
      <c r="AC50" s="10" t="s">
        <v>13</v>
      </c>
      <c r="AD50" s="32" t="str">
        <f t="shared" si="0"/>
        <v>Sintonia Educação Infantil P009m</v>
      </c>
      <c r="AE50" s="47" t="str">
        <f t="shared" si="1"/>
        <v>Edinfa</v>
      </c>
      <c r="AF50" s="47"/>
    </row>
    <row r="51" spans="1:32" ht="28.8" x14ac:dyDescent="0.3">
      <c r="A51" s="13" t="s">
        <v>353</v>
      </c>
      <c r="B51" s="10" t="s">
        <v>6</v>
      </c>
      <c r="C51" s="11" t="s">
        <v>15</v>
      </c>
      <c r="D51" s="11" t="s">
        <v>8</v>
      </c>
      <c r="E51" s="10">
        <v>34</v>
      </c>
      <c r="F51" s="11">
        <v>5</v>
      </c>
      <c r="G51" s="10">
        <v>2</v>
      </c>
      <c r="H51" s="11">
        <v>2</v>
      </c>
      <c r="I51" s="12" t="s">
        <v>9</v>
      </c>
      <c r="J51" s="27"/>
      <c r="K51" s="10"/>
      <c r="L51" s="10"/>
      <c r="M51" s="10"/>
      <c r="N51" s="10"/>
      <c r="O51" s="25" t="s">
        <v>354</v>
      </c>
      <c r="P51" s="14"/>
      <c r="Q51" s="10">
        <v>12</v>
      </c>
      <c r="R51" s="19">
        <v>45782</v>
      </c>
      <c r="S51" s="19">
        <v>45783</v>
      </c>
      <c r="T51" s="19"/>
      <c r="U51" s="19"/>
      <c r="V51" s="19">
        <v>45783</v>
      </c>
      <c r="W51" s="10" t="s">
        <v>338</v>
      </c>
      <c r="X51" s="33" t="str">
        <f>IF(STAT[[#This Row],[sigla]]="","",VLOOKUP(STAT[[#This Row],[sigla]],créditos_base!B:C,2,0))</f>
        <v>Rafaela Panissa</v>
      </c>
      <c r="Y51" s="10"/>
      <c r="Z51" s="10" t="str">
        <f>STAT[[#This Row],[ilustrador]]</f>
        <v>Rafaela Panissa</v>
      </c>
      <c r="AA51" s="10">
        <v>8</v>
      </c>
      <c r="AB51" s="14" t="s">
        <v>322</v>
      </c>
      <c r="AC51" s="10" t="s">
        <v>13</v>
      </c>
      <c r="AD51" s="32" t="str">
        <f t="shared" si="0"/>
        <v>Sintonia Educação Infantil P009m</v>
      </c>
      <c r="AE51" s="47" t="str">
        <f t="shared" si="1"/>
        <v>Edinfa</v>
      </c>
      <c r="AF51" s="47"/>
    </row>
    <row r="52" spans="1:32" x14ac:dyDescent="0.3">
      <c r="A52" s="24" t="s">
        <v>84</v>
      </c>
      <c r="B52" s="10" t="s">
        <v>6</v>
      </c>
      <c r="C52" s="10" t="s">
        <v>15</v>
      </c>
      <c r="D52" s="10" t="s">
        <v>8</v>
      </c>
      <c r="E52" s="10"/>
      <c r="F52" s="10">
        <v>4</v>
      </c>
      <c r="G52" s="10">
        <v>2</v>
      </c>
      <c r="H52" s="10">
        <v>2</v>
      </c>
      <c r="I52" s="20" t="s">
        <v>9</v>
      </c>
      <c r="J52" s="27"/>
      <c r="K52" s="10"/>
      <c r="L52" s="10"/>
      <c r="M52" s="10"/>
      <c r="N52" s="10"/>
      <c r="O52" s="18" t="s">
        <v>85</v>
      </c>
      <c r="P52" s="14"/>
      <c r="Q52" s="10">
        <v>3</v>
      </c>
      <c r="R52" s="19">
        <v>45736</v>
      </c>
      <c r="S52" s="19">
        <v>45736</v>
      </c>
      <c r="T52" s="19"/>
      <c r="U52" s="19"/>
      <c r="V52" s="19">
        <v>45740</v>
      </c>
      <c r="W52" s="10" t="s">
        <v>50</v>
      </c>
      <c r="X52" s="33" t="str">
        <f>IF(STAT[[#This Row],[sigla]]="","",VLOOKUP(STAT[[#This Row],[sigla]],créditos_base!B:C,2,0))</f>
        <v>Vinícius Costa</v>
      </c>
      <c r="Y52" s="10"/>
      <c r="Z52" s="10" t="s">
        <v>51</v>
      </c>
      <c r="AA52" s="10">
        <v>8</v>
      </c>
      <c r="AB52" s="14"/>
      <c r="AC52" s="10" t="s">
        <v>13</v>
      </c>
      <c r="AD52" s="32" t="str">
        <f t="shared" si="0"/>
        <v>Sintonia Educação Infantil P009m</v>
      </c>
      <c r="AE52" s="47" t="str">
        <f t="shared" si="1"/>
        <v>Edinfa</v>
      </c>
      <c r="AF52" s="47"/>
    </row>
    <row r="53" spans="1:32" ht="28.8" x14ac:dyDescent="0.3">
      <c r="A53" s="13" t="s">
        <v>355</v>
      </c>
      <c r="B53" s="10" t="s">
        <v>6</v>
      </c>
      <c r="C53" s="11" t="s">
        <v>15</v>
      </c>
      <c r="D53" s="11" t="s">
        <v>8</v>
      </c>
      <c r="E53" s="10">
        <v>34</v>
      </c>
      <c r="F53" s="11">
        <v>5</v>
      </c>
      <c r="G53" s="10">
        <v>2</v>
      </c>
      <c r="H53" s="11">
        <v>2</v>
      </c>
      <c r="I53" s="12" t="s">
        <v>9</v>
      </c>
      <c r="J53" s="27"/>
      <c r="K53" s="10"/>
      <c r="L53" s="10"/>
      <c r="M53" s="10"/>
      <c r="N53" s="10"/>
      <c r="O53" s="25" t="s">
        <v>356</v>
      </c>
      <c r="P53" s="14"/>
      <c r="Q53" s="10">
        <v>12</v>
      </c>
      <c r="R53" s="19">
        <v>45782</v>
      </c>
      <c r="S53" s="19">
        <v>45783</v>
      </c>
      <c r="T53" s="19"/>
      <c r="U53" s="19"/>
      <c r="V53" s="19">
        <v>45783</v>
      </c>
      <c r="W53" s="10" t="s">
        <v>338</v>
      </c>
      <c r="X53" s="33" t="str">
        <f>IF(STAT[[#This Row],[sigla]]="","",VLOOKUP(STAT[[#This Row],[sigla]],créditos_base!B:C,2,0))</f>
        <v>Rafaela Panissa</v>
      </c>
      <c r="Y53" s="10"/>
      <c r="Z53" s="10" t="str">
        <f>STAT[[#This Row],[ilustrador]]</f>
        <v>Rafaela Panissa</v>
      </c>
      <c r="AA53" s="10">
        <v>8</v>
      </c>
      <c r="AB53" s="14" t="s">
        <v>322</v>
      </c>
      <c r="AC53" s="10" t="s">
        <v>13</v>
      </c>
      <c r="AD53" s="32" t="str">
        <f t="shared" si="0"/>
        <v>Sintonia Educação Infantil P009m</v>
      </c>
      <c r="AE53" s="47" t="str">
        <f t="shared" si="1"/>
        <v>Edinfa</v>
      </c>
      <c r="AF53" s="47"/>
    </row>
    <row r="54" spans="1:32" ht="43.2" x14ac:dyDescent="0.3">
      <c r="A54" s="13" t="s">
        <v>357</v>
      </c>
      <c r="B54" s="10" t="s">
        <v>6</v>
      </c>
      <c r="C54" s="11" t="s">
        <v>15</v>
      </c>
      <c r="D54" s="11" t="s">
        <v>8</v>
      </c>
      <c r="E54" s="10">
        <v>34</v>
      </c>
      <c r="F54" s="11">
        <v>5</v>
      </c>
      <c r="G54" s="10">
        <v>2</v>
      </c>
      <c r="H54" s="11">
        <v>2</v>
      </c>
      <c r="I54" s="12" t="s">
        <v>9</v>
      </c>
      <c r="J54" s="27"/>
      <c r="K54" s="10"/>
      <c r="L54" s="10"/>
      <c r="M54" s="10"/>
      <c r="N54" s="10"/>
      <c r="O54" s="25" t="s">
        <v>358</v>
      </c>
      <c r="P54" s="14"/>
      <c r="Q54" s="10">
        <v>12</v>
      </c>
      <c r="R54" s="19">
        <v>45782</v>
      </c>
      <c r="S54" s="19">
        <v>45783</v>
      </c>
      <c r="T54" s="19"/>
      <c r="U54" s="19"/>
      <c r="V54" s="19">
        <v>45783</v>
      </c>
      <c r="W54" s="10" t="s">
        <v>338</v>
      </c>
      <c r="X54" s="33" t="str">
        <f>IF(STAT[[#This Row],[sigla]]="","",VLOOKUP(STAT[[#This Row],[sigla]],créditos_base!B:C,2,0))</f>
        <v>Rafaela Panissa</v>
      </c>
      <c r="Y54" s="10"/>
      <c r="Z54" s="10" t="str">
        <f>STAT[[#This Row],[ilustrador]]</f>
        <v>Rafaela Panissa</v>
      </c>
      <c r="AA54" s="10">
        <v>8</v>
      </c>
      <c r="AB54" s="14" t="s">
        <v>322</v>
      </c>
      <c r="AC54" s="10" t="s">
        <v>13</v>
      </c>
      <c r="AD54" s="32" t="str">
        <f t="shared" si="0"/>
        <v>Sintonia Educação Infantil P009m</v>
      </c>
      <c r="AE54" s="47" t="str">
        <f t="shared" si="1"/>
        <v>Edinfa</v>
      </c>
      <c r="AF54" s="47"/>
    </row>
    <row r="55" spans="1:32" ht="43.2" x14ac:dyDescent="0.3">
      <c r="A55" s="13" t="s">
        <v>359</v>
      </c>
      <c r="B55" s="10" t="s">
        <v>6</v>
      </c>
      <c r="C55" s="11" t="s">
        <v>15</v>
      </c>
      <c r="D55" s="11" t="s">
        <v>8</v>
      </c>
      <c r="E55" s="10">
        <v>34</v>
      </c>
      <c r="F55" s="11">
        <v>5</v>
      </c>
      <c r="G55" s="10">
        <v>2</v>
      </c>
      <c r="H55" s="11">
        <v>2</v>
      </c>
      <c r="I55" s="12" t="s">
        <v>9</v>
      </c>
      <c r="J55" s="27"/>
      <c r="K55" s="10"/>
      <c r="L55" s="10"/>
      <c r="M55" s="10"/>
      <c r="N55" s="10"/>
      <c r="O55" s="25" t="s">
        <v>360</v>
      </c>
      <c r="P55" s="14"/>
      <c r="Q55" s="10">
        <v>12</v>
      </c>
      <c r="R55" s="19">
        <v>45782</v>
      </c>
      <c r="S55" s="19">
        <v>45783</v>
      </c>
      <c r="T55" s="19"/>
      <c r="U55" s="19"/>
      <c r="V55" s="19">
        <v>45783</v>
      </c>
      <c r="W55" s="10" t="s">
        <v>338</v>
      </c>
      <c r="X55" s="33" t="str">
        <f>IF(STAT[[#This Row],[sigla]]="","",VLOOKUP(STAT[[#This Row],[sigla]],créditos_base!B:C,2,0))</f>
        <v>Rafaela Panissa</v>
      </c>
      <c r="Y55" s="10"/>
      <c r="Z55" s="10" t="str">
        <f>STAT[[#This Row],[ilustrador]]</f>
        <v>Rafaela Panissa</v>
      </c>
      <c r="AA55" s="10">
        <v>8</v>
      </c>
      <c r="AB55" s="14" t="s">
        <v>322</v>
      </c>
      <c r="AC55" s="10" t="s">
        <v>13</v>
      </c>
      <c r="AD55" s="32" t="str">
        <f t="shared" si="0"/>
        <v>Sintonia Educação Infantil P009m</v>
      </c>
      <c r="AE55" s="47" t="str">
        <f t="shared" si="1"/>
        <v>Edinfa</v>
      </c>
      <c r="AF55" s="47"/>
    </row>
    <row r="56" spans="1:32" ht="43.2" x14ac:dyDescent="0.3">
      <c r="A56" s="13" t="s">
        <v>361</v>
      </c>
      <c r="B56" s="10" t="s">
        <v>6</v>
      </c>
      <c r="C56" s="11" t="s">
        <v>15</v>
      </c>
      <c r="D56" s="11" t="s">
        <v>8</v>
      </c>
      <c r="E56" s="10">
        <v>36</v>
      </c>
      <c r="F56" s="11">
        <v>5</v>
      </c>
      <c r="G56" s="10">
        <v>2</v>
      </c>
      <c r="H56" s="11">
        <v>2</v>
      </c>
      <c r="I56" s="12" t="s">
        <v>9</v>
      </c>
      <c r="J56" s="27"/>
      <c r="K56" s="10"/>
      <c r="L56" s="10"/>
      <c r="M56" s="10"/>
      <c r="N56" s="10"/>
      <c r="O56" s="25" t="s">
        <v>362</v>
      </c>
      <c r="P56" s="14"/>
      <c r="Q56" s="10">
        <v>12</v>
      </c>
      <c r="R56" s="19">
        <v>45782</v>
      </c>
      <c r="S56" s="19">
        <v>45783</v>
      </c>
      <c r="T56" s="19">
        <v>45785</v>
      </c>
      <c r="U56" s="19">
        <v>45786</v>
      </c>
      <c r="V56" s="19">
        <v>45926</v>
      </c>
      <c r="W56" s="10" t="s">
        <v>111</v>
      </c>
      <c r="X56" s="33" t="str">
        <f>IF(STAT[[#This Row],[sigla]]="","",VLOOKUP(STAT[[#This Row],[sigla]],créditos_base!B:C,2,0))</f>
        <v>Bianca Tavares</v>
      </c>
      <c r="Y56" s="10"/>
      <c r="Z56" s="10" t="str">
        <f>STAT[[#This Row],[ilustrador]]</f>
        <v>Bianca Tavares</v>
      </c>
      <c r="AA56" s="10">
        <v>1</v>
      </c>
      <c r="AB56" s="14" t="s">
        <v>331</v>
      </c>
      <c r="AC56" s="11" t="s">
        <v>20</v>
      </c>
      <c r="AD56" s="32" t="str">
        <f t="shared" si="0"/>
        <v>Sintonia Educação Infantil P009m</v>
      </c>
      <c r="AE56" s="47" t="str">
        <f t="shared" si="1"/>
        <v>Edinfa</v>
      </c>
      <c r="AF56" s="47"/>
    </row>
    <row r="57" spans="1:32" ht="43.2" x14ac:dyDescent="0.3">
      <c r="A57" s="24" t="s">
        <v>90</v>
      </c>
      <c r="B57" s="10" t="s">
        <v>6</v>
      </c>
      <c r="C57" s="10" t="s">
        <v>15</v>
      </c>
      <c r="D57" s="10" t="s">
        <v>8</v>
      </c>
      <c r="E57" s="10"/>
      <c r="F57" s="10">
        <v>4</v>
      </c>
      <c r="G57" s="10">
        <v>2</v>
      </c>
      <c r="H57" s="10">
        <v>2</v>
      </c>
      <c r="I57" s="20" t="s">
        <v>9</v>
      </c>
      <c r="J57" s="27"/>
      <c r="K57" s="10"/>
      <c r="L57" s="10"/>
      <c r="M57" s="10"/>
      <c r="N57" s="10"/>
      <c r="O57" s="18" t="s">
        <v>91</v>
      </c>
      <c r="P57" s="14"/>
      <c r="Q57" s="10">
        <v>3</v>
      </c>
      <c r="R57" s="19">
        <v>45736</v>
      </c>
      <c r="S57" s="19">
        <v>45736</v>
      </c>
      <c r="T57" s="19">
        <v>45740</v>
      </c>
      <c r="U57" s="19">
        <v>45740</v>
      </c>
      <c r="V57" s="19">
        <v>45743</v>
      </c>
      <c r="W57" s="10" t="s">
        <v>17</v>
      </c>
      <c r="X57" s="33" t="str">
        <f>IF(STAT[[#This Row],[sigla]]="","",VLOOKUP(STAT[[#This Row],[sigla]],créditos_base!B:C,2,0))</f>
        <v>Thais Castro</v>
      </c>
      <c r="Y57" s="10"/>
      <c r="Z57" s="10" t="s">
        <v>18</v>
      </c>
      <c r="AA57" s="10">
        <v>6</v>
      </c>
      <c r="AB57" s="14" t="s">
        <v>26</v>
      </c>
      <c r="AC57" s="10" t="s">
        <v>20</v>
      </c>
      <c r="AD57" s="32" t="str">
        <f t="shared" si="0"/>
        <v>Sintonia Educação Infantil P009m</v>
      </c>
      <c r="AE57" s="47" t="str">
        <f t="shared" si="1"/>
        <v>Edinfa</v>
      </c>
      <c r="AF57" s="47"/>
    </row>
    <row r="58" spans="1:32" ht="43.2" x14ac:dyDescent="0.3">
      <c r="A58" s="13" t="s">
        <v>363</v>
      </c>
      <c r="B58" s="10" t="s">
        <v>6</v>
      </c>
      <c r="C58" s="11" t="s">
        <v>15</v>
      </c>
      <c r="D58" s="11" t="s">
        <v>8</v>
      </c>
      <c r="E58" s="10">
        <v>36</v>
      </c>
      <c r="F58" s="11">
        <v>5</v>
      </c>
      <c r="G58" s="10">
        <v>2</v>
      </c>
      <c r="H58" s="11">
        <v>2</v>
      </c>
      <c r="I58" s="12" t="s">
        <v>9</v>
      </c>
      <c r="J58" s="27"/>
      <c r="K58" s="10"/>
      <c r="L58" s="10"/>
      <c r="M58" s="10"/>
      <c r="N58" s="10"/>
      <c r="O58" s="25" t="s">
        <v>364</v>
      </c>
      <c r="P58" s="14"/>
      <c r="Q58" s="10">
        <v>12</v>
      </c>
      <c r="R58" s="19">
        <v>45782</v>
      </c>
      <c r="S58" s="19">
        <v>45783</v>
      </c>
      <c r="T58" s="19">
        <v>45785</v>
      </c>
      <c r="U58" s="19">
        <v>45786</v>
      </c>
      <c r="V58" s="19">
        <v>45926</v>
      </c>
      <c r="W58" s="10" t="s">
        <v>111</v>
      </c>
      <c r="X58" s="33" t="str">
        <f>IF(STAT[[#This Row],[sigla]]="","",VLOOKUP(STAT[[#This Row],[sigla]],créditos_base!B:C,2,0))</f>
        <v>Bianca Tavares</v>
      </c>
      <c r="Y58" s="10"/>
      <c r="Z58" s="10" t="str">
        <f>STAT[[#This Row],[ilustrador]]</f>
        <v>Bianca Tavares</v>
      </c>
      <c r="AA58" s="10">
        <v>5</v>
      </c>
      <c r="AB58" s="14" t="s">
        <v>331</v>
      </c>
      <c r="AC58" s="11" t="s">
        <v>20</v>
      </c>
      <c r="AD58" s="32" t="str">
        <f t="shared" si="0"/>
        <v>Sintonia Educação Infantil P009m</v>
      </c>
      <c r="AE58" s="47" t="str">
        <f t="shared" si="1"/>
        <v>Edinfa</v>
      </c>
      <c r="AF58" s="47"/>
    </row>
    <row r="59" spans="1:32" ht="28.8" x14ac:dyDescent="0.3">
      <c r="A59" s="24" t="s">
        <v>92</v>
      </c>
      <c r="B59" s="10" t="s">
        <v>6</v>
      </c>
      <c r="C59" s="10" t="s">
        <v>15</v>
      </c>
      <c r="D59" s="10" t="s">
        <v>8</v>
      </c>
      <c r="E59" s="10"/>
      <c r="F59" s="10">
        <v>4</v>
      </c>
      <c r="G59" s="10">
        <v>2</v>
      </c>
      <c r="H59" s="10">
        <v>2</v>
      </c>
      <c r="I59" s="20" t="s">
        <v>9</v>
      </c>
      <c r="J59" s="27"/>
      <c r="K59" s="10"/>
      <c r="L59" s="10"/>
      <c r="M59" s="10"/>
      <c r="N59" s="10"/>
      <c r="O59" s="18" t="s">
        <v>93</v>
      </c>
      <c r="P59" s="14"/>
      <c r="Q59" s="10">
        <v>3</v>
      </c>
      <c r="R59" s="19">
        <v>45736</v>
      </c>
      <c r="S59" s="19">
        <v>45743</v>
      </c>
      <c r="T59" s="19"/>
      <c r="U59" s="19"/>
      <c r="V59" s="19">
        <v>45744</v>
      </c>
      <c r="W59" s="10" t="s">
        <v>17</v>
      </c>
      <c r="X59" s="33" t="str">
        <f>IF(STAT[[#This Row],[sigla]]="","",VLOOKUP(STAT[[#This Row],[sigla]],créditos_base!B:C,2,0))</f>
        <v>Thais Castro</v>
      </c>
      <c r="Y59" s="10" t="s">
        <v>94</v>
      </c>
      <c r="Z59" s="10" t="s">
        <v>18</v>
      </c>
      <c r="AA59" s="10">
        <v>8</v>
      </c>
      <c r="AB59" s="18" t="s">
        <v>26</v>
      </c>
      <c r="AC59" s="10" t="s">
        <v>13</v>
      </c>
      <c r="AD59" s="32" t="str">
        <f t="shared" si="0"/>
        <v>Sintonia Educação Infantil P009m</v>
      </c>
      <c r="AE59" s="47" t="str">
        <f t="shared" si="1"/>
        <v>Edinfa</v>
      </c>
      <c r="AF59" s="47"/>
    </row>
    <row r="60" spans="1:32" ht="57.6" x14ac:dyDescent="0.3">
      <c r="A60" s="24" t="s">
        <v>95</v>
      </c>
      <c r="B60" s="10" t="s">
        <v>6</v>
      </c>
      <c r="C60" s="10" t="s">
        <v>15</v>
      </c>
      <c r="D60" s="10" t="s">
        <v>8</v>
      </c>
      <c r="E60" s="10"/>
      <c r="F60" s="10">
        <v>4</v>
      </c>
      <c r="G60" s="10">
        <v>2</v>
      </c>
      <c r="H60" s="10">
        <v>2</v>
      </c>
      <c r="I60" s="20" t="s">
        <v>9</v>
      </c>
      <c r="J60" s="27"/>
      <c r="K60" s="10"/>
      <c r="L60" s="10"/>
      <c r="M60" s="10"/>
      <c r="N60" s="10"/>
      <c r="O60" s="18" t="s">
        <v>96</v>
      </c>
      <c r="P60" s="14"/>
      <c r="Q60" s="10">
        <v>3</v>
      </c>
      <c r="R60" s="19">
        <v>45736</v>
      </c>
      <c r="S60" s="19">
        <v>45743</v>
      </c>
      <c r="T60" s="19"/>
      <c r="U60" s="19"/>
      <c r="V60" s="19">
        <v>45744</v>
      </c>
      <c r="W60" s="10" t="s">
        <v>17</v>
      </c>
      <c r="X60" s="33" t="str">
        <f>IF(STAT[[#This Row],[sigla]]="","",VLOOKUP(STAT[[#This Row],[sigla]],créditos_base!B:C,2,0))</f>
        <v>Thais Castro</v>
      </c>
      <c r="Y60" s="10" t="s">
        <v>94</v>
      </c>
      <c r="Z60" s="10" t="s">
        <v>18</v>
      </c>
      <c r="AA60" s="10">
        <v>8</v>
      </c>
      <c r="AB60" s="18" t="s">
        <v>26</v>
      </c>
      <c r="AC60" s="10" t="s">
        <v>13</v>
      </c>
      <c r="AD60" s="32" t="str">
        <f t="shared" si="0"/>
        <v>Sintonia Educação Infantil P009m</v>
      </c>
      <c r="AE60" s="47" t="str">
        <f t="shared" si="1"/>
        <v>Edinfa</v>
      </c>
      <c r="AF60" s="47"/>
    </row>
    <row r="61" spans="1:32" ht="28.8" x14ac:dyDescent="0.3">
      <c r="A61" s="24" t="s">
        <v>97</v>
      </c>
      <c r="B61" s="10" t="s">
        <v>6</v>
      </c>
      <c r="C61" s="10" t="s">
        <v>15</v>
      </c>
      <c r="D61" s="10" t="s">
        <v>8</v>
      </c>
      <c r="E61" s="10"/>
      <c r="F61" s="10">
        <v>4</v>
      </c>
      <c r="G61" s="10">
        <v>2</v>
      </c>
      <c r="H61" s="10">
        <v>2</v>
      </c>
      <c r="I61" s="20" t="s">
        <v>9</v>
      </c>
      <c r="J61" s="27"/>
      <c r="K61" s="10"/>
      <c r="L61" s="10"/>
      <c r="M61" s="10"/>
      <c r="N61" s="10"/>
      <c r="O61" s="18" t="s">
        <v>98</v>
      </c>
      <c r="P61" s="14"/>
      <c r="Q61" s="10">
        <v>3</v>
      </c>
      <c r="R61" s="19">
        <v>45736</v>
      </c>
      <c r="S61" s="19">
        <v>45743</v>
      </c>
      <c r="T61" s="19"/>
      <c r="U61" s="19"/>
      <c r="V61" s="19">
        <v>45744</v>
      </c>
      <c r="W61" s="10" t="s">
        <v>17</v>
      </c>
      <c r="X61" s="33" t="str">
        <f>IF(STAT[[#This Row],[sigla]]="","",VLOOKUP(STAT[[#This Row],[sigla]],créditos_base!B:C,2,0))</f>
        <v>Thais Castro</v>
      </c>
      <c r="Y61" s="10" t="s">
        <v>94</v>
      </c>
      <c r="Z61" s="10" t="s">
        <v>18</v>
      </c>
      <c r="AA61" s="10">
        <v>8</v>
      </c>
      <c r="AB61" s="18" t="s">
        <v>26</v>
      </c>
      <c r="AC61" s="10" t="s">
        <v>13</v>
      </c>
      <c r="AD61" s="32" t="str">
        <f t="shared" si="0"/>
        <v>Sintonia Educação Infantil P009m</v>
      </c>
      <c r="AE61" s="47" t="str">
        <f t="shared" si="1"/>
        <v>Edinfa</v>
      </c>
      <c r="AF61" s="47"/>
    </row>
    <row r="62" spans="1:32" x14ac:dyDescent="0.3">
      <c r="A62" s="24" t="s">
        <v>105</v>
      </c>
      <c r="B62" s="10" t="s">
        <v>6</v>
      </c>
      <c r="C62" s="10" t="s">
        <v>15</v>
      </c>
      <c r="D62" s="10" t="s">
        <v>8</v>
      </c>
      <c r="E62" s="10">
        <v>31</v>
      </c>
      <c r="F62" s="10">
        <v>4</v>
      </c>
      <c r="G62" s="10">
        <v>2</v>
      </c>
      <c r="H62" s="10">
        <v>2</v>
      </c>
      <c r="I62" s="20" t="s">
        <v>9</v>
      </c>
      <c r="J62" s="27"/>
      <c r="K62" s="10"/>
      <c r="L62" s="10"/>
      <c r="M62" s="10"/>
      <c r="N62" s="10"/>
      <c r="O62" s="18" t="s">
        <v>106</v>
      </c>
      <c r="P62" s="14"/>
      <c r="Q62" s="10">
        <v>6</v>
      </c>
      <c r="R62" s="19">
        <v>45747</v>
      </c>
      <c r="S62" s="19">
        <v>45747</v>
      </c>
      <c r="T62" s="19"/>
      <c r="U62" s="19"/>
      <c r="V62" s="19">
        <v>45748</v>
      </c>
      <c r="W62" s="10" t="s">
        <v>50</v>
      </c>
      <c r="X62" s="33" t="str">
        <f>IF(STAT[[#This Row],[sigla]]="","",VLOOKUP(STAT[[#This Row],[sigla]],créditos_base!B:C,2,0))</f>
        <v>Vinícius Costa</v>
      </c>
      <c r="Y62" s="10"/>
      <c r="Z62" s="10" t="s">
        <v>51</v>
      </c>
      <c r="AA62" s="10">
        <v>7</v>
      </c>
      <c r="AB62" s="14"/>
      <c r="AC62" s="10" t="s">
        <v>13</v>
      </c>
      <c r="AD62" s="32" t="str">
        <f t="shared" si="0"/>
        <v>Sintonia Educação Infantil P009m</v>
      </c>
      <c r="AE62" s="47" t="str">
        <f t="shared" si="1"/>
        <v>Edinfa</v>
      </c>
      <c r="AF62" s="47"/>
    </row>
    <row r="63" spans="1:32" ht="28.8" x14ac:dyDescent="0.3">
      <c r="A63" s="24" t="s">
        <v>102</v>
      </c>
      <c r="B63" s="10" t="s">
        <v>22</v>
      </c>
      <c r="C63" s="10" t="s">
        <v>15</v>
      </c>
      <c r="D63" s="10" t="s">
        <v>8</v>
      </c>
      <c r="E63" s="10">
        <v>37</v>
      </c>
      <c r="F63" s="10">
        <v>4</v>
      </c>
      <c r="G63" s="10">
        <v>2</v>
      </c>
      <c r="H63" s="10">
        <v>2</v>
      </c>
      <c r="I63" s="20" t="s">
        <v>9</v>
      </c>
      <c r="J63" s="27"/>
      <c r="K63" s="10"/>
      <c r="L63" s="10"/>
      <c r="M63" s="10"/>
      <c r="N63" s="10"/>
      <c r="O63" s="18" t="s">
        <v>103</v>
      </c>
      <c r="P63" s="14"/>
      <c r="Q63" s="10">
        <v>6</v>
      </c>
      <c r="R63" s="19">
        <v>45747</v>
      </c>
      <c r="S63" s="19">
        <v>45747</v>
      </c>
      <c r="T63" s="19">
        <v>45751</v>
      </c>
      <c r="U63" s="19">
        <v>45754</v>
      </c>
      <c r="V63" s="19">
        <v>45755</v>
      </c>
      <c r="W63" s="10" t="s">
        <v>45</v>
      </c>
      <c r="X63" s="33" t="str">
        <f>IF(STAT[[#This Row],[sigla]]="","",VLOOKUP(STAT[[#This Row],[sigla]],créditos_base!B:C,2,0))</f>
        <v>Gabriel Brum</v>
      </c>
      <c r="Y63" s="10"/>
      <c r="Z63" s="10" t="s">
        <v>46</v>
      </c>
      <c r="AA63" s="10">
        <v>4</v>
      </c>
      <c r="AB63" s="14" t="s">
        <v>104</v>
      </c>
      <c r="AC63" s="10" t="s">
        <v>20</v>
      </c>
      <c r="AD63" s="32" t="str">
        <f t="shared" si="0"/>
        <v>Sintonia Educação Infantil P009m</v>
      </c>
      <c r="AE63" s="47" t="str">
        <f t="shared" si="1"/>
        <v>Edinfa</v>
      </c>
      <c r="AF63" s="47"/>
    </row>
    <row r="64" spans="1:32" ht="28.8" x14ac:dyDescent="0.3">
      <c r="A64" s="24" t="s">
        <v>107</v>
      </c>
      <c r="B64" s="10" t="s">
        <v>6</v>
      </c>
      <c r="C64" s="10" t="s">
        <v>15</v>
      </c>
      <c r="D64" s="10" t="s">
        <v>8</v>
      </c>
      <c r="E64" s="10">
        <v>29</v>
      </c>
      <c r="F64" s="10">
        <v>4</v>
      </c>
      <c r="G64" s="10">
        <v>2</v>
      </c>
      <c r="H64" s="10">
        <v>2</v>
      </c>
      <c r="I64" s="20" t="s">
        <v>9</v>
      </c>
      <c r="J64" s="27"/>
      <c r="K64" s="10"/>
      <c r="L64" s="10"/>
      <c r="M64" s="10"/>
      <c r="N64" s="10"/>
      <c r="O64" s="18" t="s">
        <v>108</v>
      </c>
      <c r="P64" s="14"/>
      <c r="Q64" s="10">
        <v>7</v>
      </c>
      <c r="R64" s="19">
        <v>45748</v>
      </c>
      <c r="S64" s="19">
        <v>45748</v>
      </c>
      <c r="T64" s="19"/>
      <c r="U64" s="19"/>
      <c r="V64" s="19">
        <v>45749</v>
      </c>
      <c r="W64" s="10" t="s">
        <v>50</v>
      </c>
      <c r="X64" s="33" t="str">
        <f>IF(STAT[[#This Row],[sigla]]="","",VLOOKUP(STAT[[#This Row],[sigla]],créditos_base!B:C,2,0))</f>
        <v>Vinícius Costa</v>
      </c>
      <c r="Y64" s="10"/>
      <c r="Z64" s="10" t="s">
        <v>51</v>
      </c>
      <c r="AA64" s="10">
        <v>8</v>
      </c>
      <c r="AB64" s="14"/>
      <c r="AC64" s="10" t="s">
        <v>13</v>
      </c>
      <c r="AD64" s="32" t="str">
        <f t="shared" si="0"/>
        <v>Sintonia Educação Infantil P009m</v>
      </c>
      <c r="AE64" s="47" t="str">
        <f t="shared" si="1"/>
        <v>Edinfa</v>
      </c>
      <c r="AF64" s="47"/>
    </row>
    <row r="65" spans="1:32" ht="86.4" x14ac:dyDescent="0.3">
      <c r="A65" s="13" t="s">
        <v>365</v>
      </c>
      <c r="B65" s="10" t="s">
        <v>6</v>
      </c>
      <c r="C65" s="11" t="s">
        <v>15</v>
      </c>
      <c r="D65" s="11" t="s">
        <v>8</v>
      </c>
      <c r="E65" s="10">
        <v>37</v>
      </c>
      <c r="F65" s="11">
        <v>5</v>
      </c>
      <c r="G65" s="10">
        <v>3</v>
      </c>
      <c r="H65" s="11">
        <v>3</v>
      </c>
      <c r="I65" s="12" t="s">
        <v>9</v>
      </c>
      <c r="J65" s="27"/>
      <c r="K65" s="10"/>
      <c r="L65" s="10"/>
      <c r="M65" s="10"/>
      <c r="N65" s="10"/>
      <c r="O65" s="25" t="s">
        <v>366</v>
      </c>
      <c r="P65" s="14"/>
      <c r="Q65" s="10">
        <v>13</v>
      </c>
      <c r="R65" s="19">
        <v>45783</v>
      </c>
      <c r="S65" s="19">
        <v>45784</v>
      </c>
      <c r="T65" s="19">
        <v>45789</v>
      </c>
      <c r="U65" s="19">
        <v>45790</v>
      </c>
      <c r="V65" s="19">
        <v>45791</v>
      </c>
      <c r="W65" s="10" t="s">
        <v>24</v>
      </c>
      <c r="X65" s="33" t="str">
        <f>IF(STAT[[#This Row],[sigla]]="","",VLOOKUP(STAT[[#This Row],[sigla]],créditos_base!B:C,2,0))</f>
        <v>Débora Mini</v>
      </c>
      <c r="Y65" s="10"/>
      <c r="Z65" s="10" t="str">
        <f>STAT[[#This Row],[ilustrador]]</f>
        <v>Débora Mini</v>
      </c>
      <c r="AA65" s="10">
        <v>7</v>
      </c>
      <c r="AB65" s="14" t="s">
        <v>367</v>
      </c>
      <c r="AC65" s="10" t="s">
        <v>20</v>
      </c>
      <c r="AD65" s="32" t="str">
        <f t="shared" si="0"/>
        <v>Sintonia Educação Infantil P009m</v>
      </c>
      <c r="AE65" s="47" t="str">
        <f t="shared" si="1"/>
        <v>Edinfa</v>
      </c>
      <c r="AF65" s="47"/>
    </row>
    <row r="66" spans="1:32" ht="72" x14ac:dyDescent="0.3">
      <c r="A66" s="24" t="s">
        <v>113</v>
      </c>
      <c r="B66" s="10" t="s">
        <v>6</v>
      </c>
      <c r="C66" s="10" t="s">
        <v>15</v>
      </c>
      <c r="D66" s="10" t="s">
        <v>8</v>
      </c>
      <c r="E66" s="10">
        <v>52</v>
      </c>
      <c r="F66" s="10">
        <v>4</v>
      </c>
      <c r="G66" s="10">
        <v>3</v>
      </c>
      <c r="H66" s="10">
        <v>3</v>
      </c>
      <c r="I66" s="20" t="s">
        <v>9</v>
      </c>
      <c r="J66" s="27"/>
      <c r="K66" s="10"/>
      <c r="L66" s="10"/>
      <c r="M66" s="10"/>
      <c r="N66" s="10"/>
      <c r="O66" s="18" t="s">
        <v>114</v>
      </c>
      <c r="P66" s="14"/>
      <c r="Q66" s="10">
        <v>8</v>
      </c>
      <c r="R66" s="19">
        <v>45758</v>
      </c>
      <c r="S66" s="19">
        <v>45758</v>
      </c>
      <c r="T66" s="19"/>
      <c r="U66" s="19"/>
      <c r="V66" s="19">
        <v>45761</v>
      </c>
      <c r="W66" s="10" t="s">
        <v>115</v>
      </c>
      <c r="X66" s="33" t="str">
        <f>IF(STAT[[#This Row],[sigla]]="","",VLOOKUP(STAT[[#This Row],[sigla]],créditos_base!B:C,2,0))</f>
        <v>Heloísa Pintarelli</v>
      </c>
      <c r="Y66" s="10"/>
      <c r="Z66" s="10" t="str">
        <f>STAT[[#This Row],[ilustrador]]</f>
        <v>Heloísa Pintarelli</v>
      </c>
      <c r="AA66" s="10">
        <v>8</v>
      </c>
      <c r="AB66" s="14" t="s">
        <v>116</v>
      </c>
      <c r="AC66" s="10" t="s">
        <v>20</v>
      </c>
      <c r="AD66" s="32" t="str">
        <f t="shared" ref="AD66:AD129" si="2">"Sintonia Educação Infantil P009m"</f>
        <v>Sintonia Educação Infantil P009m</v>
      </c>
      <c r="AE66" s="47" t="str">
        <f t="shared" ref="AE66:AE129" si="3">"Edinfa"</f>
        <v>Edinfa</v>
      </c>
      <c r="AF66" s="47"/>
    </row>
    <row r="67" spans="1:32" ht="43.2" x14ac:dyDescent="0.3">
      <c r="A67" s="13" t="s">
        <v>368</v>
      </c>
      <c r="B67" s="10" t="s">
        <v>6</v>
      </c>
      <c r="C67" s="11" t="s">
        <v>15</v>
      </c>
      <c r="D67" s="11" t="s">
        <v>8</v>
      </c>
      <c r="E67" s="10">
        <v>37</v>
      </c>
      <c r="F67" s="11">
        <v>5</v>
      </c>
      <c r="G67" s="10">
        <v>3</v>
      </c>
      <c r="H67" s="11">
        <v>3</v>
      </c>
      <c r="I67" s="12" t="s">
        <v>9</v>
      </c>
      <c r="J67" s="27"/>
      <c r="K67" s="10"/>
      <c r="L67" s="10"/>
      <c r="M67" s="10"/>
      <c r="N67" s="10"/>
      <c r="O67" s="25" t="s">
        <v>369</v>
      </c>
      <c r="P67" s="14"/>
      <c r="Q67" s="10">
        <v>13</v>
      </c>
      <c r="R67" s="19">
        <v>45783</v>
      </c>
      <c r="S67" s="19">
        <v>45784</v>
      </c>
      <c r="T67" s="19">
        <v>45789</v>
      </c>
      <c r="U67" s="19">
        <v>45790</v>
      </c>
      <c r="V67" s="19">
        <v>45791</v>
      </c>
      <c r="W67" s="10" t="s">
        <v>24</v>
      </c>
      <c r="X67" s="33" t="str">
        <f>IF(STAT[[#This Row],[sigla]]="","",VLOOKUP(STAT[[#This Row],[sigla]],créditos_base!B:C,2,0))</f>
        <v>Débora Mini</v>
      </c>
      <c r="Y67" s="10"/>
      <c r="Z67" s="10" t="str">
        <f>STAT[[#This Row],[ilustrador]]</f>
        <v>Débora Mini</v>
      </c>
      <c r="AA67" s="10">
        <v>13</v>
      </c>
      <c r="AB67" s="14" t="s">
        <v>367</v>
      </c>
      <c r="AC67" s="10" t="s">
        <v>20</v>
      </c>
      <c r="AD67" s="32" t="str">
        <f t="shared" si="2"/>
        <v>Sintonia Educação Infantil P009m</v>
      </c>
      <c r="AE67" s="47" t="str">
        <f t="shared" si="3"/>
        <v>Edinfa</v>
      </c>
      <c r="AF67" s="47"/>
    </row>
    <row r="68" spans="1:32" ht="28.8" x14ac:dyDescent="0.3">
      <c r="A68" s="24" t="s">
        <v>117</v>
      </c>
      <c r="B68" s="10" t="s">
        <v>6</v>
      </c>
      <c r="C68" s="10" t="s">
        <v>15</v>
      </c>
      <c r="D68" s="10" t="s">
        <v>8</v>
      </c>
      <c r="E68" s="10">
        <v>52</v>
      </c>
      <c r="F68" s="10">
        <v>4</v>
      </c>
      <c r="G68" s="10">
        <v>3</v>
      </c>
      <c r="H68" s="10">
        <v>3</v>
      </c>
      <c r="I68" s="20" t="s">
        <v>9</v>
      </c>
      <c r="J68" s="48"/>
      <c r="K68" s="10"/>
      <c r="L68" s="10"/>
      <c r="M68" s="10"/>
      <c r="N68" s="10"/>
      <c r="O68" s="18" t="s">
        <v>118</v>
      </c>
      <c r="P68" s="14"/>
      <c r="Q68" s="10">
        <v>8</v>
      </c>
      <c r="R68" s="19">
        <v>45758</v>
      </c>
      <c r="S68" s="19">
        <v>45758</v>
      </c>
      <c r="T68" s="19"/>
      <c r="U68" s="19"/>
      <c r="V68" s="19">
        <v>45761</v>
      </c>
      <c r="W68" s="10" t="s">
        <v>115</v>
      </c>
      <c r="X68" s="33" t="str">
        <f>IF(STAT[[#This Row],[sigla]]="","",VLOOKUP(STAT[[#This Row],[sigla]],créditos_base!B:C,2,0))</f>
        <v>Heloísa Pintarelli</v>
      </c>
      <c r="Y68" s="10"/>
      <c r="Z68" s="10" t="str">
        <f>STAT[[#This Row],[ilustrador]]</f>
        <v>Heloísa Pintarelli</v>
      </c>
      <c r="AA68" s="10">
        <v>8</v>
      </c>
      <c r="AB68" s="14" t="s">
        <v>116</v>
      </c>
      <c r="AC68" s="10" t="s">
        <v>20</v>
      </c>
      <c r="AD68" s="32" t="str">
        <f t="shared" si="2"/>
        <v>Sintonia Educação Infantil P009m</v>
      </c>
      <c r="AE68" s="47" t="str">
        <f t="shared" si="3"/>
        <v>Edinfa</v>
      </c>
      <c r="AF68" s="47"/>
    </row>
    <row r="69" spans="1:32" ht="28.8" x14ac:dyDescent="0.3">
      <c r="A69" s="13" t="s">
        <v>370</v>
      </c>
      <c r="B69" s="10" t="s">
        <v>6</v>
      </c>
      <c r="C69" s="11" t="s">
        <v>15</v>
      </c>
      <c r="D69" s="11" t="s">
        <v>8</v>
      </c>
      <c r="E69" s="10">
        <v>38</v>
      </c>
      <c r="F69" s="11">
        <v>5</v>
      </c>
      <c r="G69" s="10">
        <v>3</v>
      </c>
      <c r="H69" s="11">
        <v>3</v>
      </c>
      <c r="I69" s="12" t="s">
        <v>9</v>
      </c>
      <c r="J69" s="27"/>
      <c r="K69" s="10"/>
      <c r="L69" s="10"/>
      <c r="M69" s="10"/>
      <c r="N69" s="10"/>
      <c r="O69" s="25" t="s">
        <v>371</v>
      </c>
      <c r="P69" s="14"/>
      <c r="Q69" s="10">
        <v>13</v>
      </c>
      <c r="R69" s="19">
        <v>45783</v>
      </c>
      <c r="S69" s="19">
        <v>45784</v>
      </c>
      <c r="T69" s="19">
        <v>45789</v>
      </c>
      <c r="U69" s="19">
        <v>45789</v>
      </c>
      <c r="V69" s="19">
        <v>45791</v>
      </c>
      <c r="W69" s="10" t="s">
        <v>45</v>
      </c>
      <c r="X69" s="33" t="str">
        <f>IF(STAT[[#This Row],[sigla]]="","",VLOOKUP(STAT[[#This Row],[sigla]],créditos_base!B:C,2,0))</f>
        <v>Gabriel Brum</v>
      </c>
      <c r="Y69" s="10"/>
      <c r="Z69" s="10" t="str">
        <f>STAT[[#This Row],[ilustrador]]</f>
        <v>Gabriel Brum</v>
      </c>
      <c r="AA69" s="10">
        <v>5</v>
      </c>
      <c r="AB69" s="14" t="s">
        <v>372</v>
      </c>
      <c r="AC69" s="10" t="s">
        <v>20</v>
      </c>
      <c r="AD69" s="32" t="str">
        <f t="shared" si="2"/>
        <v>Sintonia Educação Infantil P009m</v>
      </c>
      <c r="AE69" s="47" t="str">
        <f t="shared" si="3"/>
        <v>Edinfa</v>
      </c>
      <c r="AF69" s="47"/>
    </row>
    <row r="70" spans="1:32" x14ac:dyDescent="0.3">
      <c r="A70" s="24" t="s">
        <v>119</v>
      </c>
      <c r="B70" s="10" t="s">
        <v>6</v>
      </c>
      <c r="C70" s="10" t="s">
        <v>15</v>
      </c>
      <c r="D70" s="10" t="s">
        <v>8</v>
      </c>
      <c r="E70" s="10">
        <v>53</v>
      </c>
      <c r="F70" s="10">
        <v>4</v>
      </c>
      <c r="G70" s="10">
        <v>3</v>
      </c>
      <c r="H70" s="10">
        <v>3</v>
      </c>
      <c r="I70" s="20" t="s">
        <v>9</v>
      </c>
      <c r="J70" s="27"/>
      <c r="K70" s="10"/>
      <c r="L70" s="10"/>
      <c r="M70" s="10"/>
      <c r="N70" s="10"/>
      <c r="O70" s="18" t="s">
        <v>120</v>
      </c>
      <c r="P70" s="14"/>
      <c r="Q70" s="10">
        <v>8</v>
      </c>
      <c r="R70" s="19">
        <v>45758</v>
      </c>
      <c r="S70" s="19">
        <v>45761</v>
      </c>
      <c r="T70" s="19">
        <v>45763</v>
      </c>
      <c r="U70" s="19">
        <v>45763</v>
      </c>
      <c r="V70" s="19">
        <v>45765</v>
      </c>
      <c r="W70" s="10" t="s">
        <v>45</v>
      </c>
      <c r="X70" s="33" t="str">
        <f>IF(STAT[[#This Row],[sigla]]="","",VLOOKUP(STAT[[#This Row],[sigla]],créditos_base!B:C,2,0))</f>
        <v>Gabriel Brum</v>
      </c>
      <c r="Y70" s="10"/>
      <c r="Z70" s="10" t="str">
        <f>STAT[[#This Row],[ilustrador]]</f>
        <v>Gabriel Brum</v>
      </c>
      <c r="AA70" s="10">
        <v>5</v>
      </c>
      <c r="AB70" s="14" t="s">
        <v>121</v>
      </c>
      <c r="AC70" s="10" t="s">
        <v>20</v>
      </c>
      <c r="AD70" s="32" t="str">
        <f t="shared" si="2"/>
        <v>Sintonia Educação Infantil P009m</v>
      </c>
      <c r="AE70" s="47" t="str">
        <f t="shared" si="3"/>
        <v>Edinfa</v>
      </c>
      <c r="AF70" s="47"/>
    </row>
    <row r="71" spans="1:32" ht="43.2" x14ac:dyDescent="0.3">
      <c r="A71" s="13" t="s">
        <v>373</v>
      </c>
      <c r="B71" s="10" t="s">
        <v>6</v>
      </c>
      <c r="C71" s="11" t="s">
        <v>15</v>
      </c>
      <c r="D71" s="11" t="s">
        <v>8</v>
      </c>
      <c r="E71" s="10">
        <v>38</v>
      </c>
      <c r="F71" s="11">
        <v>5</v>
      </c>
      <c r="G71" s="10">
        <v>3</v>
      </c>
      <c r="H71" s="11">
        <v>3</v>
      </c>
      <c r="I71" s="12" t="s">
        <v>9</v>
      </c>
      <c r="J71" s="27"/>
      <c r="K71" s="10"/>
      <c r="L71" s="10"/>
      <c r="M71" s="10"/>
      <c r="N71" s="10"/>
      <c r="O71" s="25" t="s">
        <v>374</v>
      </c>
      <c r="P71" s="14"/>
      <c r="Q71" s="10">
        <v>13</v>
      </c>
      <c r="R71" s="19">
        <v>45783</v>
      </c>
      <c r="S71" s="19">
        <v>45784</v>
      </c>
      <c r="T71" s="19">
        <v>45789</v>
      </c>
      <c r="U71" s="19">
        <v>45789</v>
      </c>
      <c r="V71" s="19">
        <v>45791</v>
      </c>
      <c r="W71" s="10" t="s">
        <v>45</v>
      </c>
      <c r="X71" s="33" t="str">
        <f>IF(STAT[[#This Row],[sigla]]="","",VLOOKUP(STAT[[#This Row],[sigla]],créditos_base!B:C,2,0))</f>
        <v>Gabriel Brum</v>
      </c>
      <c r="Y71" s="10"/>
      <c r="Z71" s="10" t="str">
        <f>STAT[[#This Row],[ilustrador]]</f>
        <v>Gabriel Brum</v>
      </c>
      <c r="AA71" s="10">
        <v>6</v>
      </c>
      <c r="AB71" s="14" t="s">
        <v>372</v>
      </c>
      <c r="AC71" s="10" t="s">
        <v>20</v>
      </c>
      <c r="AD71" s="32" t="str">
        <f t="shared" si="2"/>
        <v>Sintonia Educação Infantil P009m</v>
      </c>
      <c r="AE71" s="47" t="str">
        <f t="shared" si="3"/>
        <v>Edinfa</v>
      </c>
      <c r="AF71" s="47"/>
    </row>
    <row r="72" spans="1:32" ht="28.8" x14ac:dyDescent="0.3">
      <c r="A72" s="24" t="s">
        <v>122</v>
      </c>
      <c r="B72" s="10" t="s">
        <v>6</v>
      </c>
      <c r="C72" s="10" t="s">
        <v>15</v>
      </c>
      <c r="D72" s="10" t="s">
        <v>8</v>
      </c>
      <c r="E72" s="10">
        <v>53</v>
      </c>
      <c r="F72" s="10">
        <v>4</v>
      </c>
      <c r="G72" s="10">
        <v>3</v>
      </c>
      <c r="H72" s="10">
        <v>3</v>
      </c>
      <c r="I72" s="20" t="s">
        <v>9</v>
      </c>
      <c r="J72" s="27"/>
      <c r="K72" s="10"/>
      <c r="L72" s="10"/>
      <c r="M72" s="10"/>
      <c r="N72" s="10"/>
      <c r="O72" s="18" t="s">
        <v>123</v>
      </c>
      <c r="P72" s="14"/>
      <c r="Q72" s="10">
        <v>8</v>
      </c>
      <c r="R72" s="19">
        <v>45758</v>
      </c>
      <c r="S72" s="19">
        <v>45761</v>
      </c>
      <c r="T72" s="19">
        <v>45763</v>
      </c>
      <c r="U72" s="19">
        <v>45763</v>
      </c>
      <c r="V72" s="19">
        <v>45765</v>
      </c>
      <c r="W72" s="10" t="s">
        <v>45</v>
      </c>
      <c r="X72" s="33" t="str">
        <f>IF(STAT[[#This Row],[sigla]]="","",VLOOKUP(STAT[[#This Row],[sigla]],créditos_base!B:C,2,0))</f>
        <v>Gabriel Brum</v>
      </c>
      <c r="Y72" s="10"/>
      <c r="Z72" s="10" t="str">
        <f>STAT[[#This Row],[ilustrador]]</f>
        <v>Gabriel Brum</v>
      </c>
      <c r="AA72" s="10">
        <v>13</v>
      </c>
      <c r="AB72" s="14" t="s">
        <v>121</v>
      </c>
      <c r="AC72" s="10" t="s">
        <v>20</v>
      </c>
      <c r="AD72" s="32" t="str">
        <f t="shared" si="2"/>
        <v>Sintonia Educação Infantil P009m</v>
      </c>
      <c r="AE72" s="47" t="str">
        <f t="shared" si="3"/>
        <v>Edinfa</v>
      </c>
      <c r="AF72" s="47"/>
    </row>
    <row r="73" spans="1:32" ht="115.2" x14ac:dyDescent="0.3">
      <c r="A73" s="13" t="s">
        <v>375</v>
      </c>
      <c r="B73" s="10" t="s">
        <v>6</v>
      </c>
      <c r="C73" s="11" t="s">
        <v>15</v>
      </c>
      <c r="D73" s="11" t="s">
        <v>8</v>
      </c>
      <c r="E73" s="10">
        <v>38</v>
      </c>
      <c r="F73" s="11">
        <v>5</v>
      </c>
      <c r="G73" s="10">
        <v>3</v>
      </c>
      <c r="H73" s="11">
        <v>3</v>
      </c>
      <c r="I73" s="12" t="s">
        <v>9</v>
      </c>
      <c r="J73" s="27"/>
      <c r="K73" s="10"/>
      <c r="L73" s="10"/>
      <c r="M73" s="10"/>
      <c r="N73" s="10"/>
      <c r="O73" s="25" t="s">
        <v>376</v>
      </c>
      <c r="P73" s="14"/>
      <c r="Q73" s="10">
        <v>13</v>
      </c>
      <c r="R73" s="19">
        <v>45783</v>
      </c>
      <c r="S73" s="19">
        <v>45784</v>
      </c>
      <c r="T73" s="19">
        <v>45789</v>
      </c>
      <c r="U73" s="19">
        <v>45789</v>
      </c>
      <c r="V73" s="19">
        <v>45791</v>
      </c>
      <c r="W73" s="10" t="s">
        <v>45</v>
      </c>
      <c r="X73" s="33" t="str">
        <f>IF(STAT[[#This Row],[sigla]]="","",VLOOKUP(STAT[[#This Row],[sigla]],créditos_base!B:C,2,0))</f>
        <v>Gabriel Brum</v>
      </c>
      <c r="Y73" s="10"/>
      <c r="Z73" s="10" t="str">
        <f>STAT[[#This Row],[ilustrador]]</f>
        <v>Gabriel Brum</v>
      </c>
      <c r="AA73" s="10">
        <v>6</v>
      </c>
      <c r="AB73" s="14" t="s">
        <v>372</v>
      </c>
      <c r="AC73" s="10" t="s">
        <v>20</v>
      </c>
      <c r="AD73" s="32" t="str">
        <f t="shared" si="2"/>
        <v>Sintonia Educação Infantil P009m</v>
      </c>
      <c r="AE73" s="47" t="str">
        <f t="shared" si="3"/>
        <v>Edinfa</v>
      </c>
      <c r="AF73" s="47"/>
    </row>
    <row r="74" spans="1:32" ht="72" x14ac:dyDescent="0.3">
      <c r="A74" s="13" t="s">
        <v>377</v>
      </c>
      <c r="B74" s="10" t="s">
        <v>6</v>
      </c>
      <c r="C74" s="11" t="s">
        <v>15</v>
      </c>
      <c r="D74" s="11" t="s">
        <v>8</v>
      </c>
      <c r="E74" s="10">
        <v>39</v>
      </c>
      <c r="F74" s="11">
        <v>5</v>
      </c>
      <c r="G74" s="10">
        <v>3</v>
      </c>
      <c r="H74" s="11">
        <v>3</v>
      </c>
      <c r="I74" s="12" t="s">
        <v>9</v>
      </c>
      <c r="J74" s="27"/>
      <c r="K74" s="10"/>
      <c r="L74" s="10"/>
      <c r="M74" s="10"/>
      <c r="N74" s="10"/>
      <c r="O74" s="25" t="s">
        <v>378</v>
      </c>
      <c r="P74" s="14"/>
      <c r="Q74" s="10">
        <v>13</v>
      </c>
      <c r="R74" s="19">
        <v>45783</v>
      </c>
      <c r="S74" s="19">
        <v>45784</v>
      </c>
      <c r="T74" s="19"/>
      <c r="U74" s="19"/>
      <c r="V74" s="19">
        <v>45784</v>
      </c>
      <c r="W74" s="10" t="s">
        <v>88</v>
      </c>
      <c r="X74" s="33" t="str">
        <f>IF(STAT[[#This Row],[sigla]]="","",VLOOKUP(STAT[[#This Row],[sigla]],créditos_base!B:C,2,0))</f>
        <v>Arquivo da editora</v>
      </c>
      <c r="Y74" s="10" t="s">
        <v>51</v>
      </c>
      <c r="Z74" s="10" t="str">
        <f>STAT[[#This Row],[ilustrador]]</f>
        <v>Arquivo da editora</v>
      </c>
      <c r="AA74" s="10">
        <v>13</v>
      </c>
      <c r="AB74" s="14" t="s">
        <v>94</v>
      </c>
      <c r="AC74" s="10" t="s">
        <v>13</v>
      </c>
      <c r="AD74" s="32" t="str">
        <f t="shared" si="2"/>
        <v>Sintonia Educação Infantil P009m</v>
      </c>
      <c r="AE74" s="47" t="str">
        <f t="shared" si="3"/>
        <v>Edinfa</v>
      </c>
      <c r="AF74" s="47"/>
    </row>
    <row r="75" spans="1:32" ht="72" x14ac:dyDescent="0.3">
      <c r="A75" s="13" t="s">
        <v>379</v>
      </c>
      <c r="B75" s="10" t="s">
        <v>6</v>
      </c>
      <c r="C75" s="11" t="s">
        <v>15</v>
      </c>
      <c r="D75" s="11" t="s">
        <v>8</v>
      </c>
      <c r="E75" s="10">
        <v>40</v>
      </c>
      <c r="F75" s="11">
        <v>5</v>
      </c>
      <c r="G75" s="10">
        <v>3</v>
      </c>
      <c r="H75" s="11">
        <v>3</v>
      </c>
      <c r="I75" s="12" t="s">
        <v>9</v>
      </c>
      <c r="J75" s="27"/>
      <c r="K75" s="10"/>
      <c r="L75" s="10"/>
      <c r="M75" s="10"/>
      <c r="N75" s="10"/>
      <c r="O75" s="25" t="s">
        <v>380</v>
      </c>
      <c r="P75" s="14"/>
      <c r="Q75" s="10">
        <v>13</v>
      </c>
      <c r="R75" s="19">
        <v>45783</v>
      </c>
      <c r="S75" s="19">
        <v>45784</v>
      </c>
      <c r="T75" s="19">
        <v>45789</v>
      </c>
      <c r="U75" s="19">
        <v>45789</v>
      </c>
      <c r="V75" s="19">
        <v>45791</v>
      </c>
      <c r="W75" s="10" t="s">
        <v>45</v>
      </c>
      <c r="X75" s="33" t="str">
        <f>IF(STAT[[#This Row],[sigla]]="","",VLOOKUP(STAT[[#This Row],[sigla]],créditos_base!B:C,2,0))</f>
        <v>Gabriel Brum</v>
      </c>
      <c r="Y75" s="10"/>
      <c r="Z75" s="10" t="str">
        <f>STAT[[#This Row],[ilustrador]]</f>
        <v>Gabriel Brum</v>
      </c>
      <c r="AA75" s="10">
        <v>7</v>
      </c>
      <c r="AB75" s="14" t="s">
        <v>372</v>
      </c>
      <c r="AC75" s="10" t="s">
        <v>20</v>
      </c>
      <c r="AD75" s="32" t="str">
        <f t="shared" si="2"/>
        <v>Sintonia Educação Infantil P009m</v>
      </c>
      <c r="AE75" s="47" t="str">
        <f t="shared" si="3"/>
        <v>Edinfa</v>
      </c>
      <c r="AF75" s="47"/>
    </row>
    <row r="76" spans="1:32" ht="57.6" x14ac:dyDescent="0.3">
      <c r="A76" s="13" t="s">
        <v>383</v>
      </c>
      <c r="B76" s="10" t="s">
        <v>6</v>
      </c>
      <c r="C76" s="11" t="s">
        <v>15</v>
      </c>
      <c r="D76" s="11" t="s">
        <v>8</v>
      </c>
      <c r="E76" s="10">
        <v>41</v>
      </c>
      <c r="F76" s="11">
        <v>5</v>
      </c>
      <c r="G76" s="10">
        <v>3</v>
      </c>
      <c r="H76" s="11">
        <v>3</v>
      </c>
      <c r="I76" s="12" t="s">
        <v>9</v>
      </c>
      <c r="J76" s="27"/>
      <c r="K76" s="10"/>
      <c r="L76" s="10"/>
      <c r="M76" s="10"/>
      <c r="N76" s="10"/>
      <c r="O76" s="25" t="s">
        <v>384</v>
      </c>
      <c r="P76" s="14"/>
      <c r="Q76" s="10">
        <v>13</v>
      </c>
      <c r="R76" s="19">
        <v>45783</v>
      </c>
      <c r="S76" s="19">
        <v>45784</v>
      </c>
      <c r="T76" s="19">
        <v>45789</v>
      </c>
      <c r="U76" s="19">
        <v>45790</v>
      </c>
      <c r="V76" s="19">
        <v>45791</v>
      </c>
      <c r="W76" s="10" t="s">
        <v>24</v>
      </c>
      <c r="X76" s="33" t="str">
        <f>IF(STAT[[#This Row],[sigla]]="","",VLOOKUP(STAT[[#This Row],[sigla]],créditos_base!B:C,2,0))</f>
        <v>Débora Mini</v>
      </c>
      <c r="Y76" s="10"/>
      <c r="Z76" s="10" t="str">
        <f>STAT[[#This Row],[ilustrador]]</f>
        <v>Débora Mini</v>
      </c>
      <c r="AA76" s="10">
        <v>6</v>
      </c>
      <c r="AB76" s="14" t="s">
        <v>367</v>
      </c>
      <c r="AC76" s="10" t="s">
        <v>20</v>
      </c>
      <c r="AD76" s="32" t="str">
        <f t="shared" si="2"/>
        <v>Sintonia Educação Infantil P009m</v>
      </c>
      <c r="AE76" s="47" t="str">
        <f t="shared" si="3"/>
        <v>Edinfa</v>
      </c>
      <c r="AF76" s="47"/>
    </row>
    <row r="77" spans="1:32" ht="158.4" x14ac:dyDescent="0.3">
      <c r="A77" s="24" t="s">
        <v>124</v>
      </c>
      <c r="B77" s="10" t="s">
        <v>6</v>
      </c>
      <c r="C77" s="10" t="s">
        <v>15</v>
      </c>
      <c r="D77" s="10" t="s">
        <v>8</v>
      </c>
      <c r="E77" s="10">
        <v>55</v>
      </c>
      <c r="F77" s="10">
        <v>4</v>
      </c>
      <c r="G77" s="10">
        <v>3</v>
      </c>
      <c r="H77" s="10">
        <v>3</v>
      </c>
      <c r="I77" s="20" t="s">
        <v>9</v>
      </c>
      <c r="J77" s="27"/>
      <c r="K77" s="10"/>
      <c r="L77" s="10"/>
      <c r="M77" s="10"/>
      <c r="N77" s="10"/>
      <c r="O77" s="18" t="s">
        <v>125</v>
      </c>
      <c r="P77" s="14"/>
      <c r="Q77" s="10">
        <v>8</v>
      </c>
      <c r="R77" s="19">
        <v>45758</v>
      </c>
      <c r="S77" s="19">
        <v>45761</v>
      </c>
      <c r="T77" s="19">
        <v>45763</v>
      </c>
      <c r="U77" s="19">
        <v>45763</v>
      </c>
      <c r="V77" s="19">
        <v>45764</v>
      </c>
      <c r="W77" s="10" t="s">
        <v>17</v>
      </c>
      <c r="X77" s="33" t="str">
        <f>IF(STAT[[#This Row],[sigla]]="","",VLOOKUP(STAT[[#This Row],[sigla]],créditos_base!B:C,2,0))</f>
        <v>Thais Castro</v>
      </c>
      <c r="Y77" s="10"/>
      <c r="Z77" s="10" t="str">
        <f>STAT[[#This Row],[ilustrador]]</f>
        <v>Thais Castro</v>
      </c>
      <c r="AA77" s="10">
        <v>5</v>
      </c>
      <c r="AB77" s="14" t="s">
        <v>126</v>
      </c>
      <c r="AC77" s="10" t="s">
        <v>20</v>
      </c>
      <c r="AD77" s="32" t="str">
        <f t="shared" si="2"/>
        <v>Sintonia Educação Infantil P009m</v>
      </c>
      <c r="AE77" s="47" t="str">
        <f t="shared" si="3"/>
        <v>Edinfa</v>
      </c>
      <c r="AF77" s="47"/>
    </row>
    <row r="78" spans="1:32" ht="43.2" x14ac:dyDescent="0.3">
      <c r="A78" s="13" t="s">
        <v>385</v>
      </c>
      <c r="B78" s="10" t="s">
        <v>6</v>
      </c>
      <c r="C78" s="11" t="s">
        <v>132</v>
      </c>
      <c r="D78" s="11" t="s">
        <v>8</v>
      </c>
      <c r="E78" s="10">
        <v>42</v>
      </c>
      <c r="F78" s="11">
        <v>5</v>
      </c>
      <c r="G78" s="10">
        <v>3</v>
      </c>
      <c r="H78" s="11">
        <v>3</v>
      </c>
      <c r="I78" s="12" t="s">
        <v>9</v>
      </c>
      <c r="J78" s="27"/>
      <c r="K78" s="10"/>
      <c r="L78" s="10"/>
      <c r="M78" s="10"/>
      <c r="N78" s="10"/>
      <c r="O78" s="25" t="s">
        <v>386</v>
      </c>
      <c r="P78" s="14"/>
      <c r="Q78" s="10">
        <v>13</v>
      </c>
      <c r="R78" s="19">
        <v>45783</v>
      </c>
      <c r="S78" s="19">
        <v>45784</v>
      </c>
      <c r="T78" s="19"/>
      <c r="U78" s="19"/>
      <c r="V78" s="19">
        <v>45784</v>
      </c>
      <c r="W78" s="10" t="s">
        <v>50</v>
      </c>
      <c r="X78" s="33" t="str">
        <f>IF(STAT[[#This Row],[sigla]]="","",VLOOKUP(STAT[[#This Row],[sigla]],créditos_base!B:C,2,0))</f>
        <v>Vinícius Costa</v>
      </c>
      <c r="Y78" s="10"/>
      <c r="Z78" s="10" t="str">
        <f>STAT[[#This Row],[ilustrador]]</f>
        <v>Vinícius Costa</v>
      </c>
      <c r="AA78" s="10">
        <v>8</v>
      </c>
      <c r="AB78" s="14" t="s">
        <v>94</v>
      </c>
      <c r="AC78" s="10" t="s">
        <v>13</v>
      </c>
      <c r="AD78" s="32" t="str">
        <f t="shared" si="2"/>
        <v>Sintonia Educação Infantil P009m</v>
      </c>
      <c r="AE78" s="47" t="str">
        <f t="shared" si="3"/>
        <v>Edinfa</v>
      </c>
      <c r="AF78" s="47"/>
    </row>
    <row r="79" spans="1:32" ht="43.2" x14ac:dyDescent="0.3">
      <c r="A79" s="24" t="s">
        <v>127</v>
      </c>
      <c r="B79" s="10" t="s">
        <v>6</v>
      </c>
      <c r="C79" s="10" t="s">
        <v>15</v>
      </c>
      <c r="D79" s="10" t="s">
        <v>8</v>
      </c>
      <c r="E79" s="10">
        <v>55</v>
      </c>
      <c r="F79" s="10">
        <v>4</v>
      </c>
      <c r="G79" s="10">
        <v>3</v>
      </c>
      <c r="H79" s="10">
        <v>3</v>
      </c>
      <c r="I79" s="20" t="s">
        <v>9</v>
      </c>
      <c r="J79" s="27"/>
      <c r="K79" s="10"/>
      <c r="L79" s="10"/>
      <c r="M79" s="10"/>
      <c r="N79" s="10"/>
      <c r="O79" s="18" t="s">
        <v>128</v>
      </c>
      <c r="P79" s="14"/>
      <c r="Q79" s="10">
        <v>8</v>
      </c>
      <c r="R79" s="19">
        <v>45758</v>
      </c>
      <c r="S79" s="19">
        <v>45761</v>
      </c>
      <c r="T79" s="19">
        <v>45763</v>
      </c>
      <c r="U79" s="19">
        <v>45763</v>
      </c>
      <c r="V79" s="19">
        <v>45764</v>
      </c>
      <c r="W79" s="10" t="s">
        <v>17</v>
      </c>
      <c r="X79" s="33" t="str">
        <f>IF(STAT[[#This Row],[sigla]]="","",VLOOKUP(STAT[[#This Row],[sigla]],créditos_base!B:C,2,0))</f>
        <v>Thais Castro</v>
      </c>
      <c r="Y79" s="10"/>
      <c r="Z79" s="10" t="str">
        <f>STAT[[#This Row],[ilustrador]]</f>
        <v>Thais Castro</v>
      </c>
      <c r="AA79" s="10">
        <v>5</v>
      </c>
      <c r="AB79" s="14" t="s">
        <v>126</v>
      </c>
      <c r="AC79" s="10" t="s">
        <v>20</v>
      </c>
      <c r="AD79" s="32" t="str">
        <f t="shared" si="2"/>
        <v>Sintonia Educação Infantil P009m</v>
      </c>
      <c r="AE79" s="47" t="str">
        <f t="shared" si="3"/>
        <v>Edinfa</v>
      </c>
      <c r="AF79" s="47"/>
    </row>
    <row r="80" spans="1:32" ht="43.2" x14ac:dyDescent="0.3">
      <c r="A80" s="13" t="s">
        <v>387</v>
      </c>
      <c r="B80" s="10" t="s">
        <v>6</v>
      </c>
      <c r="C80" s="11" t="s">
        <v>132</v>
      </c>
      <c r="D80" s="11" t="s">
        <v>8</v>
      </c>
      <c r="E80" s="10">
        <v>42</v>
      </c>
      <c r="F80" s="11">
        <v>5</v>
      </c>
      <c r="G80" s="10">
        <v>3</v>
      </c>
      <c r="H80" s="11">
        <v>3</v>
      </c>
      <c r="I80" s="12" t="s">
        <v>9</v>
      </c>
      <c r="J80" s="27"/>
      <c r="K80" s="10"/>
      <c r="L80" s="10"/>
      <c r="M80" s="10"/>
      <c r="N80" s="10"/>
      <c r="O80" s="25" t="s">
        <v>388</v>
      </c>
      <c r="P80" s="14"/>
      <c r="Q80" s="10">
        <v>13</v>
      </c>
      <c r="R80" s="19">
        <v>45783</v>
      </c>
      <c r="S80" s="19">
        <v>45784</v>
      </c>
      <c r="T80" s="19"/>
      <c r="U80" s="19"/>
      <c r="V80" s="19">
        <v>45784</v>
      </c>
      <c r="W80" s="10" t="s">
        <v>50</v>
      </c>
      <c r="X80" s="33" t="str">
        <f>IF(STAT[[#This Row],[sigla]]="","",VLOOKUP(STAT[[#This Row],[sigla]],créditos_base!B:C,2,0))</f>
        <v>Vinícius Costa</v>
      </c>
      <c r="Y80" s="10"/>
      <c r="Z80" s="10" t="str">
        <f>STAT[[#This Row],[ilustrador]]</f>
        <v>Vinícius Costa</v>
      </c>
      <c r="AA80" s="10">
        <v>8</v>
      </c>
      <c r="AB80" s="14" t="s">
        <v>94</v>
      </c>
      <c r="AC80" s="10" t="s">
        <v>13</v>
      </c>
      <c r="AD80" s="32" t="str">
        <f t="shared" si="2"/>
        <v>Sintonia Educação Infantil P009m</v>
      </c>
      <c r="AE80" s="47" t="str">
        <f t="shared" si="3"/>
        <v>Edinfa</v>
      </c>
      <c r="AF80" s="47"/>
    </row>
    <row r="81" spans="1:32" ht="86.4" x14ac:dyDescent="0.3">
      <c r="A81" s="24" t="s">
        <v>129</v>
      </c>
      <c r="B81" s="10" t="s">
        <v>6</v>
      </c>
      <c r="C81" s="10" t="s">
        <v>15</v>
      </c>
      <c r="D81" s="10" t="s">
        <v>8</v>
      </c>
      <c r="E81" s="10">
        <v>55</v>
      </c>
      <c r="F81" s="10">
        <v>4</v>
      </c>
      <c r="G81" s="10">
        <v>3</v>
      </c>
      <c r="H81" s="10">
        <v>3</v>
      </c>
      <c r="I81" s="20" t="s">
        <v>9</v>
      </c>
      <c r="J81" s="27"/>
      <c r="K81" s="10"/>
      <c r="L81" s="10"/>
      <c r="M81" s="10"/>
      <c r="N81" s="10"/>
      <c r="O81" s="18" t="s">
        <v>130</v>
      </c>
      <c r="P81" s="14"/>
      <c r="Q81" s="10">
        <v>8</v>
      </c>
      <c r="R81" s="19">
        <v>45758</v>
      </c>
      <c r="S81" s="19">
        <v>45761</v>
      </c>
      <c r="T81" s="19">
        <v>45763</v>
      </c>
      <c r="U81" s="19">
        <v>45763</v>
      </c>
      <c r="V81" s="19">
        <v>45764</v>
      </c>
      <c r="W81" s="10" t="s">
        <v>17</v>
      </c>
      <c r="X81" s="33" t="str">
        <f>IF(STAT[[#This Row],[sigla]]="","",VLOOKUP(STAT[[#This Row],[sigla]],créditos_base!B:C,2,0))</f>
        <v>Thais Castro</v>
      </c>
      <c r="Y81" s="10"/>
      <c r="Z81" s="10" t="str">
        <f>STAT[[#This Row],[ilustrador]]</f>
        <v>Thais Castro</v>
      </c>
      <c r="AA81" s="10">
        <v>5</v>
      </c>
      <c r="AB81" s="14" t="s">
        <v>126</v>
      </c>
      <c r="AC81" s="10" t="s">
        <v>20</v>
      </c>
      <c r="AD81" s="32" t="str">
        <f t="shared" si="2"/>
        <v>Sintonia Educação Infantil P009m</v>
      </c>
      <c r="AE81" s="47" t="str">
        <f t="shared" si="3"/>
        <v>Edinfa</v>
      </c>
      <c r="AF81" s="47"/>
    </row>
    <row r="82" spans="1:32" ht="43.2" x14ac:dyDescent="0.3">
      <c r="A82" s="13" t="s">
        <v>389</v>
      </c>
      <c r="B82" s="10" t="s">
        <v>6</v>
      </c>
      <c r="C82" s="11" t="s">
        <v>132</v>
      </c>
      <c r="D82" s="11" t="s">
        <v>8</v>
      </c>
      <c r="E82" s="10">
        <v>42</v>
      </c>
      <c r="F82" s="11">
        <v>5</v>
      </c>
      <c r="G82" s="10">
        <v>3</v>
      </c>
      <c r="H82" s="11">
        <v>3</v>
      </c>
      <c r="I82" s="12" t="s">
        <v>9</v>
      </c>
      <c r="J82" s="27"/>
      <c r="K82" s="10"/>
      <c r="L82" s="10"/>
      <c r="M82" s="10"/>
      <c r="N82" s="10"/>
      <c r="O82" s="25" t="s">
        <v>390</v>
      </c>
      <c r="P82" s="14"/>
      <c r="Q82" s="10">
        <v>13</v>
      </c>
      <c r="R82" s="19">
        <v>45783</v>
      </c>
      <c r="S82" s="19">
        <v>45784</v>
      </c>
      <c r="T82" s="19"/>
      <c r="U82" s="19"/>
      <c r="V82" s="19">
        <v>45784</v>
      </c>
      <c r="W82" s="10" t="s">
        <v>50</v>
      </c>
      <c r="X82" s="33" t="str">
        <f>IF(STAT[[#This Row],[sigla]]="","",VLOOKUP(STAT[[#This Row],[sigla]],créditos_base!B:C,2,0))</f>
        <v>Vinícius Costa</v>
      </c>
      <c r="Y82" s="10"/>
      <c r="Z82" s="10" t="str">
        <f>STAT[[#This Row],[ilustrador]]</f>
        <v>Vinícius Costa</v>
      </c>
      <c r="AA82" s="10">
        <v>8</v>
      </c>
      <c r="AB82" s="14" t="s">
        <v>94</v>
      </c>
      <c r="AC82" s="10" t="s">
        <v>13</v>
      </c>
      <c r="AD82" s="32" t="str">
        <f t="shared" si="2"/>
        <v>Sintonia Educação Infantil P009m</v>
      </c>
      <c r="AE82" s="47" t="str">
        <f t="shared" si="3"/>
        <v>Edinfa</v>
      </c>
      <c r="AF82" s="47"/>
    </row>
    <row r="83" spans="1:32" ht="28.8" x14ac:dyDescent="0.3">
      <c r="A83" s="13" t="s">
        <v>391</v>
      </c>
      <c r="B83" s="10" t="s">
        <v>6</v>
      </c>
      <c r="C83" s="11" t="s">
        <v>132</v>
      </c>
      <c r="D83" s="11" t="s">
        <v>8</v>
      </c>
      <c r="E83" s="10">
        <v>42</v>
      </c>
      <c r="F83" s="11">
        <v>5</v>
      </c>
      <c r="G83" s="10">
        <v>3</v>
      </c>
      <c r="H83" s="11">
        <v>3</v>
      </c>
      <c r="I83" s="12" t="s">
        <v>9</v>
      </c>
      <c r="J83" s="27"/>
      <c r="K83" s="10"/>
      <c r="L83" s="10"/>
      <c r="M83" s="10"/>
      <c r="N83" s="10"/>
      <c r="O83" s="25" t="s">
        <v>392</v>
      </c>
      <c r="P83" s="14"/>
      <c r="Q83" s="10">
        <v>13</v>
      </c>
      <c r="R83" s="19">
        <v>45783</v>
      </c>
      <c r="S83" s="19">
        <v>45784</v>
      </c>
      <c r="T83" s="19"/>
      <c r="U83" s="19"/>
      <c r="V83" s="19">
        <v>45784</v>
      </c>
      <c r="W83" s="10" t="s">
        <v>50</v>
      </c>
      <c r="X83" s="33" t="str">
        <f>IF(STAT[[#This Row],[sigla]]="","",VLOOKUP(STAT[[#This Row],[sigla]],créditos_base!B:C,2,0))</f>
        <v>Vinícius Costa</v>
      </c>
      <c r="Y83" s="10"/>
      <c r="Z83" s="10" t="str">
        <f>STAT[[#This Row],[ilustrador]]</f>
        <v>Vinícius Costa</v>
      </c>
      <c r="AA83" s="10">
        <v>8</v>
      </c>
      <c r="AB83" s="14" t="s">
        <v>94</v>
      </c>
      <c r="AC83" s="10" t="s">
        <v>13</v>
      </c>
      <c r="AD83" s="32" t="str">
        <f t="shared" si="2"/>
        <v>Sintonia Educação Infantil P009m</v>
      </c>
      <c r="AE83" s="47" t="str">
        <f t="shared" si="3"/>
        <v>Edinfa</v>
      </c>
      <c r="AF83" s="47"/>
    </row>
    <row r="84" spans="1:32" ht="28.8" x14ac:dyDescent="0.3">
      <c r="A84" s="13" t="s">
        <v>393</v>
      </c>
      <c r="B84" s="10" t="s">
        <v>6</v>
      </c>
      <c r="C84" s="11" t="s">
        <v>132</v>
      </c>
      <c r="D84" s="11" t="s">
        <v>8</v>
      </c>
      <c r="E84" s="10">
        <v>43</v>
      </c>
      <c r="F84" s="11">
        <v>5</v>
      </c>
      <c r="G84" s="10">
        <v>3</v>
      </c>
      <c r="H84" s="11">
        <v>3</v>
      </c>
      <c r="I84" s="12" t="s">
        <v>9</v>
      </c>
      <c r="J84" s="27"/>
      <c r="K84" s="10"/>
      <c r="L84" s="10"/>
      <c r="M84" s="10"/>
      <c r="N84" s="10"/>
      <c r="O84" s="25" t="s">
        <v>394</v>
      </c>
      <c r="P84" s="14"/>
      <c r="Q84" s="10">
        <v>13</v>
      </c>
      <c r="R84" s="19">
        <v>45783</v>
      </c>
      <c r="S84" s="19">
        <v>45784</v>
      </c>
      <c r="T84" s="19"/>
      <c r="U84" s="19"/>
      <c r="V84" s="19">
        <v>45784</v>
      </c>
      <c r="W84" s="10" t="s">
        <v>50</v>
      </c>
      <c r="X84" s="33" t="str">
        <f>IF(STAT[[#This Row],[sigla]]="","",VLOOKUP(STAT[[#This Row],[sigla]],créditos_base!B:C,2,0))</f>
        <v>Vinícius Costa</v>
      </c>
      <c r="Y84" s="10"/>
      <c r="Z84" s="10" t="str">
        <f>STAT[[#This Row],[ilustrador]]</f>
        <v>Vinícius Costa</v>
      </c>
      <c r="AA84" s="10">
        <v>8</v>
      </c>
      <c r="AB84" s="14" t="s">
        <v>94</v>
      </c>
      <c r="AC84" s="10" t="s">
        <v>13</v>
      </c>
      <c r="AD84" s="32" t="str">
        <f t="shared" si="2"/>
        <v>Sintonia Educação Infantil P009m</v>
      </c>
      <c r="AE84" s="47" t="str">
        <f t="shared" si="3"/>
        <v>Edinfa</v>
      </c>
      <c r="AF84" s="47"/>
    </row>
    <row r="85" spans="1:32" ht="28.8" x14ac:dyDescent="0.3">
      <c r="A85" s="24" t="s">
        <v>131</v>
      </c>
      <c r="B85" s="10" t="s">
        <v>6</v>
      </c>
      <c r="C85" s="10" t="s">
        <v>132</v>
      </c>
      <c r="D85" s="10" t="s">
        <v>8</v>
      </c>
      <c r="E85" s="10">
        <v>57</v>
      </c>
      <c r="F85" s="10">
        <v>4</v>
      </c>
      <c r="G85" s="10">
        <v>3</v>
      </c>
      <c r="H85" s="10">
        <v>3</v>
      </c>
      <c r="I85" s="20" t="s">
        <v>9</v>
      </c>
      <c r="J85" s="27"/>
      <c r="K85" s="10"/>
      <c r="L85" s="10"/>
      <c r="M85" s="10"/>
      <c r="N85" s="10"/>
      <c r="O85" s="18" t="s">
        <v>133</v>
      </c>
      <c r="P85" s="14"/>
      <c r="Q85" s="10">
        <v>8</v>
      </c>
      <c r="R85" s="19">
        <v>45758</v>
      </c>
      <c r="S85" s="19">
        <v>45758</v>
      </c>
      <c r="T85" s="19"/>
      <c r="U85" s="19"/>
      <c r="V85" s="19">
        <v>45763</v>
      </c>
      <c r="W85" s="10" t="s">
        <v>134</v>
      </c>
      <c r="X85" s="33" t="str">
        <f>IF(STAT[[#This Row],[sigla]]="","",VLOOKUP(STAT[[#This Row],[sigla]],créditos_base!B:C,2,0))</f>
        <v>Bruna Campos</v>
      </c>
      <c r="Y85" s="10"/>
      <c r="Z85" s="10" t="str">
        <f>STAT[[#This Row],[ilustrador]]</f>
        <v>Bruna Campos</v>
      </c>
      <c r="AA85" s="10">
        <v>8</v>
      </c>
      <c r="AB85" s="14" t="s">
        <v>94</v>
      </c>
      <c r="AC85" s="10" t="s">
        <v>20</v>
      </c>
      <c r="AD85" s="32" t="str">
        <f t="shared" si="2"/>
        <v>Sintonia Educação Infantil P009m</v>
      </c>
      <c r="AE85" s="47" t="str">
        <f t="shared" si="3"/>
        <v>Edinfa</v>
      </c>
      <c r="AF85" s="47"/>
    </row>
    <row r="86" spans="1:32" ht="28.8" x14ac:dyDescent="0.3">
      <c r="A86" s="24" t="s">
        <v>135</v>
      </c>
      <c r="B86" s="10" t="s">
        <v>6</v>
      </c>
      <c r="C86" s="10" t="s">
        <v>132</v>
      </c>
      <c r="D86" s="10" t="s">
        <v>8</v>
      </c>
      <c r="E86" s="10">
        <v>57</v>
      </c>
      <c r="F86" s="10">
        <v>4</v>
      </c>
      <c r="G86" s="10">
        <v>3</v>
      </c>
      <c r="H86" s="10">
        <v>3</v>
      </c>
      <c r="I86" s="20" t="s">
        <v>9</v>
      </c>
      <c r="J86" s="27"/>
      <c r="K86" s="10"/>
      <c r="L86" s="10"/>
      <c r="M86" s="10"/>
      <c r="N86" s="10"/>
      <c r="O86" s="18" t="s">
        <v>136</v>
      </c>
      <c r="P86" s="14"/>
      <c r="Q86" s="10">
        <v>8</v>
      </c>
      <c r="R86" s="19">
        <v>45758</v>
      </c>
      <c r="S86" s="19">
        <v>45758</v>
      </c>
      <c r="T86" s="19"/>
      <c r="U86" s="19"/>
      <c r="V86" s="19">
        <v>45763</v>
      </c>
      <c r="W86" s="10" t="s">
        <v>134</v>
      </c>
      <c r="X86" s="33" t="str">
        <f>IF(STAT[[#This Row],[sigla]]="","",VLOOKUP(STAT[[#This Row],[sigla]],créditos_base!B:C,2,0))</f>
        <v>Bruna Campos</v>
      </c>
      <c r="Y86" s="10"/>
      <c r="Z86" s="10" t="str">
        <f>STAT[[#This Row],[ilustrador]]</f>
        <v>Bruna Campos</v>
      </c>
      <c r="AA86" s="10">
        <v>8</v>
      </c>
      <c r="AB86" s="14" t="s">
        <v>94</v>
      </c>
      <c r="AC86" s="10" t="s">
        <v>20</v>
      </c>
      <c r="AD86" s="32" t="str">
        <f t="shared" si="2"/>
        <v>Sintonia Educação Infantil P009m</v>
      </c>
      <c r="AE86" s="47" t="str">
        <f t="shared" si="3"/>
        <v>Edinfa</v>
      </c>
      <c r="AF86" s="47"/>
    </row>
    <row r="87" spans="1:32" ht="28.8" x14ac:dyDescent="0.3">
      <c r="A87" s="24" t="s">
        <v>137</v>
      </c>
      <c r="B87" s="10" t="s">
        <v>6</v>
      </c>
      <c r="C87" s="10" t="s">
        <v>132</v>
      </c>
      <c r="D87" s="10" t="s">
        <v>8</v>
      </c>
      <c r="E87" s="10">
        <v>57</v>
      </c>
      <c r="F87" s="10">
        <v>4</v>
      </c>
      <c r="G87" s="10">
        <v>3</v>
      </c>
      <c r="H87" s="10">
        <v>3</v>
      </c>
      <c r="I87" s="20" t="s">
        <v>9</v>
      </c>
      <c r="J87" s="27"/>
      <c r="K87" s="10"/>
      <c r="L87" s="10"/>
      <c r="M87" s="10"/>
      <c r="N87" s="10"/>
      <c r="O87" s="18" t="s">
        <v>138</v>
      </c>
      <c r="P87" s="14"/>
      <c r="Q87" s="10">
        <v>8</v>
      </c>
      <c r="R87" s="19">
        <v>45758</v>
      </c>
      <c r="S87" s="19">
        <v>45758</v>
      </c>
      <c r="T87" s="19"/>
      <c r="U87" s="19"/>
      <c r="V87" s="19">
        <v>45763</v>
      </c>
      <c r="W87" s="10" t="s">
        <v>134</v>
      </c>
      <c r="X87" s="33" t="str">
        <f>IF(STAT[[#This Row],[sigla]]="","",VLOOKUP(STAT[[#This Row],[sigla]],créditos_base!B:C,2,0))</f>
        <v>Bruna Campos</v>
      </c>
      <c r="Y87" s="10"/>
      <c r="Z87" s="10" t="str">
        <f>STAT[[#This Row],[ilustrador]]</f>
        <v>Bruna Campos</v>
      </c>
      <c r="AA87" s="10">
        <v>8</v>
      </c>
      <c r="AB87" s="14" t="s">
        <v>94</v>
      </c>
      <c r="AC87" s="10" t="s">
        <v>20</v>
      </c>
      <c r="AD87" s="32" t="str">
        <f t="shared" si="2"/>
        <v>Sintonia Educação Infantil P009m</v>
      </c>
      <c r="AE87" s="47" t="str">
        <f t="shared" si="3"/>
        <v>Edinfa</v>
      </c>
      <c r="AF87" s="47"/>
    </row>
    <row r="88" spans="1:32" x14ac:dyDescent="0.3">
      <c r="A88" s="13" t="s">
        <v>395</v>
      </c>
      <c r="B88" s="10" t="s">
        <v>6</v>
      </c>
      <c r="C88" s="11" t="s">
        <v>132</v>
      </c>
      <c r="D88" s="11" t="s">
        <v>8</v>
      </c>
      <c r="E88" s="10">
        <v>43</v>
      </c>
      <c r="F88" s="11">
        <v>5</v>
      </c>
      <c r="G88" s="10">
        <v>3</v>
      </c>
      <c r="H88" s="11">
        <v>3</v>
      </c>
      <c r="I88" s="12" t="s">
        <v>9</v>
      </c>
      <c r="J88" s="27"/>
      <c r="K88" s="10"/>
      <c r="L88" s="10"/>
      <c r="M88" s="10"/>
      <c r="N88" s="10"/>
      <c r="O88" s="25" t="s">
        <v>396</v>
      </c>
      <c r="P88" s="14"/>
      <c r="Q88" s="10">
        <v>13</v>
      </c>
      <c r="R88" s="19">
        <v>45783</v>
      </c>
      <c r="S88" s="19">
        <v>45784</v>
      </c>
      <c r="T88" s="19"/>
      <c r="U88" s="19"/>
      <c r="V88" s="19">
        <v>45784</v>
      </c>
      <c r="W88" s="10" t="s">
        <v>50</v>
      </c>
      <c r="X88" s="33" t="str">
        <f>IF(STAT[[#This Row],[sigla]]="","",VLOOKUP(STAT[[#This Row],[sigla]],créditos_base!B:C,2,0))</f>
        <v>Vinícius Costa</v>
      </c>
      <c r="Y88" s="10"/>
      <c r="Z88" s="10" t="str">
        <f>STAT[[#This Row],[ilustrador]]</f>
        <v>Vinícius Costa</v>
      </c>
      <c r="AA88" s="10">
        <v>8</v>
      </c>
      <c r="AB88" s="14" t="s">
        <v>94</v>
      </c>
      <c r="AC88" s="10" t="s">
        <v>13</v>
      </c>
      <c r="AD88" s="32" t="str">
        <f t="shared" si="2"/>
        <v>Sintonia Educação Infantil P009m</v>
      </c>
      <c r="AE88" s="47" t="str">
        <f t="shared" si="3"/>
        <v>Edinfa</v>
      </c>
      <c r="AF88" s="47"/>
    </row>
    <row r="89" spans="1:32" x14ac:dyDescent="0.3">
      <c r="A89" s="24" t="s">
        <v>139</v>
      </c>
      <c r="B89" s="10" t="s">
        <v>6</v>
      </c>
      <c r="C89" s="10" t="s">
        <v>132</v>
      </c>
      <c r="D89" s="10" t="s">
        <v>8</v>
      </c>
      <c r="E89" s="10">
        <v>58</v>
      </c>
      <c r="F89" s="10">
        <v>4</v>
      </c>
      <c r="G89" s="10">
        <v>3</v>
      </c>
      <c r="H89" s="10">
        <v>3</v>
      </c>
      <c r="I89" s="20" t="s">
        <v>9</v>
      </c>
      <c r="J89" s="27"/>
      <c r="K89" s="10"/>
      <c r="L89" s="10"/>
      <c r="M89" s="10"/>
      <c r="N89" s="10"/>
      <c r="O89" s="18" t="s">
        <v>140</v>
      </c>
      <c r="P89" s="14"/>
      <c r="Q89" s="10">
        <v>8</v>
      </c>
      <c r="R89" s="19">
        <v>45758</v>
      </c>
      <c r="S89" s="19">
        <v>45758</v>
      </c>
      <c r="T89" s="19"/>
      <c r="U89" s="19"/>
      <c r="V89" s="19">
        <v>45763</v>
      </c>
      <c r="W89" s="10" t="s">
        <v>134</v>
      </c>
      <c r="X89" s="33" t="str">
        <f>IF(STAT[[#This Row],[sigla]]="","",VLOOKUP(STAT[[#This Row],[sigla]],créditos_base!B:C,2,0))</f>
        <v>Bruna Campos</v>
      </c>
      <c r="Y89" s="10"/>
      <c r="Z89" s="10" t="str">
        <f>STAT[[#This Row],[ilustrador]]</f>
        <v>Bruna Campos</v>
      </c>
      <c r="AA89" s="10">
        <v>8</v>
      </c>
      <c r="AB89" s="14" t="s">
        <v>94</v>
      </c>
      <c r="AC89" s="10" t="s">
        <v>20</v>
      </c>
      <c r="AD89" s="32" t="str">
        <f t="shared" si="2"/>
        <v>Sintonia Educação Infantil P009m</v>
      </c>
      <c r="AE89" s="47" t="str">
        <f t="shared" si="3"/>
        <v>Edinfa</v>
      </c>
      <c r="AF89" s="47"/>
    </row>
    <row r="90" spans="1:32" x14ac:dyDescent="0.3">
      <c r="A90" s="24" t="s">
        <v>141</v>
      </c>
      <c r="B90" s="10" t="s">
        <v>6</v>
      </c>
      <c r="C90" s="10" t="s">
        <v>132</v>
      </c>
      <c r="D90" s="10" t="s">
        <v>8</v>
      </c>
      <c r="E90" s="10">
        <v>59</v>
      </c>
      <c r="F90" s="10">
        <v>4</v>
      </c>
      <c r="G90" s="10">
        <v>3</v>
      </c>
      <c r="H90" s="10">
        <v>3</v>
      </c>
      <c r="I90" s="20" t="s">
        <v>9</v>
      </c>
      <c r="J90" s="27"/>
      <c r="K90" s="10"/>
      <c r="L90" s="10"/>
      <c r="M90" s="10"/>
      <c r="N90" s="10"/>
      <c r="O90" s="18" t="s">
        <v>142</v>
      </c>
      <c r="P90" s="14"/>
      <c r="Q90" s="10">
        <v>8</v>
      </c>
      <c r="R90" s="19">
        <v>45758</v>
      </c>
      <c r="S90" s="19">
        <v>45758</v>
      </c>
      <c r="T90" s="19"/>
      <c r="U90" s="19"/>
      <c r="V90" s="19">
        <v>45763</v>
      </c>
      <c r="W90" s="10" t="s">
        <v>134</v>
      </c>
      <c r="X90" s="33" t="str">
        <f>IF(STAT[[#This Row],[sigla]]="","",VLOOKUP(STAT[[#This Row],[sigla]],créditos_base!B:C,2,0))</f>
        <v>Bruna Campos</v>
      </c>
      <c r="Y90" s="10"/>
      <c r="Z90" s="10" t="str">
        <f>STAT[[#This Row],[ilustrador]]</f>
        <v>Bruna Campos</v>
      </c>
      <c r="AA90" s="10">
        <v>8</v>
      </c>
      <c r="AB90" s="14" t="s">
        <v>94</v>
      </c>
      <c r="AC90" s="10" t="s">
        <v>20</v>
      </c>
      <c r="AD90" s="32" t="str">
        <f t="shared" si="2"/>
        <v>Sintonia Educação Infantil P009m</v>
      </c>
      <c r="AE90" s="47" t="str">
        <f t="shared" si="3"/>
        <v>Edinfa</v>
      </c>
      <c r="AF90" s="47"/>
    </row>
    <row r="91" spans="1:32" x14ac:dyDescent="0.3">
      <c r="A91" s="24" t="s">
        <v>143</v>
      </c>
      <c r="B91" s="10" t="s">
        <v>6</v>
      </c>
      <c r="C91" s="10" t="s">
        <v>132</v>
      </c>
      <c r="D91" s="10" t="s">
        <v>8</v>
      </c>
      <c r="E91" s="10">
        <v>59</v>
      </c>
      <c r="F91" s="10">
        <v>4</v>
      </c>
      <c r="G91" s="10">
        <v>3</v>
      </c>
      <c r="H91" s="10">
        <v>3</v>
      </c>
      <c r="I91" s="20" t="s">
        <v>9</v>
      </c>
      <c r="J91" s="27"/>
      <c r="K91" s="10"/>
      <c r="L91" s="10"/>
      <c r="M91" s="10"/>
      <c r="N91" s="10"/>
      <c r="O91" s="18" t="s">
        <v>144</v>
      </c>
      <c r="P91" s="14"/>
      <c r="Q91" s="10">
        <v>8</v>
      </c>
      <c r="R91" s="19">
        <v>45758</v>
      </c>
      <c r="S91" s="19">
        <v>45758</v>
      </c>
      <c r="T91" s="19"/>
      <c r="U91" s="19"/>
      <c r="V91" s="19">
        <v>45763</v>
      </c>
      <c r="W91" s="10" t="s">
        <v>134</v>
      </c>
      <c r="X91" s="33" t="str">
        <f>IF(STAT[[#This Row],[sigla]]="","",VLOOKUP(STAT[[#This Row],[sigla]],créditos_base!B:C,2,0))</f>
        <v>Bruna Campos</v>
      </c>
      <c r="Y91" s="10"/>
      <c r="Z91" s="10" t="str">
        <f>STAT[[#This Row],[ilustrador]]</f>
        <v>Bruna Campos</v>
      </c>
      <c r="AA91" s="10">
        <v>8</v>
      </c>
      <c r="AB91" s="14" t="s">
        <v>94</v>
      </c>
      <c r="AC91" s="10" t="s">
        <v>20</v>
      </c>
      <c r="AD91" s="32" t="str">
        <f t="shared" si="2"/>
        <v>Sintonia Educação Infantil P009m</v>
      </c>
      <c r="AE91" s="47" t="str">
        <f t="shared" si="3"/>
        <v>Edinfa</v>
      </c>
      <c r="AF91" s="47"/>
    </row>
    <row r="92" spans="1:32" x14ac:dyDescent="0.3">
      <c r="A92" s="24" t="s">
        <v>145</v>
      </c>
      <c r="B92" s="10" t="s">
        <v>6</v>
      </c>
      <c r="C92" s="10" t="s">
        <v>132</v>
      </c>
      <c r="D92" s="10" t="s">
        <v>8</v>
      </c>
      <c r="E92" s="10">
        <v>59</v>
      </c>
      <c r="F92" s="10">
        <v>4</v>
      </c>
      <c r="G92" s="10">
        <v>3</v>
      </c>
      <c r="H92" s="10">
        <v>3</v>
      </c>
      <c r="I92" s="20" t="s">
        <v>9</v>
      </c>
      <c r="J92" s="27"/>
      <c r="K92" s="10"/>
      <c r="L92" s="10"/>
      <c r="M92" s="10"/>
      <c r="N92" s="10"/>
      <c r="O92" s="18" t="s">
        <v>146</v>
      </c>
      <c r="P92" s="14"/>
      <c r="Q92" s="10">
        <v>8</v>
      </c>
      <c r="R92" s="19">
        <v>45758</v>
      </c>
      <c r="S92" s="19">
        <v>45758</v>
      </c>
      <c r="T92" s="19"/>
      <c r="U92" s="19"/>
      <c r="V92" s="19">
        <v>45763</v>
      </c>
      <c r="W92" s="10" t="s">
        <v>134</v>
      </c>
      <c r="X92" s="33" t="str">
        <f>IF(STAT[[#This Row],[sigla]]="","",VLOOKUP(STAT[[#This Row],[sigla]],créditos_base!B:C,2,0))</f>
        <v>Bruna Campos</v>
      </c>
      <c r="Y92" s="10"/>
      <c r="Z92" s="10" t="str">
        <f>STAT[[#This Row],[ilustrador]]</f>
        <v>Bruna Campos</v>
      </c>
      <c r="AA92" s="10">
        <v>8</v>
      </c>
      <c r="AB92" s="14" t="s">
        <v>94</v>
      </c>
      <c r="AC92" s="10" t="s">
        <v>20</v>
      </c>
      <c r="AD92" s="32" t="str">
        <f t="shared" si="2"/>
        <v>Sintonia Educação Infantil P009m</v>
      </c>
      <c r="AE92" s="47" t="str">
        <f t="shared" si="3"/>
        <v>Edinfa</v>
      </c>
      <c r="AF92" s="47"/>
    </row>
    <row r="93" spans="1:32" x14ac:dyDescent="0.3">
      <c r="A93" s="24" t="s">
        <v>147</v>
      </c>
      <c r="B93" s="10" t="s">
        <v>6</v>
      </c>
      <c r="C93" s="10" t="s">
        <v>132</v>
      </c>
      <c r="D93" s="10" t="s">
        <v>8</v>
      </c>
      <c r="E93" s="10">
        <v>59</v>
      </c>
      <c r="F93" s="10">
        <v>4</v>
      </c>
      <c r="G93" s="10">
        <v>3</v>
      </c>
      <c r="H93" s="10">
        <v>3</v>
      </c>
      <c r="I93" s="20" t="s">
        <v>9</v>
      </c>
      <c r="J93" s="27"/>
      <c r="K93" s="10"/>
      <c r="L93" s="10"/>
      <c r="M93" s="10"/>
      <c r="N93" s="10"/>
      <c r="O93" s="18" t="s">
        <v>148</v>
      </c>
      <c r="P93" s="14"/>
      <c r="Q93" s="10">
        <v>8</v>
      </c>
      <c r="R93" s="19">
        <v>45758</v>
      </c>
      <c r="S93" s="19">
        <v>45758</v>
      </c>
      <c r="T93" s="19"/>
      <c r="U93" s="19"/>
      <c r="V93" s="19">
        <v>45763</v>
      </c>
      <c r="W93" s="10" t="s">
        <v>134</v>
      </c>
      <c r="X93" s="33" t="str">
        <f>IF(STAT[[#This Row],[sigla]]="","",VLOOKUP(STAT[[#This Row],[sigla]],créditos_base!B:C,2,0))</f>
        <v>Bruna Campos</v>
      </c>
      <c r="Y93" s="10"/>
      <c r="Z93" s="10" t="str">
        <f>STAT[[#This Row],[ilustrador]]</f>
        <v>Bruna Campos</v>
      </c>
      <c r="AA93" s="10">
        <v>8</v>
      </c>
      <c r="AB93" s="14" t="s">
        <v>94</v>
      </c>
      <c r="AC93" s="10" t="s">
        <v>20</v>
      </c>
      <c r="AD93" s="32" t="str">
        <f t="shared" si="2"/>
        <v>Sintonia Educação Infantil P009m</v>
      </c>
      <c r="AE93" s="47" t="str">
        <f t="shared" si="3"/>
        <v>Edinfa</v>
      </c>
      <c r="AF93" s="47"/>
    </row>
    <row r="94" spans="1:32" x14ac:dyDescent="0.3">
      <c r="A94" s="24" t="s">
        <v>149</v>
      </c>
      <c r="B94" s="10" t="s">
        <v>6</v>
      </c>
      <c r="C94" s="10" t="s">
        <v>15</v>
      </c>
      <c r="D94" s="10" t="s">
        <v>8</v>
      </c>
      <c r="E94" s="10">
        <v>61</v>
      </c>
      <c r="F94" s="10">
        <v>4</v>
      </c>
      <c r="G94" s="10">
        <v>3</v>
      </c>
      <c r="H94" s="10">
        <v>3</v>
      </c>
      <c r="I94" s="20" t="s">
        <v>9</v>
      </c>
      <c r="J94" s="27"/>
      <c r="K94" s="10"/>
      <c r="L94" s="10"/>
      <c r="M94" s="10"/>
      <c r="N94" s="10"/>
      <c r="O94" s="18" t="s">
        <v>150</v>
      </c>
      <c r="P94" s="14"/>
      <c r="Q94" s="10"/>
      <c r="R94" s="19"/>
      <c r="S94" s="19"/>
      <c r="T94" s="19"/>
      <c r="U94" s="19"/>
      <c r="V94" s="19"/>
      <c r="W94" s="10" t="s">
        <v>88</v>
      </c>
      <c r="X94" s="33" t="str">
        <f>IF(STAT[[#This Row],[sigla]]="","",VLOOKUP(STAT[[#This Row],[sigla]],créditos_base!B:C,2,0))</f>
        <v>Arquivo da editora</v>
      </c>
      <c r="Y94" s="10"/>
      <c r="Z94" s="10" t="str">
        <f>STAT[[#This Row],[ilustrador]]</f>
        <v>Arquivo da editora</v>
      </c>
      <c r="AA94" s="10"/>
      <c r="AB94" s="14"/>
      <c r="AC94" s="10" t="s">
        <v>13</v>
      </c>
      <c r="AD94" s="32" t="str">
        <f t="shared" si="2"/>
        <v>Sintonia Educação Infantil P009m</v>
      </c>
      <c r="AE94" s="47" t="str">
        <f t="shared" si="3"/>
        <v>Edinfa</v>
      </c>
      <c r="AF94" s="47"/>
    </row>
    <row r="95" spans="1:32" x14ac:dyDescent="0.3">
      <c r="A95" s="24" t="s">
        <v>151</v>
      </c>
      <c r="B95" s="10" t="s">
        <v>6</v>
      </c>
      <c r="C95" s="10" t="s">
        <v>15</v>
      </c>
      <c r="D95" s="10" t="s">
        <v>8</v>
      </c>
      <c r="E95" s="10">
        <v>61</v>
      </c>
      <c r="F95" s="10">
        <v>4</v>
      </c>
      <c r="G95" s="10">
        <v>3</v>
      </c>
      <c r="H95" s="10">
        <v>3</v>
      </c>
      <c r="I95" s="20" t="s">
        <v>9</v>
      </c>
      <c r="J95" s="27"/>
      <c r="K95" s="10"/>
      <c r="L95" s="10"/>
      <c r="M95" s="10"/>
      <c r="N95" s="10"/>
      <c r="O95" s="18" t="s">
        <v>152</v>
      </c>
      <c r="P95" s="14"/>
      <c r="Q95" s="10">
        <v>8</v>
      </c>
      <c r="R95" s="19">
        <v>45758</v>
      </c>
      <c r="S95" s="19">
        <v>45758</v>
      </c>
      <c r="T95" s="19"/>
      <c r="U95" s="19"/>
      <c r="V95" s="19">
        <v>45763</v>
      </c>
      <c r="W95" s="10" t="s">
        <v>88</v>
      </c>
      <c r="X95" s="33" t="str">
        <f>IF(STAT[[#This Row],[sigla]]="","",VLOOKUP(STAT[[#This Row],[sigla]],créditos_base!B:C,2,0))</f>
        <v>Arquivo da editora</v>
      </c>
      <c r="Y95" s="10" t="s">
        <v>153</v>
      </c>
      <c r="Z95" s="10" t="str">
        <f>STAT[[#This Row],[ilustrador]]</f>
        <v>Arquivo da editora</v>
      </c>
      <c r="AA95" s="10">
        <v>13</v>
      </c>
      <c r="AB95" s="14" t="s">
        <v>154</v>
      </c>
      <c r="AC95" s="10" t="s">
        <v>13</v>
      </c>
      <c r="AD95" s="32" t="str">
        <f t="shared" si="2"/>
        <v>Sintonia Educação Infantil P009m</v>
      </c>
      <c r="AE95" s="47" t="str">
        <f t="shared" si="3"/>
        <v>Edinfa</v>
      </c>
      <c r="AF95" s="47"/>
    </row>
    <row r="96" spans="1:32" x14ac:dyDescent="0.3">
      <c r="A96" s="13" t="s">
        <v>397</v>
      </c>
      <c r="B96" s="10" t="s">
        <v>6</v>
      </c>
      <c r="C96" s="11" t="s">
        <v>15</v>
      </c>
      <c r="D96" s="11" t="s">
        <v>8</v>
      </c>
      <c r="E96" s="10">
        <v>46</v>
      </c>
      <c r="F96" s="11">
        <v>5</v>
      </c>
      <c r="G96" s="10">
        <v>3</v>
      </c>
      <c r="H96" s="11">
        <v>3</v>
      </c>
      <c r="I96" s="12" t="s">
        <v>9</v>
      </c>
      <c r="J96" s="27"/>
      <c r="K96" s="10"/>
      <c r="L96" s="10"/>
      <c r="M96" s="10"/>
      <c r="N96" s="10"/>
      <c r="O96" s="25" t="s">
        <v>398</v>
      </c>
      <c r="P96" s="14"/>
      <c r="Q96" s="10"/>
      <c r="R96" s="19"/>
      <c r="S96" s="19"/>
      <c r="T96" s="19"/>
      <c r="U96" s="19"/>
      <c r="V96" s="19"/>
      <c r="W96" s="10" t="s">
        <v>88</v>
      </c>
      <c r="X96" s="33" t="str">
        <f>IF(STAT[[#This Row],[sigla]]="","",VLOOKUP(STAT[[#This Row],[sigla]],créditos_base!B:C,2,0))</f>
        <v>Arquivo da editora</v>
      </c>
      <c r="Y96" s="10"/>
      <c r="Z96" s="10" t="str">
        <f>STAT[[#This Row],[ilustrador]]</f>
        <v>Arquivo da editora</v>
      </c>
      <c r="AA96" s="10"/>
      <c r="AB96" s="14"/>
      <c r="AC96" s="10" t="s">
        <v>13</v>
      </c>
      <c r="AD96" s="32" t="str">
        <f t="shared" si="2"/>
        <v>Sintonia Educação Infantil P009m</v>
      </c>
      <c r="AE96" s="47" t="str">
        <f t="shared" si="3"/>
        <v>Edinfa</v>
      </c>
      <c r="AF96" s="47"/>
    </row>
    <row r="97" spans="1:32" x14ac:dyDescent="0.3">
      <c r="A97" s="24" t="s">
        <v>155</v>
      </c>
      <c r="B97" s="10" t="s">
        <v>6</v>
      </c>
      <c r="C97" s="10" t="s">
        <v>15</v>
      </c>
      <c r="D97" s="10" t="s">
        <v>8</v>
      </c>
      <c r="E97" s="10">
        <v>65</v>
      </c>
      <c r="F97" s="10">
        <v>4</v>
      </c>
      <c r="G97" s="10">
        <v>3</v>
      </c>
      <c r="H97" s="10">
        <v>3</v>
      </c>
      <c r="I97" s="20" t="s">
        <v>9</v>
      </c>
      <c r="J97" s="27"/>
      <c r="K97" s="10"/>
      <c r="L97" s="10"/>
      <c r="M97" s="10"/>
      <c r="N97" s="10"/>
      <c r="O97" s="18" t="s">
        <v>156</v>
      </c>
      <c r="P97" s="14"/>
      <c r="Q97" s="10">
        <v>8</v>
      </c>
      <c r="R97" s="19">
        <v>45758</v>
      </c>
      <c r="S97" s="19">
        <v>45758</v>
      </c>
      <c r="T97" s="19"/>
      <c r="U97" s="19"/>
      <c r="V97" s="19">
        <v>45763</v>
      </c>
      <c r="W97" s="10" t="s">
        <v>88</v>
      </c>
      <c r="X97" s="33" t="str">
        <f>IF(STAT[[#This Row],[sigla]]="","",VLOOKUP(STAT[[#This Row],[sigla]],créditos_base!B:C,2,0))</f>
        <v>Arquivo da editora</v>
      </c>
      <c r="Y97" s="10" t="s">
        <v>153</v>
      </c>
      <c r="Z97" s="10" t="str">
        <f>STAT[[#This Row],[ilustrador]]</f>
        <v>Arquivo da editora</v>
      </c>
      <c r="AA97" s="10">
        <v>13</v>
      </c>
      <c r="AB97" s="14" t="s">
        <v>154</v>
      </c>
      <c r="AC97" s="10" t="s">
        <v>13</v>
      </c>
      <c r="AD97" s="32" t="str">
        <f t="shared" si="2"/>
        <v>Sintonia Educação Infantil P009m</v>
      </c>
      <c r="AE97" s="47" t="str">
        <f t="shared" si="3"/>
        <v>Edinfa</v>
      </c>
      <c r="AF97" s="47"/>
    </row>
    <row r="98" spans="1:32" ht="57.6" x14ac:dyDescent="0.3">
      <c r="A98" s="13" t="s">
        <v>399</v>
      </c>
      <c r="B98" s="10" t="s">
        <v>6</v>
      </c>
      <c r="C98" s="11" t="s">
        <v>15</v>
      </c>
      <c r="D98" s="11" t="s">
        <v>8</v>
      </c>
      <c r="E98" s="10">
        <v>46</v>
      </c>
      <c r="F98" s="11">
        <v>5</v>
      </c>
      <c r="G98" s="10">
        <v>3</v>
      </c>
      <c r="H98" s="11">
        <v>3</v>
      </c>
      <c r="I98" s="12" t="s">
        <v>9</v>
      </c>
      <c r="J98" s="27"/>
      <c r="K98" s="10"/>
      <c r="L98" s="10"/>
      <c r="M98" s="10"/>
      <c r="N98" s="10"/>
      <c r="O98" s="25" t="s">
        <v>400</v>
      </c>
      <c r="P98" s="14"/>
      <c r="Q98" s="10"/>
      <c r="R98" s="19"/>
      <c r="S98" s="19"/>
      <c r="T98" s="19"/>
      <c r="U98" s="19"/>
      <c r="V98" s="19"/>
      <c r="W98" s="10" t="s">
        <v>88</v>
      </c>
      <c r="X98" s="33" t="str">
        <f>IF(STAT[[#This Row],[sigla]]="","",VLOOKUP(STAT[[#This Row],[sigla]],créditos_base!B:C,2,0))</f>
        <v>Arquivo da editora</v>
      </c>
      <c r="Y98" s="10"/>
      <c r="Z98" s="10" t="str">
        <f>STAT[[#This Row],[ilustrador]]</f>
        <v>Arquivo da editora</v>
      </c>
      <c r="AA98" s="10"/>
      <c r="AB98" s="14"/>
      <c r="AC98" s="10" t="s">
        <v>13</v>
      </c>
      <c r="AD98" s="32" t="str">
        <f t="shared" si="2"/>
        <v>Sintonia Educação Infantil P009m</v>
      </c>
      <c r="AE98" s="47" t="str">
        <f t="shared" si="3"/>
        <v>Edinfa</v>
      </c>
      <c r="AF98" s="47"/>
    </row>
    <row r="99" spans="1:32" ht="72" x14ac:dyDescent="0.3">
      <c r="A99" s="24" t="s">
        <v>157</v>
      </c>
      <c r="B99" s="10" t="s">
        <v>6</v>
      </c>
      <c r="C99" s="10" t="s">
        <v>15</v>
      </c>
      <c r="D99" s="10" t="s">
        <v>8</v>
      </c>
      <c r="E99" s="10">
        <v>65</v>
      </c>
      <c r="F99" s="10">
        <v>4</v>
      </c>
      <c r="G99" s="10">
        <v>3</v>
      </c>
      <c r="H99" s="10">
        <v>3</v>
      </c>
      <c r="I99" s="20" t="s">
        <v>9</v>
      </c>
      <c r="J99" s="27"/>
      <c r="K99" s="10"/>
      <c r="L99" s="10"/>
      <c r="M99" s="10"/>
      <c r="N99" s="10"/>
      <c r="O99" s="18" t="s">
        <v>158</v>
      </c>
      <c r="P99" s="14"/>
      <c r="Q99" s="10"/>
      <c r="R99" s="19"/>
      <c r="S99" s="19"/>
      <c r="T99" s="19"/>
      <c r="U99" s="19"/>
      <c r="V99" s="19"/>
      <c r="W99" s="10" t="s">
        <v>88</v>
      </c>
      <c r="X99" s="33" t="str">
        <f>IF(STAT[[#This Row],[sigla]]="","",VLOOKUP(STAT[[#This Row],[sigla]],créditos_base!B:C,2,0))</f>
        <v>Arquivo da editora</v>
      </c>
      <c r="Y99" s="10"/>
      <c r="Z99" s="10" t="str">
        <f>STAT[[#This Row],[ilustrador]]</f>
        <v>Arquivo da editora</v>
      </c>
      <c r="AA99" s="10"/>
      <c r="AB99" s="14"/>
      <c r="AC99" s="10" t="s">
        <v>13</v>
      </c>
      <c r="AD99" s="32" t="str">
        <f t="shared" si="2"/>
        <v>Sintonia Educação Infantil P009m</v>
      </c>
      <c r="AE99" s="47" t="str">
        <f t="shared" si="3"/>
        <v>Edinfa</v>
      </c>
      <c r="AF99" s="47"/>
    </row>
    <row r="100" spans="1:32" ht="86.4" x14ac:dyDescent="0.3">
      <c r="A100" s="13" t="s">
        <v>401</v>
      </c>
      <c r="B100" s="10" t="s">
        <v>6</v>
      </c>
      <c r="C100" s="11" t="s">
        <v>15</v>
      </c>
      <c r="D100" s="11" t="s">
        <v>8</v>
      </c>
      <c r="E100" s="10">
        <v>46</v>
      </c>
      <c r="F100" s="11">
        <v>5</v>
      </c>
      <c r="G100" s="10">
        <v>3</v>
      </c>
      <c r="H100" s="11">
        <v>3</v>
      </c>
      <c r="I100" s="12" t="s">
        <v>9</v>
      </c>
      <c r="J100" s="27"/>
      <c r="K100" s="10"/>
      <c r="L100" s="10"/>
      <c r="M100" s="10"/>
      <c r="N100" s="10"/>
      <c r="O100" s="25" t="s">
        <v>402</v>
      </c>
      <c r="P100" s="14"/>
      <c r="Q100" s="10"/>
      <c r="R100" s="19"/>
      <c r="S100" s="19"/>
      <c r="T100" s="19"/>
      <c r="U100" s="19"/>
      <c r="V100" s="19"/>
      <c r="W100" s="10" t="s">
        <v>88</v>
      </c>
      <c r="X100" s="33" t="str">
        <f>IF(STAT[[#This Row],[sigla]]="","",VLOOKUP(STAT[[#This Row],[sigla]],créditos_base!B:C,2,0))</f>
        <v>Arquivo da editora</v>
      </c>
      <c r="Y100" s="10"/>
      <c r="Z100" s="10" t="str">
        <f>STAT[[#This Row],[ilustrador]]</f>
        <v>Arquivo da editora</v>
      </c>
      <c r="AA100" s="10"/>
      <c r="AB100" s="14"/>
      <c r="AC100" s="10" t="s">
        <v>13</v>
      </c>
      <c r="AD100" s="32" t="str">
        <f t="shared" si="2"/>
        <v>Sintonia Educação Infantil P009m</v>
      </c>
      <c r="AE100" s="47" t="str">
        <f t="shared" si="3"/>
        <v>Edinfa</v>
      </c>
      <c r="AF100" s="47"/>
    </row>
    <row r="101" spans="1:32" x14ac:dyDescent="0.3">
      <c r="A101" s="24" t="s">
        <v>159</v>
      </c>
      <c r="B101" s="10" t="s">
        <v>6</v>
      </c>
      <c r="C101" s="10" t="s">
        <v>15</v>
      </c>
      <c r="D101" s="10" t="s">
        <v>8</v>
      </c>
      <c r="E101" s="10">
        <v>65</v>
      </c>
      <c r="F101" s="10">
        <v>4</v>
      </c>
      <c r="G101" s="10">
        <v>3</v>
      </c>
      <c r="H101" s="10">
        <v>3</v>
      </c>
      <c r="I101" s="20" t="s">
        <v>9</v>
      </c>
      <c r="J101" s="27"/>
      <c r="K101" s="10"/>
      <c r="L101" s="10"/>
      <c r="M101" s="10"/>
      <c r="N101" s="10"/>
      <c r="O101" s="18" t="s">
        <v>160</v>
      </c>
      <c r="P101" s="14"/>
      <c r="Q101" s="10">
        <v>8</v>
      </c>
      <c r="R101" s="19">
        <v>45758</v>
      </c>
      <c r="S101" s="19">
        <v>45758</v>
      </c>
      <c r="T101" s="19"/>
      <c r="U101" s="19"/>
      <c r="V101" s="19">
        <v>45763</v>
      </c>
      <c r="W101" s="10" t="s">
        <v>88</v>
      </c>
      <c r="X101" s="33" t="str">
        <f>IF(STAT[[#This Row],[sigla]]="","",VLOOKUP(STAT[[#This Row],[sigla]],créditos_base!B:C,2,0))</f>
        <v>Arquivo da editora</v>
      </c>
      <c r="Y101" s="10" t="s">
        <v>153</v>
      </c>
      <c r="Z101" s="10" t="str">
        <f>STAT[[#This Row],[ilustrador]]</f>
        <v>Arquivo da editora</v>
      </c>
      <c r="AA101" s="10">
        <v>13</v>
      </c>
      <c r="AB101" s="14" t="s">
        <v>154</v>
      </c>
      <c r="AC101" s="10" t="s">
        <v>13</v>
      </c>
      <c r="AD101" s="32" t="str">
        <f t="shared" si="2"/>
        <v>Sintonia Educação Infantil P009m</v>
      </c>
      <c r="AE101" s="47" t="str">
        <f t="shared" si="3"/>
        <v>Edinfa</v>
      </c>
      <c r="AF101" s="47"/>
    </row>
    <row r="102" spans="1:32" x14ac:dyDescent="0.3">
      <c r="A102" s="13" t="s">
        <v>403</v>
      </c>
      <c r="B102" s="10" t="s">
        <v>6</v>
      </c>
      <c r="C102" s="11" t="s">
        <v>15</v>
      </c>
      <c r="D102" s="11" t="s">
        <v>8</v>
      </c>
      <c r="E102" s="10">
        <v>46</v>
      </c>
      <c r="F102" s="11">
        <v>5</v>
      </c>
      <c r="G102" s="10">
        <v>3</v>
      </c>
      <c r="H102" s="11">
        <v>3</v>
      </c>
      <c r="I102" s="12" t="s">
        <v>9</v>
      </c>
      <c r="J102" s="27"/>
      <c r="K102" s="10"/>
      <c r="L102" s="10"/>
      <c r="M102" s="10"/>
      <c r="N102" s="10"/>
      <c r="O102" s="25" t="s">
        <v>404</v>
      </c>
      <c r="P102" s="14"/>
      <c r="Q102" s="10"/>
      <c r="R102" s="19"/>
      <c r="S102" s="19"/>
      <c r="T102" s="19"/>
      <c r="U102" s="19"/>
      <c r="V102" s="19"/>
      <c r="W102" s="10" t="s">
        <v>88</v>
      </c>
      <c r="X102" s="33" t="str">
        <f>IF(STAT[[#This Row],[sigla]]="","",VLOOKUP(STAT[[#This Row],[sigla]],créditos_base!B:C,2,0))</f>
        <v>Arquivo da editora</v>
      </c>
      <c r="Y102" s="10"/>
      <c r="Z102" s="10" t="str">
        <f>STAT[[#This Row],[ilustrador]]</f>
        <v>Arquivo da editora</v>
      </c>
      <c r="AA102" s="10"/>
      <c r="AB102" s="14"/>
      <c r="AC102" s="10" t="s">
        <v>13</v>
      </c>
      <c r="AD102" s="32" t="str">
        <f t="shared" si="2"/>
        <v>Sintonia Educação Infantil P009m</v>
      </c>
      <c r="AE102" s="47" t="str">
        <f t="shared" si="3"/>
        <v>Edinfa</v>
      </c>
      <c r="AF102" s="47"/>
    </row>
    <row r="103" spans="1:32" x14ac:dyDescent="0.3">
      <c r="A103" s="24" t="s">
        <v>161</v>
      </c>
      <c r="B103" s="10" t="s">
        <v>6</v>
      </c>
      <c r="C103" s="10" t="s">
        <v>15</v>
      </c>
      <c r="D103" s="10" t="s">
        <v>8</v>
      </c>
      <c r="E103" s="10">
        <v>65</v>
      </c>
      <c r="F103" s="10">
        <v>4</v>
      </c>
      <c r="G103" s="10">
        <v>3</v>
      </c>
      <c r="H103" s="10">
        <v>3</v>
      </c>
      <c r="I103" s="20" t="s">
        <v>9</v>
      </c>
      <c r="J103" s="27"/>
      <c r="K103" s="10"/>
      <c r="L103" s="10"/>
      <c r="M103" s="10"/>
      <c r="N103" s="10"/>
      <c r="O103" s="18" t="s">
        <v>162</v>
      </c>
      <c r="P103" s="14"/>
      <c r="Q103" s="10">
        <v>8</v>
      </c>
      <c r="R103" s="19">
        <v>45758</v>
      </c>
      <c r="S103" s="19">
        <v>45758</v>
      </c>
      <c r="T103" s="19"/>
      <c r="U103" s="19"/>
      <c r="V103" s="19">
        <v>45763</v>
      </c>
      <c r="W103" s="10" t="s">
        <v>88</v>
      </c>
      <c r="X103" s="33" t="str">
        <f>IF(STAT[[#This Row],[sigla]]="","",VLOOKUP(STAT[[#This Row],[sigla]],créditos_base!B:C,2,0))</f>
        <v>Arquivo da editora</v>
      </c>
      <c r="Y103" s="10" t="s">
        <v>153</v>
      </c>
      <c r="Z103" s="10" t="str">
        <f>STAT[[#This Row],[ilustrador]]</f>
        <v>Arquivo da editora</v>
      </c>
      <c r="AA103" s="10">
        <v>13</v>
      </c>
      <c r="AB103" s="14" t="s">
        <v>154</v>
      </c>
      <c r="AC103" s="10" t="s">
        <v>13</v>
      </c>
      <c r="AD103" s="32" t="str">
        <f t="shared" si="2"/>
        <v>Sintonia Educação Infantil P009m</v>
      </c>
      <c r="AE103" s="47" t="str">
        <f t="shared" si="3"/>
        <v>Edinfa</v>
      </c>
      <c r="AF103" s="47"/>
    </row>
    <row r="104" spans="1:32" x14ac:dyDescent="0.3">
      <c r="A104" s="24" t="s">
        <v>163</v>
      </c>
      <c r="B104" s="10" t="s">
        <v>6</v>
      </c>
      <c r="C104" s="10" t="s">
        <v>15</v>
      </c>
      <c r="D104" s="10" t="s">
        <v>8</v>
      </c>
      <c r="E104" s="10">
        <v>66</v>
      </c>
      <c r="F104" s="10">
        <v>4</v>
      </c>
      <c r="G104" s="10">
        <v>3</v>
      </c>
      <c r="H104" s="10">
        <v>3</v>
      </c>
      <c r="I104" s="20" t="s">
        <v>9</v>
      </c>
      <c r="J104" s="27"/>
      <c r="K104" s="10"/>
      <c r="L104" s="10"/>
      <c r="M104" s="10"/>
      <c r="N104" s="10"/>
      <c r="O104" s="18" t="s">
        <v>164</v>
      </c>
      <c r="P104" s="14"/>
      <c r="Q104" s="10">
        <v>8</v>
      </c>
      <c r="R104" s="19">
        <v>45758</v>
      </c>
      <c r="S104" s="19">
        <v>45758</v>
      </c>
      <c r="T104" s="19"/>
      <c r="U104" s="19"/>
      <c r="V104" s="19">
        <v>45763</v>
      </c>
      <c r="W104" s="10" t="s">
        <v>88</v>
      </c>
      <c r="X104" s="33" t="str">
        <f>IF(STAT[[#This Row],[sigla]]="","",VLOOKUP(STAT[[#This Row],[sigla]],créditos_base!B:C,2,0))</f>
        <v>Arquivo da editora</v>
      </c>
      <c r="Y104" s="10" t="s">
        <v>153</v>
      </c>
      <c r="Z104" s="10" t="str">
        <f>STAT[[#This Row],[ilustrador]]</f>
        <v>Arquivo da editora</v>
      </c>
      <c r="AA104" s="10">
        <v>13</v>
      </c>
      <c r="AB104" s="14" t="s">
        <v>154</v>
      </c>
      <c r="AC104" s="10" t="s">
        <v>13</v>
      </c>
      <c r="AD104" s="32" t="str">
        <f t="shared" si="2"/>
        <v>Sintonia Educação Infantil P009m</v>
      </c>
      <c r="AE104" s="47" t="str">
        <f t="shared" si="3"/>
        <v>Edinfa</v>
      </c>
      <c r="AF104" s="47"/>
    </row>
    <row r="105" spans="1:32" x14ac:dyDescent="0.3">
      <c r="A105" s="13" t="s">
        <v>405</v>
      </c>
      <c r="B105" s="10" t="s">
        <v>6</v>
      </c>
      <c r="C105" s="11" t="s">
        <v>15</v>
      </c>
      <c r="D105" s="11" t="s">
        <v>8</v>
      </c>
      <c r="E105" s="10">
        <v>47</v>
      </c>
      <c r="F105" s="11">
        <v>5</v>
      </c>
      <c r="G105" s="10">
        <v>3</v>
      </c>
      <c r="H105" s="11">
        <v>3</v>
      </c>
      <c r="I105" s="12" t="s">
        <v>9</v>
      </c>
      <c r="J105" s="27"/>
      <c r="K105" s="10"/>
      <c r="L105" s="10"/>
      <c r="M105" s="10"/>
      <c r="N105" s="10"/>
      <c r="O105" s="25" t="s">
        <v>406</v>
      </c>
      <c r="P105" s="14"/>
      <c r="Q105" s="10">
        <v>13</v>
      </c>
      <c r="R105" s="19">
        <v>45783</v>
      </c>
      <c r="S105" s="19">
        <v>45784</v>
      </c>
      <c r="T105" s="19">
        <v>45786</v>
      </c>
      <c r="U105" s="19">
        <v>45789</v>
      </c>
      <c r="V105" s="19">
        <v>45790</v>
      </c>
      <c r="W105" s="10" t="s">
        <v>17</v>
      </c>
      <c r="X105" s="33" t="str">
        <f>IF(STAT[[#This Row],[sigla]]="","",VLOOKUP(STAT[[#This Row],[sigla]],créditos_base!B:C,2,0))</f>
        <v>Thais Castro</v>
      </c>
      <c r="Y105" s="10"/>
      <c r="Z105" s="10" t="str">
        <f>STAT[[#This Row],[ilustrador]]</f>
        <v>Thais Castro</v>
      </c>
      <c r="AA105" s="10">
        <v>5</v>
      </c>
      <c r="AB105" s="14" t="s">
        <v>407</v>
      </c>
      <c r="AC105" s="10" t="s">
        <v>20</v>
      </c>
      <c r="AD105" s="32" t="str">
        <f t="shared" si="2"/>
        <v>Sintonia Educação Infantil P009m</v>
      </c>
      <c r="AE105" s="47" t="str">
        <f t="shared" si="3"/>
        <v>Edinfa</v>
      </c>
      <c r="AF105" s="47"/>
    </row>
    <row r="106" spans="1:32" x14ac:dyDescent="0.3">
      <c r="A106" s="13" t="s">
        <v>408</v>
      </c>
      <c r="B106" s="10" t="s">
        <v>6</v>
      </c>
      <c r="C106" s="11" t="s">
        <v>15</v>
      </c>
      <c r="D106" s="11" t="s">
        <v>8</v>
      </c>
      <c r="E106" s="10">
        <v>47</v>
      </c>
      <c r="F106" s="11">
        <v>5</v>
      </c>
      <c r="G106" s="10">
        <v>3</v>
      </c>
      <c r="H106" s="11">
        <v>3</v>
      </c>
      <c r="I106" s="12" t="s">
        <v>9</v>
      </c>
      <c r="J106" s="27"/>
      <c r="K106" s="10"/>
      <c r="L106" s="10"/>
      <c r="M106" s="10"/>
      <c r="N106" s="10"/>
      <c r="O106" s="25" t="s">
        <v>409</v>
      </c>
      <c r="P106" s="14"/>
      <c r="Q106" s="10">
        <v>13</v>
      </c>
      <c r="R106" s="19">
        <v>45783</v>
      </c>
      <c r="S106" s="19">
        <v>45784</v>
      </c>
      <c r="T106" s="19">
        <v>45786</v>
      </c>
      <c r="U106" s="19">
        <v>45789</v>
      </c>
      <c r="V106" s="19">
        <v>45790</v>
      </c>
      <c r="W106" s="10" t="s">
        <v>17</v>
      </c>
      <c r="X106" s="33" t="str">
        <f>IF(STAT[[#This Row],[sigla]]="","",VLOOKUP(STAT[[#This Row],[sigla]],créditos_base!B:C,2,0))</f>
        <v>Thais Castro</v>
      </c>
      <c r="Y106" s="10"/>
      <c r="Z106" s="10" t="str">
        <f>STAT[[#This Row],[ilustrador]]</f>
        <v>Thais Castro</v>
      </c>
      <c r="AA106" s="10">
        <v>13</v>
      </c>
      <c r="AB106" s="14" t="s">
        <v>407</v>
      </c>
      <c r="AC106" s="10" t="s">
        <v>20</v>
      </c>
      <c r="AD106" s="32" t="str">
        <f t="shared" si="2"/>
        <v>Sintonia Educação Infantil P009m</v>
      </c>
      <c r="AE106" s="47" t="str">
        <f t="shared" si="3"/>
        <v>Edinfa</v>
      </c>
      <c r="AF106" s="47"/>
    </row>
    <row r="107" spans="1:32" x14ac:dyDescent="0.3">
      <c r="A107" s="13" t="s">
        <v>410</v>
      </c>
      <c r="B107" s="10" t="s">
        <v>6</v>
      </c>
      <c r="C107" s="11" t="s">
        <v>15</v>
      </c>
      <c r="D107" s="11" t="s">
        <v>8</v>
      </c>
      <c r="E107" s="10">
        <v>48</v>
      </c>
      <c r="F107" s="11">
        <v>5</v>
      </c>
      <c r="G107" s="10">
        <v>3</v>
      </c>
      <c r="H107" s="11">
        <v>3</v>
      </c>
      <c r="I107" s="12" t="s">
        <v>9</v>
      </c>
      <c r="J107" s="27"/>
      <c r="K107" s="10"/>
      <c r="L107" s="10"/>
      <c r="M107" s="10"/>
      <c r="N107" s="10"/>
      <c r="O107" s="25" t="s">
        <v>411</v>
      </c>
      <c r="P107" s="14"/>
      <c r="Q107" s="10">
        <v>13</v>
      </c>
      <c r="R107" s="19">
        <v>45783</v>
      </c>
      <c r="S107" s="19">
        <v>45784</v>
      </c>
      <c r="T107" s="19">
        <v>45789</v>
      </c>
      <c r="U107" s="19">
        <v>45790</v>
      </c>
      <c r="V107" s="19">
        <v>45791</v>
      </c>
      <c r="W107" s="10" t="s">
        <v>412</v>
      </c>
      <c r="X107" s="33" t="str">
        <f>IF(STAT[[#This Row],[sigla]]="","",VLOOKUP(STAT[[#This Row],[sigla]],créditos_base!B:C,2,0))</f>
        <v>Clarice Baracho</v>
      </c>
      <c r="Y107" s="10"/>
      <c r="Z107" s="10" t="str">
        <f>STAT[[#This Row],[ilustrador]]</f>
        <v>Clarice Baracho</v>
      </c>
      <c r="AA107" s="10">
        <v>7</v>
      </c>
      <c r="AB107" s="14" t="s">
        <v>413</v>
      </c>
      <c r="AC107" s="10" t="s">
        <v>20</v>
      </c>
      <c r="AD107" s="32" t="str">
        <f t="shared" si="2"/>
        <v>Sintonia Educação Infantil P009m</v>
      </c>
      <c r="AE107" s="47" t="str">
        <f t="shared" si="3"/>
        <v>Edinfa</v>
      </c>
      <c r="AF107" s="47"/>
    </row>
    <row r="108" spans="1:32" x14ac:dyDescent="0.3">
      <c r="A108" s="13" t="s">
        <v>414</v>
      </c>
      <c r="B108" s="10" t="s">
        <v>6</v>
      </c>
      <c r="C108" s="11" t="s">
        <v>15</v>
      </c>
      <c r="D108" s="11" t="s">
        <v>8</v>
      </c>
      <c r="E108" s="10">
        <v>50</v>
      </c>
      <c r="F108" s="11">
        <v>5</v>
      </c>
      <c r="G108" s="10">
        <v>3</v>
      </c>
      <c r="H108" s="11">
        <v>3</v>
      </c>
      <c r="I108" s="12" t="s">
        <v>9</v>
      </c>
      <c r="J108" s="27"/>
      <c r="K108" s="10"/>
      <c r="L108" s="10"/>
      <c r="M108" s="10"/>
      <c r="N108" s="10"/>
      <c r="O108" s="25" t="s">
        <v>415</v>
      </c>
      <c r="P108" s="14"/>
      <c r="Q108" s="10"/>
      <c r="R108" s="19"/>
      <c r="S108" s="19"/>
      <c r="T108" s="19"/>
      <c r="U108" s="19"/>
      <c r="V108" s="19"/>
      <c r="W108" s="10" t="s">
        <v>88</v>
      </c>
      <c r="X108" s="33" t="str">
        <f>IF(STAT[[#This Row],[sigla]]="","",VLOOKUP(STAT[[#This Row],[sigla]],créditos_base!B:C,2,0))</f>
        <v>Arquivo da editora</v>
      </c>
      <c r="Y108" s="10"/>
      <c r="Z108" s="10" t="str">
        <f>STAT[[#This Row],[ilustrador]]</f>
        <v>Arquivo da editora</v>
      </c>
      <c r="AA108" s="10"/>
      <c r="AB108" s="14"/>
      <c r="AC108" s="10" t="s">
        <v>13</v>
      </c>
      <c r="AD108" s="32" t="str">
        <f t="shared" si="2"/>
        <v>Sintonia Educação Infantil P009m</v>
      </c>
      <c r="AE108" s="47" t="str">
        <f t="shared" si="3"/>
        <v>Edinfa</v>
      </c>
      <c r="AF108" s="47"/>
    </row>
    <row r="109" spans="1:32" x14ac:dyDescent="0.3">
      <c r="A109" s="13" t="s">
        <v>416</v>
      </c>
      <c r="B109" s="10" t="s">
        <v>6</v>
      </c>
      <c r="C109" s="11" t="s">
        <v>15</v>
      </c>
      <c r="D109" s="11" t="s">
        <v>8</v>
      </c>
      <c r="E109" s="10">
        <v>50</v>
      </c>
      <c r="F109" s="11">
        <v>5</v>
      </c>
      <c r="G109" s="10">
        <v>3</v>
      </c>
      <c r="H109" s="11">
        <v>3</v>
      </c>
      <c r="I109" s="12" t="s">
        <v>9</v>
      </c>
      <c r="J109" s="27"/>
      <c r="K109" s="10"/>
      <c r="L109" s="10"/>
      <c r="M109" s="10"/>
      <c r="N109" s="10"/>
      <c r="O109" s="25" t="s">
        <v>417</v>
      </c>
      <c r="P109" s="14"/>
      <c r="Q109" s="10"/>
      <c r="R109" s="19"/>
      <c r="S109" s="19"/>
      <c r="T109" s="19"/>
      <c r="U109" s="19"/>
      <c r="V109" s="19"/>
      <c r="W109" s="10" t="s">
        <v>88</v>
      </c>
      <c r="X109" s="33" t="str">
        <f>IF(STAT[[#This Row],[sigla]]="","",VLOOKUP(STAT[[#This Row],[sigla]],créditos_base!B:C,2,0))</f>
        <v>Arquivo da editora</v>
      </c>
      <c r="Y109" s="10"/>
      <c r="Z109" s="10" t="str">
        <f>STAT[[#This Row],[ilustrador]]</f>
        <v>Arquivo da editora</v>
      </c>
      <c r="AA109" s="10"/>
      <c r="AB109" s="14"/>
      <c r="AC109" s="10" t="s">
        <v>13</v>
      </c>
      <c r="AD109" s="32" t="str">
        <f t="shared" si="2"/>
        <v>Sintonia Educação Infantil P009m</v>
      </c>
      <c r="AE109" s="47" t="str">
        <f t="shared" si="3"/>
        <v>Edinfa</v>
      </c>
      <c r="AF109" s="47"/>
    </row>
    <row r="110" spans="1:32" ht="28.8" x14ac:dyDescent="0.3">
      <c r="A110" s="24" t="s">
        <v>165</v>
      </c>
      <c r="B110" s="10" t="s">
        <v>6</v>
      </c>
      <c r="C110" s="10" t="s">
        <v>15</v>
      </c>
      <c r="D110" s="10" t="s">
        <v>8</v>
      </c>
      <c r="E110" s="10">
        <v>69</v>
      </c>
      <c r="F110" s="10">
        <v>4</v>
      </c>
      <c r="G110" s="10">
        <v>3</v>
      </c>
      <c r="H110" s="10">
        <v>3</v>
      </c>
      <c r="I110" s="20" t="s">
        <v>9</v>
      </c>
      <c r="J110" s="27"/>
      <c r="K110" s="10"/>
      <c r="L110" s="10"/>
      <c r="M110" s="10"/>
      <c r="N110" s="10"/>
      <c r="O110" s="18" t="s">
        <v>166</v>
      </c>
      <c r="P110" s="14"/>
      <c r="Q110" s="10">
        <v>8</v>
      </c>
      <c r="R110" s="19">
        <v>45758</v>
      </c>
      <c r="S110" s="19">
        <v>45761</v>
      </c>
      <c r="T110" s="19">
        <v>45763</v>
      </c>
      <c r="U110" s="19">
        <v>45763</v>
      </c>
      <c r="V110" s="19">
        <v>45764</v>
      </c>
      <c r="W110" s="10" t="s">
        <v>167</v>
      </c>
      <c r="X110" s="33" t="str">
        <f>IF(STAT[[#This Row],[sigla]]="","",VLOOKUP(STAT[[#This Row],[sigla]],créditos_base!B:C,2,0))</f>
        <v>Clarice Baracho</v>
      </c>
      <c r="Y110" s="10"/>
      <c r="Z110" s="10" t="str">
        <f>STAT[[#This Row],[ilustrador]]</f>
        <v>Clarice Baracho</v>
      </c>
      <c r="AA110" s="10">
        <v>5</v>
      </c>
      <c r="AB110" s="14" t="s">
        <v>126</v>
      </c>
      <c r="AC110" s="10" t="s">
        <v>20</v>
      </c>
      <c r="AD110" s="32" t="str">
        <f t="shared" si="2"/>
        <v>Sintonia Educação Infantil P009m</v>
      </c>
      <c r="AE110" s="47" t="str">
        <f t="shared" si="3"/>
        <v>Edinfa</v>
      </c>
      <c r="AF110" s="47"/>
    </row>
    <row r="111" spans="1:32" x14ac:dyDescent="0.3">
      <c r="A111" s="13" t="s">
        <v>418</v>
      </c>
      <c r="B111" s="10" t="s">
        <v>6</v>
      </c>
      <c r="C111" s="11" t="s">
        <v>15</v>
      </c>
      <c r="D111" s="11" t="s">
        <v>8</v>
      </c>
      <c r="E111" s="10">
        <v>50</v>
      </c>
      <c r="F111" s="11">
        <v>5</v>
      </c>
      <c r="G111" s="10">
        <v>3</v>
      </c>
      <c r="H111" s="11">
        <v>3</v>
      </c>
      <c r="I111" s="12" t="s">
        <v>9</v>
      </c>
      <c r="J111" s="27"/>
      <c r="K111" s="10"/>
      <c r="L111" s="10"/>
      <c r="M111" s="10"/>
      <c r="N111" s="10"/>
      <c r="O111" s="25" t="s">
        <v>419</v>
      </c>
      <c r="P111" s="14"/>
      <c r="Q111" s="10"/>
      <c r="R111" s="19"/>
      <c r="S111" s="19"/>
      <c r="T111" s="19"/>
      <c r="U111" s="19"/>
      <c r="V111" s="19"/>
      <c r="W111" s="10" t="s">
        <v>88</v>
      </c>
      <c r="X111" s="33" t="str">
        <f>IF(STAT[[#This Row],[sigla]]="","",VLOOKUP(STAT[[#This Row],[sigla]],créditos_base!B:C,2,0))</f>
        <v>Arquivo da editora</v>
      </c>
      <c r="Y111" s="10"/>
      <c r="Z111" s="10" t="str">
        <f>STAT[[#This Row],[ilustrador]]</f>
        <v>Arquivo da editora</v>
      </c>
      <c r="AA111" s="10"/>
      <c r="AB111" s="14"/>
      <c r="AC111" s="10" t="s">
        <v>13</v>
      </c>
      <c r="AD111" s="32" t="str">
        <f t="shared" si="2"/>
        <v>Sintonia Educação Infantil P009m</v>
      </c>
      <c r="AE111" s="47" t="str">
        <f t="shared" si="3"/>
        <v>Edinfa</v>
      </c>
      <c r="AF111" s="47"/>
    </row>
    <row r="112" spans="1:32" x14ac:dyDescent="0.3">
      <c r="A112" s="13" t="s">
        <v>420</v>
      </c>
      <c r="B112" s="10" t="s">
        <v>6</v>
      </c>
      <c r="C112" s="11" t="s">
        <v>15</v>
      </c>
      <c r="D112" s="11" t="s">
        <v>8</v>
      </c>
      <c r="E112" s="10">
        <v>51</v>
      </c>
      <c r="F112" s="11">
        <v>5</v>
      </c>
      <c r="G112" s="10">
        <v>3</v>
      </c>
      <c r="H112" s="11">
        <v>3</v>
      </c>
      <c r="I112" s="12" t="s">
        <v>9</v>
      </c>
      <c r="J112" s="27"/>
      <c r="K112" s="10"/>
      <c r="L112" s="10"/>
      <c r="M112" s="10"/>
      <c r="N112" s="10"/>
      <c r="O112" s="25" t="s">
        <v>421</v>
      </c>
      <c r="P112" s="14"/>
      <c r="Q112" s="10">
        <v>13</v>
      </c>
      <c r="R112" s="19">
        <v>45783</v>
      </c>
      <c r="S112" s="19">
        <v>45784</v>
      </c>
      <c r="T112" s="19">
        <v>45789</v>
      </c>
      <c r="U112" s="19">
        <v>45790</v>
      </c>
      <c r="V112" s="19">
        <v>45791</v>
      </c>
      <c r="W112" s="10" t="s">
        <v>412</v>
      </c>
      <c r="X112" s="33" t="str">
        <f>IF(STAT[[#This Row],[sigla]]="","",VLOOKUP(STAT[[#This Row],[sigla]],créditos_base!B:C,2,0))</f>
        <v>Clarice Baracho</v>
      </c>
      <c r="Y112" s="10"/>
      <c r="Z112" s="10" t="str">
        <f>STAT[[#This Row],[ilustrador]]</f>
        <v>Clarice Baracho</v>
      </c>
      <c r="AA112" s="10">
        <v>7</v>
      </c>
      <c r="AB112" s="14" t="s">
        <v>413</v>
      </c>
      <c r="AC112" s="10" t="s">
        <v>20</v>
      </c>
      <c r="AD112" s="32" t="str">
        <f t="shared" si="2"/>
        <v>Sintonia Educação Infantil P009m</v>
      </c>
      <c r="AE112" s="47" t="str">
        <f t="shared" si="3"/>
        <v>Edinfa</v>
      </c>
      <c r="AF112" s="47"/>
    </row>
    <row r="113" spans="1:32" x14ac:dyDescent="0.3">
      <c r="A113" s="13" t="s">
        <v>422</v>
      </c>
      <c r="B113" s="10" t="s">
        <v>6</v>
      </c>
      <c r="C113" s="11" t="s">
        <v>15</v>
      </c>
      <c r="D113" s="11" t="s">
        <v>8</v>
      </c>
      <c r="E113" s="10">
        <v>51</v>
      </c>
      <c r="F113" s="11">
        <v>5</v>
      </c>
      <c r="G113" s="10">
        <v>3</v>
      </c>
      <c r="H113" s="11">
        <v>3</v>
      </c>
      <c r="I113" s="12" t="s">
        <v>9</v>
      </c>
      <c r="J113" s="27"/>
      <c r="K113" s="10"/>
      <c r="L113" s="10"/>
      <c r="M113" s="10"/>
      <c r="N113" s="10"/>
      <c r="O113" s="25" t="s">
        <v>423</v>
      </c>
      <c r="P113" s="14"/>
      <c r="Q113" s="10">
        <v>13</v>
      </c>
      <c r="R113" s="19">
        <v>45783</v>
      </c>
      <c r="S113" s="19">
        <v>45784</v>
      </c>
      <c r="T113" s="19">
        <v>45789</v>
      </c>
      <c r="U113" s="19">
        <v>45790</v>
      </c>
      <c r="V113" s="19">
        <v>45791</v>
      </c>
      <c r="W113" s="10" t="s">
        <v>412</v>
      </c>
      <c r="X113" s="33" t="str">
        <f>IF(STAT[[#This Row],[sigla]]="","",VLOOKUP(STAT[[#This Row],[sigla]],créditos_base!B:C,2,0))</f>
        <v>Clarice Baracho</v>
      </c>
      <c r="Y113" s="10"/>
      <c r="Z113" s="10" t="str">
        <f>STAT[[#This Row],[ilustrador]]</f>
        <v>Clarice Baracho</v>
      </c>
      <c r="AA113" s="10">
        <v>13</v>
      </c>
      <c r="AB113" s="14" t="s">
        <v>413</v>
      </c>
      <c r="AC113" s="10" t="s">
        <v>20</v>
      </c>
      <c r="AD113" s="32" t="str">
        <f t="shared" si="2"/>
        <v>Sintonia Educação Infantil P009m</v>
      </c>
      <c r="AE113" s="47" t="str">
        <f t="shared" si="3"/>
        <v>Edinfa</v>
      </c>
      <c r="AF113" s="47"/>
    </row>
    <row r="114" spans="1:32" x14ac:dyDescent="0.3">
      <c r="A114" s="13" t="s">
        <v>424</v>
      </c>
      <c r="B114" s="10" t="s">
        <v>6</v>
      </c>
      <c r="C114" s="11" t="s">
        <v>15</v>
      </c>
      <c r="D114" s="11" t="s">
        <v>8</v>
      </c>
      <c r="E114" s="10">
        <v>51</v>
      </c>
      <c r="F114" s="11">
        <v>5</v>
      </c>
      <c r="G114" s="10">
        <v>3</v>
      </c>
      <c r="H114" s="11">
        <v>3</v>
      </c>
      <c r="I114" s="12" t="s">
        <v>9</v>
      </c>
      <c r="J114" s="27"/>
      <c r="K114" s="10"/>
      <c r="L114" s="10"/>
      <c r="M114" s="10"/>
      <c r="N114" s="10"/>
      <c r="O114" s="25" t="s">
        <v>425</v>
      </c>
      <c r="P114" s="14"/>
      <c r="Q114" s="10">
        <v>13</v>
      </c>
      <c r="R114" s="19">
        <v>45783</v>
      </c>
      <c r="S114" s="19">
        <v>45784</v>
      </c>
      <c r="T114" s="19">
        <v>45789</v>
      </c>
      <c r="U114" s="19">
        <v>45790</v>
      </c>
      <c r="V114" s="19">
        <v>45791</v>
      </c>
      <c r="W114" s="10" t="s">
        <v>412</v>
      </c>
      <c r="X114" s="33" t="str">
        <f>IF(STAT[[#This Row],[sigla]]="","",VLOOKUP(STAT[[#This Row],[sigla]],créditos_base!B:C,2,0))</f>
        <v>Clarice Baracho</v>
      </c>
      <c r="Y114" s="10"/>
      <c r="Z114" s="10" t="str">
        <f>STAT[[#This Row],[ilustrador]]</f>
        <v>Clarice Baracho</v>
      </c>
      <c r="AA114" s="10">
        <v>13</v>
      </c>
      <c r="AB114" s="14" t="s">
        <v>413</v>
      </c>
      <c r="AC114" s="10" t="s">
        <v>20</v>
      </c>
      <c r="AD114" s="32" t="str">
        <f t="shared" si="2"/>
        <v>Sintonia Educação Infantil P009m</v>
      </c>
      <c r="AE114" s="47" t="str">
        <f t="shared" si="3"/>
        <v>Edinfa</v>
      </c>
      <c r="AF114" s="47"/>
    </row>
    <row r="115" spans="1:32" ht="100.8" x14ac:dyDescent="0.3">
      <c r="A115" s="13" t="s">
        <v>381</v>
      </c>
      <c r="B115" s="10" t="s">
        <v>6</v>
      </c>
      <c r="C115" s="11" t="s">
        <v>15</v>
      </c>
      <c r="D115" s="11" t="s">
        <v>8</v>
      </c>
      <c r="E115" s="10">
        <v>40</v>
      </c>
      <c r="F115" s="11">
        <v>5</v>
      </c>
      <c r="G115" s="10">
        <v>3</v>
      </c>
      <c r="H115" s="11">
        <v>3</v>
      </c>
      <c r="I115" s="12" t="s">
        <v>9</v>
      </c>
      <c r="J115" s="27"/>
      <c r="K115" s="10"/>
      <c r="L115" s="10"/>
      <c r="M115" s="10"/>
      <c r="N115" s="10"/>
      <c r="O115" s="25" t="s">
        <v>382</v>
      </c>
      <c r="P115" s="14"/>
      <c r="Q115" s="10">
        <v>13</v>
      </c>
      <c r="R115" s="19">
        <v>45783</v>
      </c>
      <c r="S115" s="19">
        <v>45784</v>
      </c>
      <c r="T115" s="19">
        <v>45789</v>
      </c>
      <c r="U115" s="19">
        <v>45789</v>
      </c>
      <c r="V115" s="19">
        <v>45791</v>
      </c>
      <c r="W115" s="10" t="s">
        <v>45</v>
      </c>
      <c r="X115" s="33" t="str">
        <f>IF(STAT[[#This Row],[sigla]]="","",VLOOKUP(STAT[[#This Row],[sigla]],créditos_base!B:C,2,0))</f>
        <v>Gabriel Brum</v>
      </c>
      <c r="Y115" s="10"/>
      <c r="Z115" s="10" t="str">
        <f>STAT[[#This Row],[ilustrador]]</f>
        <v>Gabriel Brum</v>
      </c>
      <c r="AA115" s="10">
        <v>13</v>
      </c>
      <c r="AB115" s="14" t="s">
        <v>372</v>
      </c>
      <c r="AC115" s="10" t="s">
        <v>20</v>
      </c>
      <c r="AD115" s="32" t="str">
        <f t="shared" si="2"/>
        <v>Sintonia Educação Infantil P009m</v>
      </c>
      <c r="AE115" s="47" t="str">
        <f t="shared" si="3"/>
        <v>Edinfa</v>
      </c>
      <c r="AF115" s="47"/>
    </row>
    <row r="116" spans="1:32" ht="158.4" x14ac:dyDescent="0.3">
      <c r="A116" s="24" t="s">
        <v>168</v>
      </c>
      <c r="B116" s="10" t="s">
        <v>6</v>
      </c>
      <c r="C116" s="10" t="s">
        <v>15</v>
      </c>
      <c r="D116" s="10" t="s">
        <v>8</v>
      </c>
      <c r="E116" s="10">
        <v>71</v>
      </c>
      <c r="F116" s="10">
        <v>4</v>
      </c>
      <c r="G116" s="10">
        <v>4</v>
      </c>
      <c r="H116" s="10">
        <v>4</v>
      </c>
      <c r="I116" s="20" t="s">
        <v>9</v>
      </c>
      <c r="J116" s="27"/>
      <c r="K116" s="10"/>
      <c r="L116" s="10"/>
      <c r="M116" s="10"/>
      <c r="N116" s="10"/>
      <c r="O116" s="18" t="s">
        <v>169</v>
      </c>
      <c r="P116" s="14"/>
      <c r="Q116" s="10">
        <v>9</v>
      </c>
      <c r="R116" s="19">
        <v>45771</v>
      </c>
      <c r="S116" s="19">
        <v>45771</v>
      </c>
      <c r="T116" s="19">
        <v>45775</v>
      </c>
      <c r="U116" s="19">
        <v>45775</v>
      </c>
      <c r="V116" s="19">
        <v>45777</v>
      </c>
      <c r="W116" s="10" t="s">
        <v>17</v>
      </c>
      <c r="X116" s="33" t="str">
        <f>IF(STAT[[#This Row],[sigla]]="","",VLOOKUP(STAT[[#This Row],[sigla]],créditos_base!B:C,2,0))</f>
        <v>Thais Castro</v>
      </c>
      <c r="Y116" s="10"/>
      <c r="Z116" s="10" t="s">
        <v>18</v>
      </c>
      <c r="AA116" s="10">
        <v>4</v>
      </c>
      <c r="AB116" s="14" t="s">
        <v>170</v>
      </c>
      <c r="AC116" s="10" t="s">
        <v>20</v>
      </c>
      <c r="AD116" s="32" t="str">
        <f t="shared" si="2"/>
        <v>Sintonia Educação Infantil P009m</v>
      </c>
      <c r="AE116" s="47" t="str">
        <f t="shared" si="3"/>
        <v>Edinfa</v>
      </c>
      <c r="AF116" s="47"/>
    </row>
    <row r="117" spans="1:32" ht="129.6" x14ac:dyDescent="0.3">
      <c r="A117" s="24" t="s">
        <v>315</v>
      </c>
      <c r="B117" s="10" t="s">
        <v>6</v>
      </c>
      <c r="C117" s="10" t="s">
        <v>15</v>
      </c>
      <c r="D117" s="10" t="s">
        <v>8</v>
      </c>
      <c r="E117" s="10">
        <v>55</v>
      </c>
      <c r="F117" s="10">
        <v>5</v>
      </c>
      <c r="G117" s="10">
        <v>4</v>
      </c>
      <c r="H117" s="10">
        <v>4</v>
      </c>
      <c r="I117" s="20" t="s">
        <v>9</v>
      </c>
      <c r="J117" s="27"/>
      <c r="K117" s="10"/>
      <c r="L117" s="10"/>
      <c r="M117" s="10"/>
      <c r="N117" s="10"/>
      <c r="O117" s="18" t="s">
        <v>316</v>
      </c>
      <c r="P117" s="14"/>
      <c r="Q117" s="10">
        <v>11</v>
      </c>
      <c r="R117" s="19">
        <v>45777</v>
      </c>
      <c r="S117" s="19">
        <v>45784</v>
      </c>
      <c r="T117" s="19">
        <v>45786</v>
      </c>
      <c r="U117" s="19">
        <v>45786</v>
      </c>
      <c r="V117" s="19">
        <v>45791</v>
      </c>
      <c r="W117" s="10" t="s">
        <v>167</v>
      </c>
      <c r="X117" s="33" t="str">
        <f>IF(STAT[[#This Row],[sigla]]="","",VLOOKUP(STAT[[#This Row],[sigla]],créditos_base!B:C,2,0))</f>
        <v>Clarice Baracho</v>
      </c>
      <c r="Y117" s="10"/>
      <c r="Z117" s="10" t="str">
        <f>STAT[[#This Row],[ilustrador]]</f>
        <v>Clarice Baracho</v>
      </c>
      <c r="AA117" s="10">
        <v>5</v>
      </c>
      <c r="AB117" s="14" t="s">
        <v>317</v>
      </c>
      <c r="AC117" s="10" t="s">
        <v>20</v>
      </c>
      <c r="AD117" s="32" t="str">
        <f t="shared" si="2"/>
        <v>Sintonia Educação Infantil P009m</v>
      </c>
      <c r="AE117" s="47" t="str">
        <f t="shared" si="3"/>
        <v>Edinfa</v>
      </c>
      <c r="AF117" s="47"/>
    </row>
    <row r="118" spans="1:32" ht="86.4" x14ac:dyDescent="0.3">
      <c r="A118" s="24" t="s">
        <v>171</v>
      </c>
      <c r="B118" s="10" t="s">
        <v>6</v>
      </c>
      <c r="C118" s="10" t="s">
        <v>15</v>
      </c>
      <c r="D118" s="10" t="s">
        <v>8</v>
      </c>
      <c r="E118" s="10">
        <v>71</v>
      </c>
      <c r="F118" s="10">
        <v>4</v>
      </c>
      <c r="G118" s="10">
        <v>4</v>
      </c>
      <c r="H118" s="10">
        <v>4</v>
      </c>
      <c r="I118" s="20" t="s">
        <v>9</v>
      </c>
      <c r="J118" s="27"/>
      <c r="K118" s="10"/>
      <c r="L118" s="10"/>
      <c r="M118" s="10"/>
      <c r="N118" s="10"/>
      <c r="O118" s="18" t="s">
        <v>172</v>
      </c>
      <c r="P118" s="14"/>
      <c r="Q118" s="10">
        <v>9</v>
      </c>
      <c r="R118" s="19">
        <v>45771</v>
      </c>
      <c r="S118" s="19"/>
      <c r="T118" s="19"/>
      <c r="U118" s="19"/>
      <c r="V118" s="19">
        <v>45777</v>
      </c>
      <c r="W118" s="10" t="s">
        <v>17</v>
      </c>
      <c r="X118" s="33" t="str">
        <f>IF(STAT[[#This Row],[sigla]]="","",VLOOKUP(STAT[[#This Row],[sigla]],créditos_base!B:C,2,0))</f>
        <v>Thais Castro</v>
      </c>
      <c r="Y118" s="10" t="s">
        <v>51</v>
      </c>
      <c r="Z118" s="10" t="s">
        <v>18</v>
      </c>
      <c r="AA118" s="10">
        <v>14</v>
      </c>
      <c r="AB118" s="14" t="s">
        <v>173</v>
      </c>
      <c r="AC118" s="10" t="s">
        <v>13</v>
      </c>
      <c r="AD118" s="32" t="str">
        <f t="shared" si="2"/>
        <v>Sintonia Educação Infantil P009m</v>
      </c>
      <c r="AE118" s="47" t="str">
        <f t="shared" si="3"/>
        <v>Edinfa</v>
      </c>
      <c r="AF118" s="47"/>
    </row>
    <row r="119" spans="1:32" ht="86.4" x14ac:dyDescent="0.3">
      <c r="A119" s="24" t="s">
        <v>318</v>
      </c>
      <c r="B119" s="10" t="s">
        <v>6</v>
      </c>
      <c r="C119" s="10" t="s">
        <v>15</v>
      </c>
      <c r="D119" s="10" t="s">
        <v>8</v>
      </c>
      <c r="E119" s="10">
        <v>55</v>
      </c>
      <c r="F119" s="10">
        <v>5</v>
      </c>
      <c r="G119" s="10">
        <v>4</v>
      </c>
      <c r="H119" s="10">
        <v>4</v>
      </c>
      <c r="I119" s="20" t="s">
        <v>9</v>
      </c>
      <c r="J119" s="27"/>
      <c r="K119" s="10"/>
      <c r="L119" s="10"/>
      <c r="M119" s="10"/>
      <c r="N119" s="10"/>
      <c r="O119" s="18" t="s">
        <v>319</v>
      </c>
      <c r="P119" s="14"/>
      <c r="Q119" s="10">
        <v>11</v>
      </c>
      <c r="R119" s="19">
        <v>45777</v>
      </c>
      <c r="S119" s="19">
        <v>45784</v>
      </c>
      <c r="T119" s="19">
        <v>45786</v>
      </c>
      <c r="U119" s="19">
        <v>45786</v>
      </c>
      <c r="V119" s="19">
        <v>45791</v>
      </c>
      <c r="W119" s="10" t="s">
        <v>167</v>
      </c>
      <c r="X119" s="33" t="str">
        <f>IF(STAT[[#This Row],[sigla]]="","",VLOOKUP(STAT[[#This Row],[sigla]],créditos_base!B:C,2,0))</f>
        <v>Clarice Baracho</v>
      </c>
      <c r="Y119" s="10"/>
      <c r="Z119" s="10" t="str">
        <f>STAT[[#This Row],[ilustrador]]</f>
        <v>Clarice Baracho</v>
      </c>
      <c r="AA119" s="10">
        <v>8</v>
      </c>
      <c r="AB119" s="50" t="s">
        <v>317</v>
      </c>
      <c r="AC119" s="10" t="s">
        <v>20</v>
      </c>
      <c r="AD119" s="32" t="str">
        <f t="shared" si="2"/>
        <v>Sintonia Educação Infantil P009m</v>
      </c>
      <c r="AE119" s="47" t="str">
        <f t="shared" si="3"/>
        <v>Edinfa</v>
      </c>
      <c r="AF119" s="47"/>
    </row>
    <row r="120" spans="1:32" ht="28.8" x14ac:dyDescent="0.3">
      <c r="A120" s="24" t="s">
        <v>174</v>
      </c>
      <c r="B120" s="10" t="s">
        <v>6</v>
      </c>
      <c r="C120" s="10" t="s">
        <v>15</v>
      </c>
      <c r="D120" s="10" t="s">
        <v>8</v>
      </c>
      <c r="E120" s="10">
        <v>71</v>
      </c>
      <c r="F120" s="10">
        <v>4</v>
      </c>
      <c r="G120" s="10">
        <v>4</v>
      </c>
      <c r="H120" s="10">
        <v>4</v>
      </c>
      <c r="I120" s="20" t="s">
        <v>9</v>
      </c>
      <c r="J120" s="27"/>
      <c r="K120" s="10"/>
      <c r="L120" s="10"/>
      <c r="M120" s="10"/>
      <c r="N120" s="10"/>
      <c r="O120" s="18" t="s">
        <v>175</v>
      </c>
      <c r="P120" s="14"/>
      <c r="Q120" s="10">
        <v>9</v>
      </c>
      <c r="R120" s="19">
        <v>45771</v>
      </c>
      <c r="S120" s="19"/>
      <c r="T120" s="19"/>
      <c r="U120" s="19"/>
      <c r="V120" s="19">
        <v>45777</v>
      </c>
      <c r="W120" s="10" t="s">
        <v>17</v>
      </c>
      <c r="X120" s="33" t="str">
        <f>IF(STAT[[#This Row],[sigla]]="","",VLOOKUP(STAT[[#This Row],[sigla]],créditos_base!B:C,2,0))</f>
        <v>Thais Castro</v>
      </c>
      <c r="Y120" s="10" t="s">
        <v>51</v>
      </c>
      <c r="Z120" s="10" t="s">
        <v>18</v>
      </c>
      <c r="AA120" s="10">
        <v>14</v>
      </c>
      <c r="AB120" s="50" t="s">
        <v>173</v>
      </c>
      <c r="AC120" s="10" t="s">
        <v>13</v>
      </c>
      <c r="AD120" s="32" t="str">
        <f t="shared" si="2"/>
        <v>Sintonia Educação Infantil P009m</v>
      </c>
      <c r="AE120" s="47" t="str">
        <f t="shared" si="3"/>
        <v>Edinfa</v>
      </c>
      <c r="AF120" s="47"/>
    </row>
    <row r="121" spans="1:32" ht="28.8" x14ac:dyDescent="0.3">
      <c r="A121" s="13" t="s">
        <v>320</v>
      </c>
      <c r="B121" s="10" t="s">
        <v>6</v>
      </c>
      <c r="C121" s="11" t="s">
        <v>15</v>
      </c>
      <c r="D121" s="11" t="s">
        <v>8</v>
      </c>
      <c r="E121" s="10">
        <v>56</v>
      </c>
      <c r="F121" s="11">
        <v>5</v>
      </c>
      <c r="G121" s="10">
        <v>4</v>
      </c>
      <c r="H121" s="11">
        <v>4</v>
      </c>
      <c r="I121" s="12" t="s">
        <v>9</v>
      </c>
      <c r="J121" s="27"/>
      <c r="K121" s="10"/>
      <c r="L121" s="10"/>
      <c r="M121" s="10"/>
      <c r="N121" s="10"/>
      <c r="O121" s="25" t="s">
        <v>321</v>
      </c>
      <c r="P121" s="14"/>
      <c r="Q121" s="10">
        <v>11</v>
      </c>
      <c r="R121" s="19">
        <v>45777</v>
      </c>
      <c r="S121" s="19">
        <v>45784</v>
      </c>
      <c r="T121" s="19"/>
      <c r="U121" s="19"/>
      <c r="V121" s="19">
        <v>45784</v>
      </c>
      <c r="W121" s="10" t="s">
        <v>88</v>
      </c>
      <c r="X121" s="33" t="str">
        <f>IF(STAT[[#This Row],[sigla]]="","",VLOOKUP(STAT[[#This Row],[sigla]],créditos_base!B:C,2,0))</f>
        <v>Arquivo da editora</v>
      </c>
      <c r="Y121" s="10"/>
      <c r="Z121" s="10" t="str">
        <f>STAT[[#This Row],[ilustrador]]</f>
        <v>Arquivo da editora</v>
      </c>
      <c r="AA121" s="10">
        <v>13</v>
      </c>
      <c r="AB121" s="14" t="s">
        <v>322</v>
      </c>
      <c r="AC121" s="10" t="s">
        <v>13</v>
      </c>
      <c r="AD121" s="32" t="str">
        <f t="shared" si="2"/>
        <v>Sintonia Educação Infantil P009m</v>
      </c>
      <c r="AE121" s="47" t="str">
        <f t="shared" si="3"/>
        <v>Edinfa</v>
      </c>
      <c r="AF121" s="47"/>
    </row>
    <row r="122" spans="1:32" ht="28.8" x14ac:dyDescent="0.3">
      <c r="A122" s="24" t="s">
        <v>176</v>
      </c>
      <c r="B122" s="10" t="s">
        <v>6</v>
      </c>
      <c r="C122" s="10" t="s">
        <v>15</v>
      </c>
      <c r="D122" s="10" t="s">
        <v>8</v>
      </c>
      <c r="E122" s="10">
        <v>73</v>
      </c>
      <c r="F122" s="10">
        <v>4</v>
      </c>
      <c r="G122" s="10">
        <v>4</v>
      </c>
      <c r="H122" s="10">
        <v>4</v>
      </c>
      <c r="I122" s="20" t="s">
        <v>9</v>
      </c>
      <c r="J122" s="27"/>
      <c r="K122" s="10"/>
      <c r="L122" s="10"/>
      <c r="M122" s="10"/>
      <c r="N122" s="10"/>
      <c r="O122" s="18" t="s">
        <v>177</v>
      </c>
      <c r="P122" s="14"/>
      <c r="Q122" s="10"/>
      <c r="R122" s="19"/>
      <c r="S122" s="19"/>
      <c r="T122" s="19"/>
      <c r="U122" s="19"/>
      <c r="V122" s="19"/>
      <c r="W122" s="10" t="s">
        <v>88</v>
      </c>
      <c r="X122" s="33" t="str">
        <f>IF(STAT[[#This Row],[sigla]]="","",VLOOKUP(STAT[[#This Row],[sigla]],créditos_base!B:C,2,0))</f>
        <v>Arquivo da editora</v>
      </c>
      <c r="Y122" s="10"/>
      <c r="Z122" s="10" t="s">
        <v>89</v>
      </c>
      <c r="AA122" s="10"/>
      <c r="AB122" s="14"/>
      <c r="AC122" s="10" t="s">
        <v>13</v>
      </c>
      <c r="AD122" s="32" t="str">
        <f t="shared" si="2"/>
        <v>Sintonia Educação Infantil P009m</v>
      </c>
      <c r="AE122" s="47" t="str">
        <f t="shared" si="3"/>
        <v>Edinfa</v>
      </c>
      <c r="AF122" s="47"/>
    </row>
    <row r="123" spans="1:32" ht="100.8" x14ac:dyDescent="0.3">
      <c r="A123" s="13" t="s">
        <v>323</v>
      </c>
      <c r="B123" s="10" t="s">
        <v>6</v>
      </c>
      <c r="C123" s="11" t="s">
        <v>15</v>
      </c>
      <c r="D123" s="11" t="s">
        <v>8</v>
      </c>
      <c r="E123" s="10">
        <v>56</v>
      </c>
      <c r="F123" s="11">
        <v>5</v>
      </c>
      <c r="G123" s="10">
        <v>4</v>
      </c>
      <c r="H123" s="11">
        <v>4</v>
      </c>
      <c r="I123" s="12" t="s">
        <v>9</v>
      </c>
      <c r="J123" s="27"/>
      <c r="K123" s="10"/>
      <c r="L123" s="10"/>
      <c r="M123" s="10"/>
      <c r="N123" s="10"/>
      <c r="O123" s="25" t="s">
        <v>324</v>
      </c>
      <c r="P123" s="14"/>
      <c r="Q123" s="10">
        <v>11</v>
      </c>
      <c r="R123" s="19">
        <v>45777</v>
      </c>
      <c r="S123" s="19">
        <v>45784</v>
      </c>
      <c r="T123" s="19"/>
      <c r="U123" s="19"/>
      <c r="V123" s="19">
        <v>45784</v>
      </c>
      <c r="W123" s="10" t="s">
        <v>88</v>
      </c>
      <c r="X123" s="33" t="str">
        <f>IF(STAT[[#This Row],[sigla]]="","",VLOOKUP(STAT[[#This Row],[sigla]],créditos_base!B:C,2,0))</f>
        <v>Arquivo da editora</v>
      </c>
      <c r="Y123" s="10"/>
      <c r="Z123" s="10" t="str">
        <f>STAT[[#This Row],[ilustrador]]</f>
        <v>Arquivo da editora</v>
      </c>
      <c r="AA123" s="10">
        <v>13</v>
      </c>
      <c r="AB123" s="14" t="s">
        <v>322</v>
      </c>
      <c r="AC123" s="10" t="s">
        <v>13</v>
      </c>
      <c r="AD123" s="32" t="str">
        <f t="shared" si="2"/>
        <v>Sintonia Educação Infantil P009m</v>
      </c>
      <c r="AE123" s="47" t="str">
        <f t="shared" si="3"/>
        <v>Edinfa</v>
      </c>
      <c r="AF123" s="47"/>
    </row>
    <row r="124" spans="1:32" ht="28.8" x14ac:dyDescent="0.3">
      <c r="A124" s="24" t="s">
        <v>178</v>
      </c>
      <c r="B124" s="10" t="s">
        <v>6</v>
      </c>
      <c r="C124" s="10" t="s">
        <v>15</v>
      </c>
      <c r="D124" s="10" t="s">
        <v>8</v>
      </c>
      <c r="E124" s="10">
        <v>73</v>
      </c>
      <c r="F124" s="10">
        <v>4</v>
      </c>
      <c r="G124" s="10">
        <v>4</v>
      </c>
      <c r="H124" s="10">
        <v>4</v>
      </c>
      <c r="I124" s="20" t="s">
        <v>179</v>
      </c>
      <c r="J124" s="27"/>
      <c r="K124" s="10"/>
      <c r="L124" s="10"/>
      <c r="M124" s="10"/>
      <c r="N124" s="10"/>
      <c r="O124" s="18" t="s">
        <v>180</v>
      </c>
      <c r="P124" s="14"/>
      <c r="Q124" s="10">
        <v>9</v>
      </c>
      <c r="R124" s="19">
        <v>45771</v>
      </c>
      <c r="S124" s="19">
        <v>45771</v>
      </c>
      <c r="T124" s="19"/>
      <c r="U124" s="19"/>
      <c r="V124" s="19">
        <v>45772</v>
      </c>
      <c r="W124" s="10" t="s">
        <v>88</v>
      </c>
      <c r="X124" s="33" t="str">
        <f>IF(STAT[[#This Row],[sigla]]="","",VLOOKUP(STAT[[#This Row],[sigla]],créditos_base!B:C,2,0))</f>
        <v>Arquivo da editora</v>
      </c>
      <c r="Y124" s="10" t="s">
        <v>51</v>
      </c>
      <c r="Z124" s="10" t="s">
        <v>89</v>
      </c>
      <c r="AA124" s="10">
        <v>13</v>
      </c>
      <c r="AB124" s="14"/>
      <c r="AC124" s="10" t="s">
        <v>13</v>
      </c>
      <c r="AD124" s="32" t="str">
        <f t="shared" si="2"/>
        <v>Sintonia Educação Infantil P009m</v>
      </c>
      <c r="AE124" s="47" t="str">
        <f t="shared" si="3"/>
        <v>Edinfa</v>
      </c>
      <c r="AF124" s="47"/>
    </row>
    <row r="125" spans="1:32" ht="28.8" x14ac:dyDescent="0.3">
      <c r="A125" s="24" t="s">
        <v>181</v>
      </c>
      <c r="B125" s="10" t="s">
        <v>6</v>
      </c>
      <c r="C125" s="10" t="s">
        <v>15</v>
      </c>
      <c r="D125" s="10" t="s">
        <v>8</v>
      </c>
      <c r="E125" s="10">
        <v>74</v>
      </c>
      <c r="F125" s="10">
        <v>4</v>
      </c>
      <c r="G125" s="10">
        <v>4</v>
      </c>
      <c r="H125" s="10">
        <v>4</v>
      </c>
      <c r="I125" s="20" t="s">
        <v>179</v>
      </c>
      <c r="J125" s="27"/>
      <c r="K125" s="10"/>
      <c r="L125" s="10"/>
      <c r="M125" s="10"/>
      <c r="N125" s="10"/>
      <c r="O125" s="18" t="s">
        <v>182</v>
      </c>
      <c r="P125" s="14"/>
      <c r="Q125" s="10">
        <v>9</v>
      </c>
      <c r="R125" s="19">
        <v>45771</v>
      </c>
      <c r="S125" s="19">
        <v>45771</v>
      </c>
      <c r="T125" s="19"/>
      <c r="U125" s="19"/>
      <c r="V125" s="19">
        <v>45772</v>
      </c>
      <c r="W125" s="10" t="s">
        <v>88</v>
      </c>
      <c r="X125" s="33" t="str">
        <f>IF(STAT[[#This Row],[sigla]]="","",VLOOKUP(STAT[[#This Row],[sigla]],créditos_base!B:C,2,0))</f>
        <v>Arquivo da editora</v>
      </c>
      <c r="Y125" s="10" t="s">
        <v>51</v>
      </c>
      <c r="Z125" s="10" t="s">
        <v>89</v>
      </c>
      <c r="AA125" s="10">
        <v>13</v>
      </c>
      <c r="AB125" s="14"/>
      <c r="AC125" s="10" t="s">
        <v>13</v>
      </c>
      <c r="AD125" s="32" t="str">
        <f t="shared" si="2"/>
        <v>Sintonia Educação Infantil P009m</v>
      </c>
      <c r="AE125" s="47" t="str">
        <f t="shared" si="3"/>
        <v>Edinfa</v>
      </c>
      <c r="AF125" s="47"/>
    </row>
    <row r="126" spans="1:32" x14ac:dyDescent="0.3">
      <c r="A126" s="24" t="s">
        <v>183</v>
      </c>
      <c r="B126" s="10" t="s">
        <v>6</v>
      </c>
      <c r="C126" s="10" t="s">
        <v>15</v>
      </c>
      <c r="D126" s="10" t="s">
        <v>8</v>
      </c>
      <c r="E126" s="10">
        <v>76</v>
      </c>
      <c r="F126" s="10">
        <v>4</v>
      </c>
      <c r="G126" s="10">
        <v>4</v>
      </c>
      <c r="H126" s="10">
        <v>4</v>
      </c>
      <c r="I126" s="20" t="s">
        <v>9</v>
      </c>
      <c r="J126" s="27"/>
      <c r="K126" s="10"/>
      <c r="L126" s="10"/>
      <c r="M126" s="10"/>
      <c r="N126" s="10"/>
      <c r="O126" s="18" t="s">
        <v>184</v>
      </c>
      <c r="P126" s="14"/>
      <c r="Q126" s="10">
        <v>9</v>
      </c>
      <c r="R126" s="19">
        <v>45771</v>
      </c>
      <c r="S126" s="19">
        <v>45771</v>
      </c>
      <c r="T126" s="19">
        <v>45775</v>
      </c>
      <c r="U126" s="19">
        <v>45775</v>
      </c>
      <c r="V126" s="19">
        <v>45777</v>
      </c>
      <c r="W126" s="10" t="s">
        <v>17</v>
      </c>
      <c r="X126" s="33" t="str">
        <f>IF(STAT[[#This Row],[sigla]]="","",VLOOKUP(STAT[[#This Row],[sigla]],créditos_base!B:C,2,0))</f>
        <v>Thais Castro</v>
      </c>
      <c r="Y126" s="10"/>
      <c r="Z126" s="10" t="s">
        <v>18</v>
      </c>
      <c r="AA126" s="10">
        <v>3</v>
      </c>
      <c r="AB126" s="14" t="s">
        <v>170</v>
      </c>
      <c r="AC126" s="10" t="s">
        <v>20</v>
      </c>
      <c r="AD126" s="32" t="str">
        <f t="shared" si="2"/>
        <v>Sintonia Educação Infantil P009m</v>
      </c>
      <c r="AE126" s="47" t="str">
        <f t="shared" si="3"/>
        <v>Edinfa</v>
      </c>
      <c r="AF126" s="47"/>
    </row>
    <row r="127" spans="1:32" ht="43.2" x14ac:dyDescent="0.3">
      <c r="A127" s="24" t="s">
        <v>185</v>
      </c>
      <c r="B127" s="10" t="s">
        <v>6</v>
      </c>
      <c r="C127" s="10" t="s">
        <v>15</v>
      </c>
      <c r="D127" s="10" t="s">
        <v>8</v>
      </c>
      <c r="E127" s="10">
        <v>77</v>
      </c>
      <c r="F127" s="10">
        <v>4</v>
      </c>
      <c r="G127" s="10">
        <v>4</v>
      </c>
      <c r="H127" s="10">
        <v>4</v>
      </c>
      <c r="I127" s="20" t="s">
        <v>9</v>
      </c>
      <c r="J127" s="27"/>
      <c r="K127" s="10"/>
      <c r="L127" s="10"/>
      <c r="M127" s="10"/>
      <c r="N127" s="10"/>
      <c r="O127" s="18" t="s">
        <v>186</v>
      </c>
      <c r="P127" s="14"/>
      <c r="Q127" s="10">
        <v>9</v>
      </c>
      <c r="R127" s="19">
        <v>45771</v>
      </c>
      <c r="S127" s="19">
        <v>45771</v>
      </c>
      <c r="T127" s="19">
        <v>45772</v>
      </c>
      <c r="U127" s="19">
        <v>45775</v>
      </c>
      <c r="V127" s="19">
        <v>45777</v>
      </c>
      <c r="W127" s="10" t="s">
        <v>111</v>
      </c>
      <c r="X127" s="33" t="str">
        <f>IF(STAT[[#This Row],[sigla]]="","",VLOOKUP(STAT[[#This Row],[sigla]],créditos_base!B:C,2,0))</f>
        <v>Bianca Tavares</v>
      </c>
      <c r="Y127" s="10"/>
      <c r="Z127" s="10" t="s">
        <v>187</v>
      </c>
      <c r="AA127" s="10">
        <v>4</v>
      </c>
      <c r="AB127" s="14" t="s">
        <v>188</v>
      </c>
      <c r="AC127" s="10" t="s">
        <v>20</v>
      </c>
      <c r="AD127" s="32" t="str">
        <f t="shared" si="2"/>
        <v>Sintonia Educação Infantil P009m</v>
      </c>
      <c r="AE127" s="47" t="str">
        <f t="shared" si="3"/>
        <v>Edinfa</v>
      </c>
      <c r="AF127" s="47"/>
    </row>
    <row r="128" spans="1:32" ht="100.8" x14ac:dyDescent="0.3">
      <c r="A128" s="24" t="s">
        <v>189</v>
      </c>
      <c r="B128" s="10" t="s">
        <v>6</v>
      </c>
      <c r="C128" s="10" t="s">
        <v>15</v>
      </c>
      <c r="D128" s="10" t="s">
        <v>8</v>
      </c>
      <c r="E128" s="10">
        <v>78</v>
      </c>
      <c r="F128" s="10">
        <v>4</v>
      </c>
      <c r="G128" s="10">
        <v>4</v>
      </c>
      <c r="H128" s="10">
        <v>4</v>
      </c>
      <c r="I128" s="20" t="s">
        <v>9</v>
      </c>
      <c r="J128" s="27"/>
      <c r="K128" s="10"/>
      <c r="L128" s="10"/>
      <c r="M128" s="10"/>
      <c r="N128" s="10"/>
      <c r="O128" s="18" t="s">
        <v>190</v>
      </c>
      <c r="P128" s="14"/>
      <c r="Q128" s="10">
        <v>9</v>
      </c>
      <c r="R128" s="19">
        <v>45771</v>
      </c>
      <c r="S128" s="19">
        <v>45771</v>
      </c>
      <c r="T128" s="19"/>
      <c r="U128" s="19"/>
      <c r="V128" s="19">
        <v>45776</v>
      </c>
      <c r="W128" s="10" t="s">
        <v>115</v>
      </c>
      <c r="X128" s="33" t="str">
        <f>IF(STAT[[#This Row],[sigla]]="","",VLOOKUP(STAT[[#This Row],[sigla]],créditos_base!B:C,2,0))</f>
        <v>Heloísa Pintarelli</v>
      </c>
      <c r="Y128" s="10"/>
      <c r="Z128" s="10" t="s">
        <v>191</v>
      </c>
      <c r="AA128" s="10">
        <v>5</v>
      </c>
      <c r="AB128" s="14" t="s">
        <v>188</v>
      </c>
      <c r="AC128" s="10" t="s">
        <v>20</v>
      </c>
      <c r="AD128" s="32" t="str">
        <f t="shared" si="2"/>
        <v>Sintonia Educação Infantil P009m</v>
      </c>
      <c r="AE128" s="47" t="str">
        <f t="shared" si="3"/>
        <v>Edinfa</v>
      </c>
      <c r="AF128" s="47"/>
    </row>
    <row r="129" spans="1:32" ht="100.8" x14ac:dyDescent="0.3">
      <c r="A129" s="24" t="s">
        <v>192</v>
      </c>
      <c r="B129" s="10" t="s">
        <v>6</v>
      </c>
      <c r="C129" s="10" t="s">
        <v>15</v>
      </c>
      <c r="D129" s="10" t="s">
        <v>8</v>
      </c>
      <c r="E129" s="10">
        <v>79</v>
      </c>
      <c r="F129" s="10">
        <v>4</v>
      </c>
      <c r="G129" s="10">
        <v>4</v>
      </c>
      <c r="H129" s="10">
        <v>4</v>
      </c>
      <c r="I129" s="20" t="s">
        <v>9</v>
      </c>
      <c r="J129" s="27"/>
      <c r="K129" s="10"/>
      <c r="L129" s="10"/>
      <c r="M129" s="10"/>
      <c r="N129" s="10"/>
      <c r="O129" s="18" t="s">
        <v>193</v>
      </c>
      <c r="P129" s="14"/>
      <c r="Q129" s="10">
        <v>9</v>
      </c>
      <c r="R129" s="19">
        <v>45771</v>
      </c>
      <c r="S129" s="19">
        <v>45771</v>
      </c>
      <c r="T129" s="19"/>
      <c r="U129" s="19"/>
      <c r="V129" s="19">
        <v>45776</v>
      </c>
      <c r="W129" s="10" t="s">
        <v>115</v>
      </c>
      <c r="X129" s="33" t="str">
        <f>IF(STAT[[#This Row],[sigla]]="","",VLOOKUP(STAT[[#This Row],[sigla]],créditos_base!B:C,2,0))</f>
        <v>Heloísa Pintarelli</v>
      </c>
      <c r="Y129" s="10"/>
      <c r="Z129" s="10" t="s">
        <v>191</v>
      </c>
      <c r="AA129" s="10">
        <v>7</v>
      </c>
      <c r="AB129" s="14" t="s">
        <v>188</v>
      </c>
      <c r="AC129" s="10" t="s">
        <v>20</v>
      </c>
      <c r="AD129" s="32" t="str">
        <f t="shared" si="2"/>
        <v>Sintonia Educação Infantil P009m</v>
      </c>
      <c r="AE129" s="47" t="str">
        <f t="shared" si="3"/>
        <v>Edinfa</v>
      </c>
      <c r="AF129" s="47"/>
    </row>
    <row r="130" spans="1:32" ht="28.8" x14ac:dyDescent="0.3">
      <c r="A130" s="24" t="s">
        <v>194</v>
      </c>
      <c r="B130" s="10" t="s">
        <v>6</v>
      </c>
      <c r="C130" s="10" t="s">
        <v>15</v>
      </c>
      <c r="D130" s="10" t="s">
        <v>8</v>
      </c>
      <c r="E130" s="10">
        <v>80</v>
      </c>
      <c r="F130" s="10">
        <v>4</v>
      </c>
      <c r="G130" s="10">
        <v>4</v>
      </c>
      <c r="H130" s="10">
        <v>4</v>
      </c>
      <c r="I130" s="20" t="s">
        <v>9</v>
      </c>
      <c r="J130" s="27"/>
      <c r="K130" s="10"/>
      <c r="L130" s="10"/>
      <c r="M130" s="10"/>
      <c r="N130" s="10"/>
      <c r="O130" s="18" t="s">
        <v>195</v>
      </c>
      <c r="P130" s="14"/>
      <c r="Q130" s="10">
        <v>9</v>
      </c>
      <c r="R130" s="19">
        <v>45771</v>
      </c>
      <c r="S130" s="19">
        <v>45771</v>
      </c>
      <c r="T130" s="19">
        <v>45775</v>
      </c>
      <c r="U130" s="19">
        <v>45775</v>
      </c>
      <c r="V130" s="19">
        <v>45777</v>
      </c>
      <c r="W130" s="10" t="s">
        <v>45</v>
      </c>
      <c r="X130" s="33" t="str">
        <f>IF(STAT[[#This Row],[sigla]]="","",VLOOKUP(STAT[[#This Row],[sigla]],créditos_base!B:C,2,0))</f>
        <v>Gabriel Brum</v>
      </c>
      <c r="Y130" s="10"/>
      <c r="Z130" s="10" t="s">
        <v>196</v>
      </c>
      <c r="AA130" s="10">
        <v>4</v>
      </c>
      <c r="AB130" s="14" t="s">
        <v>188</v>
      </c>
      <c r="AC130" s="10" t="s">
        <v>20</v>
      </c>
      <c r="AD130" s="32" t="str">
        <f t="shared" ref="AD130:AD193" si="4">"Sintonia Educação Infantil P009m"</f>
        <v>Sintonia Educação Infantil P009m</v>
      </c>
      <c r="AE130" s="47" t="str">
        <f t="shared" ref="AE130:AE193" si="5">"Edinfa"</f>
        <v>Edinfa</v>
      </c>
      <c r="AF130" s="47"/>
    </row>
    <row r="131" spans="1:32" x14ac:dyDescent="0.3">
      <c r="A131" s="24" t="s">
        <v>197</v>
      </c>
      <c r="B131" s="10" t="s">
        <v>6</v>
      </c>
      <c r="C131" s="10" t="s">
        <v>132</v>
      </c>
      <c r="D131" s="10" t="s">
        <v>8</v>
      </c>
      <c r="E131" s="10">
        <v>81</v>
      </c>
      <c r="F131" s="10">
        <v>4</v>
      </c>
      <c r="G131" s="10">
        <v>4</v>
      </c>
      <c r="H131" s="10">
        <v>4</v>
      </c>
      <c r="I131" s="20" t="s">
        <v>9</v>
      </c>
      <c r="J131" s="27"/>
      <c r="K131" s="10"/>
      <c r="L131" s="10"/>
      <c r="M131" s="10"/>
      <c r="N131" s="10"/>
      <c r="O131" s="18" t="s">
        <v>198</v>
      </c>
      <c r="P131" s="14"/>
      <c r="Q131" s="10">
        <v>9</v>
      </c>
      <c r="R131" s="19">
        <v>45771</v>
      </c>
      <c r="S131" s="19">
        <v>45771</v>
      </c>
      <c r="T131" s="19"/>
      <c r="U131" s="19"/>
      <c r="V131" s="19">
        <v>45772</v>
      </c>
      <c r="W131" s="10" t="s">
        <v>50</v>
      </c>
      <c r="X131" s="33" t="str">
        <f>IF(STAT[[#This Row],[sigla]]="","",VLOOKUP(STAT[[#This Row],[sigla]],créditos_base!B:C,2,0))</f>
        <v>Vinícius Costa</v>
      </c>
      <c r="Y131" s="10"/>
      <c r="Z131" s="10" t="str">
        <f>STAT[[#This Row],[ilustrador]]</f>
        <v>Vinícius Costa</v>
      </c>
      <c r="AA131" s="10">
        <v>8</v>
      </c>
      <c r="AB131" s="14" t="s">
        <v>94</v>
      </c>
      <c r="AC131" s="10" t="s">
        <v>13</v>
      </c>
      <c r="AD131" s="32" t="str">
        <f t="shared" si="4"/>
        <v>Sintonia Educação Infantil P009m</v>
      </c>
      <c r="AE131" s="47" t="str">
        <f t="shared" si="5"/>
        <v>Edinfa</v>
      </c>
      <c r="AF131" s="47"/>
    </row>
    <row r="132" spans="1:32" x14ac:dyDescent="0.3">
      <c r="A132" s="24" t="s">
        <v>199</v>
      </c>
      <c r="B132" s="10" t="s">
        <v>6</v>
      </c>
      <c r="C132" s="10" t="s">
        <v>132</v>
      </c>
      <c r="D132" s="10" t="s">
        <v>8</v>
      </c>
      <c r="E132" s="10">
        <v>82</v>
      </c>
      <c r="F132" s="10">
        <v>4</v>
      </c>
      <c r="G132" s="10">
        <v>4</v>
      </c>
      <c r="H132" s="10">
        <v>4</v>
      </c>
      <c r="I132" s="20" t="s">
        <v>9</v>
      </c>
      <c r="J132" s="27"/>
      <c r="K132" s="10"/>
      <c r="L132" s="10"/>
      <c r="M132" s="10"/>
      <c r="N132" s="10"/>
      <c r="O132" s="18" t="s">
        <v>200</v>
      </c>
      <c r="P132" s="14"/>
      <c r="Q132" s="10">
        <v>9</v>
      </c>
      <c r="R132" s="19">
        <v>45771</v>
      </c>
      <c r="S132" s="19">
        <v>45771</v>
      </c>
      <c r="T132" s="19"/>
      <c r="U132" s="19"/>
      <c r="V132" s="19">
        <v>45772</v>
      </c>
      <c r="W132" s="10" t="s">
        <v>50</v>
      </c>
      <c r="X132" s="33" t="str">
        <f>IF(STAT[[#This Row],[sigla]]="","",VLOOKUP(STAT[[#This Row],[sigla]],créditos_base!B:C,2,0))</f>
        <v>Vinícius Costa</v>
      </c>
      <c r="Y132" s="10"/>
      <c r="Z132" s="10" t="str">
        <f>STAT[[#This Row],[ilustrador]]</f>
        <v>Vinícius Costa</v>
      </c>
      <c r="AA132" s="10">
        <v>8</v>
      </c>
      <c r="AB132" s="14" t="s">
        <v>94</v>
      </c>
      <c r="AC132" s="10" t="s">
        <v>13</v>
      </c>
      <c r="AD132" s="32" t="str">
        <f t="shared" si="4"/>
        <v>Sintonia Educação Infantil P009m</v>
      </c>
      <c r="AE132" s="47" t="str">
        <f t="shared" si="5"/>
        <v>Edinfa</v>
      </c>
      <c r="AF132" s="47"/>
    </row>
    <row r="133" spans="1:32" ht="72" x14ac:dyDescent="0.3">
      <c r="A133" s="13" t="s">
        <v>325</v>
      </c>
      <c r="B133" s="10" t="s">
        <v>6</v>
      </c>
      <c r="C133" s="11" t="s">
        <v>15</v>
      </c>
      <c r="D133" s="11" t="s">
        <v>8</v>
      </c>
      <c r="E133" s="10">
        <v>59</v>
      </c>
      <c r="F133" s="11">
        <v>5</v>
      </c>
      <c r="G133" s="10">
        <v>4</v>
      </c>
      <c r="H133" s="11">
        <v>4</v>
      </c>
      <c r="I133" s="12" t="s">
        <v>9</v>
      </c>
      <c r="J133" s="27"/>
      <c r="K133" s="10"/>
      <c r="L133" s="10"/>
      <c r="M133" s="10"/>
      <c r="N133" s="10"/>
      <c r="O133" s="25" t="s">
        <v>326</v>
      </c>
      <c r="P133" s="14"/>
      <c r="Q133" s="10">
        <v>11</v>
      </c>
      <c r="R133" s="19">
        <v>45777</v>
      </c>
      <c r="S133" s="19">
        <v>45784</v>
      </c>
      <c r="T133" s="19">
        <v>45786</v>
      </c>
      <c r="U133" s="19">
        <v>45786</v>
      </c>
      <c r="V133" s="19">
        <v>45791</v>
      </c>
      <c r="W133" s="10" t="s">
        <v>167</v>
      </c>
      <c r="X133" s="33" t="str">
        <f>IF(STAT[[#This Row],[sigla]]="","",VLOOKUP(STAT[[#This Row],[sigla]],créditos_base!B:C,2,0))</f>
        <v>Clarice Baracho</v>
      </c>
      <c r="Y133" s="10"/>
      <c r="Z133" s="10" t="str">
        <f>STAT[[#This Row],[ilustrador]]</f>
        <v>Clarice Baracho</v>
      </c>
      <c r="AA133" s="10">
        <v>6</v>
      </c>
      <c r="AB133" s="14" t="s">
        <v>317</v>
      </c>
      <c r="AC133" s="10" t="s">
        <v>20</v>
      </c>
      <c r="AD133" s="32" t="str">
        <f t="shared" si="4"/>
        <v>Sintonia Educação Infantil P009m</v>
      </c>
      <c r="AE133" s="47" t="str">
        <f t="shared" si="5"/>
        <v>Edinfa</v>
      </c>
      <c r="AF133" s="47"/>
    </row>
    <row r="134" spans="1:32" ht="28.8" x14ac:dyDescent="0.3">
      <c r="A134" s="13" t="s">
        <v>327</v>
      </c>
      <c r="B134" s="10" t="s">
        <v>6</v>
      </c>
      <c r="C134" s="11" t="s">
        <v>15</v>
      </c>
      <c r="D134" s="11" t="s">
        <v>8</v>
      </c>
      <c r="E134" s="10">
        <v>60</v>
      </c>
      <c r="F134" s="11">
        <v>5</v>
      </c>
      <c r="G134" s="10">
        <v>4</v>
      </c>
      <c r="H134" s="11">
        <v>4</v>
      </c>
      <c r="I134" s="12" t="s">
        <v>9</v>
      </c>
      <c r="J134" s="27"/>
      <c r="K134" s="10"/>
      <c r="L134" s="10"/>
      <c r="M134" s="10"/>
      <c r="N134" s="10"/>
      <c r="O134" s="11" t="s">
        <v>328</v>
      </c>
      <c r="P134" s="14"/>
      <c r="Q134" s="10">
        <v>11</v>
      </c>
      <c r="R134" s="19">
        <v>45777</v>
      </c>
      <c r="S134" s="19">
        <v>45784</v>
      </c>
      <c r="T134" s="19">
        <v>45786</v>
      </c>
      <c r="U134" s="19">
        <v>45786</v>
      </c>
      <c r="V134" s="19">
        <v>45791</v>
      </c>
      <c r="W134" s="10" t="s">
        <v>167</v>
      </c>
      <c r="X134" s="33" t="str">
        <f>IF(STAT[[#This Row],[sigla]]="","",VLOOKUP(STAT[[#This Row],[sigla]],créditos_base!B:C,2,0))</f>
        <v>Clarice Baracho</v>
      </c>
      <c r="Y134" s="10"/>
      <c r="Z134" s="10" t="str">
        <f>STAT[[#This Row],[ilustrador]]</f>
        <v>Clarice Baracho</v>
      </c>
      <c r="AA134" s="10">
        <v>6</v>
      </c>
      <c r="AB134" s="14" t="s">
        <v>317</v>
      </c>
      <c r="AC134" s="10" t="s">
        <v>20</v>
      </c>
      <c r="AD134" s="32" t="str">
        <f t="shared" si="4"/>
        <v>Sintonia Educação Infantil P009m</v>
      </c>
      <c r="AE134" s="47" t="str">
        <f t="shared" si="5"/>
        <v>Edinfa</v>
      </c>
      <c r="AF134" s="47"/>
    </row>
    <row r="135" spans="1:32" ht="39.6" x14ac:dyDescent="0.3">
      <c r="A135" s="24" t="s">
        <v>201</v>
      </c>
      <c r="B135" s="10" t="s">
        <v>6</v>
      </c>
      <c r="C135" s="10" t="s">
        <v>132</v>
      </c>
      <c r="D135" s="10" t="s">
        <v>8</v>
      </c>
      <c r="E135" s="10">
        <v>83</v>
      </c>
      <c r="F135" s="10">
        <v>4</v>
      </c>
      <c r="G135" s="10">
        <v>4</v>
      </c>
      <c r="H135" s="10">
        <v>4</v>
      </c>
      <c r="I135" s="20" t="s">
        <v>9</v>
      </c>
      <c r="J135" s="27"/>
      <c r="K135" s="10"/>
      <c r="L135" s="10"/>
      <c r="M135" s="10"/>
      <c r="N135" s="10"/>
      <c r="O135" s="18" t="s">
        <v>202</v>
      </c>
      <c r="P135" s="14"/>
      <c r="Q135" s="10">
        <v>9</v>
      </c>
      <c r="R135" s="19">
        <v>45771</v>
      </c>
      <c r="S135" s="19">
        <v>45771</v>
      </c>
      <c r="T135" s="19"/>
      <c r="U135" s="19"/>
      <c r="V135" s="19">
        <v>45772</v>
      </c>
      <c r="W135" s="10" t="s">
        <v>50</v>
      </c>
      <c r="X135" s="33" t="str">
        <f>IF(STAT[[#This Row],[sigla]]="","",VLOOKUP(STAT[[#This Row],[sigla]],créditos_base!B:C,2,0))</f>
        <v>Vinícius Costa</v>
      </c>
      <c r="Y135" s="10"/>
      <c r="Z135" s="10" t="str">
        <f>STAT[[#This Row],[ilustrador]]</f>
        <v>Vinícius Costa</v>
      </c>
      <c r="AA135" s="10">
        <v>8</v>
      </c>
      <c r="AB135" s="14" t="s">
        <v>94</v>
      </c>
      <c r="AC135" s="10" t="s">
        <v>13</v>
      </c>
      <c r="AD135" s="32" t="str">
        <f t="shared" si="4"/>
        <v>Sintonia Educação Infantil P009m</v>
      </c>
      <c r="AE135" s="47" t="str">
        <f t="shared" si="5"/>
        <v>Edinfa</v>
      </c>
      <c r="AF135" s="47"/>
    </row>
    <row r="136" spans="1:32" ht="66.75" customHeight="1" x14ac:dyDescent="0.3">
      <c r="A136" s="24" t="s">
        <v>203</v>
      </c>
      <c r="B136" s="10" t="s">
        <v>6</v>
      </c>
      <c r="C136" s="10" t="s">
        <v>132</v>
      </c>
      <c r="D136" s="10" t="s">
        <v>8</v>
      </c>
      <c r="E136" s="10">
        <v>83</v>
      </c>
      <c r="F136" s="10">
        <v>4</v>
      </c>
      <c r="G136" s="10">
        <v>4</v>
      </c>
      <c r="H136" s="10">
        <v>4</v>
      </c>
      <c r="I136" s="20" t="s">
        <v>9</v>
      </c>
      <c r="J136" s="27"/>
      <c r="K136" s="10"/>
      <c r="L136" s="10"/>
      <c r="M136" s="10"/>
      <c r="N136" s="10"/>
      <c r="O136" s="18" t="s">
        <v>204</v>
      </c>
      <c r="P136" s="14"/>
      <c r="Q136" s="10">
        <v>9</v>
      </c>
      <c r="R136" s="19">
        <v>45771</v>
      </c>
      <c r="S136" s="19">
        <v>45771</v>
      </c>
      <c r="T136" s="19"/>
      <c r="U136" s="19"/>
      <c r="V136" s="19">
        <v>45772</v>
      </c>
      <c r="W136" s="10" t="s">
        <v>50</v>
      </c>
      <c r="X136" s="33" t="str">
        <f>IF(STAT[[#This Row],[sigla]]="","",VLOOKUP(STAT[[#This Row],[sigla]],créditos_base!B:C,2,0))</f>
        <v>Vinícius Costa</v>
      </c>
      <c r="Y136" s="10"/>
      <c r="Z136" s="10" t="str">
        <f>STAT[[#This Row],[ilustrador]]</f>
        <v>Vinícius Costa</v>
      </c>
      <c r="AA136" s="10">
        <v>8</v>
      </c>
      <c r="AB136" s="14" t="s">
        <v>94</v>
      </c>
      <c r="AC136" s="10" t="s">
        <v>13</v>
      </c>
      <c r="AD136" s="32" t="str">
        <f t="shared" si="4"/>
        <v>Sintonia Educação Infantil P009m</v>
      </c>
      <c r="AE136" s="47" t="str">
        <f t="shared" si="5"/>
        <v>Edinfa</v>
      </c>
      <c r="AF136" s="47"/>
    </row>
    <row r="137" spans="1:32" ht="92.4" x14ac:dyDescent="0.3">
      <c r="A137" s="24" t="s">
        <v>205</v>
      </c>
      <c r="B137" s="10" t="s">
        <v>6</v>
      </c>
      <c r="C137" s="10" t="s">
        <v>132</v>
      </c>
      <c r="D137" s="10" t="s">
        <v>8</v>
      </c>
      <c r="E137" s="10">
        <v>84</v>
      </c>
      <c r="F137" s="10">
        <v>4</v>
      </c>
      <c r="G137" s="10">
        <v>4</v>
      </c>
      <c r="H137" s="10">
        <v>4</v>
      </c>
      <c r="I137" s="20" t="s">
        <v>9</v>
      </c>
      <c r="J137" s="27"/>
      <c r="K137" s="10"/>
      <c r="L137" s="10"/>
      <c r="M137" s="10"/>
      <c r="N137" s="10"/>
      <c r="O137" s="18" t="s">
        <v>206</v>
      </c>
      <c r="P137" s="14"/>
      <c r="Q137" s="10">
        <v>9</v>
      </c>
      <c r="R137" s="19">
        <v>45771</v>
      </c>
      <c r="S137" s="19">
        <v>45771</v>
      </c>
      <c r="T137" s="19"/>
      <c r="U137" s="19"/>
      <c r="V137" s="19">
        <v>45772</v>
      </c>
      <c r="W137" s="10" t="s">
        <v>50</v>
      </c>
      <c r="X137" s="33" t="str">
        <f>IF(STAT[[#This Row],[sigla]]="","",VLOOKUP(STAT[[#This Row],[sigla]],créditos_base!B:C,2,0))</f>
        <v>Vinícius Costa</v>
      </c>
      <c r="Y137" s="10"/>
      <c r="Z137" s="10" t="str">
        <f>STAT[[#This Row],[ilustrador]]</f>
        <v>Vinícius Costa</v>
      </c>
      <c r="AA137" s="10">
        <v>8</v>
      </c>
      <c r="AB137" s="14" t="s">
        <v>94</v>
      </c>
      <c r="AC137" s="10" t="s">
        <v>13</v>
      </c>
      <c r="AD137" s="32" t="str">
        <f t="shared" si="4"/>
        <v>Sintonia Educação Infantil P009m</v>
      </c>
      <c r="AE137" s="47" t="str">
        <f t="shared" si="5"/>
        <v>Edinfa</v>
      </c>
      <c r="AF137" s="47"/>
    </row>
    <row r="138" spans="1:32" ht="119.25" customHeight="1" x14ac:dyDescent="0.3">
      <c r="A138" s="24" t="s">
        <v>207</v>
      </c>
      <c r="B138" s="10" t="s">
        <v>6</v>
      </c>
      <c r="C138" s="10" t="s">
        <v>15</v>
      </c>
      <c r="D138" s="10" t="s">
        <v>8</v>
      </c>
      <c r="E138" s="10">
        <v>84</v>
      </c>
      <c r="F138" s="10">
        <v>4</v>
      </c>
      <c r="G138" s="10">
        <v>4</v>
      </c>
      <c r="H138" s="10">
        <v>4</v>
      </c>
      <c r="I138" s="20" t="s">
        <v>9</v>
      </c>
      <c r="J138" s="27"/>
      <c r="K138" s="10"/>
      <c r="L138" s="10"/>
      <c r="M138" s="10"/>
      <c r="N138" s="10"/>
      <c r="O138" s="18" t="s">
        <v>208</v>
      </c>
      <c r="P138" s="14"/>
      <c r="Q138" s="10"/>
      <c r="R138" s="19"/>
      <c r="S138" s="19"/>
      <c r="T138" s="19"/>
      <c r="U138" s="19"/>
      <c r="V138" s="19"/>
      <c r="W138" s="10" t="s">
        <v>88</v>
      </c>
      <c r="X138" s="33" t="str">
        <f>IF(STAT[[#This Row],[sigla]]="","",VLOOKUP(STAT[[#This Row],[sigla]],créditos_base!B:C,2,0))</f>
        <v>Arquivo da editora</v>
      </c>
      <c r="Y138" s="10"/>
      <c r="Z138" s="10" t="s">
        <v>89</v>
      </c>
      <c r="AA138" s="10"/>
      <c r="AB138" s="14"/>
      <c r="AC138" s="10" t="s">
        <v>13</v>
      </c>
      <c r="AD138" s="32" t="str">
        <f t="shared" si="4"/>
        <v>Sintonia Educação Infantil P009m</v>
      </c>
      <c r="AE138" s="47" t="str">
        <f t="shared" si="5"/>
        <v>Edinfa</v>
      </c>
      <c r="AF138" s="47"/>
    </row>
    <row r="139" spans="1:32" ht="39.6" x14ac:dyDescent="0.3">
      <c r="A139" s="24" t="s">
        <v>209</v>
      </c>
      <c r="B139" s="10" t="s">
        <v>6</v>
      </c>
      <c r="C139" s="10" t="s">
        <v>15</v>
      </c>
      <c r="D139" s="10" t="s">
        <v>8</v>
      </c>
      <c r="E139" s="48">
        <v>84</v>
      </c>
      <c r="F139" s="10">
        <v>4</v>
      </c>
      <c r="G139" s="10">
        <v>4</v>
      </c>
      <c r="H139" s="10">
        <v>4</v>
      </c>
      <c r="I139" s="20" t="s">
        <v>9</v>
      </c>
      <c r="J139" s="27"/>
      <c r="K139" s="10"/>
      <c r="L139" s="10"/>
      <c r="M139" s="10"/>
      <c r="N139" s="10"/>
      <c r="O139" s="18" t="s">
        <v>210</v>
      </c>
      <c r="P139" s="14"/>
      <c r="Q139" s="10"/>
      <c r="R139" s="19"/>
      <c r="S139" s="19"/>
      <c r="T139" s="19"/>
      <c r="U139" s="19"/>
      <c r="V139" s="19"/>
      <c r="W139" s="10" t="s">
        <v>88</v>
      </c>
      <c r="X139" s="33" t="str">
        <f>IF(STAT[[#This Row],[sigla]]="","",VLOOKUP(STAT[[#This Row],[sigla]],créditos_base!B:C,2,0))</f>
        <v>Arquivo da editora</v>
      </c>
      <c r="Y139" s="10"/>
      <c r="Z139" s="10" t="s">
        <v>89</v>
      </c>
      <c r="AA139" s="10"/>
      <c r="AB139" s="14"/>
      <c r="AC139" s="10" t="s">
        <v>13</v>
      </c>
      <c r="AD139" s="32" t="str">
        <f t="shared" si="4"/>
        <v>Sintonia Educação Infantil P009m</v>
      </c>
      <c r="AE139" s="47" t="str">
        <f t="shared" si="5"/>
        <v>Edinfa</v>
      </c>
      <c r="AF139" s="47"/>
    </row>
    <row r="140" spans="1:32" ht="39.6" x14ac:dyDescent="0.3">
      <c r="A140" s="24" t="s">
        <v>211</v>
      </c>
      <c r="B140" s="10" t="s">
        <v>6</v>
      </c>
      <c r="C140" s="10" t="s">
        <v>15</v>
      </c>
      <c r="D140" s="10" t="s">
        <v>8</v>
      </c>
      <c r="E140" s="10">
        <v>84</v>
      </c>
      <c r="F140" s="10">
        <v>4</v>
      </c>
      <c r="G140" s="10">
        <v>4</v>
      </c>
      <c r="H140" s="10">
        <v>4</v>
      </c>
      <c r="I140" s="20" t="s">
        <v>9</v>
      </c>
      <c r="J140" s="27"/>
      <c r="K140" s="10"/>
      <c r="L140" s="10"/>
      <c r="M140" s="10"/>
      <c r="N140" s="10"/>
      <c r="O140" s="18" t="s">
        <v>212</v>
      </c>
      <c r="P140" s="14"/>
      <c r="Q140" s="10"/>
      <c r="R140" s="19"/>
      <c r="S140" s="19"/>
      <c r="T140" s="19"/>
      <c r="U140" s="19"/>
      <c r="V140" s="19"/>
      <c r="W140" s="10" t="s">
        <v>88</v>
      </c>
      <c r="X140" s="33" t="str">
        <f>IF(STAT[[#This Row],[sigla]]="","",VLOOKUP(STAT[[#This Row],[sigla]],créditos_base!B:C,2,0))</f>
        <v>Arquivo da editora</v>
      </c>
      <c r="Y140" s="10"/>
      <c r="Z140" s="10" t="s">
        <v>89</v>
      </c>
      <c r="AA140" s="10"/>
      <c r="AB140" s="14"/>
      <c r="AC140" s="10" t="s">
        <v>13</v>
      </c>
      <c r="AD140" s="32" t="str">
        <f t="shared" si="4"/>
        <v>Sintonia Educação Infantil P009m</v>
      </c>
      <c r="AE140" s="47" t="str">
        <f t="shared" si="5"/>
        <v>Edinfa</v>
      </c>
      <c r="AF140" s="47"/>
    </row>
    <row r="141" spans="1:32" ht="26.4" x14ac:dyDescent="0.3">
      <c r="A141" s="24" t="s">
        <v>213</v>
      </c>
      <c r="B141" s="10" t="s">
        <v>6</v>
      </c>
      <c r="C141" s="10" t="s">
        <v>15</v>
      </c>
      <c r="D141" s="10" t="s">
        <v>8</v>
      </c>
      <c r="E141" s="10">
        <v>84</v>
      </c>
      <c r="F141" s="10">
        <v>4</v>
      </c>
      <c r="G141" s="10">
        <v>4</v>
      </c>
      <c r="H141" s="10">
        <v>4</v>
      </c>
      <c r="I141" s="20" t="s">
        <v>9</v>
      </c>
      <c r="J141" s="27"/>
      <c r="K141" s="10"/>
      <c r="L141" s="10"/>
      <c r="M141" s="10"/>
      <c r="N141" s="10"/>
      <c r="O141" s="18" t="s">
        <v>214</v>
      </c>
      <c r="P141" s="14"/>
      <c r="Q141" s="10"/>
      <c r="R141" s="19"/>
      <c r="S141" s="19"/>
      <c r="T141" s="19"/>
      <c r="U141" s="19"/>
      <c r="V141" s="19"/>
      <c r="W141" s="10" t="s">
        <v>88</v>
      </c>
      <c r="X141" s="33" t="str">
        <f>IF(STAT[[#This Row],[sigla]]="","",VLOOKUP(STAT[[#This Row],[sigla]],créditos_base!B:C,2,0))</f>
        <v>Arquivo da editora</v>
      </c>
      <c r="Y141" s="10"/>
      <c r="Z141" s="10" t="s">
        <v>89</v>
      </c>
      <c r="AA141" s="10"/>
      <c r="AB141" s="14"/>
      <c r="AC141" s="10" t="s">
        <v>13</v>
      </c>
      <c r="AD141" s="32" t="str">
        <f t="shared" si="4"/>
        <v>Sintonia Educação Infantil P009m</v>
      </c>
      <c r="AE141" s="47" t="str">
        <f t="shared" si="5"/>
        <v>Edinfa</v>
      </c>
      <c r="AF141" s="47"/>
    </row>
    <row r="142" spans="1:32" ht="132" x14ac:dyDescent="0.3">
      <c r="A142" s="24" t="s">
        <v>215</v>
      </c>
      <c r="B142" s="10" t="s">
        <v>216</v>
      </c>
      <c r="C142" s="10" t="s">
        <v>15</v>
      </c>
      <c r="D142" s="10" t="s">
        <v>8</v>
      </c>
      <c r="E142" s="10">
        <v>84</v>
      </c>
      <c r="F142" s="10">
        <v>4</v>
      </c>
      <c r="G142" s="10">
        <v>4</v>
      </c>
      <c r="H142" s="10">
        <v>4</v>
      </c>
      <c r="I142" s="20" t="s">
        <v>9</v>
      </c>
      <c r="J142" s="27"/>
      <c r="K142" s="10"/>
      <c r="L142" s="10"/>
      <c r="M142" s="10"/>
      <c r="N142" s="10"/>
      <c r="O142" s="18" t="s">
        <v>217</v>
      </c>
      <c r="P142" s="14"/>
      <c r="Q142" s="10"/>
      <c r="R142" s="19"/>
      <c r="S142" s="19"/>
      <c r="T142" s="19"/>
      <c r="U142" s="19"/>
      <c r="V142" s="19"/>
      <c r="W142" s="10" t="s">
        <v>88</v>
      </c>
      <c r="X142" s="33" t="str">
        <f>IF(STAT[[#This Row],[sigla]]="","",VLOOKUP(STAT[[#This Row],[sigla]],créditos_base!B:C,2,0))</f>
        <v>Arquivo da editora</v>
      </c>
      <c r="Y142" s="10"/>
      <c r="Z142" s="10" t="s">
        <v>89</v>
      </c>
      <c r="AA142" s="10"/>
      <c r="AB142" s="14"/>
      <c r="AC142" s="10" t="s">
        <v>13</v>
      </c>
      <c r="AD142" s="32" t="str">
        <f t="shared" si="4"/>
        <v>Sintonia Educação Infantil P009m</v>
      </c>
      <c r="AE142" s="47" t="str">
        <f t="shared" si="5"/>
        <v>Edinfa</v>
      </c>
      <c r="AF142" s="47"/>
    </row>
    <row r="143" spans="1:32" x14ac:dyDescent="0.3">
      <c r="A143" s="24" t="s">
        <v>218</v>
      </c>
      <c r="B143" s="10" t="s">
        <v>6</v>
      </c>
      <c r="C143" s="10" t="s">
        <v>132</v>
      </c>
      <c r="D143" s="10" t="s">
        <v>8</v>
      </c>
      <c r="E143" s="10">
        <v>85</v>
      </c>
      <c r="F143" s="10">
        <v>4</v>
      </c>
      <c r="G143" s="10">
        <v>4</v>
      </c>
      <c r="H143" s="10">
        <v>4</v>
      </c>
      <c r="I143" s="20" t="s">
        <v>9</v>
      </c>
      <c r="J143" s="27"/>
      <c r="K143" s="10"/>
      <c r="L143" s="10"/>
      <c r="M143" s="10"/>
      <c r="N143" s="10"/>
      <c r="O143" s="18" t="s">
        <v>219</v>
      </c>
      <c r="P143" s="14"/>
      <c r="Q143" s="10">
        <v>9</v>
      </c>
      <c r="R143" s="19">
        <v>45771</v>
      </c>
      <c r="S143" s="19">
        <v>45771</v>
      </c>
      <c r="T143" s="19"/>
      <c r="U143" s="19"/>
      <c r="V143" s="19">
        <v>45772</v>
      </c>
      <c r="W143" s="10" t="s">
        <v>50</v>
      </c>
      <c r="X143" s="33" t="str">
        <f>IF(STAT[[#This Row],[sigla]]="","",VLOOKUP(STAT[[#This Row],[sigla]],créditos_base!B:C,2,0))</f>
        <v>Vinícius Costa</v>
      </c>
      <c r="Y143" s="10"/>
      <c r="Z143" s="10" t="str">
        <f>STAT[[#This Row],[ilustrador]]</f>
        <v>Vinícius Costa</v>
      </c>
      <c r="AA143" s="10">
        <v>8</v>
      </c>
      <c r="AB143" s="14" t="s">
        <v>94</v>
      </c>
      <c r="AC143" s="10" t="s">
        <v>13</v>
      </c>
      <c r="AD143" s="32" t="str">
        <f t="shared" si="4"/>
        <v>Sintonia Educação Infantil P009m</v>
      </c>
      <c r="AE143" s="47" t="str">
        <f t="shared" si="5"/>
        <v>Edinfa</v>
      </c>
      <c r="AF143" s="47"/>
    </row>
    <row r="144" spans="1:32" x14ac:dyDescent="0.3">
      <c r="A144" s="24" t="s">
        <v>220</v>
      </c>
      <c r="B144" s="10" t="s">
        <v>6</v>
      </c>
      <c r="C144" s="10" t="s">
        <v>132</v>
      </c>
      <c r="D144" s="10" t="s">
        <v>8</v>
      </c>
      <c r="E144" s="10">
        <v>85</v>
      </c>
      <c r="F144" s="10">
        <v>4</v>
      </c>
      <c r="G144" s="10">
        <v>4</v>
      </c>
      <c r="H144" s="10">
        <v>4</v>
      </c>
      <c r="I144" s="20" t="s">
        <v>9</v>
      </c>
      <c r="J144" s="27"/>
      <c r="K144" s="10"/>
      <c r="L144" s="10"/>
      <c r="M144" s="10"/>
      <c r="N144" s="10"/>
      <c r="O144" s="18" t="s">
        <v>221</v>
      </c>
      <c r="P144" s="14"/>
      <c r="Q144" s="10">
        <v>9</v>
      </c>
      <c r="R144" s="19">
        <v>45771</v>
      </c>
      <c r="S144" s="19">
        <v>45771</v>
      </c>
      <c r="T144" s="19"/>
      <c r="U144" s="19"/>
      <c r="V144" s="19">
        <v>45772</v>
      </c>
      <c r="W144" s="10" t="s">
        <v>50</v>
      </c>
      <c r="X144" s="33" t="str">
        <f>IF(STAT[[#This Row],[sigla]]="","",VLOOKUP(STAT[[#This Row],[sigla]],créditos_base!B:C,2,0))</f>
        <v>Vinícius Costa</v>
      </c>
      <c r="Y144" s="10"/>
      <c r="Z144" s="10" t="str">
        <f>STAT[[#This Row],[ilustrador]]</f>
        <v>Vinícius Costa</v>
      </c>
      <c r="AA144" s="10">
        <v>8</v>
      </c>
      <c r="AB144" s="14" t="s">
        <v>94</v>
      </c>
      <c r="AC144" s="10" t="s">
        <v>13</v>
      </c>
      <c r="AD144" s="32" t="str">
        <f t="shared" si="4"/>
        <v>Sintonia Educação Infantil P009m</v>
      </c>
      <c r="AE144" s="47" t="str">
        <f t="shared" si="5"/>
        <v>Edinfa</v>
      </c>
      <c r="AF144" s="47"/>
    </row>
    <row r="145" spans="1:32" x14ac:dyDescent="0.3">
      <c r="A145" s="24" t="s">
        <v>222</v>
      </c>
      <c r="B145" s="10" t="s">
        <v>6</v>
      </c>
      <c r="C145" s="10" t="s">
        <v>132</v>
      </c>
      <c r="D145" s="10" t="s">
        <v>8</v>
      </c>
      <c r="E145" s="10">
        <v>85</v>
      </c>
      <c r="F145" s="10">
        <v>4</v>
      </c>
      <c r="G145" s="10">
        <v>4</v>
      </c>
      <c r="H145" s="10">
        <v>4</v>
      </c>
      <c r="I145" s="20" t="s">
        <v>9</v>
      </c>
      <c r="J145" s="27"/>
      <c r="K145" s="10"/>
      <c r="L145" s="10"/>
      <c r="M145" s="10"/>
      <c r="N145" s="10"/>
      <c r="O145" s="18" t="s">
        <v>223</v>
      </c>
      <c r="P145" s="14"/>
      <c r="Q145" s="10">
        <v>9</v>
      </c>
      <c r="R145" s="19">
        <v>45771</v>
      </c>
      <c r="S145" s="19">
        <v>45771</v>
      </c>
      <c r="T145" s="19"/>
      <c r="U145" s="19"/>
      <c r="V145" s="19">
        <v>45772</v>
      </c>
      <c r="W145" s="10" t="s">
        <v>50</v>
      </c>
      <c r="X145" s="33" t="str">
        <f>IF(STAT[[#This Row],[sigla]]="","",VLOOKUP(STAT[[#This Row],[sigla]],créditos_base!B:C,2,0))</f>
        <v>Vinícius Costa</v>
      </c>
      <c r="Y145" s="10"/>
      <c r="Z145" s="10" t="str">
        <f>STAT[[#This Row],[ilustrador]]</f>
        <v>Vinícius Costa</v>
      </c>
      <c r="AA145" s="10">
        <v>8</v>
      </c>
      <c r="AB145" s="14" t="s">
        <v>94</v>
      </c>
      <c r="AC145" s="10" t="s">
        <v>13</v>
      </c>
      <c r="AD145" s="32" t="str">
        <f t="shared" si="4"/>
        <v>Sintonia Educação Infantil P009m</v>
      </c>
      <c r="AE145" s="47" t="str">
        <f t="shared" si="5"/>
        <v>Edinfa</v>
      </c>
      <c r="AF145" s="47"/>
    </row>
    <row r="146" spans="1:32" x14ac:dyDescent="0.3">
      <c r="A146" s="24" t="s">
        <v>224</v>
      </c>
      <c r="B146" s="10" t="s">
        <v>6</v>
      </c>
      <c r="C146" s="10" t="s">
        <v>132</v>
      </c>
      <c r="D146" s="10" t="s">
        <v>8</v>
      </c>
      <c r="E146" s="10">
        <v>85</v>
      </c>
      <c r="F146" s="10">
        <v>4</v>
      </c>
      <c r="G146" s="10">
        <v>4</v>
      </c>
      <c r="H146" s="10">
        <v>4</v>
      </c>
      <c r="I146" s="20" t="s">
        <v>9</v>
      </c>
      <c r="J146" s="27"/>
      <c r="K146" s="10"/>
      <c r="L146" s="10"/>
      <c r="M146" s="10"/>
      <c r="N146" s="10"/>
      <c r="O146" s="18" t="s">
        <v>225</v>
      </c>
      <c r="P146" s="14"/>
      <c r="Q146" s="10">
        <v>9</v>
      </c>
      <c r="R146" s="19">
        <v>45771</v>
      </c>
      <c r="S146" s="19">
        <v>45771</v>
      </c>
      <c r="T146" s="19"/>
      <c r="U146" s="19"/>
      <c r="V146" s="19">
        <v>45772</v>
      </c>
      <c r="W146" s="10" t="s">
        <v>50</v>
      </c>
      <c r="X146" s="33" t="str">
        <f>IF(STAT[[#This Row],[sigla]]="","",VLOOKUP(STAT[[#This Row],[sigla]],créditos_base!B:C,2,0))</f>
        <v>Vinícius Costa</v>
      </c>
      <c r="Y146" s="10"/>
      <c r="Z146" s="10" t="str">
        <f>STAT[[#This Row],[ilustrador]]</f>
        <v>Vinícius Costa</v>
      </c>
      <c r="AA146" s="10">
        <v>8</v>
      </c>
      <c r="AB146" s="14" t="s">
        <v>94</v>
      </c>
      <c r="AC146" s="10" t="s">
        <v>13</v>
      </c>
      <c r="AD146" s="32" t="str">
        <f t="shared" si="4"/>
        <v>Sintonia Educação Infantil P009m</v>
      </c>
      <c r="AE146" s="47" t="str">
        <f t="shared" si="5"/>
        <v>Edinfa</v>
      </c>
      <c r="AF146" s="47"/>
    </row>
    <row r="147" spans="1:32" ht="135" customHeight="1" x14ac:dyDescent="0.3">
      <c r="A147" s="24" t="s">
        <v>226</v>
      </c>
      <c r="B147" s="10" t="s">
        <v>6</v>
      </c>
      <c r="C147" s="10" t="s">
        <v>132</v>
      </c>
      <c r="D147" s="10" t="s">
        <v>8</v>
      </c>
      <c r="E147" s="10">
        <v>85</v>
      </c>
      <c r="F147" s="10">
        <v>4</v>
      </c>
      <c r="G147" s="10">
        <v>4</v>
      </c>
      <c r="H147" s="10">
        <v>4</v>
      </c>
      <c r="I147" s="20" t="s">
        <v>9</v>
      </c>
      <c r="J147" s="27"/>
      <c r="K147" s="10"/>
      <c r="L147" s="10"/>
      <c r="M147" s="10"/>
      <c r="N147" s="10"/>
      <c r="O147" s="18" t="s">
        <v>227</v>
      </c>
      <c r="P147" s="14"/>
      <c r="Q147" s="10">
        <v>9</v>
      </c>
      <c r="R147" s="19">
        <v>45771</v>
      </c>
      <c r="S147" s="19">
        <v>45771</v>
      </c>
      <c r="T147" s="19"/>
      <c r="U147" s="19"/>
      <c r="V147" s="19">
        <v>45772</v>
      </c>
      <c r="W147" s="10" t="s">
        <v>50</v>
      </c>
      <c r="X147" s="33" t="str">
        <f>IF(STAT[[#This Row],[sigla]]="","",VLOOKUP(STAT[[#This Row],[sigla]],créditos_base!B:C,2,0))</f>
        <v>Vinícius Costa</v>
      </c>
      <c r="Y147" s="10"/>
      <c r="Z147" s="10" t="str">
        <f>STAT[[#This Row],[ilustrador]]</f>
        <v>Vinícius Costa</v>
      </c>
      <c r="AA147" s="10">
        <v>8</v>
      </c>
      <c r="AB147" s="14" t="s">
        <v>94</v>
      </c>
      <c r="AC147" s="10" t="s">
        <v>13</v>
      </c>
      <c r="AD147" s="32" t="str">
        <f t="shared" si="4"/>
        <v>Sintonia Educação Infantil P009m</v>
      </c>
      <c r="AE147" s="47" t="str">
        <f t="shared" si="5"/>
        <v>Edinfa</v>
      </c>
      <c r="AF147" s="47"/>
    </row>
    <row r="148" spans="1:32" x14ac:dyDescent="0.3">
      <c r="A148" s="24" t="s">
        <v>228</v>
      </c>
      <c r="B148" s="10" t="s">
        <v>6</v>
      </c>
      <c r="C148" s="10" t="s">
        <v>132</v>
      </c>
      <c r="D148" s="10" t="s">
        <v>8</v>
      </c>
      <c r="E148" s="10">
        <v>85</v>
      </c>
      <c r="F148" s="10">
        <v>4</v>
      </c>
      <c r="G148" s="10">
        <v>4</v>
      </c>
      <c r="H148" s="10">
        <v>4</v>
      </c>
      <c r="I148" s="20" t="s">
        <v>9</v>
      </c>
      <c r="J148" s="27"/>
      <c r="K148" s="10"/>
      <c r="L148" s="10"/>
      <c r="M148" s="10"/>
      <c r="N148" s="10"/>
      <c r="O148" s="18" t="s">
        <v>229</v>
      </c>
      <c r="P148" s="14"/>
      <c r="Q148" s="10">
        <v>9</v>
      </c>
      <c r="R148" s="19">
        <v>45771</v>
      </c>
      <c r="S148" s="19">
        <v>45771</v>
      </c>
      <c r="T148" s="19"/>
      <c r="U148" s="19"/>
      <c r="V148" s="19">
        <v>45772</v>
      </c>
      <c r="W148" s="10" t="s">
        <v>50</v>
      </c>
      <c r="X148" s="33" t="str">
        <f>IF(STAT[[#This Row],[sigla]]="","",VLOOKUP(STAT[[#This Row],[sigla]],créditos_base!B:C,2,0))</f>
        <v>Vinícius Costa</v>
      </c>
      <c r="Y148" s="10"/>
      <c r="Z148" s="10" t="str">
        <f>STAT[[#This Row],[ilustrador]]</f>
        <v>Vinícius Costa</v>
      </c>
      <c r="AA148" s="10">
        <v>8</v>
      </c>
      <c r="AB148" s="14" t="s">
        <v>94</v>
      </c>
      <c r="AC148" s="10" t="s">
        <v>13</v>
      </c>
      <c r="AD148" s="32" t="str">
        <f t="shared" si="4"/>
        <v>Sintonia Educação Infantil P009m</v>
      </c>
      <c r="AE148" s="47" t="str">
        <f t="shared" si="5"/>
        <v>Edinfa</v>
      </c>
      <c r="AF148" s="47"/>
    </row>
    <row r="149" spans="1:32" x14ac:dyDescent="0.3">
      <c r="A149" s="24" t="s">
        <v>230</v>
      </c>
      <c r="B149" s="10" t="s">
        <v>6</v>
      </c>
      <c r="C149" s="10" t="s">
        <v>132</v>
      </c>
      <c r="D149" s="10" t="s">
        <v>8</v>
      </c>
      <c r="E149" s="10">
        <v>85</v>
      </c>
      <c r="F149" s="10">
        <v>4</v>
      </c>
      <c r="G149" s="10">
        <v>4</v>
      </c>
      <c r="H149" s="10">
        <v>4</v>
      </c>
      <c r="I149" s="20" t="s">
        <v>9</v>
      </c>
      <c r="J149" s="27"/>
      <c r="K149" s="10"/>
      <c r="L149" s="10"/>
      <c r="M149" s="10"/>
      <c r="N149" s="10"/>
      <c r="O149" s="18" t="s">
        <v>231</v>
      </c>
      <c r="P149" s="14"/>
      <c r="Q149" s="10">
        <v>9</v>
      </c>
      <c r="R149" s="19">
        <v>45771</v>
      </c>
      <c r="S149" s="19">
        <v>45771</v>
      </c>
      <c r="T149" s="19"/>
      <c r="U149" s="19"/>
      <c r="V149" s="19">
        <v>45772</v>
      </c>
      <c r="W149" s="10" t="s">
        <v>50</v>
      </c>
      <c r="X149" s="33" t="str">
        <f>IF(STAT[[#This Row],[sigla]]="","",VLOOKUP(STAT[[#This Row],[sigla]],créditos_base!B:C,2,0))</f>
        <v>Vinícius Costa</v>
      </c>
      <c r="Y149" s="10"/>
      <c r="Z149" s="10" t="str">
        <f>STAT[[#This Row],[ilustrador]]</f>
        <v>Vinícius Costa</v>
      </c>
      <c r="AA149" s="10">
        <v>8</v>
      </c>
      <c r="AB149" s="14" t="s">
        <v>94</v>
      </c>
      <c r="AC149" s="10" t="s">
        <v>13</v>
      </c>
      <c r="AD149" s="32" t="str">
        <f t="shared" si="4"/>
        <v>Sintonia Educação Infantil P009m</v>
      </c>
      <c r="AE149" s="47" t="str">
        <f t="shared" si="5"/>
        <v>Edinfa</v>
      </c>
      <c r="AF149" s="47"/>
    </row>
    <row r="150" spans="1:32" x14ac:dyDescent="0.3">
      <c r="A150" s="24" t="s">
        <v>232</v>
      </c>
      <c r="B150" s="10" t="s">
        <v>6</v>
      </c>
      <c r="C150" s="10" t="s">
        <v>132</v>
      </c>
      <c r="D150" s="10" t="s">
        <v>8</v>
      </c>
      <c r="E150" s="10">
        <v>85</v>
      </c>
      <c r="F150" s="10">
        <v>4</v>
      </c>
      <c r="G150" s="10">
        <v>4</v>
      </c>
      <c r="H150" s="10">
        <v>4</v>
      </c>
      <c r="I150" s="20" t="s">
        <v>9</v>
      </c>
      <c r="J150" s="27"/>
      <c r="K150" s="10"/>
      <c r="L150" s="10"/>
      <c r="M150" s="10"/>
      <c r="N150" s="10"/>
      <c r="O150" s="18" t="s">
        <v>233</v>
      </c>
      <c r="P150" s="14"/>
      <c r="Q150" s="10">
        <v>9</v>
      </c>
      <c r="R150" s="19">
        <v>45771</v>
      </c>
      <c r="S150" s="19">
        <v>45771</v>
      </c>
      <c r="T150" s="19"/>
      <c r="U150" s="19"/>
      <c r="V150" s="19">
        <v>45772</v>
      </c>
      <c r="W150" s="10" t="s">
        <v>50</v>
      </c>
      <c r="X150" s="33" t="str">
        <f>IF(STAT[[#This Row],[sigla]]="","",VLOOKUP(STAT[[#This Row],[sigla]],créditos_base!B:C,2,0))</f>
        <v>Vinícius Costa</v>
      </c>
      <c r="Y150" s="10"/>
      <c r="Z150" s="10" t="str">
        <f>STAT[[#This Row],[ilustrador]]</f>
        <v>Vinícius Costa</v>
      </c>
      <c r="AA150" s="10">
        <v>8</v>
      </c>
      <c r="AB150" s="14" t="s">
        <v>94</v>
      </c>
      <c r="AC150" s="10" t="s">
        <v>13</v>
      </c>
      <c r="AD150" s="32" t="str">
        <f t="shared" si="4"/>
        <v>Sintonia Educação Infantil P009m</v>
      </c>
      <c r="AE150" s="47" t="str">
        <f t="shared" si="5"/>
        <v>Edinfa</v>
      </c>
      <c r="AF150" s="47"/>
    </row>
    <row r="151" spans="1:32" x14ac:dyDescent="0.3">
      <c r="A151" s="24" t="s">
        <v>234</v>
      </c>
      <c r="B151" s="10" t="s">
        <v>6</v>
      </c>
      <c r="C151" s="10" t="s">
        <v>132</v>
      </c>
      <c r="D151" s="10" t="s">
        <v>8</v>
      </c>
      <c r="E151" s="10">
        <v>85</v>
      </c>
      <c r="F151" s="10">
        <v>4</v>
      </c>
      <c r="G151" s="10">
        <v>4</v>
      </c>
      <c r="H151" s="10">
        <v>4</v>
      </c>
      <c r="I151" s="20" t="s">
        <v>9</v>
      </c>
      <c r="J151" s="27"/>
      <c r="K151" s="10"/>
      <c r="L151" s="10"/>
      <c r="M151" s="10"/>
      <c r="N151" s="10"/>
      <c r="O151" s="18" t="s">
        <v>235</v>
      </c>
      <c r="P151" s="14"/>
      <c r="Q151" s="10">
        <v>9</v>
      </c>
      <c r="R151" s="19">
        <v>45771</v>
      </c>
      <c r="S151" s="19">
        <v>45771</v>
      </c>
      <c r="T151" s="19"/>
      <c r="U151" s="19"/>
      <c r="V151" s="19">
        <v>45772</v>
      </c>
      <c r="W151" s="10" t="s">
        <v>50</v>
      </c>
      <c r="X151" s="33" t="str">
        <f>IF(STAT[[#This Row],[sigla]]="","",VLOOKUP(STAT[[#This Row],[sigla]],créditos_base!B:C,2,0))</f>
        <v>Vinícius Costa</v>
      </c>
      <c r="Y151" s="10"/>
      <c r="Z151" s="10" t="str">
        <f>STAT[[#This Row],[ilustrador]]</f>
        <v>Vinícius Costa</v>
      </c>
      <c r="AA151" s="10">
        <v>8</v>
      </c>
      <c r="AB151" s="14" t="s">
        <v>94</v>
      </c>
      <c r="AC151" s="10" t="s">
        <v>13</v>
      </c>
      <c r="AD151" s="32" t="str">
        <f t="shared" si="4"/>
        <v>Sintonia Educação Infantil P009m</v>
      </c>
      <c r="AE151" s="47" t="str">
        <f t="shared" si="5"/>
        <v>Edinfa</v>
      </c>
      <c r="AF151" s="47"/>
    </row>
    <row r="152" spans="1:32" x14ac:dyDescent="0.3">
      <c r="A152" s="24" t="s">
        <v>236</v>
      </c>
      <c r="B152" s="10" t="s">
        <v>6</v>
      </c>
      <c r="C152" s="10" t="s">
        <v>132</v>
      </c>
      <c r="D152" s="10" t="s">
        <v>8</v>
      </c>
      <c r="E152" s="10">
        <v>85</v>
      </c>
      <c r="F152" s="10">
        <v>4</v>
      </c>
      <c r="G152" s="10">
        <v>4</v>
      </c>
      <c r="H152" s="10">
        <v>4</v>
      </c>
      <c r="I152" s="20" t="s">
        <v>9</v>
      </c>
      <c r="J152" s="27"/>
      <c r="K152" s="10"/>
      <c r="L152" s="10"/>
      <c r="M152" s="10"/>
      <c r="N152" s="10"/>
      <c r="O152" s="18" t="s">
        <v>237</v>
      </c>
      <c r="P152" s="14"/>
      <c r="Q152" s="10">
        <v>9</v>
      </c>
      <c r="R152" s="19">
        <v>45771</v>
      </c>
      <c r="S152" s="19">
        <v>45771</v>
      </c>
      <c r="T152" s="19"/>
      <c r="U152" s="19"/>
      <c r="V152" s="19">
        <v>45772</v>
      </c>
      <c r="W152" s="10" t="s">
        <v>50</v>
      </c>
      <c r="X152" s="33" t="str">
        <f>IF(STAT[[#This Row],[sigla]]="","",VLOOKUP(STAT[[#This Row],[sigla]],créditos_base!B:C,2,0))</f>
        <v>Vinícius Costa</v>
      </c>
      <c r="Y152" s="10"/>
      <c r="Z152" s="10" t="str">
        <f>STAT[[#This Row],[ilustrador]]</f>
        <v>Vinícius Costa</v>
      </c>
      <c r="AA152" s="10">
        <v>8</v>
      </c>
      <c r="AB152" s="14" t="s">
        <v>94</v>
      </c>
      <c r="AC152" s="10" t="s">
        <v>13</v>
      </c>
      <c r="AD152" s="32" t="str">
        <f t="shared" si="4"/>
        <v>Sintonia Educação Infantil P009m</v>
      </c>
      <c r="AE152" s="47" t="str">
        <f t="shared" si="5"/>
        <v>Edinfa</v>
      </c>
      <c r="AF152" s="47"/>
    </row>
    <row r="153" spans="1:32" x14ac:dyDescent="0.3">
      <c r="A153" s="24" t="s">
        <v>238</v>
      </c>
      <c r="B153" s="10" t="s">
        <v>6</v>
      </c>
      <c r="C153" s="10" t="s">
        <v>15</v>
      </c>
      <c r="D153" s="10" t="s">
        <v>8</v>
      </c>
      <c r="E153" s="10">
        <v>86</v>
      </c>
      <c r="F153" s="10">
        <v>4</v>
      </c>
      <c r="G153" s="10">
        <v>4</v>
      </c>
      <c r="H153" s="10">
        <v>4</v>
      </c>
      <c r="I153" s="20" t="s">
        <v>9</v>
      </c>
      <c r="J153" s="27"/>
      <c r="K153" s="10"/>
      <c r="L153" s="10"/>
      <c r="M153" s="10"/>
      <c r="N153" s="10"/>
      <c r="O153" s="18" t="s">
        <v>239</v>
      </c>
      <c r="P153" s="14"/>
      <c r="Q153" s="10">
        <v>9</v>
      </c>
      <c r="R153" s="19">
        <v>45771</v>
      </c>
      <c r="S153" s="19">
        <v>45771</v>
      </c>
      <c r="T153" s="19">
        <v>45775</v>
      </c>
      <c r="U153" s="19">
        <v>45775</v>
      </c>
      <c r="V153" s="35">
        <v>45777</v>
      </c>
      <c r="W153" s="10" t="s">
        <v>17</v>
      </c>
      <c r="X153" s="33" t="str">
        <f>IF(STAT[[#This Row],[sigla]]="","",VLOOKUP(STAT[[#This Row],[sigla]],créditos_base!B:C,2,0))</f>
        <v>Thais Castro</v>
      </c>
      <c r="Y153" s="10"/>
      <c r="Z153" s="10" t="s">
        <v>18</v>
      </c>
      <c r="AA153" s="10">
        <v>5</v>
      </c>
      <c r="AB153" s="14" t="s">
        <v>170</v>
      </c>
      <c r="AC153" s="10" t="s">
        <v>20</v>
      </c>
      <c r="AD153" s="32" t="str">
        <f t="shared" si="4"/>
        <v>Sintonia Educação Infantil P009m</v>
      </c>
      <c r="AE153" s="47" t="str">
        <f t="shared" si="5"/>
        <v>Edinfa</v>
      </c>
      <c r="AF153" s="47"/>
    </row>
    <row r="154" spans="1:32" ht="66" x14ac:dyDescent="0.3">
      <c r="A154" s="24" t="s">
        <v>240</v>
      </c>
      <c r="B154" s="10" t="s">
        <v>6</v>
      </c>
      <c r="C154" s="10" t="s">
        <v>15</v>
      </c>
      <c r="D154" s="10" t="s">
        <v>8</v>
      </c>
      <c r="E154" s="10">
        <v>88</v>
      </c>
      <c r="F154" s="10">
        <v>4</v>
      </c>
      <c r="G154" s="10">
        <v>4</v>
      </c>
      <c r="H154" s="10">
        <v>4</v>
      </c>
      <c r="I154" s="20" t="s">
        <v>9</v>
      </c>
      <c r="J154" s="27"/>
      <c r="K154" s="10"/>
      <c r="L154" s="10"/>
      <c r="M154" s="10"/>
      <c r="N154" s="10"/>
      <c r="O154" s="18" t="s">
        <v>241</v>
      </c>
      <c r="P154" s="14"/>
      <c r="Q154" s="10">
        <v>9</v>
      </c>
      <c r="R154" s="19">
        <v>45771</v>
      </c>
      <c r="S154" s="19">
        <v>45771</v>
      </c>
      <c r="T154" s="19"/>
      <c r="U154" s="19"/>
      <c r="V154" s="19">
        <v>45776</v>
      </c>
      <c r="W154" s="10" t="s">
        <v>115</v>
      </c>
      <c r="X154" s="33" t="str">
        <f>IF(STAT[[#This Row],[sigla]]="","",VLOOKUP(STAT[[#This Row],[sigla]],créditos_base!B:C,2,0))</f>
        <v>Heloísa Pintarelli</v>
      </c>
      <c r="Y154" s="10"/>
      <c r="Z154" s="10" t="s">
        <v>191</v>
      </c>
      <c r="AA154" s="10">
        <v>7</v>
      </c>
      <c r="AB154" s="14" t="s">
        <v>188</v>
      </c>
      <c r="AC154" s="10" t="s">
        <v>20</v>
      </c>
      <c r="AD154" s="32" t="str">
        <f t="shared" si="4"/>
        <v>Sintonia Educação Infantil P009m</v>
      </c>
      <c r="AE154" s="47" t="str">
        <f t="shared" si="5"/>
        <v>Edinfa</v>
      </c>
      <c r="AF154" s="47"/>
    </row>
    <row r="155" spans="1:32" ht="52.8" x14ac:dyDescent="0.3">
      <c r="A155" s="24" t="s">
        <v>242</v>
      </c>
      <c r="B155" s="10" t="s">
        <v>6</v>
      </c>
      <c r="C155" s="10" t="s">
        <v>15</v>
      </c>
      <c r="D155" s="10" t="s">
        <v>8</v>
      </c>
      <c r="E155" s="10">
        <v>89</v>
      </c>
      <c r="F155" s="10">
        <v>4</v>
      </c>
      <c r="G155" s="10">
        <v>4</v>
      </c>
      <c r="H155" s="10">
        <v>4</v>
      </c>
      <c r="I155" s="20" t="s">
        <v>9</v>
      </c>
      <c r="J155" s="27"/>
      <c r="K155" s="10"/>
      <c r="L155" s="10"/>
      <c r="M155" s="10"/>
      <c r="N155" s="10"/>
      <c r="O155" s="18" t="s">
        <v>243</v>
      </c>
      <c r="P155" s="14"/>
      <c r="Q155" s="10">
        <v>9</v>
      </c>
      <c r="R155" s="19">
        <v>45771</v>
      </c>
      <c r="S155" s="19">
        <v>45771</v>
      </c>
      <c r="T155" s="19">
        <v>45775</v>
      </c>
      <c r="U155" s="19">
        <v>45775</v>
      </c>
      <c r="V155" s="19">
        <v>45777</v>
      </c>
      <c r="W155" s="10" t="s">
        <v>45</v>
      </c>
      <c r="X155" s="33" t="str">
        <f>IF(STAT[[#This Row],[sigla]]="","",VLOOKUP(STAT[[#This Row],[sigla]],créditos_base!B:C,2,0))</f>
        <v>Gabriel Brum</v>
      </c>
      <c r="Y155" s="10"/>
      <c r="Z155" s="10" t="s">
        <v>196</v>
      </c>
      <c r="AA155" s="10">
        <v>6</v>
      </c>
      <c r="AB155" s="14" t="s">
        <v>188</v>
      </c>
      <c r="AC155" s="10" t="s">
        <v>20</v>
      </c>
      <c r="AD155" s="32" t="str">
        <f t="shared" si="4"/>
        <v>Sintonia Educação Infantil P009m</v>
      </c>
      <c r="AE155" s="47" t="str">
        <f t="shared" si="5"/>
        <v>Edinfa</v>
      </c>
      <c r="AF155" s="47"/>
    </row>
    <row r="156" spans="1:32" ht="39.6" x14ac:dyDescent="0.3">
      <c r="A156" s="24" t="s">
        <v>244</v>
      </c>
      <c r="B156" s="10" t="s">
        <v>6</v>
      </c>
      <c r="C156" s="10" t="s">
        <v>15</v>
      </c>
      <c r="D156" s="10" t="s">
        <v>8</v>
      </c>
      <c r="E156" s="10">
        <v>90</v>
      </c>
      <c r="F156" s="10">
        <v>4</v>
      </c>
      <c r="G156" s="10">
        <v>4</v>
      </c>
      <c r="H156" s="10">
        <v>4</v>
      </c>
      <c r="I156" s="20" t="s">
        <v>9</v>
      </c>
      <c r="J156" s="27"/>
      <c r="K156" s="10"/>
      <c r="L156" s="10"/>
      <c r="M156" s="10"/>
      <c r="N156" s="10"/>
      <c r="O156" s="18" t="s">
        <v>245</v>
      </c>
      <c r="P156" s="14"/>
      <c r="Q156" s="10"/>
      <c r="R156" s="19"/>
      <c r="S156" s="19"/>
      <c r="T156" s="19"/>
      <c r="U156" s="19"/>
      <c r="V156" s="19"/>
      <c r="W156" s="10" t="s">
        <v>88</v>
      </c>
      <c r="X156" s="33" t="str">
        <f>IF(STAT[[#This Row],[sigla]]="","",VLOOKUP(STAT[[#This Row],[sigla]],créditos_base!B:C,2,0))</f>
        <v>Arquivo da editora</v>
      </c>
      <c r="Y156" s="10"/>
      <c r="Z156" s="10" t="s">
        <v>89</v>
      </c>
      <c r="AA156" s="10"/>
      <c r="AB156" s="14"/>
      <c r="AC156" s="10" t="s">
        <v>13</v>
      </c>
      <c r="AD156" s="32" t="str">
        <f t="shared" si="4"/>
        <v>Sintonia Educação Infantil P009m</v>
      </c>
      <c r="AE156" s="47" t="str">
        <f t="shared" si="5"/>
        <v>Edinfa</v>
      </c>
      <c r="AF156" s="47"/>
    </row>
    <row r="157" spans="1:32" ht="26.4" x14ac:dyDescent="0.3">
      <c r="A157" s="24" t="s">
        <v>246</v>
      </c>
      <c r="B157" s="10" t="s">
        <v>6</v>
      </c>
      <c r="C157" s="10" t="s">
        <v>15</v>
      </c>
      <c r="D157" s="10" t="s">
        <v>8</v>
      </c>
      <c r="E157" s="10">
        <v>90</v>
      </c>
      <c r="F157" s="10">
        <v>4</v>
      </c>
      <c r="G157" s="10">
        <v>4</v>
      </c>
      <c r="H157" s="10">
        <v>4</v>
      </c>
      <c r="I157" s="20" t="s">
        <v>9</v>
      </c>
      <c r="J157" s="27"/>
      <c r="K157" s="10"/>
      <c r="L157" s="10"/>
      <c r="M157" s="10"/>
      <c r="N157" s="10"/>
      <c r="O157" s="18" t="s">
        <v>247</v>
      </c>
      <c r="P157" s="14"/>
      <c r="Q157" s="10"/>
      <c r="R157" s="19"/>
      <c r="S157" s="19"/>
      <c r="T157" s="19"/>
      <c r="U157" s="19"/>
      <c r="V157" s="19"/>
      <c r="W157" s="10" t="s">
        <v>88</v>
      </c>
      <c r="X157" s="33" t="str">
        <f>IF(STAT[[#This Row],[sigla]]="","",VLOOKUP(STAT[[#This Row],[sigla]],créditos_base!B:C,2,0))</f>
        <v>Arquivo da editora</v>
      </c>
      <c r="Y157" s="10"/>
      <c r="Z157" s="10" t="s">
        <v>89</v>
      </c>
      <c r="AA157" s="10"/>
      <c r="AB157" s="14"/>
      <c r="AC157" s="10" t="s">
        <v>13</v>
      </c>
      <c r="AD157" s="32" t="str">
        <f t="shared" si="4"/>
        <v>Sintonia Educação Infantil P009m</v>
      </c>
      <c r="AE157" s="47" t="str">
        <f t="shared" si="5"/>
        <v>Edinfa</v>
      </c>
      <c r="AF157" s="47"/>
    </row>
    <row r="158" spans="1:32" ht="96.75" customHeight="1" x14ac:dyDescent="0.3">
      <c r="A158" s="24" t="s">
        <v>248</v>
      </c>
      <c r="B158" s="10" t="s">
        <v>6</v>
      </c>
      <c r="C158" s="10" t="s">
        <v>15</v>
      </c>
      <c r="D158" s="10" t="s">
        <v>8</v>
      </c>
      <c r="E158" s="10">
        <v>90</v>
      </c>
      <c r="F158" s="10">
        <v>4</v>
      </c>
      <c r="G158" s="10">
        <v>4</v>
      </c>
      <c r="H158" s="10">
        <v>4</v>
      </c>
      <c r="I158" s="20" t="s">
        <v>9</v>
      </c>
      <c r="J158" s="27"/>
      <c r="K158" s="10"/>
      <c r="L158" s="10"/>
      <c r="M158" s="10"/>
      <c r="N158" s="10"/>
      <c r="O158" s="18" t="s">
        <v>249</v>
      </c>
      <c r="P158" s="14"/>
      <c r="Q158" s="10"/>
      <c r="R158" s="19"/>
      <c r="S158" s="19"/>
      <c r="T158" s="19"/>
      <c r="U158" s="19"/>
      <c r="V158" s="19"/>
      <c r="W158" s="10" t="s">
        <v>88</v>
      </c>
      <c r="X158" s="33" t="str">
        <f>IF(STAT[[#This Row],[sigla]]="","",VLOOKUP(STAT[[#This Row],[sigla]],créditos_base!B:C,2,0))</f>
        <v>Arquivo da editora</v>
      </c>
      <c r="Y158" s="10"/>
      <c r="Z158" s="10" t="s">
        <v>89</v>
      </c>
      <c r="AA158" s="10"/>
      <c r="AB158" s="14"/>
      <c r="AC158" s="10" t="s">
        <v>13</v>
      </c>
      <c r="AD158" s="32" t="str">
        <f t="shared" si="4"/>
        <v>Sintonia Educação Infantil P009m</v>
      </c>
      <c r="AE158" s="47" t="str">
        <f t="shared" si="5"/>
        <v>Edinfa</v>
      </c>
      <c r="AF158" s="47"/>
    </row>
    <row r="159" spans="1:32" ht="39.6" x14ac:dyDescent="0.3">
      <c r="A159" s="24" t="s">
        <v>250</v>
      </c>
      <c r="B159" s="10" t="s">
        <v>6</v>
      </c>
      <c r="C159" s="10" t="s">
        <v>15</v>
      </c>
      <c r="D159" s="10" t="s">
        <v>8</v>
      </c>
      <c r="E159" s="10">
        <v>90</v>
      </c>
      <c r="F159" s="10">
        <v>4</v>
      </c>
      <c r="G159" s="10">
        <v>4</v>
      </c>
      <c r="H159" s="10">
        <v>4</v>
      </c>
      <c r="I159" s="20" t="s">
        <v>9</v>
      </c>
      <c r="J159" s="27"/>
      <c r="K159" s="10"/>
      <c r="L159" s="10"/>
      <c r="M159" s="10"/>
      <c r="N159" s="10"/>
      <c r="O159" s="18" t="s">
        <v>251</v>
      </c>
      <c r="P159" s="14"/>
      <c r="Q159" s="10"/>
      <c r="R159" s="19"/>
      <c r="S159" s="19"/>
      <c r="T159" s="19"/>
      <c r="U159" s="19"/>
      <c r="V159" s="19"/>
      <c r="W159" s="10" t="s">
        <v>88</v>
      </c>
      <c r="X159" s="33" t="str">
        <f>IF(STAT[[#This Row],[sigla]]="","",VLOOKUP(STAT[[#This Row],[sigla]],créditos_base!B:C,2,0))</f>
        <v>Arquivo da editora</v>
      </c>
      <c r="Y159" s="10"/>
      <c r="Z159" s="10" t="s">
        <v>89</v>
      </c>
      <c r="AA159" s="10"/>
      <c r="AB159" s="14"/>
      <c r="AC159" s="10" t="s">
        <v>13</v>
      </c>
      <c r="AD159" s="32" t="str">
        <f t="shared" si="4"/>
        <v>Sintonia Educação Infantil P009m</v>
      </c>
      <c r="AE159" s="47" t="str">
        <f t="shared" si="5"/>
        <v>Edinfa</v>
      </c>
      <c r="AF159" s="47"/>
    </row>
    <row r="160" spans="1:32" ht="26.4" x14ac:dyDescent="0.3">
      <c r="A160" s="24" t="s">
        <v>252</v>
      </c>
      <c r="B160" s="10" t="s">
        <v>6</v>
      </c>
      <c r="C160" s="10" t="s">
        <v>15</v>
      </c>
      <c r="D160" s="10" t="s">
        <v>8</v>
      </c>
      <c r="E160" s="10">
        <v>92</v>
      </c>
      <c r="F160" s="10">
        <v>4</v>
      </c>
      <c r="G160" s="10">
        <v>4</v>
      </c>
      <c r="H160" s="10">
        <v>4</v>
      </c>
      <c r="I160" s="20" t="s">
        <v>9</v>
      </c>
      <c r="J160" s="27"/>
      <c r="K160" s="10"/>
      <c r="L160" s="10"/>
      <c r="M160" s="10"/>
      <c r="N160" s="10"/>
      <c r="O160" s="18" t="s">
        <v>253</v>
      </c>
      <c r="P160" s="14"/>
      <c r="Q160" s="10"/>
      <c r="R160" s="19"/>
      <c r="S160" s="19"/>
      <c r="T160" s="19"/>
      <c r="U160" s="19"/>
      <c r="V160" s="19"/>
      <c r="W160" s="10" t="s">
        <v>88</v>
      </c>
      <c r="X160" s="33" t="str">
        <f>IF(STAT[[#This Row],[sigla]]="","",VLOOKUP(STAT[[#This Row],[sigla]],créditos_base!B:C,2,0))</f>
        <v>Arquivo da editora</v>
      </c>
      <c r="Y160" s="10"/>
      <c r="Z160" s="10" t="s">
        <v>89</v>
      </c>
      <c r="AA160" s="10"/>
      <c r="AB160" s="14"/>
      <c r="AC160" s="10" t="s">
        <v>13</v>
      </c>
      <c r="AD160" s="32" t="str">
        <f t="shared" si="4"/>
        <v>Sintonia Educação Infantil P009m</v>
      </c>
      <c r="AE160" s="47" t="str">
        <f t="shared" si="5"/>
        <v>Edinfa</v>
      </c>
      <c r="AF160" s="47"/>
    </row>
    <row r="161" spans="1:32" ht="79.2" x14ac:dyDescent="0.3">
      <c r="A161" s="24" t="s">
        <v>254</v>
      </c>
      <c r="B161" s="10" t="s">
        <v>6</v>
      </c>
      <c r="C161" s="10" t="s">
        <v>15</v>
      </c>
      <c r="D161" s="10" t="s">
        <v>8</v>
      </c>
      <c r="E161" s="10">
        <v>92</v>
      </c>
      <c r="F161" s="10">
        <v>4</v>
      </c>
      <c r="G161" s="10">
        <v>4</v>
      </c>
      <c r="H161" s="10">
        <v>4</v>
      </c>
      <c r="I161" s="20" t="s">
        <v>9</v>
      </c>
      <c r="J161" s="27"/>
      <c r="K161" s="10"/>
      <c r="L161" s="10"/>
      <c r="M161" s="10"/>
      <c r="N161" s="10"/>
      <c r="O161" s="18" t="s">
        <v>255</v>
      </c>
      <c r="P161" s="14"/>
      <c r="Q161" s="10"/>
      <c r="R161" s="19"/>
      <c r="S161" s="19"/>
      <c r="T161" s="19"/>
      <c r="U161" s="19"/>
      <c r="V161" s="19"/>
      <c r="W161" s="10" t="s">
        <v>88</v>
      </c>
      <c r="X161" s="33" t="str">
        <f>IF(STAT[[#This Row],[sigla]]="","",VLOOKUP(STAT[[#This Row],[sigla]],créditos_base!B:C,2,0))</f>
        <v>Arquivo da editora</v>
      </c>
      <c r="Y161" s="10"/>
      <c r="Z161" s="10" t="s">
        <v>89</v>
      </c>
      <c r="AA161" s="10"/>
      <c r="AB161" s="14"/>
      <c r="AC161" s="10" t="s">
        <v>13</v>
      </c>
      <c r="AD161" s="32" t="str">
        <f t="shared" si="4"/>
        <v>Sintonia Educação Infantil P009m</v>
      </c>
      <c r="AE161" s="47" t="str">
        <f t="shared" si="5"/>
        <v>Edinfa</v>
      </c>
      <c r="AF161" s="47"/>
    </row>
    <row r="162" spans="1:32" ht="39.6" x14ac:dyDescent="0.3">
      <c r="A162" s="24" t="s">
        <v>256</v>
      </c>
      <c r="B162" s="10" t="s">
        <v>6</v>
      </c>
      <c r="C162" s="10" t="s">
        <v>15</v>
      </c>
      <c r="D162" s="10" t="s">
        <v>8</v>
      </c>
      <c r="E162" s="10">
        <v>92</v>
      </c>
      <c r="F162" s="10">
        <v>4</v>
      </c>
      <c r="G162" s="10">
        <v>4</v>
      </c>
      <c r="H162" s="10">
        <v>4</v>
      </c>
      <c r="I162" s="20" t="s">
        <v>9</v>
      </c>
      <c r="J162" s="27"/>
      <c r="K162" s="10"/>
      <c r="L162" s="10"/>
      <c r="M162" s="10"/>
      <c r="N162" s="10"/>
      <c r="O162" s="18" t="s">
        <v>257</v>
      </c>
      <c r="P162" s="14"/>
      <c r="Q162" s="10"/>
      <c r="R162" s="19"/>
      <c r="S162" s="19"/>
      <c r="T162" s="19"/>
      <c r="U162" s="19"/>
      <c r="V162" s="19"/>
      <c r="W162" s="10" t="s">
        <v>88</v>
      </c>
      <c r="X162" s="33" t="str">
        <f>IF(STAT[[#This Row],[sigla]]="","",VLOOKUP(STAT[[#This Row],[sigla]],créditos_base!B:C,2,0))</f>
        <v>Arquivo da editora</v>
      </c>
      <c r="Y162" s="10"/>
      <c r="Z162" s="10" t="s">
        <v>89</v>
      </c>
      <c r="AA162" s="10"/>
      <c r="AB162" s="14"/>
      <c r="AC162" s="10" t="s">
        <v>13</v>
      </c>
      <c r="AD162" s="32" t="str">
        <f t="shared" si="4"/>
        <v>Sintonia Educação Infantil P009m</v>
      </c>
      <c r="AE162" s="47" t="str">
        <f t="shared" si="5"/>
        <v>Edinfa</v>
      </c>
      <c r="AF162" s="47"/>
    </row>
    <row r="163" spans="1:32" ht="26.4" x14ac:dyDescent="0.3">
      <c r="A163" s="24" t="s">
        <v>258</v>
      </c>
      <c r="B163" s="10" t="s">
        <v>6</v>
      </c>
      <c r="C163" s="10" t="s">
        <v>15</v>
      </c>
      <c r="D163" s="10" t="s">
        <v>8</v>
      </c>
      <c r="E163" s="10">
        <v>92</v>
      </c>
      <c r="F163" s="10">
        <v>4</v>
      </c>
      <c r="G163" s="10">
        <v>4</v>
      </c>
      <c r="H163" s="10">
        <v>4</v>
      </c>
      <c r="I163" s="20" t="s">
        <v>9</v>
      </c>
      <c r="J163" s="27"/>
      <c r="K163" s="10"/>
      <c r="L163" s="10"/>
      <c r="M163" s="10"/>
      <c r="N163" s="10"/>
      <c r="O163" s="18" t="s">
        <v>259</v>
      </c>
      <c r="P163" s="14"/>
      <c r="Q163" s="10"/>
      <c r="R163" s="19"/>
      <c r="S163" s="19"/>
      <c r="T163" s="19"/>
      <c r="U163" s="19"/>
      <c r="V163" s="19"/>
      <c r="W163" s="10" t="s">
        <v>88</v>
      </c>
      <c r="X163" s="33" t="str">
        <f>IF(STAT[[#This Row],[sigla]]="","",VLOOKUP(STAT[[#This Row],[sigla]],créditos_base!B:C,2,0))</f>
        <v>Arquivo da editora</v>
      </c>
      <c r="Y163" s="10"/>
      <c r="Z163" s="10" t="s">
        <v>89</v>
      </c>
      <c r="AA163" s="10"/>
      <c r="AB163" s="14"/>
      <c r="AC163" s="10" t="s">
        <v>13</v>
      </c>
      <c r="AD163" s="32" t="str">
        <f t="shared" si="4"/>
        <v>Sintonia Educação Infantil P009m</v>
      </c>
      <c r="AE163" s="47" t="str">
        <f t="shared" si="5"/>
        <v>Edinfa</v>
      </c>
      <c r="AF163" s="47"/>
    </row>
    <row r="164" spans="1:32" ht="79.2" x14ac:dyDescent="0.3">
      <c r="A164" s="24" t="s">
        <v>260</v>
      </c>
      <c r="B164" s="10" t="s">
        <v>6</v>
      </c>
      <c r="C164" s="10" t="s">
        <v>15</v>
      </c>
      <c r="D164" s="10" t="s">
        <v>8</v>
      </c>
      <c r="E164" s="10">
        <v>92</v>
      </c>
      <c r="F164" s="10">
        <v>4</v>
      </c>
      <c r="G164" s="10">
        <v>4</v>
      </c>
      <c r="H164" s="10">
        <v>4</v>
      </c>
      <c r="I164" s="20" t="s">
        <v>9</v>
      </c>
      <c r="J164" s="27"/>
      <c r="K164" s="10"/>
      <c r="L164" s="10"/>
      <c r="M164" s="10"/>
      <c r="N164" s="10"/>
      <c r="O164" s="18" t="s">
        <v>261</v>
      </c>
      <c r="P164" s="14"/>
      <c r="Q164" s="10"/>
      <c r="R164" s="19"/>
      <c r="S164" s="19"/>
      <c r="T164" s="19"/>
      <c r="U164" s="19"/>
      <c r="V164" s="19"/>
      <c r="W164" s="10" t="s">
        <v>88</v>
      </c>
      <c r="X164" s="33" t="str">
        <f>IF(STAT[[#This Row],[sigla]]="","",VLOOKUP(STAT[[#This Row],[sigla]],créditos_base!B:C,2,0))</f>
        <v>Arquivo da editora</v>
      </c>
      <c r="Y164" s="10"/>
      <c r="Z164" s="10" t="s">
        <v>89</v>
      </c>
      <c r="AA164" s="10"/>
      <c r="AB164" s="14"/>
      <c r="AC164" s="10" t="s">
        <v>13</v>
      </c>
      <c r="AD164" s="32" t="str">
        <f t="shared" si="4"/>
        <v>Sintonia Educação Infantil P009m</v>
      </c>
      <c r="AE164" s="47" t="str">
        <f t="shared" si="5"/>
        <v>Edinfa</v>
      </c>
      <c r="AF164" s="47"/>
    </row>
    <row r="165" spans="1:32" x14ac:dyDescent="0.3">
      <c r="A165" s="24" t="s">
        <v>262</v>
      </c>
      <c r="B165" s="10" t="s">
        <v>6</v>
      </c>
      <c r="C165" s="10" t="s">
        <v>15</v>
      </c>
      <c r="D165" s="10" t="s">
        <v>8</v>
      </c>
      <c r="E165" s="10">
        <v>92</v>
      </c>
      <c r="F165" s="10">
        <v>4</v>
      </c>
      <c r="G165" s="10">
        <v>4</v>
      </c>
      <c r="H165" s="10">
        <v>4</v>
      </c>
      <c r="I165" s="20" t="s">
        <v>179</v>
      </c>
      <c r="J165" s="27"/>
      <c r="K165" s="10"/>
      <c r="L165" s="10"/>
      <c r="M165" s="10"/>
      <c r="N165" s="10"/>
      <c r="O165" s="18" t="s">
        <v>263</v>
      </c>
      <c r="P165" s="14"/>
      <c r="Q165" s="10">
        <v>9</v>
      </c>
      <c r="R165" s="19">
        <v>45771</v>
      </c>
      <c r="S165" s="19">
        <v>45771</v>
      </c>
      <c r="T165" s="19"/>
      <c r="U165" s="19"/>
      <c r="V165" s="19">
        <v>45772</v>
      </c>
      <c r="W165" s="10" t="s">
        <v>88</v>
      </c>
      <c r="X165" s="33" t="str">
        <f>IF(STAT[[#This Row],[sigla]]="","",VLOOKUP(STAT[[#This Row],[sigla]],créditos_base!B:C,2,0))</f>
        <v>Arquivo da editora</v>
      </c>
      <c r="Y165" s="10" t="s">
        <v>51</v>
      </c>
      <c r="Z165" s="10" t="s">
        <v>89</v>
      </c>
      <c r="AA165" s="10">
        <v>13</v>
      </c>
      <c r="AB165" s="14"/>
      <c r="AC165" s="10" t="s">
        <v>13</v>
      </c>
      <c r="AD165" s="32" t="str">
        <f t="shared" si="4"/>
        <v>Sintonia Educação Infantil P009m</v>
      </c>
      <c r="AE165" s="47" t="str">
        <f t="shared" si="5"/>
        <v>Edinfa</v>
      </c>
      <c r="AF165" s="47"/>
    </row>
    <row r="166" spans="1:32" x14ac:dyDescent="0.3">
      <c r="A166" s="24" t="s">
        <v>264</v>
      </c>
      <c r="B166" s="10" t="s">
        <v>6</v>
      </c>
      <c r="C166" s="10" t="s">
        <v>15</v>
      </c>
      <c r="D166" s="10" t="s">
        <v>8</v>
      </c>
      <c r="E166" s="10">
        <v>92</v>
      </c>
      <c r="F166" s="10">
        <v>4</v>
      </c>
      <c r="G166" s="10">
        <v>4</v>
      </c>
      <c r="H166" s="10">
        <v>4</v>
      </c>
      <c r="I166" s="20" t="s">
        <v>9</v>
      </c>
      <c r="J166" s="27"/>
      <c r="K166" s="10"/>
      <c r="L166" s="10"/>
      <c r="M166" s="10"/>
      <c r="N166" s="10"/>
      <c r="O166" s="18" t="s">
        <v>265</v>
      </c>
      <c r="P166" s="14"/>
      <c r="Q166" s="10"/>
      <c r="R166" s="19"/>
      <c r="S166" s="19"/>
      <c r="T166" s="19"/>
      <c r="U166" s="19"/>
      <c r="V166" s="19"/>
      <c r="W166" s="10" t="s">
        <v>88</v>
      </c>
      <c r="X166" s="33" t="str">
        <f>IF(STAT[[#This Row],[sigla]]="","",VLOOKUP(STAT[[#This Row],[sigla]],créditos_base!B:C,2,0))</f>
        <v>Arquivo da editora</v>
      </c>
      <c r="Y166" s="10"/>
      <c r="Z166" s="10" t="s">
        <v>89</v>
      </c>
      <c r="AA166" s="10"/>
      <c r="AB166" s="14"/>
      <c r="AC166" s="10" t="s">
        <v>13</v>
      </c>
      <c r="AD166" s="32" t="str">
        <f t="shared" si="4"/>
        <v>Sintonia Educação Infantil P009m</v>
      </c>
      <c r="AE166" s="47" t="str">
        <f t="shared" si="5"/>
        <v>Edinfa</v>
      </c>
      <c r="AF166" s="47"/>
    </row>
    <row r="167" spans="1:32" x14ac:dyDescent="0.3">
      <c r="A167" s="24" t="s">
        <v>266</v>
      </c>
      <c r="B167" s="10" t="s">
        <v>6</v>
      </c>
      <c r="C167" s="10" t="s">
        <v>15</v>
      </c>
      <c r="D167" s="10" t="s">
        <v>8</v>
      </c>
      <c r="E167" s="10">
        <v>92</v>
      </c>
      <c r="F167" s="10">
        <v>4</v>
      </c>
      <c r="G167" s="10">
        <v>4</v>
      </c>
      <c r="H167" s="10">
        <v>4</v>
      </c>
      <c r="I167" s="20" t="s">
        <v>9</v>
      </c>
      <c r="J167" s="27"/>
      <c r="K167" s="10"/>
      <c r="L167" s="10"/>
      <c r="M167" s="10"/>
      <c r="N167" s="10"/>
      <c r="O167" s="18" t="s">
        <v>267</v>
      </c>
      <c r="P167" s="14"/>
      <c r="Q167" s="10"/>
      <c r="R167" s="19"/>
      <c r="S167" s="19"/>
      <c r="T167" s="19"/>
      <c r="U167" s="19"/>
      <c r="V167" s="19"/>
      <c r="W167" s="10" t="s">
        <v>88</v>
      </c>
      <c r="X167" s="33" t="str">
        <f>IF(STAT[[#This Row],[sigla]]="","",VLOOKUP(STAT[[#This Row],[sigla]],créditos_base!B:C,2,0))</f>
        <v>Arquivo da editora</v>
      </c>
      <c r="Y167" s="10"/>
      <c r="Z167" s="10" t="s">
        <v>89</v>
      </c>
      <c r="AA167" s="10"/>
      <c r="AB167" s="14"/>
      <c r="AC167" s="10" t="s">
        <v>13</v>
      </c>
      <c r="AD167" s="32" t="str">
        <f t="shared" si="4"/>
        <v>Sintonia Educação Infantil P009m</v>
      </c>
      <c r="AE167" s="47" t="str">
        <f t="shared" si="5"/>
        <v>Edinfa</v>
      </c>
      <c r="AF167" s="47"/>
    </row>
    <row r="168" spans="1:32" x14ac:dyDescent="0.3">
      <c r="A168" s="24" t="s">
        <v>268</v>
      </c>
      <c r="B168" s="10" t="s">
        <v>6</v>
      </c>
      <c r="C168" s="10" t="s">
        <v>15</v>
      </c>
      <c r="D168" s="10" t="s">
        <v>8</v>
      </c>
      <c r="E168" s="10">
        <v>92</v>
      </c>
      <c r="F168" s="10">
        <v>4</v>
      </c>
      <c r="G168" s="10">
        <v>4</v>
      </c>
      <c r="H168" s="10">
        <v>4</v>
      </c>
      <c r="I168" s="20" t="s">
        <v>9</v>
      </c>
      <c r="J168" s="27"/>
      <c r="K168" s="10"/>
      <c r="L168" s="10"/>
      <c r="M168" s="10"/>
      <c r="N168" s="10"/>
      <c r="O168" s="18" t="s">
        <v>269</v>
      </c>
      <c r="P168" s="14"/>
      <c r="Q168" s="10"/>
      <c r="R168" s="19"/>
      <c r="S168" s="19"/>
      <c r="T168" s="19"/>
      <c r="U168" s="19"/>
      <c r="V168" s="19"/>
      <c r="W168" s="10" t="s">
        <v>88</v>
      </c>
      <c r="X168" s="33" t="str">
        <f>IF(STAT[[#This Row],[sigla]]="","",VLOOKUP(STAT[[#This Row],[sigla]],créditos_base!B:C,2,0))</f>
        <v>Arquivo da editora</v>
      </c>
      <c r="Y168" s="10"/>
      <c r="Z168" s="10" t="s">
        <v>89</v>
      </c>
      <c r="AA168" s="10"/>
      <c r="AB168" s="14"/>
      <c r="AC168" s="10" t="s">
        <v>13</v>
      </c>
      <c r="AD168" s="32" t="str">
        <f t="shared" si="4"/>
        <v>Sintonia Educação Infantil P009m</v>
      </c>
      <c r="AE168" s="47" t="str">
        <f t="shared" si="5"/>
        <v>Edinfa</v>
      </c>
      <c r="AF168" s="47"/>
    </row>
    <row r="169" spans="1:32" x14ac:dyDescent="0.3">
      <c r="A169" s="24" t="s">
        <v>270</v>
      </c>
      <c r="B169" s="10" t="s">
        <v>6</v>
      </c>
      <c r="C169" s="10" t="s">
        <v>15</v>
      </c>
      <c r="D169" s="10" t="s">
        <v>8</v>
      </c>
      <c r="E169" s="10">
        <v>92</v>
      </c>
      <c r="F169" s="10">
        <v>4</v>
      </c>
      <c r="G169" s="10">
        <v>4</v>
      </c>
      <c r="H169" s="10">
        <v>4</v>
      </c>
      <c r="I169" s="20" t="s">
        <v>9</v>
      </c>
      <c r="J169" s="27"/>
      <c r="K169" s="10"/>
      <c r="L169" s="10"/>
      <c r="M169" s="10"/>
      <c r="N169" s="10"/>
      <c r="O169" s="18" t="s">
        <v>271</v>
      </c>
      <c r="P169" s="14"/>
      <c r="Q169" s="10"/>
      <c r="R169" s="19"/>
      <c r="S169" s="19"/>
      <c r="T169" s="19"/>
      <c r="U169" s="19"/>
      <c r="V169" s="19"/>
      <c r="W169" s="10" t="s">
        <v>88</v>
      </c>
      <c r="X169" s="33" t="str">
        <f>IF(STAT[[#This Row],[sigla]]="","",VLOOKUP(STAT[[#This Row],[sigla]],créditos_base!B:C,2,0))</f>
        <v>Arquivo da editora</v>
      </c>
      <c r="Y169" s="10"/>
      <c r="Z169" s="10" t="s">
        <v>89</v>
      </c>
      <c r="AA169" s="10"/>
      <c r="AB169" s="14"/>
      <c r="AC169" s="10" t="s">
        <v>13</v>
      </c>
      <c r="AD169" s="32" t="str">
        <f t="shared" si="4"/>
        <v>Sintonia Educação Infantil P009m</v>
      </c>
      <c r="AE169" s="47" t="str">
        <f t="shared" si="5"/>
        <v>Edinfa</v>
      </c>
      <c r="AF169" s="47"/>
    </row>
    <row r="170" spans="1:32" x14ac:dyDescent="0.3">
      <c r="A170" s="24" t="s">
        <v>275</v>
      </c>
      <c r="B170" s="10" t="s">
        <v>6</v>
      </c>
      <c r="C170" s="10" t="s">
        <v>15</v>
      </c>
      <c r="D170" s="10" t="s">
        <v>8</v>
      </c>
      <c r="E170" s="10">
        <v>96</v>
      </c>
      <c r="F170" s="10">
        <v>4</v>
      </c>
      <c r="G170" s="10">
        <v>4</v>
      </c>
      <c r="H170" s="10">
        <v>4</v>
      </c>
      <c r="I170" s="20" t="s">
        <v>9</v>
      </c>
      <c r="J170" s="27"/>
      <c r="K170" s="10"/>
      <c r="L170" s="10"/>
      <c r="M170" s="10"/>
      <c r="N170" s="10"/>
      <c r="O170" s="18" t="s">
        <v>276</v>
      </c>
      <c r="P170" s="14"/>
      <c r="Q170" s="10">
        <v>9</v>
      </c>
      <c r="R170" s="19">
        <v>45771</v>
      </c>
      <c r="S170" s="19">
        <v>45771</v>
      </c>
      <c r="T170" s="19">
        <v>45775</v>
      </c>
      <c r="U170" s="19">
        <v>45775</v>
      </c>
      <c r="V170" s="19">
        <v>45777</v>
      </c>
      <c r="W170" s="10" t="s">
        <v>45</v>
      </c>
      <c r="X170" s="33" t="str">
        <f>IF(STAT[[#This Row],[sigla]]="","",VLOOKUP(STAT[[#This Row],[sigla]],créditos_base!B:C,2,0))</f>
        <v>Gabriel Brum</v>
      </c>
      <c r="Y170" s="10"/>
      <c r="Z170" s="10" t="s">
        <v>196</v>
      </c>
      <c r="AA170" s="10">
        <v>6</v>
      </c>
      <c r="AB170" s="14" t="s">
        <v>188</v>
      </c>
      <c r="AC170" s="10" t="s">
        <v>20</v>
      </c>
      <c r="AD170" s="32" t="str">
        <f t="shared" si="4"/>
        <v>Sintonia Educação Infantil P009m</v>
      </c>
      <c r="AE170" s="47" t="str">
        <f t="shared" si="5"/>
        <v>Edinfa</v>
      </c>
      <c r="AF170" s="47"/>
    </row>
    <row r="171" spans="1:32" x14ac:dyDescent="0.3">
      <c r="A171" s="13" t="s">
        <v>520</v>
      </c>
      <c r="B171" s="10" t="s">
        <v>22</v>
      </c>
      <c r="C171" s="10" t="s">
        <v>15</v>
      </c>
      <c r="D171" s="11" t="s">
        <v>8</v>
      </c>
      <c r="E171" s="10">
        <v>84</v>
      </c>
      <c r="F171" s="11">
        <v>4</v>
      </c>
      <c r="G171" s="10">
        <v>4</v>
      </c>
      <c r="H171" s="10">
        <v>4</v>
      </c>
      <c r="I171" s="12" t="s">
        <v>9</v>
      </c>
      <c r="J171" s="27"/>
      <c r="K171" s="10"/>
      <c r="L171" s="10"/>
      <c r="M171" s="10"/>
      <c r="N171" s="10"/>
      <c r="O171" s="18" t="s">
        <v>521</v>
      </c>
      <c r="P171" s="14"/>
      <c r="Q171" s="10"/>
      <c r="R171" s="19"/>
      <c r="S171" s="19">
        <v>45804</v>
      </c>
      <c r="T171" s="19"/>
      <c r="U171" s="19"/>
      <c r="V171" s="19">
        <v>45804</v>
      </c>
      <c r="W171" s="10" t="s">
        <v>88</v>
      </c>
      <c r="X171" s="33" t="str">
        <f>IF(STAT[[#This Row],[sigla]]="","",VLOOKUP(STAT[[#This Row],[sigla]],créditos_base!B:C,2,0))</f>
        <v>Arquivo da editora</v>
      </c>
      <c r="Y171" s="10" t="s">
        <v>41</v>
      </c>
      <c r="Z171" s="10" t="str">
        <f>STAT[[#This Row],[ilustrador]]</f>
        <v>Arquivo da editora</v>
      </c>
      <c r="AA171" s="10">
        <v>13</v>
      </c>
      <c r="AB171" s="14" t="s">
        <v>94</v>
      </c>
      <c r="AC171" s="10" t="s">
        <v>13</v>
      </c>
      <c r="AD171" s="32" t="str">
        <f t="shared" si="4"/>
        <v>Sintonia Educação Infantil P009m</v>
      </c>
      <c r="AE171" s="47" t="str">
        <f t="shared" si="5"/>
        <v>Edinfa</v>
      </c>
      <c r="AF171" s="47"/>
    </row>
    <row r="172" spans="1:32" x14ac:dyDescent="0.3">
      <c r="A172" s="13" t="s">
        <v>466</v>
      </c>
      <c r="B172" s="10" t="s">
        <v>6</v>
      </c>
      <c r="C172" s="11" t="s">
        <v>15</v>
      </c>
      <c r="D172" s="11" t="s">
        <v>8</v>
      </c>
      <c r="E172" s="10">
        <v>69</v>
      </c>
      <c r="F172" s="11">
        <v>5</v>
      </c>
      <c r="G172" s="10">
        <v>5</v>
      </c>
      <c r="H172" s="10">
        <v>5</v>
      </c>
      <c r="I172" s="12" t="s">
        <v>9</v>
      </c>
      <c r="J172" s="27"/>
      <c r="K172" s="10"/>
      <c r="L172" s="10"/>
      <c r="M172" s="10"/>
      <c r="N172" s="10"/>
      <c r="O172" s="25" t="s">
        <v>467</v>
      </c>
      <c r="P172" s="18"/>
      <c r="Q172" s="10">
        <v>15</v>
      </c>
      <c r="R172" s="19">
        <v>45796</v>
      </c>
      <c r="S172" s="19">
        <v>45798</v>
      </c>
      <c r="T172" s="19">
        <v>45800</v>
      </c>
      <c r="U172" s="19">
        <v>45803</v>
      </c>
      <c r="V172" s="19">
        <v>45805</v>
      </c>
      <c r="W172" s="10" t="s">
        <v>468</v>
      </c>
      <c r="X172" s="33" t="str">
        <f>IF(STAT[[#This Row],[sigla]]="","",VLOOKUP(STAT[[#This Row],[sigla]],créditos_base!B:C,2,0))</f>
        <v>Sergio Lima</v>
      </c>
      <c r="Y172" s="10"/>
      <c r="Z172" s="10" t="str">
        <f>STAT[[#This Row],[ilustrador]]</f>
        <v>Sergio Lima</v>
      </c>
      <c r="AA172" s="10">
        <v>7</v>
      </c>
      <c r="AB172" s="14"/>
      <c r="AC172" s="10" t="s">
        <v>20</v>
      </c>
      <c r="AD172" s="32" t="str">
        <f t="shared" si="4"/>
        <v>Sintonia Educação Infantil P009m</v>
      </c>
      <c r="AE172" s="47" t="str">
        <f t="shared" si="5"/>
        <v>Edinfa</v>
      </c>
      <c r="AF172" s="47"/>
    </row>
    <row r="173" spans="1:32" x14ac:dyDescent="0.3">
      <c r="A173" s="26" t="s">
        <v>469</v>
      </c>
      <c r="B173" s="10" t="s">
        <v>6</v>
      </c>
      <c r="C173" s="11" t="s">
        <v>15</v>
      </c>
      <c r="D173" s="11" t="s">
        <v>8</v>
      </c>
      <c r="E173" s="10">
        <v>70</v>
      </c>
      <c r="F173" s="11">
        <v>5</v>
      </c>
      <c r="G173" s="10">
        <v>5</v>
      </c>
      <c r="H173" s="10">
        <v>5</v>
      </c>
      <c r="I173" s="12" t="s">
        <v>9</v>
      </c>
      <c r="J173" s="27"/>
      <c r="K173" s="10"/>
      <c r="L173" s="10"/>
      <c r="M173" s="10"/>
      <c r="N173" s="10"/>
      <c r="O173" s="24" t="s">
        <v>470</v>
      </c>
      <c r="P173" s="14"/>
      <c r="Q173" s="10"/>
      <c r="R173" s="19"/>
      <c r="S173" s="19"/>
      <c r="T173" s="19"/>
      <c r="U173" s="19"/>
      <c r="V173" s="19"/>
      <c r="W173" s="10" t="s">
        <v>88</v>
      </c>
      <c r="X173" s="33" t="str">
        <f>IF(STAT[[#This Row],[sigla]]="","",VLOOKUP(STAT[[#This Row],[sigla]],créditos_base!B:C,2,0))</f>
        <v>Arquivo da editora</v>
      </c>
      <c r="Y173" s="10"/>
      <c r="Z173" s="10" t="str">
        <f>STAT[[#This Row],[ilustrador]]</f>
        <v>Arquivo da editora</v>
      </c>
      <c r="AA173" s="10"/>
      <c r="AB173" s="14"/>
      <c r="AC173" s="11"/>
      <c r="AD173" s="32" t="str">
        <f t="shared" si="4"/>
        <v>Sintonia Educação Infantil P009m</v>
      </c>
      <c r="AE173" s="47" t="str">
        <f t="shared" si="5"/>
        <v>Edinfa</v>
      </c>
      <c r="AF173" s="47"/>
    </row>
    <row r="174" spans="1:32" x14ac:dyDescent="0.3">
      <c r="A174" s="26" t="s">
        <v>471</v>
      </c>
      <c r="B174" s="10" t="s">
        <v>6</v>
      </c>
      <c r="C174" s="11" t="s">
        <v>15</v>
      </c>
      <c r="D174" s="11" t="s">
        <v>8</v>
      </c>
      <c r="E174" s="10">
        <v>70</v>
      </c>
      <c r="F174" s="11">
        <v>5</v>
      </c>
      <c r="G174" s="10">
        <v>5</v>
      </c>
      <c r="H174" s="10">
        <v>5</v>
      </c>
      <c r="I174" s="12" t="s">
        <v>9</v>
      </c>
      <c r="J174" s="27"/>
      <c r="K174" s="10"/>
      <c r="L174" s="10"/>
      <c r="M174" s="10"/>
      <c r="N174" s="10"/>
      <c r="O174" s="24" t="s">
        <v>472</v>
      </c>
      <c r="P174" s="14"/>
      <c r="Q174" s="10"/>
      <c r="R174" s="19"/>
      <c r="S174" s="19"/>
      <c r="T174" s="19"/>
      <c r="U174" s="19"/>
      <c r="V174" s="19"/>
      <c r="W174" s="10" t="s">
        <v>88</v>
      </c>
      <c r="X174" s="33" t="str">
        <f>IF(STAT[[#This Row],[sigla]]="","",VLOOKUP(STAT[[#This Row],[sigla]],créditos_base!B:C,2,0))</f>
        <v>Arquivo da editora</v>
      </c>
      <c r="Y174" s="10"/>
      <c r="Z174" s="10" t="str">
        <f>STAT[[#This Row],[ilustrador]]</f>
        <v>Arquivo da editora</v>
      </c>
      <c r="AA174" s="10"/>
      <c r="AB174" s="14"/>
      <c r="AC174" s="11"/>
      <c r="AD174" s="32" t="str">
        <f t="shared" si="4"/>
        <v>Sintonia Educação Infantil P009m</v>
      </c>
      <c r="AE174" s="47" t="str">
        <f t="shared" si="5"/>
        <v>Edinfa</v>
      </c>
      <c r="AF174" s="47"/>
    </row>
    <row r="175" spans="1:32" ht="52.8" x14ac:dyDescent="0.3">
      <c r="A175" s="26" t="s">
        <v>473</v>
      </c>
      <c r="B175" s="10" t="s">
        <v>6</v>
      </c>
      <c r="C175" s="11" t="s">
        <v>15</v>
      </c>
      <c r="D175" s="11" t="s">
        <v>8</v>
      </c>
      <c r="E175" s="10">
        <v>70</v>
      </c>
      <c r="F175" s="11">
        <v>5</v>
      </c>
      <c r="G175" s="10">
        <v>5</v>
      </c>
      <c r="H175" s="10">
        <v>5</v>
      </c>
      <c r="I175" s="12" t="s">
        <v>9</v>
      </c>
      <c r="J175" s="27"/>
      <c r="K175" s="10"/>
      <c r="L175" s="10"/>
      <c r="M175" s="10"/>
      <c r="N175" s="10"/>
      <c r="O175" s="24" t="s">
        <v>474</v>
      </c>
      <c r="P175" s="14"/>
      <c r="Q175" s="10"/>
      <c r="R175" s="19"/>
      <c r="S175" s="19"/>
      <c r="T175" s="19"/>
      <c r="U175" s="19"/>
      <c r="V175" s="19"/>
      <c r="W175" s="10" t="s">
        <v>88</v>
      </c>
      <c r="X175" s="33" t="str">
        <f>IF(STAT[[#This Row],[sigla]]="","",VLOOKUP(STAT[[#This Row],[sigla]],créditos_base!B:C,2,0))</f>
        <v>Arquivo da editora</v>
      </c>
      <c r="Y175" s="10"/>
      <c r="Z175" s="10" t="str">
        <f>STAT[[#This Row],[ilustrador]]</f>
        <v>Arquivo da editora</v>
      </c>
      <c r="AA175" s="10"/>
      <c r="AB175" s="14"/>
      <c r="AC175" s="11"/>
      <c r="AD175" s="32" t="str">
        <f t="shared" si="4"/>
        <v>Sintonia Educação Infantil P009m</v>
      </c>
      <c r="AE175" s="47" t="str">
        <f t="shared" si="5"/>
        <v>Edinfa</v>
      </c>
      <c r="AF175" s="47"/>
    </row>
    <row r="176" spans="1:32" ht="52.8" x14ac:dyDescent="0.3">
      <c r="A176" s="26" t="s">
        <v>475</v>
      </c>
      <c r="B176" s="10" t="s">
        <v>6</v>
      </c>
      <c r="C176" s="11" t="s">
        <v>15</v>
      </c>
      <c r="D176" s="11" t="s">
        <v>8</v>
      </c>
      <c r="E176" s="10">
        <v>70</v>
      </c>
      <c r="F176" s="11">
        <v>5</v>
      </c>
      <c r="G176" s="10">
        <v>5</v>
      </c>
      <c r="H176" s="10">
        <v>5</v>
      </c>
      <c r="I176" s="12" t="s">
        <v>9</v>
      </c>
      <c r="J176" s="27"/>
      <c r="K176" s="10"/>
      <c r="L176" s="10"/>
      <c r="M176" s="10"/>
      <c r="N176" s="10"/>
      <c r="O176" s="24" t="s">
        <v>476</v>
      </c>
      <c r="P176" s="14"/>
      <c r="Q176" s="10"/>
      <c r="R176" s="19"/>
      <c r="S176" s="19"/>
      <c r="T176" s="19"/>
      <c r="U176" s="19"/>
      <c r="V176" s="19"/>
      <c r="W176" s="10" t="s">
        <v>88</v>
      </c>
      <c r="X176" s="33" t="str">
        <f>IF(STAT[[#This Row],[sigla]]="","",VLOOKUP(STAT[[#This Row],[sigla]],créditos_base!B:C,2,0))</f>
        <v>Arquivo da editora</v>
      </c>
      <c r="Y176" s="10"/>
      <c r="Z176" s="10" t="str">
        <f>STAT[[#This Row],[ilustrador]]</f>
        <v>Arquivo da editora</v>
      </c>
      <c r="AA176" s="10"/>
      <c r="AB176" s="14"/>
      <c r="AC176" s="11"/>
      <c r="AD176" s="32" t="str">
        <f t="shared" si="4"/>
        <v>Sintonia Educação Infantil P009m</v>
      </c>
      <c r="AE176" s="47" t="str">
        <f t="shared" si="5"/>
        <v>Edinfa</v>
      </c>
      <c r="AF176" s="47"/>
    </row>
    <row r="177" spans="1:32" ht="52.8" x14ac:dyDescent="0.3">
      <c r="A177" s="26" t="s">
        <v>477</v>
      </c>
      <c r="B177" s="10" t="s">
        <v>6</v>
      </c>
      <c r="C177" s="11" t="s">
        <v>15</v>
      </c>
      <c r="D177" s="11" t="s">
        <v>8</v>
      </c>
      <c r="E177" s="10">
        <v>70</v>
      </c>
      <c r="F177" s="11">
        <v>5</v>
      </c>
      <c r="G177" s="10">
        <v>5</v>
      </c>
      <c r="H177" s="10">
        <v>5</v>
      </c>
      <c r="I177" s="12" t="s">
        <v>9</v>
      </c>
      <c r="J177" s="27"/>
      <c r="K177" s="10"/>
      <c r="L177" s="10"/>
      <c r="M177" s="10"/>
      <c r="N177" s="10"/>
      <c r="O177" s="18" t="s">
        <v>478</v>
      </c>
      <c r="P177" s="14"/>
      <c r="Q177" s="10"/>
      <c r="R177" s="19"/>
      <c r="S177" s="19"/>
      <c r="T177" s="19"/>
      <c r="U177" s="19"/>
      <c r="V177" s="19"/>
      <c r="W177" s="10" t="s">
        <v>88</v>
      </c>
      <c r="X177" s="33" t="str">
        <f>IF(STAT[[#This Row],[sigla]]="","",VLOOKUP(STAT[[#This Row],[sigla]],créditos_base!B:C,2,0))</f>
        <v>Arquivo da editora</v>
      </c>
      <c r="Y177" s="10"/>
      <c r="Z177" s="10" t="str">
        <f>STAT[[#This Row],[ilustrador]]</f>
        <v>Arquivo da editora</v>
      </c>
      <c r="AA177" s="10"/>
      <c r="AB177" s="14"/>
      <c r="AC177" s="11"/>
      <c r="AD177" s="32" t="str">
        <f t="shared" si="4"/>
        <v>Sintonia Educação Infantil P009m</v>
      </c>
      <c r="AE177" s="47" t="str">
        <f t="shared" si="5"/>
        <v>Edinfa</v>
      </c>
      <c r="AF177" s="47"/>
    </row>
    <row r="178" spans="1:32" x14ac:dyDescent="0.3">
      <c r="A178" s="26" t="s">
        <v>479</v>
      </c>
      <c r="B178" s="10" t="s">
        <v>6</v>
      </c>
      <c r="C178" s="11" t="s">
        <v>15</v>
      </c>
      <c r="D178" s="11" t="s">
        <v>8</v>
      </c>
      <c r="E178" s="10">
        <v>70</v>
      </c>
      <c r="F178" s="11">
        <v>5</v>
      </c>
      <c r="G178" s="10">
        <v>5</v>
      </c>
      <c r="H178" s="10">
        <v>5</v>
      </c>
      <c r="I178" s="12" t="s">
        <v>9</v>
      </c>
      <c r="J178" s="27"/>
      <c r="K178" s="10"/>
      <c r="L178" s="10"/>
      <c r="M178" s="10"/>
      <c r="N178" s="10"/>
      <c r="O178" s="18" t="s">
        <v>480</v>
      </c>
      <c r="P178" s="14"/>
      <c r="Q178" s="10"/>
      <c r="R178" s="19"/>
      <c r="S178" s="19"/>
      <c r="T178" s="19"/>
      <c r="U178" s="19"/>
      <c r="V178" s="19"/>
      <c r="W178" s="10" t="s">
        <v>88</v>
      </c>
      <c r="X178" s="33" t="str">
        <f>IF(STAT[[#This Row],[sigla]]="","",VLOOKUP(STAT[[#This Row],[sigla]],créditos_base!B:C,2,0))</f>
        <v>Arquivo da editora</v>
      </c>
      <c r="Y178" s="10"/>
      <c r="Z178" s="10" t="str">
        <f>STAT[[#This Row],[ilustrador]]</f>
        <v>Arquivo da editora</v>
      </c>
      <c r="AA178" s="10"/>
      <c r="AB178" s="14"/>
      <c r="AC178" s="11"/>
      <c r="AD178" s="32" t="str">
        <f t="shared" si="4"/>
        <v>Sintonia Educação Infantil P009m</v>
      </c>
      <c r="AE178" s="47" t="str">
        <f t="shared" si="5"/>
        <v>Edinfa</v>
      </c>
      <c r="AF178" s="47"/>
    </row>
    <row r="179" spans="1:32" x14ac:dyDescent="0.3">
      <c r="A179" s="26" t="s">
        <v>481</v>
      </c>
      <c r="B179" s="10" t="s">
        <v>6</v>
      </c>
      <c r="C179" s="11" t="s">
        <v>15</v>
      </c>
      <c r="D179" s="11" t="s">
        <v>8</v>
      </c>
      <c r="E179" s="10">
        <v>70</v>
      </c>
      <c r="F179" s="11">
        <v>5</v>
      </c>
      <c r="G179" s="10">
        <v>5</v>
      </c>
      <c r="H179" s="10">
        <v>5</v>
      </c>
      <c r="I179" s="12" t="s">
        <v>9</v>
      </c>
      <c r="J179" s="27"/>
      <c r="K179" s="10"/>
      <c r="L179" s="10"/>
      <c r="M179" s="10"/>
      <c r="N179" s="10"/>
      <c r="O179" s="18" t="s">
        <v>482</v>
      </c>
      <c r="P179" s="14"/>
      <c r="Q179" s="10"/>
      <c r="R179" s="19"/>
      <c r="S179" s="19"/>
      <c r="T179" s="19"/>
      <c r="U179" s="19"/>
      <c r="V179" s="19"/>
      <c r="W179" s="10" t="s">
        <v>88</v>
      </c>
      <c r="X179" s="33" t="str">
        <f>IF(STAT[[#This Row],[sigla]]="","",VLOOKUP(STAT[[#This Row],[sigla]],créditos_base!B:C,2,0))</f>
        <v>Arquivo da editora</v>
      </c>
      <c r="Y179" s="10"/>
      <c r="Z179" s="10" t="str">
        <f>STAT[[#This Row],[ilustrador]]</f>
        <v>Arquivo da editora</v>
      </c>
      <c r="AA179" s="10"/>
      <c r="AB179" s="14"/>
      <c r="AC179" s="11"/>
      <c r="AD179" s="32" t="str">
        <f t="shared" si="4"/>
        <v>Sintonia Educação Infantil P009m</v>
      </c>
      <c r="AE179" s="47" t="str">
        <f t="shared" si="5"/>
        <v>Edinfa</v>
      </c>
      <c r="AF179" s="47"/>
    </row>
    <row r="180" spans="1:32" x14ac:dyDescent="0.3">
      <c r="A180" s="26" t="s">
        <v>483</v>
      </c>
      <c r="B180" s="10" t="s">
        <v>6</v>
      </c>
      <c r="C180" s="11" t="s">
        <v>15</v>
      </c>
      <c r="D180" s="11" t="s">
        <v>8</v>
      </c>
      <c r="E180" s="10">
        <v>70</v>
      </c>
      <c r="F180" s="11">
        <v>5</v>
      </c>
      <c r="G180" s="10">
        <v>5</v>
      </c>
      <c r="H180" s="10">
        <v>5</v>
      </c>
      <c r="I180" s="12" t="s">
        <v>9</v>
      </c>
      <c r="J180" s="27"/>
      <c r="K180" s="10"/>
      <c r="L180" s="10"/>
      <c r="M180" s="10"/>
      <c r="N180" s="10"/>
      <c r="O180" s="18" t="s">
        <v>484</v>
      </c>
      <c r="P180" s="14"/>
      <c r="Q180" s="10"/>
      <c r="R180" s="19"/>
      <c r="S180" s="19"/>
      <c r="T180" s="19"/>
      <c r="U180" s="19"/>
      <c r="V180" s="19"/>
      <c r="W180" s="10" t="s">
        <v>88</v>
      </c>
      <c r="X180" s="33" t="str">
        <f>IF(STAT[[#This Row],[sigla]]="","",VLOOKUP(STAT[[#This Row],[sigla]],créditos_base!B:C,2,0))</f>
        <v>Arquivo da editora</v>
      </c>
      <c r="Y180" s="10"/>
      <c r="Z180" s="10" t="str">
        <f>STAT[[#This Row],[ilustrador]]</f>
        <v>Arquivo da editora</v>
      </c>
      <c r="AA180" s="10"/>
      <c r="AB180" s="14"/>
      <c r="AC180" s="11"/>
      <c r="AD180" s="32" t="str">
        <f t="shared" si="4"/>
        <v>Sintonia Educação Infantil P009m</v>
      </c>
      <c r="AE180" s="47" t="str">
        <f t="shared" si="5"/>
        <v>Edinfa</v>
      </c>
      <c r="AF180" s="47"/>
    </row>
    <row r="181" spans="1:32" ht="39.6" x14ac:dyDescent="0.3">
      <c r="A181" s="13" t="s">
        <v>485</v>
      </c>
      <c r="B181" s="10" t="s">
        <v>6</v>
      </c>
      <c r="C181" s="11" t="s">
        <v>132</v>
      </c>
      <c r="D181" s="11" t="s">
        <v>8</v>
      </c>
      <c r="E181" s="10">
        <v>71</v>
      </c>
      <c r="F181" s="11">
        <v>5</v>
      </c>
      <c r="G181" s="10">
        <v>5</v>
      </c>
      <c r="H181" s="10">
        <v>5</v>
      </c>
      <c r="I181" s="12" t="s">
        <v>9</v>
      </c>
      <c r="J181" s="27"/>
      <c r="K181" s="10"/>
      <c r="L181" s="10"/>
      <c r="M181" s="10"/>
      <c r="N181" s="10"/>
      <c r="O181" s="25" t="s">
        <v>486</v>
      </c>
      <c r="P181" s="14"/>
      <c r="Q181" s="10">
        <v>15</v>
      </c>
      <c r="R181" s="19">
        <v>45796</v>
      </c>
      <c r="S181" s="19">
        <v>45797</v>
      </c>
      <c r="T181" s="19"/>
      <c r="U181" s="19"/>
      <c r="V181" s="19">
        <v>45799</v>
      </c>
      <c r="W181" s="10" t="s">
        <v>338</v>
      </c>
      <c r="X181" s="33" t="str">
        <f>IF(STAT[[#This Row],[sigla]]="","",VLOOKUP(STAT[[#This Row],[sigla]],créditos_base!B:C,2,0))</f>
        <v>Rafaela Panissa</v>
      </c>
      <c r="Y181" s="10"/>
      <c r="Z181" s="10" t="str">
        <f>STAT[[#This Row],[ilustrador]]</f>
        <v>Rafaela Panissa</v>
      </c>
      <c r="AA181" s="10">
        <v>8</v>
      </c>
      <c r="AB181" s="14" t="s">
        <v>322</v>
      </c>
      <c r="AC181" s="10" t="s">
        <v>13</v>
      </c>
      <c r="AD181" s="32" t="str">
        <f t="shared" si="4"/>
        <v>Sintonia Educação Infantil P009m</v>
      </c>
      <c r="AE181" s="47" t="str">
        <f t="shared" si="5"/>
        <v>Edinfa</v>
      </c>
      <c r="AF181" s="47"/>
    </row>
    <row r="182" spans="1:32" ht="63.75" customHeight="1" x14ac:dyDescent="0.3">
      <c r="A182" s="13" t="s">
        <v>487</v>
      </c>
      <c r="B182" s="10" t="s">
        <v>6</v>
      </c>
      <c r="C182" s="11" t="s">
        <v>132</v>
      </c>
      <c r="D182" s="11" t="s">
        <v>8</v>
      </c>
      <c r="E182" s="10">
        <v>71</v>
      </c>
      <c r="F182" s="11">
        <v>5</v>
      </c>
      <c r="G182" s="10">
        <v>5</v>
      </c>
      <c r="H182" s="10">
        <v>5</v>
      </c>
      <c r="I182" s="12" t="s">
        <v>9</v>
      </c>
      <c r="J182" s="27"/>
      <c r="K182" s="10"/>
      <c r="L182" s="10"/>
      <c r="M182" s="10"/>
      <c r="N182" s="10"/>
      <c r="O182" s="25" t="s">
        <v>488</v>
      </c>
      <c r="P182" s="14"/>
      <c r="Q182" s="10">
        <v>15</v>
      </c>
      <c r="R182" s="19">
        <v>45796</v>
      </c>
      <c r="S182" s="19">
        <v>45797</v>
      </c>
      <c r="T182" s="19"/>
      <c r="U182" s="19"/>
      <c r="V182" s="19">
        <v>45799</v>
      </c>
      <c r="W182" s="10" t="s">
        <v>338</v>
      </c>
      <c r="X182" s="33" t="str">
        <f>IF(STAT[[#This Row],[sigla]]="","",VLOOKUP(STAT[[#This Row],[sigla]],créditos_base!B:C,2,0))</f>
        <v>Rafaela Panissa</v>
      </c>
      <c r="Y182" s="10"/>
      <c r="Z182" s="10" t="str">
        <f>STAT[[#This Row],[ilustrador]]</f>
        <v>Rafaela Panissa</v>
      </c>
      <c r="AA182" s="10">
        <v>8</v>
      </c>
      <c r="AB182" s="14" t="s">
        <v>322</v>
      </c>
      <c r="AC182" s="10" t="s">
        <v>13</v>
      </c>
      <c r="AD182" s="32" t="str">
        <f t="shared" si="4"/>
        <v>Sintonia Educação Infantil P009m</v>
      </c>
      <c r="AE182" s="47" t="str">
        <f t="shared" si="5"/>
        <v>Edinfa</v>
      </c>
      <c r="AF182" s="47"/>
    </row>
    <row r="183" spans="1:32" ht="79.2" x14ac:dyDescent="0.3">
      <c r="A183" s="13" t="s">
        <v>489</v>
      </c>
      <c r="B183" s="10" t="s">
        <v>6</v>
      </c>
      <c r="C183" s="11" t="s">
        <v>132</v>
      </c>
      <c r="D183" s="11" t="s">
        <v>8</v>
      </c>
      <c r="E183" s="10">
        <v>71</v>
      </c>
      <c r="F183" s="11">
        <v>5</v>
      </c>
      <c r="G183" s="10">
        <v>5</v>
      </c>
      <c r="H183" s="10">
        <v>5</v>
      </c>
      <c r="I183" s="12" t="s">
        <v>9</v>
      </c>
      <c r="J183" s="27"/>
      <c r="K183" s="10"/>
      <c r="L183" s="10"/>
      <c r="M183" s="10"/>
      <c r="N183" s="10"/>
      <c r="O183" s="25" t="s">
        <v>490</v>
      </c>
      <c r="P183" s="14"/>
      <c r="Q183" s="10">
        <v>15</v>
      </c>
      <c r="R183" s="19">
        <v>45796</v>
      </c>
      <c r="S183" s="19">
        <v>45797</v>
      </c>
      <c r="T183" s="19"/>
      <c r="U183" s="19"/>
      <c r="V183" s="19">
        <v>45799</v>
      </c>
      <c r="W183" s="10" t="s">
        <v>338</v>
      </c>
      <c r="X183" s="33" t="str">
        <f>IF(STAT[[#This Row],[sigla]]="","",VLOOKUP(STAT[[#This Row],[sigla]],créditos_base!B:C,2,0))</f>
        <v>Rafaela Panissa</v>
      </c>
      <c r="Y183" s="10"/>
      <c r="Z183" s="10" t="str">
        <f>STAT[[#This Row],[ilustrador]]</f>
        <v>Rafaela Panissa</v>
      </c>
      <c r="AA183" s="10">
        <v>8</v>
      </c>
      <c r="AB183" s="14" t="s">
        <v>322</v>
      </c>
      <c r="AC183" s="10" t="s">
        <v>13</v>
      </c>
      <c r="AD183" s="32" t="str">
        <f t="shared" si="4"/>
        <v>Sintonia Educação Infantil P009m</v>
      </c>
      <c r="AE183" s="47" t="str">
        <f t="shared" si="5"/>
        <v>Edinfa</v>
      </c>
      <c r="AF183" s="47"/>
    </row>
    <row r="184" spans="1:32" ht="39.6" x14ac:dyDescent="0.3">
      <c r="A184" s="13" t="s">
        <v>491</v>
      </c>
      <c r="B184" s="10" t="s">
        <v>6</v>
      </c>
      <c r="C184" s="11" t="s">
        <v>132</v>
      </c>
      <c r="D184" s="11" t="s">
        <v>8</v>
      </c>
      <c r="E184" s="10">
        <v>71</v>
      </c>
      <c r="F184" s="11">
        <v>5</v>
      </c>
      <c r="G184" s="10">
        <v>5</v>
      </c>
      <c r="H184" s="10">
        <v>5</v>
      </c>
      <c r="I184" s="12" t="s">
        <v>9</v>
      </c>
      <c r="J184" s="27"/>
      <c r="K184" s="10"/>
      <c r="L184" s="10"/>
      <c r="M184" s="10"/>
      <c r="N184" s="10"/>
      <c r="O184" s="25" t="s">
        <v>492</v>
      </c>
      <c r="P184" s="14"/>
      <c r="Q184" s="10">
        <v>15</v>
      </c>
      <c r="R184" s="19">
        <v>45796</v>
      </c>
      <c r="S184" s="19">
        <v>45797</v>
      </c>
      <c r="T184" s="19"/>
      <c r="U184" s="19"/>
      <c r="V184" s="19">
        <v>45799</v>
      </c>
      <c r="W184" s="10" t="s">
        <v>338</v>
      </c>
      <c r="X184" s="33" t="str">
        <f>IF(STAT[[#This Row],[sigla]]="","",VLOOKUP(STAT[[#This Row],[sigla]],créditos_base!B:C,2,0))</f>
        <v>Rafaela Panissa</v>
      </c>
      <c r="Y184" s="10"/>
      <c r="Z184" s="10" t="str">
        <f>STAT[[#This Row],[ilustrador]]</f>
        <v>Rafaela Panissa</v>
      </c>
      <c r="AA184" s="10">
        <v>8</v>
      </c>
      <c r="AB184" s="14" t="s">
        <v>322</v>
      </c>
      <c r="AC184" s="10" t="s">
        <v>13</v>
      </c>
      <c r="AD184" s="32" t="str">
        <f t="shared" si="4"/>
        <v>Sintonia Educação Infantil P009m</v>
      </c>
      <c r="AE184" s="47" t="str">
        <f t="shared" si="5"/>
        <v>Edinfa</v>
      </c>
      <c r="AF184" s="47"/>
    </row>
    <row r="185" spans="1:32" ht="39.6" x14ac:dyDescent="0.3">
      <c r="A185" s="13" t="s">
        <v>493</v>
      </c>
      <c r="B185" s="10" t="s">
        <v>6</v>
      </c>
      <c r="C185" s="11" t="s">
        <v>132</v>
      </c>
      <c r="D185" s="11" t="s">
        <v>8</v>
      </c>
      <c r="E185" s="10">
        <v>72</v>
      </c>
      <c r="F185" s="11">
        <v>5</v>
      </c>
      <c r="G185" s="10">
        <v>5</v>
      </c>
      <c r="H185" s="10">
        <v>5</v>
      </c>
      <c r="I185" s="12" t="s">
        <v>9</v>
      </c>
      <c r="J185" s="27"/>
      <c r="K185" s="10"/>
      <c r="L185" s="10"/>
      <c r="M185" s="10"/>
      <c r="N185" s="10"/>
      <c r="O185" s="25" t="s">
        <v>494</v>
      </c>
      <c r="P185" s="14"/>
      <c r="Q185" s="10">
        <v>15</v>
      </c>
      <c r="R185" s="19">
        <v>45796</v>
      </c>
      <c r="S185" s="19">
        <v>45797</v>
      </c>
      <c r="T185" s="19"/>
      <c r="U185" s="19"/>
      <c r="V185" s="19">
        <v>45799</v>
      </c>
      <c r="W185" s="10" t="s">
        <v>338</v>
      </c>
      <c r="X185" s="33" t="str">
        <f>IF(STAT[[#This Row],[sigla]]="","",VLOOKUP(STAT[[#This Row],[sigla]],créditos_base!B:C,2,0))</f>
        <v>Rafaela Panissa</v>
      </c>
      <c r="Y185" s="10"/>
      <c r="Z185" s="10" t="str">
        <f>STAT[[#This Row],[ilustrador]]</f>
        <v>Rafaela Panissa</v>
      </c>
      <c r="AA185" s="10">
        <v>8</v>
      </c>
      <c r="AB185" s="14" t="s">
        <v>322</v>
      </c>
      <c r="AC185" s="10" t="s">
        <v>13</v>
      </c>
      <c r="AD185" s="32" t="str">
        <f t="shared" si="4"/>
        <v>Sintonia Educação Infantil P009m</v>
      </c>
      <c r="AE185" s="47" t="str">
        <f t="shared" si="5"/>
        <v>Edinfa</v>
      </c>
      <c r="AF185" s="47"/>
    </row>
    <row r="186" spans="1:32" ht="86.4" x14ac:dyDescent="0.3">
      <c r="A186" s="13" t="s">
        <v>495</v>
      </c>
      <c r="B186" s="10" t="s">
        <v>6</v>
      </c>
      <c r="C186" s="11" t="s">
        <v>132</v>
      </c>
      <c r="D186" s="11" t="s">
        <v>8</v>
      </c>
      <c r="E186" s="10">
        <v>72</v>
      </c>
      <c r="F186" s="11">
        <v>5</v>
      </c>
      <c r="G186" s="10">
        <v>5</v>
      </c>
      <c r="H186" s="10">
        <v>5</v>
      </c>
      <c r="I186" s="12" t="s">
        <v>9</v>
      </c>
      <c r="J186" s="27"/>
      <c r="K186" s="10"/>
      <c r="L186" s="10"/>
      <c r="M186" s="10"/>
      <c r="N186" s="10"/>
      <c r="O186" s="25" t="s">
        <v>496</v>
      </c>
      <c r="P186" s="14"/>
      <c r="Q186" s="10">
        <v>15</v>
      </c>
      <c r="R186" s="19">
        <v>45796</v>
      </c>
      <c r="S186" s="19">
        <v>45797</v>
      </c>
      <c r="T186" s="19"/>
      <c r="U186" s="19"/>
      <c r="V186" s="19">
        <v>45799</v>
      </c>
      <c r="W186" s="10" t="s">
        <v>338</v>
      </c>
      <c r="X186" s="33" t="str">
        <f>IF(STAT[[#This Row],[sigla]]="","",VLOOKUP(STAT[[#This Row],[sigla]],créditos_base!B:C,2,0))</f>
        <v>Rafaela Panissa</v>
      </c>
      <c r="Y186" s="10"/>
      <c r="Z186" s="10" t="str">
        <f>STAT[[#This Row],[ilustrador]]</f>
        <v>Rafaela Panissa</v>
      </c>
      <c r="AA186" s="10">
        <v>8</v>
      </c>
      <c r="AB186" s="14" t="s">
        <v>322</v>
      </c>
      <c r="AC186" s="10" t="s">
        <v>13</v>
      </c>
      <c r="AD186" s="32" t="str">
        <f t="shared" si="4"/>
        <v>Sintonia Educação Infantil P009m</v>
      </c>
      <c r="AE186" s="47" t="str">
        <f t="shared" si="5"/>
        <v>Edinfa</v>
      </c>
      <c r="AF186" s="47"/>
    </row>
    <row r="187" spans="1:32" ht="26.4" x14ac:dyDescent="0.3">
      <c r="A187" s="13" t="s">
        <v>497</v>
      </c>
      <c r="B187" s="10" t="s">
        <v>6</v>
      </c>
      <c r="C187" s="11" t="s">
        <v>132</v>
      </c>
      <c r="D187" s="11" t="s">
        <v>8</v>
      </c>
      <c r="E187" s="10">
        <v>72</v>
      </c>
      <c r="F187" s="11">
        <v>5</v>
      </c>
      <c r="G187" s="10">
        <v>5</v>
      </c>
      <c r="H187" s="10">
        <v>5</v>
      </c>
      <c r="I187" s="12" t="s">
        <v>9</v>
      </c>
      <c r="J187" s="27"/>
      <c r="K187" s="10"/>
      <c r="L187" s="10"/>
      <c r="M187" s="10"/>
      <c r="N187" s="10"/>
      <c r="O187" s="25" t="s">
        <v>498</v>
      </c>
      <c r="P187" s="14"/>
      <c r="Q187" s="10">
        <v>15</v>
      </c>
      <c r="R187" s="19">
        <v>45796</v>
      </c>
      <c r="S187" s="19">
        <v>45797</v>
      </c>
      <c r="T187" s="19"/>
      <c r="U187" s="19"/>
      <c r="V187" s="19">
        <v>45799</v>
      </c>
      <c r="W187" s="10" t="s">
        <v>338</v>
      </c>
      <c r="X187" s="33" t="str">
        <f>IF(STAT[[#This Row],[sigla]]="","",VLOOKUP(STAT[[#This Row],[sigla]],créditos_base!B:C,2,0))</f>
        <v>Rafaela Panissa</v>
      </c>
      <c r="Y187" s="10"/>
      <c r="Z187" s="10" t="str">
        <f>STAT[[#This Row],[ilustrador]]</f>
        <v>Rafaela Panissa</v>
      </c>
      <c r="AA187" s="10">
        <v>8</v>
      </c>
      <c r="AB187" s="14" t="s">
        <v>322</v>
      </c>
      <c r="AC187" s="10" t="s">
        <v>13</v>
      </c>
      <c r="AD187" s="32" t="str">
        <f t="shared" si="4"/>
        <v>Sintonia Educação Infantil P009m</v>
      </c>
      <c r="AE187" s="47" t="str">
        <f t="shared" si="5"/>
        <v>Edinfa</v>
      </c>
      <c r="AF187" s="47"/>
    </row>
    <row r="188" spans="1:32" x14ac:dyDescent="0.3">
      <c r="A188" s="13" t="s">
        <v>499</v>
      </c>
      <c r="B188" s="10" t="s">
        <v>6</v>
      </c>
      <c r="C188" s="11" t="s">
        <v>15</v>
      </c>
      <c r="D188" s="11" t="s">
        <v>8</v>
      </c>
      <c r="E188" s="10">
        <v>72</v>
      </c>
      <c r="F188" s="11">
        <v>5</v>
      </c>
      <c r="G188" s="10">
        <v>5</v>
      </c>
      <c r="H188" s="10">
        <v>5</v>
      </c>
      <c r="I188" s="12" t="s">
        <v>9</v>
      </c>
      <c r="J188" s="27"/>
      <c r="K188" s="10"/>
      <c r="L188" s="10"/>
      <c r="M188" s="10"/>
      <c r="N188" s="10"/>
      <c r="O188" s="25" t="s">
        <v>500</v>
      </c>
      <c r="P188" s="14"/>
      <c r="Q188" s="10">
        <v>15</v>
      </c>
      <c r="R188" s="19">
        <v>45796</v>
      </c>
      <c r="S188" s="19">
        <v>45797</v>
      </c>
      <c r="T188" s="19"/>
      <c r="U188" s="19"/>
      <c r="V188" s="19">
        <v>45799</v>
      </c>
      <c r="W188" s="10" t="s">
        <v>338</v>
      </c>
      <c r="X188" s="33" t="str">
        <f>IF(STAT[[#This Row],[sigla]]="","",VLOOKUP(STAT[[#This Row],[sigla]],créditos_base!B:C,2,0))</f>
        <v>Rafaela Panissa</v>
      </c>
      <c r="Y188" s="10"/>
      <c r="Z188" s="10" t="str">
        <f>STAT[[#This Row],[ilustrador]]</f>
        <v>Rafaela Panissa</v>
      </c>
      <c r="AA188" s="10">
        <v>8</v>
      </c>
      <c r="AB188" s="14" t="s">
        <v>322</v>
      </c>
      <c r="AC188" s="10" t="s">
        <v>13</v>
      </c>
      <c r="AD188" s="32" t="str">
        <f t="shared" si="4"/>
        <v>Sintonia Educação Infantil P009m</v>
      </c>
      <c r="AE188" s="47" t="str">
        <f t="shared" si="5"/>
        <v>Edinfa</v>
      </c>
      <c r="AF188" s="47"/>
    </row>
    <row r="189" spans="1:32" ht="26.4" x14ac:dyDescent="0.3">
      <c r="A189" s="13" t="s">
        <v>501</v>
      </c>
      <c r="B189" s="10" t="s">
        <v>6</v>
      </c>
      <c r="C189" s="11" t="s">
        <v>15</v>
      </c>
      <c r="D189" s="11" t="s">
        <v>8</v>
      </c>
      <c r="E189" s="10">
        <v>73</v>
      </c>
      <c r="F189" s="11">
        <v>5</v>
      </c>
      <c r="G189" s="10">
        <v>5</v>
      </c>
      <c r="H189" s="10">
        <v>5</v>
      </c>
      <c r="I189" s="12" t="s">
        <v>9</v>
      </c>
      <c r="J189" s="27"/>
      <c r="K189" s="10"/>
      <c r="L189" s="10"/>
      <c r="M189" s="10"/>
      <c r="N189" s="10"/>
      <c r="O189" s="25" t="s">
        <v>502</v>
      </c>
      <c r="P189" s="14"/>
      <c r="Q189" s="10">
        <v>15</v>
      </c>
      <c r="R189" s="19">
        <v>45796</v>
      </c>
      <c r="S189" s="19">
        <v>45797</v>
      </c>
      <c r="T189" s="19"/>
      <c r="U189" s="19"/>
      <c r="V189" s="19">
        <v>45799</v>
      </c>
      <c r="W189" s="10" t="s">
        <v>88</v>
      </c>
      <c r="X189" s="33" t="str">
        <f>IF(STAT[[#This Row],[sigla]]="","",VLOOKUP(STAT[[#This Row],[sigla]],créditos_base!B:C,2,0))</f>
        <v>Arquivo da editora</v>
      </c>
      <c r="Y189" s="10" t="s">
        <v>12</v>
      </c>
      <c r="Z189" s="10" t="str">
        <f>STAT[[#This Row],[ilustrador]]</f>
        <v>Arquivo da editora</v>
      </c>
      <c r="AA189" s="10">
        <v>13</v>
      </c>
      <c r="AB189" s="14" t="s">
        <v>322</v>
      </c>
      <c r="AC189" s="10" t="s">
        <v>13</v>
      </c>
      <c r="AD189" s="32" t="str">
        <f t="shared" si="4"/>
        <v>Sintonia Educação Infantil P009m</v>
      </c>
      <c r="AE189" s="47" t="str">
        <f t="shared" si="5"/>
        <v>Edinfa</v>
      </c>
      <c r="AF189" s="47"/>
    </row>
    <row r="190" spans="1:32" ht="26.4" x14ac:dyDescent="0.3">
      <c r="A190" s="13" t="s">
        <v>503</v>
      </c>
      <c r="B190" s="10" t="s">
        <v>6</v>
      </c>
      <c r="C190" s="10" t="s">
        <v>15</v>
      </c>
      <c r="D190" s="11" t="s">
        <v>8</v>
      </c>
      <c r="E190" s="10">
        <v>76</v>
      </c>
      <c r="F190" s="11">
        <v>5</v>
      </c>
      <c r="G190" s="10">
        <v>5</v>
      </c>
      <c r="H190" s="10">
        <v>5</v>
      </c>
      <c r="I190" s="12" t="s">
        <v>9</v>
      </c>
      <c r="J190" s="27"/>
      <c r="K190" s="10"/>
      <c r="L190" s="10"/>
      <c r="M190" s="10"/>
      <c r="N190" s="10"/>
      <c r="O190" s="24" t="s">
        <v>504</v>
      </c>
      <c r="P190" s="14"/>
      <c r="Q190" s="10">
        <v>15</v>
      </c>
      <c r="R190" s="19">
        <v>45796</v>
      </c>
      <c r="S190" s="19">
        <v>45798</v>
      </c>
      <c r="T190" s="19">
        <v>45800</v>
      </c>
      <c r="U190" s="19">
        <v>45800</v>
      </c>
      <c r="V190" s="19">
        <v>45803</v>
      </c>
      <c r="W190" s="10" t="s">
        <v>167</v>
      </c>
      <c r="X190" s="33" t="str">
        <f>IF(STAT[[#This Row],[sigla]]="","",VLOOKUP(STAT[[#This Row],[sigla]],créditos_base!B:C,2,0))</f>
        <v>Clarice Baracho</v>
      </c>
      <c r="Y190" s="10"/>
      <c r="Z190" s="10" t="str">
        <f>STAT[[#This Row],[ilustrador]]</f>
        <v>Clarice Baracho</v>
      </c>
      <c r="AA190" s="10">
        <v>5</v>
      </c>
      <c r="AB190" s="14" t="s">
        <v>505</v>
      </c>
      <c r="AC190" s="10" t="s">
        <v>20</v>
      </c>
      <c r="AD190" s="32" t="str">
        <f t="shared" si="4"/>
        <v>Sintonia Educação Infantil P009m</v>
      </c>
      <c r="AE190" s="47" t="str">
        <f t="shared" si="5"/>
        <v>Edinfa</v>
      </c>
      <c r="AF190" s="47"/>
    </row>
    <row r="191" spans="1:32" ht="26.4" x14ac:dyDescent="0.3">
      <c r="A191" s="13" t="s">
        <v>506</v>
      </c>
      <c r="B191" s="10" t="s">
        <v>6</v>
      </c>
      <c r="C191" s="10" t="s">
        <v>15</v>
      </c>
      <c r="D191" s="11" t="s">
        <v>8</v>
      </c>
      <c r="E191" s="10">
        <v>78</v>
      </c>
      <c r="F191" s="11">
        <v>5</v>
      </c>
      <c r="G191" s="10">
        <v>5</v>
      </c>
      <c r="H191" s="10">
        <v>5</v>
      </c>
      <c r="I191" s="12" t="s">
        <v>9</v>
      </c>
      <c r="J191" s="27"/>
      <c r="K191" s="10"/>
      <c r="L191" s="10"/>
      <c r="M191" s="10"/>
      <c r="N191" s="10"/>
      <c r="O191" s="24" t="s">
        <v>507</v>
      </c>
      <c r="P191" s="14"/>
      <c r="Q191" s="10">
        <v>15</v>
      </c>
      <c r="R191" s="19">
        <v>45796</v>
      </c>
      <c r="S191" s="19">
        <v>45798</v>
      </c>
      <c r="T191" s="19">
        <v>45800</v>
      </c>
      <c r="U191" s="19">
        <v>45803</v>
      </c>
      <c r="V191" s="19">
        <v>45805</v>
      </c>
      <c r="W191" s="10" t="s">
        <v>468</v>
      </c>
      <c r="X191" s="33" t="str">
        <f>IF(STAT[[#This Row],[sigla]]="","",VLOOKUP(STAT[[#This Row],[sigla]],créditos_base!B:C,2,0))</f>
        <v>Sergio Lima</v>
      </c>
      <c r="Y191" s="10"/>
      <c r="Z191" s="10" t="str">
        <f>STAT[[#This Row],[ilustrador]]</f>
        <v>Sergio Lima</v>
      </c>
      <c r="AA191" s="10">
        <v>7</v>
      </c>
      <c r="AB191" s="14"/>
      <c r="AC191" s="10" t="s">
        <v>20</v>
      </c>
      <c r="AD191" s="32" t="str">
        <f t="shared" si="4"/>
        <v>Sintonia Educação Infantil P009m</v>
      </c>
      <c r="AE191" s="47" t="str">
        <f t="shared" si="5"/>
        <v>Edinfa</v>
      </c>
      <c r="AF191" s="47"/>
    </row>
    <row r="192" spans="1:32" ht="39.6" x14ac:dyDescent="0.3">
      <c r="A192" s="13" t="s">
        <v>508</v>
      </c>
      <c r="B192" s="10" t="s">
        <v>6</v>
      </c>
      <c r="C192" s="10" t="s">
        <v>15</v>
      </c>
      <c r="D192" s="11" t="s">
        <v>8</v>
      </c>
      <c r="E192" s="10">
        <v>79</v>
      </c>
      <c r="F192" s="11">
        <v>5</v>
      </c>
      <c r="G192" s="10">
        <v>5</v>
      </c>
      <c r="H192" s="10">
        <v>5</v>
      </c>
      <c r="I192" s="12" t="s">
        <v>9</v>
      </c>
      <c r="J192" s="27"/>
      <c r="K192" s="10"/>
      <c r="L192" s="10"/>
      <c r="M192" s="10"/>
      <c r="N192" s="10"/>
      <c r="O192" s="24" t="s">
        <v>509</v>
      </c>
      <c r="P192" s="14"/>
      <c r="Q192" s="10">
        <v>15</v>
      </c>
      <c r="R192" s="19">
        <v>45796</v>
      </c>
      <c r="S192" s="19">
        <v>45798</v>
      </c>
      <c r="T192" s="19">
        <v>45800</v>
      </c>
      <c r="U192" s="19">
        <v>45803</v>
      </c>
      <c r="V192" s="19">
        <v>45804</v>
      </c>
      <c r="W192" s="10" t="s">
        <v>468</v>
      </c>
      <c r="X192" s="33" t="str">
        <f>IF(STAT[[#This Row],[sigla]]="","",VLOOKUP(STAT[[#This Row],[sigla]],créditos_base!B:C,2,0))</f>
        <v>Sergio Lima</v>
      </c>
      <c r="Y192" s="10"/>
      <c r="Z192" s="10" t="str">
        <f>STAT[[#This Row],[ilustrador]]</f>
        <v>Sergio Lima</v>
      </c>
      <c r="AA192" s="10">
        <v>8</v>
      </c>
      <c r="AB192" s="14"/>
      <c r="AC192" s="10" t="s">
        <v>20</v>
      </c>
      <c r="AD192" s="32" t="str">
        <f t="shared" si="4"/>
        <v>Sintonia Educação Infantil P009m</v>
      </c>
      <c r="AE192" s="47" t="str">
        <f t="shared" si="5"/>
        <v>Edinfa</v>
      </c>
      <c r="AF192" s="47"/>
    </row>
    <row r="193" spans="1:32" x14ac:dyDescent="0.3">
      <c r="A193" s="13" t="s">
        <v>510</v>
      </c>
      <c r="B193" s="10" t="s">
        <v>6</v>
      </c>
      <c r="C193" s="10" t="s">
        <v>15</v>
      </c>
      <c r="D193" s="11" t="s">
        <v>8</v>
      </c>
      <c r="E193" s="10">
        <v>81</v>
      </c>
      <c r="F193" s="11">
        <v>5</v>
      </c>
      <c r="G193" s="10">
        <v>5</v>
      </c>
      <c r="H193" s="10">
        <v>5</v>
      </c>
      <c r="I193" s="12" t="s">
        <v>9</v>
      </c>
      <c r="J193" s="27"/>
      <c r="K193" s="10"/>
      <c r="L193" s="10"/>
      <c r="M193" s="10"/>
      <c r="N193" s="10"/>
      <c r="O193" s="24" t="s">
        <v>511</v>
      </c>
      <c r="P193" s="14"/>
      <c r="Q193" s="10">
        <v>15</v>
      </c>
      <c r="R193" s="19">
        <v>45796</v>
      </c>
      <c r="S193" s="19">
        <v>45798</v>
      </c>
      <c r="T193" s="19">
        <v>45800</v>
      </c>
      <c r="U193" s="19">
        <v>45800</v>
      </c>
      <c r="V193" s="19">
        <v>45803</v>
      </c>
      <c r="W193" s="10" t="s">
        <v>167</v>
      </c>
      <c r="X193" s="33" t="str">
        <f>IF(STAT[[#This Row],[sigla]]="","",VLOOKUP(STAT[[#This Row],[sigla]],créditos_base!B:C,2,0))</f>
        <v>Clarice Baracho</v>
      </c>
      <c r="Y193" s="10"/>
      <c r="Z193" s="10" t="str">
        <f>STAT[[#This Row],[ilustrador]]</f>
        <v>Clarice Baracho</v>
      </c>
      <c r="AA193" s="10">
        <v>4</v>
      </c>
      <c r="AB193" s="14" t="s">
        <v>505</v>
      </c>
      <c r="AC193" s="10" t="s">
        <v>20</v>
      </c>
      <c r="AD193" s="32" t="str">
        <f t="shared" si="4"/>
        <v>Sintonia Educação Infantil P009m</v>
      </c>
      <c r="AE193" s="47" t="str">
        <f t="shared" si="5"/>
        <v>Edinfa</v>
      </c>
      <c r="AF193" s="47"/>
    </row>
    <row r="194" spans="1:32" x14ac:dyDescent="0.3">
      <c r="A194" s="13" t="s">
        <v>514</v>
      </c>
      <c r="B194" s="10" t="s">
        <v>6</v>
      </c>
      <c r="C194" s="10" t="s">
        <v>15</v>
      </c>
      <c r="D194" s="11" t="s">
        <v>8</v>
      </c>
      <c r="E194" s="10">
        <v>83</v>
      </c>
      <c r="F194" s="11">
        <v>5</v>
      </c>
      <c r="G194" s="10">
        <v>5</v>
      </c>
      <c r="H194" s="10">
        <v>5</v>
      </c>
      <c r="I194" s="12" t="s">
        <v>9</v>
      </c>
      <c r="J194" s="27"/>
      <c r="K194" s="10"/>
      <c r="L194" s="10"/>
      <c r="M194" s="10"/>
      <c r="N194" s="10"/>
      <c r="O194" s="24" t="s">
        <v>515</v>
      </c>
      <c r="P194" s="14"/>
      <c r="Q194" s="10">
        <v>15</v>
      </c>
      <c r="R194" s="19">
        <v>45796</v>
      </c>
      <c r="S194" s="19">
        <v>45798</v>
      </c>
      <c r="T194" s="19">
        <v>45800</v>
      </c>
      <c r="U194" s="19">
        <v>45800</v>
      </c>
      <c r="V194" s="19">
        <v>45803</v>
      </c>
      <c r="W194" s="10" t="s">
        <v>167</v>
      </c>
      <c r="X194" s="33" t="str">
        <f>IF(STAT[[#This Row],[sigla]]="","",VLOOKUP(STAT[[#This Row],[sigla]],créditos_base!B:C,2,0))</f>
        <v>Clarice Baracho</v>
      </c>
      <c r="Y194" s="10"/>
      <c r="Z194" s="10" t="str">
        <f>STAT[[#This Row],[ilustrador]]</f>
        <v>Clarice Baracho</v>
      </c>
      <c r="AA194" s="10">
        <v>5</v>
      </c>
      <c r="AB194" s="14" t="s">
        <v>505</v>
      </c>
      <c r="AC194" s="10" t="s">
        <v>20</v>
      </c>
      <c r="AD194" s="32" t="str">
        <f t="shared" ref="AD194:AD225" si="6">"Sintonia Educação Infantil P009m"</f>
        <v>Sintonia Educação Infantil P009m</v>
      </c>
      <c r="AE194" s="47" t="str">
        <f t="shared" ref="AE194:AE225" si="7">"Edinfa"</f>
        <v>Edinfa</v>
      </c>
      <c r="AF194" s="47"/>
    </row>
    <row r="195" spans="1:32" x14ac:dyDescent="0.3">
      <c r="A195" s="13" t="s">
        <v>516</v>
      </c>
      <c r="B195" s="10" t="s">
        <v>6</v>
      </c>
      <c r="C195" s="10" t="s">
        <v>15</v>
      </c>
      <c r="D195" s="11" t="s">
        <v>8</v>
      </c>
      <c r="E195" s="10">
        <v>84</v>
      </c>
      <c r="F195" s="11">
        <v>5</v>
      </c>
      <c r="G195" s="10">
        <v>5</v>
      </c>
      <c r="H195" s="10">
        <v>5</v>
      </c>
      <c r="I195" s="12" t="s">
        <v>9</v>
      </c>
      <c r="J195" s="27"/>
      <c r="K195" s="10"/>
      <c r="L195" s="10"/>
      <c r="M195" s="10"/>
      <c r="N195" s="10"/>
      <c r="O195" s="18" t="s">
        <v>517</v>
      </c>
      <c r="P195" s="14"/>
      <c r="Q195" s="10">
        <v>15</v>
      </c>
      <c r="R195" s="19">
        <v>45796</v>
      </c>
      <c r="S195" s="19">
        <v>45798</v>
      </c>
      <c r="T195" s="19">
        <v>45800</v>
      </c>
      <c r="U195" s="19">
        <v>45803</v>
      </c>
      <c r="V195" s="19">
        <v>45804</v>
      </c>
      <c r="W195" s="10" t="s">
        <v>468</v>
      </c>
      <c r="X195" s="33" t="str">
        <f>IF(STAT[[#This Row],[sigla]]="","",VLOOKUP(STAT[[#This Row],[sigla]],créditos_base!B:C,2,0))</f>
        <v>Sergio Lima</v>
      </c>
      <c r="Y195" s="10"/>
      <c r="Z195" s="10" t="str">
        <f>STAT[[#This Row],[ilustrador]]</f>
        <v>Sergio Lima</v>
      </c>
      <c r="AA195" s="10">
        <v>8</v>
      </c>
      <c r="AB195" s="14"/>
      <c r="AC195" s="10" t="s">
        <v>20</v>
      </c>
      <c r="AD195" s="32" t="str">
        <f t="shared" si="6"/>
        <v>Sintonia Educação Infantil P009m</v>
      </c>
      <c r="AE195" s="47" t="str">
        <f t="shared" si="7"/>
        <v>Edinfa</v>
      </c>
      <c r="AF195" s="47"/>
    </row>
    <row r="196" spans="1:32" ht="43.2" x14ac:dyDescent="0.3">
      <c r="A196" s="13" t="s">
        <v>426</v>
      </c>
      <c r="B196" s="10" t="s">
        <v>6</v>
      </c>
      <c r="C196" s="11" t="s">
        <v>15</v>
      </c>
      <c r="D196" s="11" t="s">
        <v>8</v>
      </c>
      <c r="E196" s="10">
        <v>85</v>
      </c>
      <c r="F196" s="11">
        <v>5</v>
      </c>
      <c r="G196" s="10">
        <v>6</v>
      </c>
      <c r="H196" s="11">
        <v>6</v>
      </c>
      <c r="I196" s="12" t="s">
        <v>9</v>
      </c>
      <c r="J196" s="27"/>
      <c r="K196" s="10"/>
      <c r="L196" s="10"/>
      <c r="M196" s="10"/>
      <c r="N196" s="10"/>
      <c r="O196" s="25" t="s">
        <v>427</v>
      </c>
      <c r="P196" s="14"/>
      <c r="Q196" s="10">
        <v>14</v>
      </c>
      <c r="R196" s="19">
        <v>45786</v>
      </c>
      <c r="S196" s="19">
        <v>45789</v>
      </c>
      <c r="T196" s="19"/>
      <c r="U196" s="19"/>
      <c r="V196" s="19">
        <v>45796</v>
      </c>
      <c r="W196" s="10" t="s">
        <v>115</v>
      </c>
      <c r="X196" s="33" t="str">
        <f>IF(STAT[[#This Row],[sigla]]="","",VLOOKUP(STAT[[#This Row],[sigla]],créditos_base!B:C,2,0))</f>
        <v>Heloísa Pintarelli</v>
      </c>
      <c r="Y196" s="10"/>
      <c r="Z196" s="10" t="str">
        <f>STAT[[#This Row],[ilustrador]]</f>
        <v>Heloísa Pintarelli</v>
      </c>
      <c r="AA196" s="10">
        <v>5</v>
      </c>
      <c r="AB196" s="14" t="s">
        <v>428</v>
      </c>
      <c r="AC196" s="10" t="s">
        <v>20</v>
      </c>
      <c r="AD196" s="32" t="str">
        <f t="shared" si="6"/>
        <v>Sintonia Educação Infantil P009m</v>
      </c>
      <c r="AE196" s="47" t="str">
        <f t="shared" si="7"/>
        <v>Edinfa</v>
      </c>
      <c r="AF196" s="47"/>
    </row>
    <row r="197" spans="1:32" ht="28.8" x14ac:dyDescent="0.3">
      <c r="A197" s="13" t="s">
        <v>429</v>
      </c>
      <c r="B197" s="10" t="s">
        <v>6</v>
      </c>
      <c r="C197" s="11" t="s">
        <v>15</v>
      </c>
      <c r="D197" s="11" t="s">
        <v>8</v>
      </c>
      <c r="E197" s="10">
        <v>85</v>
      </c>
      <c r="F197" s="11">
        <v>5</v>
      </c>
      <c r="G197" s="10">
        <v>6</v>
      </c>
      <c r="H197" s="11">
        <v>6</v>
      </c>
      <c r="I197" s="12" t="s">
        <v>9</v>
      </c>
      <c r="J197" s="27"/>
      <c r="K197" s="10"/>
      <c r="L197" s="10"/>
      <c r="M197" s="10"/>
      <c r="N197" s="10"/>
      <c r="O197" s="25" t="s">
        <v>430</v>
      </c>
      <c r="P197" s="14"/>
      <c r="Q197" s="10">
        <v>14</v>
      </c>
      <c r="R197" s="19">
        <v>45786</v>
      </c>
      <c r="S197" s="19">
        <v>45789</v>
      </c>
      <c r="T197" s="19"/>
      <c r="U197" s="19"/>
      <c r="V197" s="19">
        <v>45796</v>
      </c>
      <c r="W197" s="10" t="s">
        <v>115</v>
      </c>
      <c r="X197" s="33" t="str">
        <f>IF(STAT[[#This Row],[sigla]]="","",VLOOKUP(STAT[[#This Row],[sigla]],créditos_base!B:C,2,0))</f>
        <v>Heloísa Pintarelli</v>
      </c>
      <c r="Y197" s="10"/>
      <c r="Z197" s="10" t="str">
        <f>STAT[[#This Row],[ilustrador]]</f>
        <v>Heloísa Pintarelli</v>
      </c>
      <c r="AA197" s="10">
        <v>7</v>
      </c>
      <c r="AB197" s="14" t="s">
        <v>428</v>
      </c>
      <c r="AC197" s="10" t="s">
        <v>20</v>
      </c>
      <c r="AD197" s="32" t="str">
        <f t="shared" si="6"/>
        <v>Sintonia Educação Infantil P009m</v>
      </c>
      <c r="AE197" s="47" t="str">
        <f t="shared" si="7"/>
        <v>Edinfa</v>
      </c>
      <c r="AF197" s="47"/>
    </row>
    <row r="198" spans="1:32" ht="28.8" x14ac:dyDescent="0.3">
      <c r="A198" s="13" t="s">
        <v>434</v>
      </c>
      <c r="B198" s="10" t="s">
        <v>6</v>
      </c>
      <c r="C198" s="11" t="s">
        <v>15</v>
      </c>
      <c r="D198" s="11" t="s">
        <v>8</v>
      </c>
      <c r="E198" s="10">
        <v>92</v>
      </c>
      <c r="F198" s="11">
        <v>5</v>
      </c>
      <c r="G198" s="10">
        <v>6</v>
      </c>
      <c r="H198" s="11">
        <v>6</v>
      </c>
      <c r="I198" s="12" t="s">
        <v>9</v>
      </c>
      <c r="J198" s="27"/>
      <c r="K198" s="10"/>
      <c r="L198" s="10"/>
      <c r="M198" s="10"/>
      <c r="N198" s="10"/>
      <c r="O198" s="25" t="s">
        <v>435</v>
      </c>
      <c r="P198" s="14"/>
      <c r="Q198" s="10">
        <v>14</v>
      </c>
      <c r="R198" s="19">
        <v>45786</v>
      </c>
      <c r="S198" s="19">
        <v>45789</v>
      </c>
      <c r="T198" s="19"/>
      <c r="U198" s="19"/>
      <c r="V198" s="19">
        <v>45796</v>
      </c>
      <c r="W198" s="10" t="s">
        <v>115</v>
      </c>
      <c r="X198" s="33" t="str">
        <f>IF(STAT[[#This Row],[sigla]]="","",VLOOKUP(STAT[[#This Row],[sigla]],créditos_base!B:C,2,0))</f>
        <v>Heloísa Pintarelli</v>
      </c>
      <c r="Y198" s="10"/>
      <c r="Z198" s="10" t="str">
        <f>STAT[[#This Row],[ilustrador]]</f>
        <v>Heloísa Pintarelli</v>
      </c>
      <c r="AA198" s="10">
        <v>6</v>
      </c>
      <c r="AB198" s="14" t="s">
        <v>428</v>
      </c>
      <c r="AC198" s="10" t="s">
        <v>20</v>
      </c>
      <c r="AD198" s="32" t="str">
        <f t="shared" si="6"/>
        <v>Sintonia Educação Infantil P009m</v>
      </c>
      <c r="AE198" s="47" t="str">
        <f t="shared" si="7"/>
        <v>Edinfa</v>
      </c>
      <c r="AF198" s="47"/>
    </row>
    <row r="199" spans="1:32" ht="26.4" x14ac:dyDescent="0.3">
      <c r="A199" s="13" t="s">
        <v>436</v>
      </c>
      <c r="B199" s="10" t="s">
        <v>6</v>
      </c>
      <c r="C199" s="11" t="s">
        <v>15</v>
      </c>
      <c r="D199" s="11" t="s">
        <v>8</v>
      </c>
      <c r="E199" s="10">
        <v>92</v>
      </c>
      <c r="F199" s="11">
        <v>5</v>
      </c>
      <c r="G199" s="10">
        <v>6</v>
      </c>
      <c r="H199" s="11">
        <v>6</v>
      </c>
      <c r="I199" s="12" t="s">
        <v>9</v>
      </c>
      <c r="J199" s="27"/>
      <c r="K199" s="10"/>
      <c r="L199" s="10"/>
      <c r="M199" s="10"/>
      <c r="N199" s="10"/>
      <c r="O199" s="25" t="s">
        <v>437</v>
      </c>
      <c r="P199" s="14"/>
      <c r="Q199" s="10">
        <v>14</v>
      </c>
      <c r="R199" s="19">
        <v>45786</v>
      </c>
      <c r="S199" s="19">
        <v>45789</v>
      </c>
      <c r="T199" s="19"/>
      <c r="U199" s="19"/>
      <c r="V199" s="19">
        <v>45796</v>
      </c>
      <c r="W199" s="10" t="s">
        <v>115</v>
      </c>
      <c r="X199" s="33" t="str">
        <f>IF(STAT[[#This Row],[sigla]]="","",VLOOKUP(STAT[[#This Row],[sigla]],créditos_base!B:C,2,0))</f>
        <v>Heloísa Pintarelli</v>
      </c>
      <c r="Y199" s="10"/>
      <c r="Z199" s="10" t="str">
        <f>STAT[[#This Row],[ilustrador]]</f>
        <v>Heloísa Pintarelli</v>
      </c>
      <c r="AA199" s="10">
        <v>14</v>
      </c>
      <c r="AB199" s="14" t="s">
        <v>428</v>
      </c>
      <c r="AC199" s="10" t="s">
        <v>20</v>
      </c>
      <c r="AD199" s="32" t="str">
        <f t="shared" si="6"/>
        <v>Sintonia Educação Infantil P009m</v>
      </c>
      <c r="AE199" s="47" t="str">
        <f t="shared" si="7"/>
        <v>Edinfa</v>
      </c>
      <c r="AF199" s="47"/>
    </row>
    <row r="200" spans="1:32" ht="26.4" x14ac:dyDescent="0.3">
      <c r="A200" s="13" t="s">
        <v>438</v>
      </c>
      <c r="B200" s="10" t="s">
        <v>6</v>
      </c>
      <c r="C200" s="11" t="s">
        <v>15</v>
      </c>
      <c r="D200" s="11" t="s">
        <v>8</v>
      </c>
      <c r="E200" s="10">
        <v>92</v>
      </c>
      <c r="F200" s="11">
        <v>5</v>
      </c>
      <c r="G200" s="10">
        <v>6</v>
      </c>
      <c r="H200" s="11">
        <v>6</v>
      </c>
      <c r="I200" s="12" t="s">
        <v>9</v>
      </c>
      <c r="J200" s="27"/>
      <c r="K200" s="10"/>
      <c r="L200" s="10"/>
      <c r="M200" s="10"/>
      <c r="N200" s="10"/>
      <c r="O200" s="25" t="s">
        <v>439</v>
      </c>
      <c r="P200" s="14"/>
      <c r="Q200" s="10">
        <v>14</v>
      </c>
      <c r="R200" s="19">
        <v>45786</v>
      </c>
      <c r="S200" s="19">
        <v>45789</v>
      </c>
      <c r="T200" s="19"/>
      <c r="U200" s="19"/>
      <c r="V200" s="19">
        <v>45796</v>
      </c>
      <c r="W200" s="10" t="s">
        <v>115</v>
      </c>
      <c r="X200" s="33" t="str">
        <f>IF(STAT[[#This Row],[sigla]]="","",VLOOKUP(STAT[[#This Row],[sigla]],créditos_base!B:C,2,0))</f>
        <v>Heloísa Pintarelli</v>
      </c>
      <c r="Y200" s="10"/>
      <c r="Z200" s="10" t="str">
        <f>STAT[[#This Row],[ilustrador]]</f>
        <v>Heloísa Pintarelli</v>
      </c>
      <c r="AA200" s="10">
        <v>7</v>
      </c>
      <c r="AB200" s="14" t="s">
        <v>428</v>
      </c>
      <c r="AC200" s="10" t="s">
        <v>20</v>
      </c>
      <c r="AD200" s="32" t="str">
        <f t="shared" si="6"/>
        <v>Sintonia Educação Infantil P009m</v>
      </c>
      <c r="AE200" s="47" t="str">
        <f t="shared" si="7"/>
        <v>Edinfa</v>
      </c>
      <c r="AF200" s="47"/>
    </row>
    <row r="201" spans="1:32" ht="26.4" x14ac:dyDescent="0.3">
      <c r="A201" s="13" t="s">
        <v>440</v>
      </c>
      <c r="B201" s="10" t="s">
        <v>6</v>
      </c>
      <c r="C201" s="11" t="s">
        <v>15</v>
      </c>
      <c r="D201" s="11" t="s">
        <v>8</v>
      </c>
      <c r="E201" s="10">
        <v>92</v>
      </c>
      <c r="F201" s="11">
        <v>5</v>
      </c>
      <c r="G201" s="10">
        <v>6</v>
      </c>
      <c r="H201" s="11">
        <v>6</v>
      </c>
      <c r="I201" s="12" t="s">
        <v>9</v>
      </c>
      <c r="J201" s="27"/>
      <c r="K201" s="10"/>
      <c r="L201" s="10"/>
      <c r="M201" s="10"/>
      <c r="N201" s="10"/>
      <c r="O201" s="25" t="s">
        <v>441</v>
      </c>
      <c r="P201" s="14"/>
      <c r="Q201" s="10">
        <v>14</v>
      </c>
      <c r="R201" s="19">
        <v>45786</v>
      </c>
      <c r="S201" s="19">
        <v>45789</v>
      </c>
      <c r="T201" s="19"/>
      <c r="U201" s="19"/>
      <c r="V201" s="19">
        <v>45796</v>
      </c>
      <c r="W201" s="10" t="s">
        <v>115</v>
      </c>
      <c r="X201" s="33" t="str">
        <f>IF(STAT[[#This Row],[sigla]]="","",VLOOKUP(STAT[[#This Row],[sigla]],créditos_base!B:C,2,0))</f>
        <v>Heloísa Pintarelli</v>
      </c>
      <c r="Y201" s="10"/>
      <c r="Z201" s="10" t="str">
        <f>STAT[[#This Row],[ilustrador]]</f>
        <v>Heloísa Pintarelli</v>
      </c>
      <c r="AA201" s="10">
        <v>14</v>
      </c>
      <c r="AB201" s="14" t="s">
        <v>428</v>
      </c>
      <c r="AC201" s="10" t="s">
        <v>20</v>
      </c>
      <c r="AD201" s="32" t="str">
        <f t="shared" si="6"/>
        <v>Sintonia Educação Infantil P009m</v>
      </c>
      <c r="AE201" s="47" t="str">
        <f t="shared" si="7"/>
        <v>Edinfa</v>
      </c>
      <c r="AF201" s="47"/>
    </row>
    <row r="202" spans="1:32" ht="277.2" x14ac:dyDescent="0.3">
      <c r="A202" s="13" t="s">
        <v>442</v>
      </c>
      <c r="B202" s="10" t="s">
        <v>6</v>
      </c>
      <c r="C202" s="11" t="s">
        <v>15</v>
      </c>
      <c r="D202" s="11" t="s">
        <v>8</v>
      </c>
      <c r="E202" s="10">
        <v>92</v>
      </c>
      <c r="F202" s="11">
        <v>5</v>
      </c>
      <c r="G202" s="10">
        <v>6</v>
      </c>
      <c r="H202" s="11">
        <v>6</v>
      </c>
      <c r="I202" s="12" t="s">
        <v>9</v>
      </c>
      <c r="J202" s="27"/>
      <c r="K202" s="10"/>
      <c r="L202" s="10"/>
      <c r="M202" s="10"/>
      <c r="N202" s="10"/>
      <c r="O202" s="25" t="s">
        <v>443</v>
      </c>
      <c r="P202" s="14"/>
      <c r="Q202" s="10">
        <v>14</v>
      </c>
      <c r="R202" s="19">
        <v>45786</v>
      </c>
      <c r="S202" s="19">
        <v>45789</v>
      </c>
      <c r="T202" s="19"/>
      <c r="U202" s="19"/>
      <c r="V202" s="19">
        <v>45796</v>
      </c>
      <c r="W202" s="10" t="s">
        <v>115</v>
      </c>
      <c r="X202" s="33" t="str">
        <f>IF(STAT[[#This Row],[sigla]]="","",VLOOKUP(STAT[[#This Row],[sigla]],créditos_base!B:C,2,0))</f>
        <v>Heloísa Pintarelli</v>
      </c>
      <c r="Y202" s="10"/>
      <c r="Z202" s="10" t="str">
        <f>STAT[[#This Row],[ilustrador]]</f>
        <v>Heloísa Pintarelli</v>
      </c>
      <c r="AA202" s="10">
        <v>7</v>
      </c>
      <c r="AB202" s="14" t="s">
        <v>428</v>
      </c>
      <c r="AC202" s="10" t="s">
        <v>20</v>
      </c>
      <c r="AD202" s="32" t="str">
        <f t="shared" si="6"/>
        <v>Sintonia Educação Infantil P009m</v>
      </c>
      <c r="AE202" s="47" t="str">
        <f t="shared" si="7"/>
        <v>Edinfa</v>
      </c>
      <c r="AF202" s="47"/>
    </row>
    <row r="203" spans="1:32" ht="39.6" x14ac:dyDescent="0.3">
      <c r="A203" s="13" t="s">
        <v>444</v>
      </c>
      <c r="B203" s="10" t="s">
        <v>6</v>
      </c>
      <c r="C203" s="11" t="s">
        <v>15</v>
      </c>
      <c r="D203" s="11" t="s">
        <v>8</v>
      </c>
      <c r="E203" s="10">
        <v>92</v>
      </c>
      <c r="F203" s="11">
        <v>5</v>
      </c>
      <c r="G203" s="10">
        <v>6</v>
      </c>
      <c r="H203" s="11">
        <v>6</v>
      </c>
      <c r="I203" s="12" t="s">
        <v>9</v>
      </c>
      <c r="J203" s="27"/>
      <c r="K203" s="10"/>
      <c r="L203" s="10"/>
      <c r="M203" s="10"/>
      <c r="N203" s="10"/>
      <c r="O203" s="25" t="s">
        <v>445</v>
      </c>
      <c r="P203" s="14"/>
      <c r="Q203" s="10">
        <v>14</v>
      </c>
      <c r="R203" s="19">
        <v>45786</v>
      </c>
      <c r="S203" s="19">
        <v>45789</v>
      </c>
      <c r="T203" s="19"/>
      <c r="U203" s="19"/>
      <c r="V203" s="19">
        <v>45796</v>
      </c>
      <c r="W203" s="10" t="s">
        <v>115</v>
      </c>
      <c r="X203" s="33" t="str">
        <f>IF(STAT[[#This Row],[sigla]]="","",VLOOKUP(STAT[[#This Row],[sigla]],créditos_base!B:C,2,0))</f>
        <v>Heloísa Pintarelli</v>
      </c>
      <c r="Y203" s="10"/>
      <c r="Z203" s="10" t="str">
        <f>STAT[[#This Row],[ilustrador]]</f>
        <v>Heloísa Pintarelli</v>
      </c>
      <c r="AA203" s="10">
        <v>14</v>
      </c>
      <c r="AB203" s="14" t="s">
        <v>428</v>
      </c>
      <c r="AC203" s="10" t="s">
        <v>20</v>
      </c>
      <c r="AD203" s="32" t="str">
        <f t="shared" si="6"/>
        <v>Sintonia Educação Infantil P009m</v>
      </c>
      <c r="AE203" s="47" t="str">
        <f t="shared" si="7"/>
        <v>Edinfa</v>
      </c>
      <c r="AF203" s="47"/>
    </row>
    <row r="204" spans="1:32" x14ac:dyDescent="0.3">
      <c r="A204" s="13" t="s">
        <v>446</v>
      </c>
      <c r="B204" s="10" t="s">
        <v>6</v>
      </c>
      <c r="C204" s="11" t="s">
        <v>132</v>
      </c>
      <c r="D204" s="11" t="s">
        <v>8</v>
      </c>
      <c r="E204" s="10">
        <v>93</v>
      </c>
      <c r="F204" s="11">
        <v>5</v>
      </c>
      <c r="G204" s="10">
        <v>6</v>
      </c>
      <c r="H204" s="11">
        <v>6</v>
      </c>
      <c r="I204" s="12" t="s">
        <v>9</v>
      </c>
      <c r="J204" s="27"/>
      <c r="K204" s="10"/>
      <c r="L204" s="10"/>
      <c r="M204" s="10"/>
      <c r="N204" s="10"/>
      <c r="O204" s="25" t="s">
        <v>447</v>
      </c>
      <c r="P204" s="14"/>
      <c r="Q204" s="10">
        <v>14</v>
      </c>
      <c r="R204" s="19">
        <v>45786</v>
      </c>
      <c r="S204" s="19">
        <v>45789</v>
      </c>
      <c r="T204" s="19"/>
      <c r="U204" s="19"/>
      <c r="V204" s="19">
        <v>45789</v>
      </c>
      <c r="W204" s="10" t="s">
        <v>338</v>
      </c>
      <c r="X204" s="33" t="str">
        <f>IF(STAT[[#This Row],[sigla]]="","",VLOOKUP(STAT[[#This Row],[sigla]],créditos_base!B:C,2,0))</f>
        <v>Rafaela Panissa</v>
      </c>
      <c r="Y204" s="10"/>
      <c r="Z204" s="10" t="str">
        <f>STAT[[#This Row],[ilustrador]]</f>
        <v>Rafaela Panissa</v>
      </c>
      <c r="AA204" s="10">
        <v>8</v>
      </c>
      <c r="AB204" s="14" t="s">
        <v>322</v>
      </c>
      <c r="AC204" s="10" t="s">
        <v>13</v>
      </c>
      <c r="AD204" s="32" t="str">
        <f t="shared" si="6"/>
        <v>Sintonia Educação Infantil P009m</v>
      </c>
      <c r="AE204" s="47" t="str">
        <f t="shared" si="7"/>
        <v>Edinfa</v>
      </c>
      <c r="AF204" s="47"/>
    </row>
    <row r="205" spans="1:32" x14ac:dyDescent="0.3">
      <c r="A205" s="13" t="s">
        <v>448</v>
      </c>
      <c r="B205" s="10" t="s">
        <v>6</v>
      </c>
      <c r="C205" s="11" t="s">
        <v>132</v>
      </c>
      <c r="D205" s="11" t="s">
        <v>8</v>
      </c>
      <c r="E205" s="10">
        <v>93</v>
      </c>
      <c r="F205" s="11">
        <v>5</v>
      </c>
      <c r="G205" s="10">
        <v>6</v>
      </c>
      <c r="H205" s="11">
        <v>6</v>
      </c>
      <c r="I205" s="12" t="s">
        <v>9</v>
      </c>
      <c r="J205" s="27"/>
      <c r="K205" s="10"/>
      <c r="L205" s="10"/>
      <c r="M205" s="10"/>
      <c r="N205" s="10"/>
      <c r="O205" s="25" t="s">
        <v>449</v>
      </c>
      <c r="P205" s="14"/>
      <c r="Q205" s="10">
        <v>14</v>
      </c>
      <c r="R205" s="19">
        <v>45786</v>
      </c>
      <c r="S205" s="19">
        <v>45789</v>
      </c>
      <c r="T205" s="19"/>
      <c r="U205" s="19"/>
      <c r="V205" s="19">
        <v>45789</v>
      </c>
      <c r="W205" s="10" t="s">
        <v>338</v>
      </c>
      <c r="X205" s="33" t="str">
        <f>IF(STAT[[#This Row],[sigla]]="","",VLOOKUP(STAT[[#This Row],[sigla]],créditos_base!B:C,2,0))</f>
        <v>Rafaela Panissa</v>
      </c>
      <c r="Y205" s="10"/>
      <c r="Z205" s="10" t="str">
        <f>STAT[[#This Row],[ilustrador]]</f>
        <v>Rafaela Panissa</v>
      </c>
      <c r="AA205" s="10">
        <v>8</v>
      </c>
      <c r="AB205" s="14" t="s">
        <v>322</v>
      </c>
      <c r="AC205" s="10" t="s">
        <v>13</v>
      </c>
      <c r="AD205" s="32" t="str">
        <f t="shared" si="6"/>
        <v>Sintonia Educação Infantil P009m</v>
      </c>
      <c r="AE205" s="47" t="str">
        <f t="shared" si="7"/>
        <v>Edinfa</v>
      </c>
      <c r="AF205" s="47"/>
    </row>
    <row r="206" spans="1:32" x14ac:dyDescent="0.3">
      <c r="A206" s="13" t="s">
        <v>450</v>
      </c>
      <c r="B206" s="10" t="s">
        <v>6</v>
      </c>
      <c r="C206" s="10" t="s">
        <v>132</v>
      </c>
      <c r="D206" s="10" t="s">
        <v>8</v>
      </c>
      <c r="E206" s="10">
        <v>93</v>
      </c>
      <c r="F206" s="10">
        <v>5</v>
      </c>
      <c r="G206" s="10">
        <v>6</v>
      </c>
      <c r="H206" s="10">
        <v>6</v>
      </c>
      <c r="I206" s="20" t="s">
        <v>9</v>
      </c>
      <c r="J206" s="27"/>
      <c r="K206" s="10"/>
      <c r="L206" s="10"/>
      <c r="M206" s="10"/>
      <c r="N206" s="10"/>
      <c r="O206" s="24" t="s">
        <v>451</v>
      </c>
      <c r="P206" s="14"/>
      <c r="Q206" s="10">
        <v>14</v>
      </c>
      <c r="R206" s="19">
        <v>45786</v>
      </c>
      <c r="S206" s="19">
        <v>45789</v>
      </c>
      <c r="T206" s="19"/>
      <c r="U206" s="19"/>
      <c r="V206" s="19">
        <v>45789</v>
      </c>
      <c r="W206" s="10" t="s">
        <v>338</v>
      </c>
      <c r="X206" s="33" t="str">
        <f>IF(STAT[[#This Row],[sigla]]="","",VLOOKUP(STAT[[#This Row],[sigla]],créditos_base!B:C,2,0))</f>
        <v>Rafaela Panissa</v>
      </c>
      <c r="Y206" s="10"/>
      <c r="Z206" s="10" t="str">
        <f>STAT[[#This Row],[ilustrador]]</f>
        <v>Rafaela Panissa</v>
      </c>
      <c r="AA206" s="10">
        <v>8</v>
      </c>
      <c r="AB206" s="14" t="s">
        <v>322</v>
      </c>
      <c r="AC206" s="10" t="s">
        <v>13</v>
      </c>
      <c r="AD206" s="32" t="str">
        <f t="shared" si="6"/>
        <v>Sintonia Educação Infantil P009m</v>
      </c>
      <c r="AE206" s="47" t="str">
        <f t="shared" si="7"/>
        <v>Edinfa</v>
      </c>
      <c r="AF206" s="47"/>
    </row>
    <row r="207" spans="1:32" x14ac:dyDescent="0.3">
      <c r="A207" s="13" t="s">
        <v>452</v>
      </c>
      <c r="B207" s="10" t="s">
        <v>6</v>
      </c>
      <c r="C207" s="10" t="s">
        <v>15</v>
      </c>
      <c r="D207" s="10" t="s">
        <v>8</v>
      </c>
      <c r="E207" s="10">
        <v>94</v>
      </c>
      <c r="F207" s="10">
        <v>5</v>
      </c>
      <c r="G207" s="10">
        <v>6</v>
      </c>
      <c r="H207" s="10">
        <v>6</v>
      </c>
      <c r="I207" s="20" t="s">
        <v>9</v>
      </c>
      <c r="J207" s="27"/>
      <c r="K207" s="10"/>
      <c r="L207" s="10"/>
      <c r="M207" s="10"/>
      <c r="N207" s="10"/>
      <c r="O207" s="18" t="s">
        <v>453</v>
      </c>
      <c r="P207" s="14"/>
      <c r="Q207" s="10">
        <v>14</v>
      </c>
      <c r="R207" s="19">
        <v>45786</v>
      </c>
      <c r="S207" s="19">
        <v>45789</v>
      </c>
      <c r="T207" s="19"/>
      <c r="U207" s="19"/>
      <c r="V207" s="19">
        <v>45796</v>
      </c>
      <c r="W207" s="10" t="s">
        <v>115</v>
      </c>
      <c r="X207" s="33" t="str">
        <f>IF(STAT[[#This Row],[sigla]]="","",VLOOKUP(STAT[[#This Row],[sigla]],créditos_base!B:C,2,0))</f>
        <v>Heloísa Pintarelli</v>
      </c>
      <c r="Y207" s="10"/>
      <c r="Z207" s="10" t="str">
        <f>STAT[[#This Row],[ilustrador]]</f>
        <v>Heloísa Pintarelli</v>
      </c>
      <c r="AA207" s="10">
        <v>6</v>
      </c>
      <c r="AB207" s="14" t="s">
        <v>428</v>
      </c>
      <c r="AC207" s="10" t="s">
        <v>20</v>
      </c>
      <c r="AD207" s="32" t="str">
        <f t="shared" si="6"/>
        <v>Sintonia Educação Infantil P009m</v>
      </c>
      <c r="AE207" s="47" t="str">
        <f t="shared" si="7"/>
        <v>Edinfa</v>
      </c>
      <c r="AF207" s="47"/>
    </row>
    <row r="208" spans="1:32" x14ac:dyDescent="0.3">
      <c r="A208" s="13" t="s">
        <v>454</v>
      </c>
      <c r="B208" s="10" t="s">
        <v>6</v>
      </c>
      <c r="C208" s="10" t="s">
        <v>15</v>
      </c>
      <c r="D208" s="10" t="s">
        <v>8</v>
      </c>
      <c r="E208" s="10">
        <v>94</v>
      </c>
      <c r="F208" s="10">
        <v>5</v>
      </c>
      <c r="G208" s="10">
        <v>6</v>
      </c>
      <c r="H208" s="10">
        <v>6</v>
      </c>
      <c r="I208" s="20" t="s">
        <v>9</v>
      </c>
      <c r="J208" s="27"/>
      <c r="K208" s="10"/>
      <c r="L208" s="10"/>
      <c r="M208" s="10"/>
      <c r="N208" s="10"/>
      <c r="O208" s="18" t="s">
        <v>455</v>
      </c>
      <c r="P208" s="14"/>
      <c r="Q208" s="10">
        <v>14</v>
      </c>
      <c r="R208" s="19">
        <v>45786</v>
      </c>
      <c r="S208" s="19">
        <v>45789</v>
      </c>
      <c r="T208" s="19"/>
      <c r="U208" s="19"/>
      <c r="V208" s="19">
        <v>45796</v>
      </c>
      <c r="W208" s="10" t="s">
        <v>115</v>
      </c>
      <c r="X208" s="33" t="str">
        <f>IF(STAT[[#This Row],[sigla]]="","",VLOOKUP(STAT[[#This Row],[sigla]],créditos_base!B:C,2,0))</f>
        <v>Heloísa Pintarelli</v>
      </c>
      <c r="Y208" s="10"/>
      <c r="Z208" s="10" t="str">
        <f>STAT[[#This Row],[ilustrador]]</f>
        <v>Heloísa Pintarelli</v>
      </c>
      <c r="AA208" s="10">
        <v>13</v>
      </c>
      <c r="AB208" s="14" t="s">
        <v>428</v>
      </c>
      <c r="AC208" s="10" t="s">
        <v>20</v>
      </c>
      <c r="AD208" s="32" t="str">
        <f t="shared" si="6"/>
        <v>Sintonia Educação Infantil P009m</v>
      </c>
      <c r="AE208" s="47" t="str">
        <f t="shared" si="7"/>
        <v>Edinfa</v>
      </c>
      <c r="AF208" s="47"/>
    </row>
    <row r="209" spans="1:32" x14ac:dyDescent="0.3">
      <c r="A209" s="13" t="s">
        <v>456</v>
      </c>
      <c r="B209" s="10" t="s">
        <v>6</v>
      </c>
      <c r="C209" s="10" t="s">
        <v>15</v>
      </c>
      <c r="D209" s="10" t="s">
        <v>8</v>
      </c>
      <c r="E209" s="10">
        <v>94</v>
      </c>
      <c r="F209" s="10">
        <v>5</v>
      </c>
      <c r="G209" s="10">
        <v>6</v>
      </c>
      <c r="H209" s="10">
        <v>6</v>
      </c>
      <c r="I209" s="20" t="s">
        <v>9</v>
      </c>
      <c r="J209" s="27"/>
      <c r="K209" s="10"/>
      <c r="L209" s="10"/>
      <c r="M209" s="10"/>
      <c r="N209" s="10"/>
      <c r="O209" s="18" t="s">
        <v>457</v>
      </c>
      <c r="P209" s="14"/>
      <c r="Q209" s="10">
        <v>14</v>
      </c>
      <c r="R209" s="19">
        <v>45786</v>
      </c>
      <c r="S209" s="19">
        <v>45789</v>
      </c>
      <c r="T209" s="19"/>
      <c r="U209" s="19"/>
      <c r="V209" s="19">
        <v>45796</v>
      </c>
      <c r="W209" s="10" t="s">
        <v>115</v>
      </c>
      <c r="X209" s="33" t="str">
        <f>IF(STAT[[#This Row],[sigla]]="","",VLOOKUP(STAT[[#This Row],[sigla]],créditos_base!B:C,2,0))</f>
        <v>Heloísa Pintarelli</v>
      </c>
      <c r="Y209" s="10"/>
      <c r="Z209" s="10" t="str">
        <f>STAT[[#This Row],[ilustrador]]</f>
        <v>Heloísa Pintarelli</v>
      </c>
      <c r="AA209" s="10">
        <v>8</v>
      </c>
      <c r="AB209" s="14" t="s">
        <v>428</v>
      </c>
      <c r="AC209" s="10" t="s">
        <v>20</v>
      </c>
      <c r="AD209" s="32" t="str">
        <f t="shared" si="6"/>
        <v>Sintonia Educação Infantil P009m</v>
      </c>
      <c r="AE209" s="47" t="str">
        <f t="shared" si="7"/>
        <v>Edinfa</v>
      </c>
      <c r="AF209" s="47"/>
    </row>
    <row r="210" spans="1:32" x14ac:dyDescent="0.3">
      <c r="A210" s="13" t="s">
        <v>458</v>
      </c>
      <c r="B210" s="10" t="s">
        <v>6</v>
      </c>
      <c r="C210" s="11" t="s">
        <v>15</v>
      </c>
      <c r="D210" s="11" t="s">
        <v>8</v>
      </c>
      <c r="E210" s="10">
        <v>94</v>
      </c>
      <c r="F210" s="11">
        <v>5</v>
      </c>
      <c r="G210" s="10">
        <v>6</v>
      </c>
      <c r="H210" s="10">
        <v>6</v>
      </c>
      <c r="I210" s="12" t="s">
        <v>9</v>
      </c>
      <c r="J210" s="27"/>
      <c r="K210" s="10"/>
      <c r="L210" s="10"/>
      <c r="M210" s="10"/>
      <c r="N210" s="10"/>
      <c r="O210" s="25" t="s">
        <v>459</v>
      </c>
      <c r="P210" s="14"/>
      <c r="Q210" s="10">
        <v>14</v>
      </c>
      <c r="R210" s="19">
        <v>45786</v>
      </c>
      <c r="S210" s="19">
        <v>45789</v>
      </c>
      <c r="T210" s="19"/>
      <c r="U210" s="19"/>
      <c r="V210" s="19">
        <v>45796</v>
      </c>
      <c r="W210" s="10" t="s">
        <v>115</v>
      </c>
      <c r="X210" s="33" t="str">
        <f>IF(STAT[[#This Row],[sigla]]="","",VLOOKUP(STAT[[#This Row],[sigla]],créditos_base!B:C,2,0))</f>
        <v>Heloísa Pintarelli</v>
      </c>
      <c r="Y210" s="10"/>
      <c r="Z210" s="10" t="str">
        <f>STAT[[#This Row],[ilustrador]]</f>
        <v>Heloísa Pintarelli</v>
      </c>
      <c r="AA210" s="10">
        <v>7</v>
      </c>
      <c r="AB210" s="14" t="s">
        <v>428</v>
      </c>
      <c r="AC210" s="10" t="s">
        <v>20</v>
      </c>
      <c r="AD210" s="32" t="str">
        <f t="shared" si="6"/>
        <v>Sintonia Educação Infantil P009m</v>
      </c>
      <c r="AE210" s="47" t="str">
        <f t="shared" si="7"/>
        <v>Edinfa</v>
      </c>
      <c r="AF210" s="47"/>
    </row>
    <row r="211" spans="1:32" x14ac:dyDescent="0.3">
      <c r="A211" s="13" t="s">
        <v>460</v>
      </c>
      <c r="B211" s="10" t="s">
        <v>6</v>
      </c>
      <c r="C211" s="11" t="s">
        <v>15</v>
      </c>
      <c r="D211" s="11" t="s">
        <v>8</v>
      </c>
      <c r="E211" s="10">
        <v>94</v>
      </c>
      <c r="F211" s="11">
        <v>5</v>
      </c>
      <c r="G211" s="10">
        <v>6</v>
      </c>
      <c r="H211" s="10">
        <v>6</v>
      </c>
      <c r="I211" s="12" t="s">
        <v>9</v>
      </c>
      <c r="J211" s="27"/>
      <c r="K211" s="10"/>
      <c r="L211" s="10"/>
      <c r="M211" s="10"/>
      <c r="N211" s="10"/>
      <c r="O211" s="25" t="s">
        <v>461</v>
      </c>
      <c r="P211" s="14"/>
      <c r="Q211" s="10">
        <v>14</v>
      </c>
      <c r="R211" s="19">
        <v>45786</v>
      </c>
      <c r="S211" s="19">
        <v>45789</v>
      </c>
      <c r="T211" s="19"/>
      <c r="U211" s="19"/>
      <c r="V211" s="19">
        <v>45796</v>
      </c>
      <c r="W211" s="10" t="s">
        <v>115</v>
      </c>
      <c r="X211" s="33" t="str">
        <f>IF(STAT[[#This Row],[sigla]]="","",VLOOKUP(STAT[[#This Row],[sigla]],créditos_base!B:C,2,0))</f>
        <v>Heloísa Pintarelli</v>
      </c>
      <c r="Y211" s="10"/>
      <c r="Z211" s="10" t="str">
        <f>STAT[[#This Row],[ilustrador]]</f>
        <v>Heloísa Pintarelli</v>
      </c>
      <c r="AA211" s="10">
        <v>6</v>
      </c>
      <c r="AB211" s="14" t="s">
        <v>428</v>
      </c>
      <c r="AC211" s="10" t="s">
        <v>20</v>
      </c>
      <c r="AD211" s="32" t="str">
        <f t="shared" si="6"/>
        <v>Sintonia Educação Infantil P009m</v>
      </c>
      <c r="AE211" s="47" t="str">
        <f t="shared" si="7"/>
        <v>Edinfa</v>
      </c>
      <c r="AF211" s="47"/>
    </row>
    <row r="212" spans="1:32" x14ac:dyDescent="0.3">
      <c r="A212" s="13" t="s">
        <v>462</v>
      </c>
      <c r="B212" s="10" t="s">
        <v>6</v>
      </c>
      <c r="C212" s="11" t="s">
        <v>15</v>
      </c>
      <c r="D212" s="11" t="s">
        <v>8</v>
      </c>
      <c r="E212" s="10">
        <v>94</v>
      </c>
      <c r="F212" s="11">
        <v>5</v>
      </c>
      <c r="G212" s="10">
        <v>6</v>
      </c>
      <c r="H212" s="10">
        <v>6</v>
      </c>
      <c r="I212" s="12" t="s">
        <v>9</v>
      </c>
      <c r="J212" s="27"/>
      <c r="K212" s="10"/>
      <c r="L212" s="10"/>
      <c r="M212" s="10"/>
      <c r="N212" s="10"/>
      <c r="O212" s="25" t="s">
        <v>463</v>
      </c>
      <c r="P212" s="14"/>
      <c r="Q212" s="10">
        <v>14</v>
      </c>
      <c r="R212" s="19">
        <v>45786</v>
      </c>
      <c r="S212" s="19">
        <v>45789</v>
      </c>
      <c r="T212" s="19"/>
      <c r="U212" s="19"/>
      <c r="V212" s="19">
        <v>45796</v>
      </c>
      <c r="W212" s="10" t="s">
        <v>115</v>
      </c>
      <c r="X212" s="33" t="str">
        <f>IF(STAT[[#This Row],[sigla]]="","",VLOOKUP(STAT[[#This Row],[sigla]],créditos_base!B:C,2,0))</f>
        <v>Heloísa Pintarelli</v>
      </c>
      <c r="Y212" s="10"/>
      <c r="Z212" s="10" t="str">
        <f>STAT[[#This Row],[ilustrador]]</f>
        <v>Heloísa Pintarelli</v>
      </c>
      <c r="AA212" s="10">
        <v>7</v>
      </c>
      <c r="AB212" s="14" t="s">
        <v>428</v>
      </c>
      <c r="AC212" s="10" t="s">
        <v>20</v>
      </c>
      <c r="AD212" s="32" t="str">
        <f t="shared" si="6"/>
        <v>Sintonia Educação Infantil P009m</v>
      </c>
      <c r="AE212" s="47" t="str">
        <f t="shared" si="7"/>
        <v>Edinfa</v>
      </c>
      <c r="AF212" s="47"/>
    </row>
    <row r="213" spans="1:32" x14ac:dyDescent="0.3">
      <c r="A213" s="13" t="s">
        <v>464</v>
      </c>
      <c r="B213" s="10" t="s">
        <v>6</v>
      </c>
      <c r="C213" s="11" t="s">
        <v>15</v>
      </c>
      <c r="D213" s="11" t="s">
        <v>8</v>
      </c>
      <c r="E213" s="10">
        <v>96</v>
      </c>
      <c r="F213" s="11">
        <v>5</v>
      </c>
      <c r="G213" s="10">
        <v>6</v>
      </c>
      <c r="H213" s="10">
        <v>6</v>
      </c>
      <c r="I213" s="12" t="s">
        <v>9</v>
      </c>
      <c r="J213" s="27"/>
      <c r="K213" s="10"/>
      <c r="L213" s="10"/>
      <c r="M213" s="10"/>
      <c r="N213" s="10"/>
      <c r="O213" s="25" t="s">
        <v>465</v>
      </c>
      <c r="P213" s="14"/>
      <c r="Q213" s="10">
        <v>14</v>
      </c>
      <c r="R213" s="19">
        <v>45786</v>
      </c>
      <c r="S213" s="19">
        <v>45789</v>
      </c>
      <c r="T213" s="19"/>
      <c r="U213" s="19"/>
      <c r="V213" s="19">
        <v>45796</v>
      </c>
      <c r="W213" s="10" t="s">
        <v>115</v>
      </c>
      <c r="X213" s="33" t="str">
        <f>IF(STAT[[#This Row],[sigla]]="","",VLOOKUP(STAT[[#This Row],[sigla]],créditos_base!B:C,2,0))</f>
        <v>Heloísa Pintarelli</v>
      </c>
      <c r="Y213" s="10"/>
      <c r="Z213" s="10" t="str">
        <f>STAT[[#This Row],[ilustrador]]</f>
        <v>Heloísa Pintarelli</v>
      </c>
      <c r="AA213" s="10">
        <v>6</v>
      </c>
      <c r="AB213" s="14" t="s">
        <v>428</v>
      </c>
      <c r="AC213" s="10" t="s">
        <v>20</v>
      </c>
      <c r="AD213" s="32" t="str">
        <f t="shared" si="6"/>
        <v>Sintonia Educação Infantil P009m</v>
      </c>
      <c r="AE213" s="47" t="str">
        <f t="shared" si="7"/>
        <v>Edinfa</v>
      </c>
      <c r="AF213" s="47"/>
    </row>
    <row r="214" spans="1:32" x14ac:dyDescent="0.3">
      <c r="A214" s="24" t="s">
        <v>5</v>
      </c>
      <c r="B214" s="10" t="s">
        <v>6</v>
      </c>
      <c r="C214" s="10" t="s">
        <v>7</v>
      </c>
      <c r="D214" s="10" t="s">
        <v>8</v>
      </c>
      <c r="E214" s="10">
        <v>10</v>
      </c>
      <c r="F214" s="10">
        <v>4</v>
      </c>
      <c r="G214" s="10">
        <v>1</v>
      </c>
      <c r="H214" s="10">
        <v>1</v>
      </c>
      <c r="I214" s="20" t="s">
        <v>9</v>
      </c>
      <c r="J214" s="27"/>
      <c r="K214" s="10"/>
      <c r="L214" s="10"/>
      <c r="M214" s="10"/>
      <c r="N214" s="10"/>
      <c r="O214" s="18" t="s">
        <v>10</v>
      </c>
      <c r="P214" s="14"/>
      <c r="Q214" s="10">
        <v>2</v>
      </c>
      <c r="R214" s="19">
        <v>45734</v>
      </c>
      <c r="S214" s="19">
        <v>45740</v>
      </c>
      <c r="T214" s="19"/>
      <c r="U214" s="19"/>
      <c r="V214" s="19">
        <v>45740</v>
      </c>
      <c r="W214" s="10" t="s">
        <v>11</v>
      </c>
      <c r="X214" s="33" t="str">
        <f>IF(STAT[[#This Row],[sigla]]="","",VLOOKUP(STAT[[#This Row],[sigla]],créditos_base!B:C,2,0))</f>
        <v>Tatiane Galheiro</v>
      </c>
      <c r="Y214" s="10" t="s">
        <v>12</v>
      </c>
      <c r="Z214" s="10" t="str">
        <f>STAT[[#This Row],[ilustrador]]</f>
        <v>Tatiane Galheiro</v>
      </c>
      <c r="AA214" s="10">
        <v>13</v>
      </c>
      <c r="AB214" s="14"/>
      <c r="AC214" s="10" t="s">
        <v>13</v>
      </c>
      <c r="AD214" s="32" t="str">
        <f t="shared" si="6"/>
        <v>Sintonia Educação Infantil P009m</v>
      </c>
      <c r="AE214" s="47" t="str">
        <f t="shared" si="7"/>
        <v>Edinfa</v>
      </c>
      <c r="AF214" s="47"/>
    </row>
    <row r="215" spans="1:32" x14ac:dyDescent="0.3">
      <c r="A215" s="24" t="s">
        <v>52</v>
      </c>
      <c r="B215" s="10" t="s">
        <v>6</v>
      </c>
      <c r="C215" s="10" t="s">
        <v>15</v>
      </c>
      <c r="D215" s="10" t="s">
        <v>8</v>
      </c>
      <c r="E215" s="10">
        <v>30</v>
      </c>
      <c r="F215" s="10">
        <v>4</v>
      </c>
      <c r="G215" s="10">
        <v>2</v>
      </c>
      <c r="H215" s="10">
        <v>2</v>
      </c>
      <c r="I215" s="20" t="s">
        <v>9</v>
      </c>
      <c r="J215" s="27"/>
      <c r="K215" s="10"/>
      <c r="L215" s="10"/>
      <c r="M215" s="10"/>
      <c r="N215" s="10"/>
      <c r="O215" s="18" t="s">
        <v>53</v>
      </c>
      <c r="P215" s="14"/>
      <c r="Q215" s="10">
        <v>3</v>
      </c>
      <c r="R215" s="19">
        <v>45736</v>
      </c>
      <c r="S215" s="19">
        <v>45736</v>
      </c>
      <c r="T215" s="19"/>
      <c r="U215" s="19"/>
      <c r="V215" s="19">
        <v>45740</v>
      </c>
      <c r="W215" s="10" t="s">
        <v>50</v>
      </c>
      <c r="X215" s="33" t="str">
        <f>IF(STAT[[#This Row],[sigla]]="","",VLOOKUP(STAT[[#This Row],[sigla]],créditos_base!B:C,2,0))</f>
        <v>Vinícius Costa</v>
      </c>
      <c r="Y215" s="10" t="s">
        <v>54</v>
      </c>
      <c r="Z215" s="10" t="s">
        <v>51</v>
      </c>
      <c r="AA215" s="10">
        <v>8</v>
      </c>
      <c r="AB215" s="49" t="s">
        <v>55</v>
      </c>
      <c r="AC215" s="10" t="s">
        <v>13</v>
      </c>
      <c r="AD215" s="32" t="str">
        <f t="shared" si="6"/>
        <v>Sintonia Educação Infantil P009m</v>
      </c>
      <c r="AE215" s="47" t="str">
        <f t="shared" si="7"/>
        <v>Edinfa</v>
      </c>
      <c r="AF215" s="47"/>
    </row>
    <row r="216" spans="1:32" x14ac:dyDescent="0.3">
      <c r="A216" s="24" t="s">
        <v>58</v>
      </c>
      <c r="B216" s="10" t="s">
        <v>6</v>
      </c>
      <c r="C216" s="10" t="s">
        <v>15</v>
      </c>
      <c r="D216" s="10" t="s">
        <v>8</v>
      </c>
      <c r="E216" s="10">
        <v>33</v>
      </c>
      <c r="F216" s="10">
        <v>4</v>
      </c>
      <c r="G216" s="10">
        <v>2</v>
      </c>
      <c r="H216" s="10">
        <v>2</v>
      </c>
      <c r="I216" s="20" t="s">
        <v>9</v>
      </c>
      <c r="J216" s="27"/>
      <c r="K216" s="10"/>
      <c r="L216" s="10"/>
      <c r="M216" s="10"/>
      <c r="N216" s="10"/>
      <c r="O216" s="18" t="s">
        <v>59</v>
      </c>
      <c r="P216" s="14"/>
      <c r="Q216" s="10">
        <v>3</v>
      </c>
      <c r="R216" s="19">
        <v>45736</v>
      </c>
      <c r="S216" s="19">
        <v>45736</v>
      </c>
      <c r="T216" s="19"/>
      <c r="U216" s="19"/>
      <c r="V216" s="19">
        <v>45740</v>
      </c>
      <c r="W216" s="10" t="s">
        <v>50</v>
      </c>
      <c r="X216" s="33" t="str">
        <f>IF(STAT[[#This Row],[sigla]]="","",VLOOKUP(STAT[[#This Row],[sigla]],créditos_base!B:C,2,0))</f>
        <v>Vinícius Costa</v>
      </c>
      <c r="Y216" s="10" t="s">
        <v>54</v>
      </c>
      <c r="Z216" s="10" t="s">
        <v>51</v>
      </c>
      <c r="AA216" s="10">
        <v>8</v>
      </c>
      <c r="AB216" s="49" t="s">
        <v>55</v>
      </c>
      <c r="AC216" s="10" t="s">
        <v>13</v>
      </c>
      <c r="AD216" s="32" t="str">
        <f t="shared" si="6"/>
        <v>Sintonia Educação Infantil P009m</v>
      </c>
      <c r="AE216" s="47" t="str">
        <f t="shared" si="7"/>
        <v>Edinfa</v>
      </c>
      <c r="AF216" s="47"/>
    </row>
    <row r="217" spans="1:32" x14ac:dyDescent="0.3">
      <c r="A217" s="13" t="s">
        <v>336</v>
      </c>
      <c r="B217" s="10" t="s">
        <v>6</v>
      </c>
      <c r="C217" s="11" t="s">
        <v>7</v>
      </c>
      <c r="D217" s="11" t="s">
        <v>8</v>
      </c>
      <c r="E217" s="10">
        <v>29</v>
      </c>
      <c r="F217" s="11">
        <v>5</v>
      </c>
      <c r="G217" s="10">
        <v>2</v>
      </c>
      <c r="H217" s="11">
        <v>2</v>
      </c>
      <c r="I217" s="12" t="s">
        <v>9</v>
      </c>
      <c r="J217" s="27"/>
      <c r="K217" s="10"/>
      <c r="L217" s="10"/>
      <c r="M217" s="10"/>
      <c r="N217" s="10"/>
      <c r="O217" s="25" t="s">
        <v>337</v>
      </c>
      <c r="P217" s="14"/>
      <c r="Q217" s="10">
        <v>12</v>
      </c>
      <c r="R217" s="19">
        <v>45782</v>
      </c>
      <c r="S217" s="19">
        <v>45783</v>
      </c>
      <c r="T217" s="19"/>
      <c r="U217" s="19"/>
      <c r="V217" s="19">
        <v>45783</v>
      </c>
      <c r="W217" s="10" t="s">
        <v>338</v>
      </c>
      <c r="X217" s="33" t="str">
        <f>IF(STAT[[#This Row],[sigla]]="","",VLOOKUP(STAT[[#This Row],[sigla]],créditos_base!B:C,2,0))</f>
        <v>Rafaela Panissa</v>
      </c>
      <c r="Y217" s="10"/>
      <c r="Z217" s="10" t="str">
        <f>STAT[[#This Row],[ilustrador]]</f>
        <v>Rafaela Panissa</v>
      </c>
      <c r="AA217" s="10">
        <v>8</v>
      </c>
      <c r="AB217" s="14" t="s">
        <v>322</v>
      </c>
      <c r="AC217" s="10" t="s">
        <v>13</v>
      </c>
      <c r="AD217" s="32" t="str">
        <f t="shared" si="6"/>
        <v>Sintonia Educação Infantil P009m</v>
      </c>
      <c r="AE217" s="47" t="str">
        <f t="shared" si="7"/>
        <v>Edinfa</v>
      </c>
      <c r="AF217" s="47"/>
    </row>
    <row r="218" spans="1:32" ht="26.4" x14ac:dyDescent="0.3">
      <c r="A218" s="24" t="s">
        <v>72</v>
      </c>
      <c r="B218" s="10" t="s">
        <v>6</v>
      </c>
      <c r="C218" s="10" t="s">
        <v>15</v>
      </c>
      <c r="D218" s="10" t="s">
        <v>8</v>
      </c>
      <c r="E218" s="10">
        <v>43</v>
      </c>
      <c r="F218" s="10">
        <v>4</v>
      </c>
      <c r="G218" s="10">
        <v>2</v>
      </c>
      <c r="H218" s="10">
        <v>2</v>
      </c>
      <c r="I218" s="20" t="s">
        <v>9</v>
      </c>
      <c r="J218" s="27"/>
      <c r="K218" s="10"/>
      <c r="L218" s="10"/>
      <c r="M218" s="10"/>
      <c r="N218" s="10"/>
      <c r="O218" s="18" t="s">
        <v>73</v>
      </c>
      <c r="P218" s="14"/>
      <c r="Q218" s="10">
        <v>3</v>
      </c>
      <c r="R218" s="19">
        <v>45736</v>
      </c>
      <c r="S218" s="19">
        <v>45736</v>
      </c>
      <c r="T218" s="19"/>
      <c r="U218" s="19"/>
      <c r="V218" s="19">
        <v>45740</v>
      </c>
      <c r="W218" s="10" t="s">
        <v>50</v>
      </c>
      <c r="X218" s="33" t="str">
        <f>IF(STAT[[#This Row],[sigla]]="","",VLOOKUP(STAT[[#This Row],[sigla]],créditos_base!B:C,2,0))</f>
        <v>Vinícius Costa</v>
      </c>
      <c r="Y218" s="10"/>
      <c r="Z218" s="10" t="s">
        <v>51</v>
      </c>
      <c r="AA218" s="10">
        <v>8</v>
      </c>
      <c r="AB218" s="14"/>
      <c r="AC218" s="10" t="s">
        <v>13</v>
      </c>
      <c r="AD218" s="32" t="str">
        <f t="shared" si="6"/>
        <v>Sintonia Educação Infantil P009m</v>
      </c>
      <c r="AE218" s="47" t="str">
        <f t="shared" si="7"/>
        <v>Edinfa</v>
      </c>
      <c r="AF218" s="47"/>
    </row>
    <row r="219" spans="1:32" ht="39.6" x14ac:dyDescent="0.3">
      <c r="A219" s="13" t="s">
        <v>347</v>
      </c>
      <c r="B219" s="10" t="s">
        <v>6</v>
      </c>
      <c r="C219" s="11" t="s">
        <v>7</v>
      </c>
      <c r="D219" s="11" t="s">
        <v>8</v>
      </c>
      <c r="E219" s="10">
        <v>32</v>
      </c>
      <c r="F219" s="11">
        <v>5</v>
      </c>
      <c r="G219" s="10">
        <v>2</v>
      </c>
      <c r="H219" s="11">
        <v>2</v>
      </c>
      <c r="I219" s="12" t="s">
        <v>9</v>
      </c>
      <c r="J219" s="27"/>
      <c r="K219" s="10"/>
      <c r="L219" s="10"/>
      <c r="M219" s="10"/>
      <c r="N219" s="10"/>
      <c r="O219" s="25" t="s">
        <v>348</v>
      </c>
      <c r="P219" s="14"/>
      <c r="Q219" s="10">
        <v>12</v>
      </c>
      <c r="R219" s="19">
        <v>45782</v>
      </c>
      <c r="S219" s="19">
        <v>45783</v>
      </c>
      <c r="T219" s="19"/>
      <c r="U219" s="19"/>
      <c r="V219" s="19">
        <v>45783</v>
      </c>
      <c r="W219" s="10" t="s">
        <v>338</v>
      </c>
      <c r="X219" s="33" t="str">
        <f>IF(STAT[[#This Row],[sigla]]="","",VLOOKUP(STAT[[#This Row],[sigla]],créditos_base!B:C,2,0))</f>
        <v>Rafaela Panissa</v>
      </c>
      <c r="Y219" s="10"/>
      <c r="Z219" s="10" t="str">
        <f>STAT[[#This Row],[ilustrador]]</f>
        <v>Rafaela Panissa</v>
      </c>
      <c r="AA219" s="10">
        <v>8</v>
      </c>
      <c r="AB219" s="14" t="s">
        <v>322</v>
      </c>
      <c r="AC219" s="10" t="s">
        <v>13</v>
      </c>
      <c r="AD219" s="32" t="str">
        <f t="shared" si="6"/>
        <v>Sintonia Educação Infantil P009m</v>
      </c>
      <c r="AE219" s="47" t="str">
        <f t="shared" si="7"/>
        <v>Edinfa</v>
      </c>
      <c r="AF219" s="47"/>
    </row>
    <row r="220" spans="1:32" ht="79.2" x14ac:dyDescent="0.3">
      <c r="A220" s="24" t="s">
        <v>109</v>
      </c>
      <c r="B220" s="10" t="s">
        <v>6</v>
      </c>
      <c r="C220" s="10" t="s">
        <v>15</v>
      </c>
      <c r="D220" s="10" t="s">
        <v>8</v>
      </c>
      <c r="E220" s="10">
        <v>51</v>
      </c>
      <c r="F220" s="10">
        <v>4</v>
      </c>
      <c r="G220" s="10">
        <v>3</v>
      </c>
      <c r="H220" s="10">
        <v>3</v>
      </c>
      <c r="I220" s="20" t="s">
        <v>9</v>
      </c>
      <c r="J220" s="27"/>
      <c r="K220" s="10"/>
      <c r="L220" s="10"/>
      <c r="M220" s="10"/>
      <c r="N220" s="10"/>
      <c r="O220" s="18" t="s">
        <v>110</v>
      </c>
      <c r="P220" s="14"/>
      <c r="Q220" s="10">
        <v>8</v>
      </c>
      <c r="R220" s="19"/>
      <c r="S220" s="19">
        <v>45762</v>
      </c>
      <c r="T220" s="19">
        <v>45763</v>
      </c>
      <c r="U220" s="19">
        <v>45763</v>
      </c>
      <c r="V220" s="19">
        <v>45765</v>
      </c>
      <c r="W220" s="10" t="s">
        <v>111</v>
      </c>
      <c r="X220" s="33" t="str">
        <f>IF(STAT[[#This Row],[sigla]]="","",VLOOKUP(STAT[[#This Row],[sigla]],créditos_base!B:C,2,0))</f>
        <v>Bianca Tavares</v>
      </c>
      <c r="Y220" s="10"/>
      <c r="Z220" s="10" t="str">
        <f>STAT[[#This Row],[ilustrador]]</f>
        <v>Bianca Tavares</v>
      </c>
      <c r="AA220" s="10">
        <v>6</v>
      </c>
      <c r="AB220" s="14" t="s">
        <v>112</v>
      </c>
      <c r="AC220" s="10" t="s">
        <v>20</v>
      </c>
      <c r="AD220" s="32" t="str">
        <f t="shared" si="6"/>
        <v>Sintonia Educação Infantil P009m</v>
      </c>
      <c r="AE220" s="47" t="str">
        <f t="shared" si="7"/>
        <v>Edinfa</v>
      </c>
      <c r="AF220" s="47"/>
    </row>
    <row r="221" spans="1:32" ht="72" x14ac:dyDescent="0.3">
      <c r="A221" s="24" t="s">
        <v>272</v>
      </c>
      <c r="B221" s="10" t="s">
        <v>273</v>
      </c>
      <c r="C221" s="10" t="s">
        <v>15</v>
      </c>
      <c r="D221" s="10" t="s">
        <v>8</v>
      </c>
      <c r="E221" s="10">
        <v>95</v>
      </c>
      <c r="F221" s="10">
        <v>4</v>
      </c>
      <c r="G221" s="10">
        <v>4</v>
      </c>
      <c r="H221" s="10">
        <v>4</v>
      </c>
      <c r="I221" s="20" t="s">
        <v>9</v>
      </c>
      <c r="J221" s="27"/>
      <c r="K221" s="10"/>
      <c r="L221" s="10"/>
      <c r="M221" s="10"/>
      <c r="N221" s="10"/>
      <c r="O221" s="18" t="s">
        <v>274</v>
      </c>
      <c r="P221" s="14"/>
      <c r="Q221" s="10">
        <v>9</v>
      </c>
      <c r="R221" s="19">
        <v>45771</v>
      </c>
      <c r="S221" s="19">
        <v>45771</v>
      </c>
      <c r="T221" s="19">
        <v>45772</v>
      </c>
      <c r="U221" s="19">
        <v>45775</v>
      </c>
      <c r="V221" s="19">
        <v>45777</v>
      </c>
      <c r="W221" s="10" t="s">
        <v>111</v>
      </c>
      <c r="X221" s="33" t="str">
        <f>IF(STAT[[#This Row],[sigla]]="","",VLOOKUP(STAT[[#This Row],[sigla]],créditos_base!B:C,2,0))</f>
        <v>Bianca Tavares</v>
      </c>
      <c r="Y221" s="10"/>
      <c r="Z221" s="10" t="s">
        <v>187</v>
      </c>
      <c r="AA221" s="10">
        <v>6</v>
      </c>
      <c r="AB221" s="14" t="s">
        <v>188</v>
      </c>
      <c r="AC221" s="10" t="s">
        <v>20</v>
      </c>
      <c r="AD221" s="32" t="str">
        <f t="shared" si="6"/>
        <v>Sintonia Educação Infantil P009m</v>
      </c>
      <c r="AE221" s="47" t="str">
        <f t="shared" si="7"/>
        <v>Edinfa</v>
      </c>
      <c r="AF221" s="47"/>
    </row>
    <row r="222" spans="1:32" ht="43.2" x14ac:dyDescent="0.3">
      <c r="A222" s="24" t="s">
        <v>277</v>
      </c>
      <c r="B222" s="10" t="s">
        <v>6</v>
      </c>
      <c r="C222" s="10" t="s">
        <v>15</v>
      </c>
      <c r="D222" s="10" t="s">
        <v>8</v>
      </c>
      <c r="E222" s="10">
        <v>96</v>
      </c>
      <c r="F222" s="10">
        <v>4</v>
      </c>
      <c r="G222" s="10">
        <v>4</v>
      </c>
      <c r="H222" s="10">
        <v>4</v>
      </c>
      <c r="I222" s="20" t="s">
        <v>9</v>
      </c>
      <c r="J222" s="27"/>
      <c r="K222" s="10"/>
      <c r="L222" s="10"/>
      <c r="M222" s="10"/>
      <c r="N222" s="10"/>
      <c r="O222" s="18" t="s">
        <v>278</v>
      </c>
      <c r="P222" s="14"/>
      <c r="Q222" s="10">
        <v>9</v>
      </c>
      <c r="R222" s="19">
        <v>45771</v>
      </c>
      <c r="S222" s="19">
        <v>45771</v>
      </c>
      <c r="T222" s="19"/>
      <c r="U222" s="19"/>
      <c r="V222" s="19">
        <v>45772</v>
      </c>
      <c r="W222" s="10" t="s">
        <v>50</v>
      </c>
      <c r="X222" s="33" t="str">
        <f>IF(STAT[[#This Row],[sigla]]="","",VLOOKUP(STAT[[#This Row],[sigla]],créditos_base!B:C,2,0))</f>
        <v>Vinícius Costa</v>
      </c>
      <c r="Y222" s="10"/>
      <c r="Z222" s="10" t="str">
        <f>STAT[[#This Row],[ilustrador]]</f>
        <v>Vinícius Costa</v>
      </c>
      <c r="AA222" s="10">
        <v>8</v>
      </c>
      <c r="AB222" s="14" t="s">
        <v>94</v>
      </c>
      <c r="AC222" s="10" t="s">
        <v>13</v>
      </c>
      <c r="AD222" s="32" t="str">
        <f t="shared" si="6"/>
        <v>Sintonia Educação Infantil P009m</v>
      </c>
      <c r="AE222" s="47" t="str">
        <f t="shared" si="7"/>
        <v>Edinfa</v>
      </c>
      <c r="AF222" s="47"/>
    </row>
    <row r="223" spans="1:32" ht="86.4" x14ac:dyDescent="0.3">
      <c r="A223" s="13" t="s">
        <v>512</v>
      </c>
      <c r="B223" s="10" t="s">
        <v>6</v>
      </c>
      <c r="C223" s="10" t="s">
        <v>7</v>
      </c>
      <c r="D223" s="11" t="s">
        <v>8</v>
      </c>
      <c r="E223" s="10">
        <v>82</v>
      </c>
      <c r="F223" s="11">
        <v>5</v>
      </c>
      <c r="G223" s="10">
        <v>5</v>
      </c>
      <c r="H223" s="10">
        <v>5</v>
      </c>
      <c r="I223" s="12" t="s">
        <v>9</v>
      </c>
      <c r="J223" s="27"/>
      <c r="K223" s="10"/>
      <c r="L223" s="10"/>
      <c r="M223" s="10"/>
      <c r="N223" s="10"/>
      <c r="O223" s="24" t="s">
        <v>513</v>
      </c>
      <c r="P223" s="14"/>
      <c r="Q223" s="10">
        <v>15</v>
      </c>
      <c r="R223" s="19">
        <v>45796</v>
      </c>
      <c r="S223" s="19">
        <v>45798</v>
      </c>
      <c r="T223" s="19">
        <v>45800</v>
      </c>
      <c r="U223" s="19">
        <v>45803</v>
      </c>
      <c r="V223" s="19">
        <v>45804</v>
      </c>
      <c r="W223" s="10" t="s">
        <v>468</v>
      </c>
      <c r="X223" s="33" t="str">
        <f>IF(STAT[[#This Row],[sigla]]="","",VLOOKUP(STAT[[#This Row],[sigla]],créditos_base!B:C,2,0))</f>
        <v>Sergio Lima</v>
      </c>
      <c r="Y223" s="10"/>
      <c r="Z223" s="10" t="str">
        <f>STAT[[#This Row],[ilustrador]]</f>
        <v>Sergio Lima</v>
      </c>
      <c r="AA223" s="10">
        <v>8</v>
      </c>
      <c r="AB223" s="14"/>
      <c r="AC223" s="10" t="s">
        <v>20</v>
      </c>
      <c r="AD223" s="32" t="str">
        <f t="shared" si="6"/>
        <v>Sintonia Educação Infantil P009m</v>
      </c>
      <c r="AE223" s="47" t="str">
        <f t="shared" si="7"/>
        <v>Edinfa</v>
      </c>
      <c r="AF223" s="47"/>
    </row>
    <row r="224" spans="1:32" ht="57.6" x14ac:dyDescent="0.3">
      <c r="A224" s="13" t="s">
        <v>518</v>
      </c>
      <c r="B224" s="10" t="s">
        <v>6</v>
      </c>
      <c r="C224" s="10" t="s">
        <v>7</v>
      </c>
      <c r="D224" s="11" t="s">
        <v>8</v>
      </c>
      <c r="E224" s="10">
        <v>84</v>
      </c>
      <c r="F224" s="11">
        <v>5</v>
      </c>
      <c r="G224" s="10">
        <v>5</v>
      </c>
      <c r="H224" s="10">
        <v>5</v>
      </c>
      <c r="I224" s="12" t="s">
        <v>9</v>
      </c>
      <c r="J224" s="27"/>
      <c r="K224" s="10"/>
      <c r="L224" s="10"/>
      <c r="M224" s="10"/>
      <c r="N224" s="10"/>
      <c r="O224" s="18" t="s">
        <v>519</v>
      </c>
      <c r="P224" s="14"/>
      <c r="Q224" s="10">
        <v>15</v>
      </c>
      <c r="R224" s="19">
        <v>45796</v>
      </c>
      <c r="S224" s="19">
        <v>45798</v>
      </c>
      <c r="T224" s="19">
        <v>45800</v>
      </c>
      <c r="U224" s="19">
        <v>45803</v>
      </c>
      <c r="V224" s="19">
        <v>45804</v>
      </c>
      <c r="W224" s="10" t="s">
        <v>468</v>
      </c>
      <c r="X224" s="33" t="str">
        <f>IF(STAT[[#This Row],[sigla]]="","",VLOOKUP(STAT[[#This Row],[sigla]],créditos_base!B:C,2,0))</f>
        <v>Sergio Lima</v>
      </c>
      <c r="Y224" s="10"/>
      <c r="Z224" s="10" t="str">
        <f>STAT[[#This Row],[ilustrador]]</f>
        <v>Sergio Lima</v>
      </c>
      <c r="AA224" s="10">
        <v>7</v>
      </c>
      <c r="AB224" s="14"/>
      <c r="AC224" s="10" t="s">
        <v>20</v>
      </c>
      <c r="AD224" s="32" t="str">
        <f t="shared" si="6"/>
        <v>Sintonia Educação Infantil P009m</v>
      </c>
      <c r="AE224" s="47" t="str">
        <f t="shared" si="7"/>
        <v>Edinfa</v>
      </c>
      <c r="AF224" s="47"/>
    </row>
    <row r="225" spans="1:32" ht="86.4" x14ac:dyDescent="0.3">
      <c r="A225" s="13" t="s">
        <v>431</v>
      </c>
      <c r="B225" s="10" t="s">
        <v>6</v>
      </c>
      <c r="C225" s="11" t="s">
        <v>7</v>
      </c>
      <c r="D225" s="11" t="s">
        <v>8</v>
      </c>
      <c r="E225" s="10">
        <v>91</v>
      </c>
      <c r="F225" s="11">
        <v>5</v>
      </c>
      <c r="G225" s="10">
        <v>6</v>
      </c>
      <c r="H225" s="11">
        <v>6</v>
      </c>
      <c r="I225" s="12" t="s">
        <v>9</v>
      </c>
      <c r="J225" s="27"/>
      <c r="K225" s="10"/>
      <c r="L225" s="10"/>
      <c r="M225" s="10"/>
      <c r="N225" s="10"/>
      <c r="O225" s="25" t="s">
        <v>432</v>
      </c>
      <c r="P225" s="18" t="s">
        <v>433</v>
      </c>
      <c r="Q225" s="10"/>
      <c r="R225" s="19"/>
      <c r="S225" s="19">
        <v>45796</v>
      </c>
      <c r="T225" s="19"/>
      <c r="U225" s="19"/>
      <c r="V225" s="19">
        <v>45796</v>
      </c>
      <c r="W225" s="10" t="s">
        <v>50</v>
      </c>
      <c r="X225" s="33" t="str">
        <f>IF(STAT[[#This Row],[sigla]]="","",VLOOKUP(STAT[[#This Row],[sigla]],créditos_base!B:C,2,0))</f>
        <v>Vinícius Costa</v>
      </c>
      <c r="Y225" s="10"/>
      <c r="Z225" s="10" t="str">
        <f>STAT[[#This Row],[ilustrador]]</f>
        <v>Vinícius Costa</v>
      </c>
      <c r="AA225" s="10">
        <v>8</v>
      </c>
      <c r="AB225" s="14" t="s">
        <v>94</v>
      </c>
      <c r="AC225" s="10" t="s">
        <v>13</v>
      </c>
      <c r="AD225" s="32" t="str">
        <f t="shared" si="6"/>
        <v>Sintonia Educação Infantil P009m</v>
      </c>
      <c r="AE225" s="47" t="str">
        <f t="shared" si="7"/>
        <v>Edinfa</v>
      </c>
      <c r="AF225" s="47"/>
    </row>
    <row r="227" spans="1:32" x14ac:dyDescent="0.3">
      <c r="Q227" s="14"/>
      <c r="R227" s="15"/>
      <c r="AA227" s="7"/>
    </row>
  </sheetData>
  <sheetProtection formatCells="0" formatColumns="0" formatRows="0" sort="0" autoFilter="0" pivotTables="0"/>
  <dataConsolidate/>
  <phoneticPr fontId="4" type="noConversion"/>
  <dataValidations count="1">
    <dataValidation allowBlank="1" showErrorMessage="1" sqref="B1:D1" xr:uid="{51565841-20B1-4054-AD02-126CBE1F65FD}"/>
  </dataValidations>
  <pageMargins left="0.511811024" right="0.511811024" top="0.78740157499999996" bottom="0.78740157499999996" header="0.31496062000000002" footer="0.31496062000000002"/>
  <pageSetup paperSize="9" orientation="portrait" r:id="rId1"/>
  <drawing r:id="rId2"/>
  <legacyDrawing r:id="rId3"/>
  <tableParts count="1">
    <tablePart r:id="rId4"/>
  </tableParts>
  <extLst>
    <ext xmlns:x14="http://schemas.microsoft.com/office/spreadsheetml/2009/9/main" uri="{CCE6A557-97BC-4b89-ADB6-D9C93CAAB3DF}">
      <x14:dataValidations xmlns:xm="http://schemas.microsoft.com/office/excel/2006/main" count="11">
        <x14:dataValidation type="list" allowBlank="1" showInputMessage="1" showErrorMessage="1" xr:uid="{A4AAE0A3-41DE-47CE-BFF4-560E9E50A505}">
          <x14:formula1>
            <xm:f>LISTAS!$A$1:$A$9</xm:f>
          </x14:formula1>
          <xm:sqref>B46:B225 B2:B44</xm:sqref>
        </x14:dataValidation>
        <x14:dataValidation type="list" allowBlank="1" showInputMessage="1" showErrorMessage="1" xr:uid="{77B0CD4B-2B6C-405D-9919-958BC5D6C3B0}">
          <x14:formula1>
            <xm:f>LISTAS!$B:$B</xm:f>
          </x14:formula1>
          <xm:sqref>C46:C225 C2:C44</xm:sqref>
        </x14:dataValidation>
        <x14:dataValidation type="list" allowBlank="1" showInputMessage="1" showErrorMessage="1" xr:uid="{A4919FB1-6371-46EE-B3E4-6E149018ED63}">
          <x14:formula1>
            <xm:f>LISTAS!$E:$E</xm:f>
          </x14:formula1>
          <xm:sqref>I46:I225 I2:I44</xm:sqref>
        </x14:dataValidation>
        <x14:dataValidation type="list" allowBlank="1" showInputMessage="1" showErrorMessage="1" xr:uid="{A4645A3A-B115-4039-B1C9-4227973C9390}">
          <x14:formula1>
            <xm:f>LISTAS!$C:$C</xm:f>
          </x14:formula1>
          <xm:sqref>D46:D225 D2:D44</xm:sqref>
        </x14:dataValidation>
        <x14:dataValidation type="list" allowBlank="1" showInputMessage="1" showErrorMessage="1" xr:uid="{9833E61E-EB49-447A-AF34-784A0A3E1207}">
          <x14:formula1>
            <xm:f>LISTAS!$D:$D</xm:f>
          </x14:formula1>
          <xm:sqref>F46:F225 F2:F44</xm:sqref>
        </x14:dataValidation>
        <x14:dataValidation type="list" allowBlank="1" showInputMessage="1" showErrorMessage="1" xr:uid="{39745072-E50C-45A3-AE69-014CB84AE254}">
          <x14:formula1>
            <xm:f>LISTAS!$F:$F</xm:f>
          </x14:formula1>
          <xm:sqref>N46:N225 N2:N44</xm:sqref>
        </x14:dataValidation>
        <x14:dataValidation type="list" allowBlank="1" showInputMessage="1" showErrorMessage="1" xr:uid="{575AA042-CB2C-4F8F-A304-810CCCE229D9}">
          <x14:formula1>
            <xm:f>LISTAS!$G:$G</xm:f>
          </x14:formula1>
          <xm:sqref>AA91:AA143 AA162:AA168 AA149:AA155 AA2:AA87 AA89 AA178:AA184</xm:sqref>
        </x14:dataValidation>
        <x14:dataValidation type="list" allowBlank="1" showInputMessage="1" showErrorMessage="1" xr:uid="{9E9136CD-C7EC-47C1-B672-944ABFB4418C}">
          <x14:formula1>
            <xm:f>LISTAS!$H:$H</xm:f>
          </x14:formula1>
          <xm:sqref>AC2:AC225</xm:sqref>
        </x14:dataValidation>
        <x14:dataValidation type="list" allowBlank="1" showInputMessage="1" showErrorMessage="1" xr:uid="{ECB9CDE8-B356-4592-9FEF-336408628C10}">
          <x14:formula1>
            <xm:f>LISTAS!$J:$J</xm:f>
          </x14:formula1>
          <xm:sqref>J46:J225 J2:J44</xm:sqref>
        </x14:dataValidation>
        <x14:dataValidation type="list" allowBlank="1" showInputMessage="1" showErrorMessage="1" xr:uid="{6E617D77-B8DD-4934-9BF7-2C72AA5F2F7E}">
          <x14:formula1>
            <xm:f>créditos_base!$C$2:$C$338</xm:f>
          </x14:formula1>
          <xm:sqref>Y2:Y225</xm:sqref>
        </x14:dataValidation>
        <x14:dataValidation type="list" allowBlank="1" showInputMessage="1" showErrorMessage="1" xr:uid="{A2091FCB-3B4F-4C55-A767-BDA45C18D634}">
          <x14:formula1>
            <xm:f>créditos_base!$B$2:$B$382</xm:f>
          </x14:formula1>
          <xm:sqref>W2:W225</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41FF6B-7731-47B1-BDA5-13CF9341BCEC}">
  <dimension ref="A1:C342"/>
  <sheetViews>
    <sheetView topLeftCell="A159" workbookViewId="0">
      <selection activeCell="C173" sqref="C173"/>
    </sheetView>
  </sheetViews>
  <sheetFormatPr defaultRowHeight="14.4" x14ac:dyDescent="0.3"/>
  <cols>
    <col min="1" max="1" width="46.5546875" customWidth="1"/>
    <col min="2" max="2" width="13.33203125" bestFit="1" customWidth="1"/>
    <col min="3" max="3" width="42.88671875" bestFit="1" customWidth="1"/>
  </cols>
  <sheetData>
    <row r="1" spans="1:3" x14ac:dyDescent="0.3">
      <c r="A1" t="s">
        <v>522</v>
      </c>
      <c r="B1" t="s">
        <v>523</v>
      </c>
      <c r="C1" t="s">
        <v>524</v>
      </c>
    </row>
    <row r="2" spans="1:3" x14ac:dyDescent="0.3">
      <c r="A2" t="s">
        <v>525</v>
      </c>
      <c r="B2" s="4" t="s">
        <v>526</v>
      </c>
      <c r="C2" t="s">
        <v>89</v>
      </c>
    </row>
    <row r="3" spans="1:3" x14ac:dyDescent="0.3">
      <c r="A3" t="s">
        <v>527</v>
      </c>
      <c r="B3" s="4" t="s">
        <v>528</v>
      </c>
      <c r="C3" t="s">
        <v>529</v>
      </c>
    </row>
    <row r="4" spans="1:3" ht="28.8" x14ac:dyDescent="0.3">
      <c r="A4" s="22" t="s">
        <v>530</v>
      </c>
      <c r="B4" s="1" t="s">
        <v>531</v>
      </c>
      <c r="C4" s="17" t="s">
        <v>532</v>
      </c>
    </row>
    <row r="5" spans="1:3" x14ac:dyDescent="0.3">
      <c r="A5" s="23" t="s">
        <v>533</v>
      </c>
      <c r="B5" s="1" t="s">
        <v>534</v>
      </c>
      <c r="C5" t="s">
        <v>89</v>
      </c>
    </row>
    <row r="6" spans="1:3" x14ac:dyDescent="0.3">
      <c r="A6" s="23" t="s">
        <v>535</v>
      </c>
      <c r="B6" s="1" t="s">
        <v>536</v>
      </c>
      <c r="C6" t="s">
        <v>89</v>
      </c>
    </row>
    <row r="7" spans="1:3" x14ac:dyDescent="0.3">
      <c r="A7" s="23" t="s">
        <v>537</v>
      </c>
      <c r="B7" s="1" t="s">
        <v>538</v>
      </c>
      <c r="C7" t="s">
        <v>89</v>
      </c>
    </row>
    <row r="8" spans="1:3" x14ac:dyDescent="0.3">
      <c r="A8" t="s">
        <v>539</v>
      </c>
      <c r="B8" s="4" t="s">
        <v>88</v>
      </c>
      <c r="C8" t="s">
        <v>89</v>
      </c>
    </row>
    <row r="9" spans="1:3" x14ac:dyDescent="0.3">
      <c r="A9" t="s">
        <v>94</v>
      </c>
      <c r="B9" s="4" t="s">
        <v>540</v>
      </c>
      <c r="C9" t="s">
        <v>94</v>
      </c>
    </row>
    <row r="10" spans="1:3" x14ac:dyDescent="0.3">
      <c r="A10" t="s">
        <v>541</v>
      </c>
      <c r="B10" s="4" t="s">
        <v>542</v>
      </c>
      <c r="C10" t="s">
        <v>543</v>
      </c>
    </row>
    <row r="11" spans="1:3" x14ac:dyDescent="0.3">
      <c r="A11" t="s">
        <v>544</v>
      </c>
      <c r="B11" s="4" t="s">
        <v>545</v>
      </c>
      <c r="C11" t="s">
        <v>546</v>
      </c>
    </row>
    <row r="12" spans="1:3" x14ac:dyDescent="0.3">
      <c r="A12" t="s">
        <v>547</v>
      </c>
      <c r="B12" s="4" t="s">
        <v>548</v>
      </c>
      <c r="C12" t="s">
        <v>549</v>
      </c>
    </row>
    <row r="13" spans="1:3" x14ac:dyDescent="0.3">
      <c r="A13" t="s">
        <v>550</v>
      </c>
      <c r="B13" s="4" t="s">
        <v>551</v>
      </c>
      <c r="C13" t="s">
        <v>552</v>
      </c>
    </row>
    <row r="14" spans="1:3" x14ac:dyDescent="0.3">
      <c r="A14" t="s">
        <v>553</v>
      </c>
      <c r="B14" s="4" t="s">
        <v>554</v>
      </c>
      <c r="C14" t="s">
        <v>555</v>
      </c>
    </row>
    <row r="15" spans="1:3" x14ac:dyDescent="0.3">
      <c r="A15" t="s">
        <v>556</v>
      </c>
      <c r="B15" s="4" t="s">
        <v>557</v>
      </c>
      <c r="C15" t="s">
        <v>556</v>
      </c>
    </row>
    <row r="16" spans="1:3" x14ac:dyDescent="0.3">
      <c r="A16" t="s">
        <v>558</v>
      </c>
      <c r="B16" s="4" t="s">
        <v>559</v>
      </c>
      <c r="C16" t="s">
        <v>558</v>
      </c>
    </row>
    <row r="17" spans="1:3" x14ac:dyDescent="0.3">
      <c r="A17" t="s">
        <v>560</v>
      </c>
      <c r="B17" s="4" t="s">
        <v>561</v>
      </c>
      <c r="C17" t="s">
        <v>560</v>
      </c>
    </row>
    <row r="18" spans="1:3" x14ac:dyDescent="0.3">
      <c r="A18" t="s">
        <v>562</v>
      </c>
      <c r="B18" s="4" t="s">
        <v>563</v>
      </c>
      <c r="C18" t="s">
        <v>562</v>
      </c>
    </row>
    <row r="19" spans="1:3" x14ac:dyDescent="0.3">
      <c r="A19" t="s">
        <v>564</v>
      </c>
      <c r="B19" s="4" t="s">
        <v>565</v>
      </c>
      <c r="C19" t="s">
        <v>564</v>
      </c>
    </row>
    <row r="20" spans="1:3" x14ac:dyDescent="0.3">
      <c r="A20" t="s">
        <v>566</v>
      </c>
      <c r="B20" s="4" t="s">
        <v>567</v>
      </c>
      <c r="C20" t="s">
        <v>566</v>
      </c>
    </row>
    <row r="21" spans="1:3" x14ac:dyDescent="0.3">
      <c r="A21" t="s">
        <v>568</v>
      </c>
      <c r="B21" s="4" t="s">
        <v>569</v>
      </c>
      <c r="C21" t="s">
        <v>568</v>
      </c>
    </row>
    <row r="22" spans="1:3" x14ac:dyDescent="0.3">
      <c r="A22" t="s">
        <v>570</v>
      </c>
      <c r="B22" s="4" t="s">
        <v>571</v>
      </c>
      <c r="C22" t="s">
        <v>570</v>
      </c>
    </row>
    <row r="23" spans="1:3" x14ac:dyDescent="0.3">
      <c r="A23" t="s">
        <v>572</v>
      </c>
      <c r="B23" s="4" t="s">
        <v>573</v>
      </c>
      <c r="C23" t="s">
        <v>572</v>
      </c>
    </row>
    <row r="24" spans="1:3" x14ac:dyDescent="0.3">
      <c r="A24" t="s">
        <v>574</v>
      </c>
      <c r="B24" s="4" t="s">
        <v>575</v>
      </c>
      <c r="C24" t="s">
        <v>574</v>
      </c>
    </row>
    <row r="25" spans="1:3" x14ac:dyDescent="0.3">
      <c r="A25" t="s">
        <v>576</v>
      </c>
      <c r="B25" s="4" t="s">
        <v>577</v>
      </c>
      <c r="C25" t="s">
        <v>578</v>
      </c>
    </row>
    <row r="26" spans="1:3" x14ac:dyDescent="0.3">
      <c r="A26" t="s">
        <v>579</v>
      </c>
      <c r="B26" s="4" t="s">
        <v>580</v>
      </c>
      <c r="C26" t="s">
        <v>579</v>
      </c>
    </row>
    <row r="27" spans="1:3" x14ac:dyDescent="0.3">
      <c r="A27" t="s">
        <v>581</v>
      </c>
      <c r="B27" s="4" t="s">
        <v>582</v>
      </c>
      <c r="C27" t="s">
        <v>581</v>
      </c>
    </row>
    <row r="28" spans="1:3" x14ac:dyDescent="0.3">
      <c r="A28" t="s">
        <v>583</v>
      </c>
      <c r="B28" s="4" t="s">
        <v>584</v>
      </c>
      <c r="C28" t="s">
        <v>583</v>
      </c>
    </row>
    <row r="29" spans="1:3" x14ac:dyDescent="0.3">
      <c r="A29" t="s">
        <v>585</v>
      </c>
      <c r="B29" s="4" t="s">
        <v>586</v>
      </c>
      <c r="C29" t="s">
        <v>587</v>
      </c>
    </row>
    <row r="30" spans="1:3" x14ac:dyDescent="0.3">
      <c r="A30" t="s">
        <v>588</v>
      </c>
      <c r="B30" s="4" t="s">
        <v>589</v>
      </c>
      <c r="C30" t="s">
        <v>588</v>
      </c>
    </row>
    <row r="31" spans="1:3" x14ac:dyDescent="0.3">
      <c r="A31" t="s">
        <v>590</v>
      </c>
      <c r="B31" s="4" t="s">
        <v>591</v>
      </c>
      <c r="C31" t="s">
        <v>592</v>
      </c>
    </row>
    <row r="32" spans="1:3" x14ac:dyDescent="0.3">
      <c r="A32" t="s">
        <v>593</v>
      </c>
      <c r="B32" s="4" t="s">
        <v>594</v>
      </c>
      <c r="C32" t="s">
        <v>593</v>
      </c>
    </row>
    <row r="33" spans="1:3" x14ac:dyDescent="0.3">
      <c r="A33" t="s">
        <v>595</v>
      </c>
      <c r="B33" s="4" t="s">
        <v>596</v>
      </c>
      <c r="C33" t="s">
        <v>595</v>
      </c>
    </row>
    <row r="34" spans="1:3" x14ac:dyDescent="0.3">
      <c r="A34" t="s">
        <v>597</v>
      </c>
      <c r="B34" s="4" t="s">
        <v>598</v>
      </c>
      <c r="C34" t="s">
        <v>597</v>
      </c>
    </row>
    <row r="35" spans="1:3" x14ac:dyDescent="0.3">
      <c r="A35" t="s">
        <v>599</v>
      </c>
      <c r="B35" s="4" t="s">
        <v>600</v>
      </c>
      <c r="C35" t="s">
        <v>601</v>
      </c>
    </row>
    <row r="36" spans="1:3" x14ac:dyDescent="0.3">
      <c r="A36" t="s">
        <v>602</v>
      </c>
      <c r="B36" s="4" t="s">
        <v>603</v>
      </c>
      <c r="C36" t="s">
        <v>604</v>
      </c>
    </row>
    <row r="37" spans="1:3" x14ac:dyDescent="0.3">
      <c r="A37" t="s">
        <v>605</v>
      </c>
      <c r="B37" s="4" t="s">
        <v>606</v>
      </c>
      <c r="C37" t="s">
        <v>605</v>
      </c>
    </row>
    <row r="38" spans="1:3" x14ac:dyDescent="0.3">
      <c r="A38" t="s">
        <v>607</v>
      </c>
      <c r="B38" s="4" t="s">
        <v>608</v>
      </c>
      <c r="C38" t="s">
        <v>609</v>
      </c>
    </row>
    <row r="39" spans="1:3" x14ac:dyDescent="0.3">
      <c r="A39" t="s">
        <v>610</v>
      </c>
      <c r="B39" s="4" t="s">
        <v>611</v>
      </c>
      <c r="C39" t="s">
        <v>610</v>
      </c>
    </row>
    <row r="40" spans="1:3" x14ac:dyDescent="0.3">
      <c r="A40" t="s">
        <v>612</v>
      </c>
      <c r="B40" s="4" t="s">
        <v>613</v>
      </c>
      <c r="C40" t="s">
        <v>612</v>
      </c>
    </row>
    <row r="41" spans="1:3" x14ac:dyDescent="0.3">
      <c r="A41" t="s">
        <v>614</v>
      </c>
      <c r="B41" s="4" t="s">
        <v>615</v>
      </c>
    </row>
    <row r="42" spans="1:3" x14ac:dyDescent="0.3">
      <c r="A42" t="s">
        <v>616</v>
      </c>
      <c r="B42" s="4" t="s">
        <v>617</v>
      </c>
      <c r="C42" t="s">
        <v>616</v>
      </c>
    </row>
    <row r="43" spans="1:3" x14ac:dyDescent="0.3">
      <c r="A43" t="s">
        <v>618</v>
      </c>
      <c r="B43" s="4" t="s">
        <v>619</v>
      </c>
      <c r="C43" t="s">
        <v>618</v>
      </c>
    </row>
    <row r="44" spans="1:3" x14ac:dyDescent="0.3">
      <c r="A44" t="s">
        <v>187</v>
      </c>
      <c r="B44" s="4" t="s">
        <v>111</v>
      </c>
      <c r="C44" t="s">
        <v>187</v>
      </c>
    </row>
    <row r="45" spans="1:3" x14ac:dyDescent="0.3">
      <c r="A45" t="s">
        <v>620</v>
      </c>
      <c r="B45" s="4" t="s">
        <v>621</v>
      </c>
      <c r="C45" t="s">
        <v>620</v>
      </c>
    </row>
    <row r="46" spans="1:3" x14ac:dyDescent="0.3">
      <c r="A46" t="s">
        <v>622</v>
      </c>
      <c r="B46" s="4" t="s">
        <v>623</v>
      </c>
      <c r="C46" t="s">
        <v>622</v>
      </c>
    </row>
    <row r="47" spans="1:3" x14ac:dyDescent="0.3">
      <c r="A47" t="s">
        <v>624</v>
      </c>
      <c r="B47" s="4" t="s">
        <v>134</v>
      </c>
      <c r="C47" t="s">
        <v>153</v>
      </c>
    </row>
    <row r="48" spans="1:3" x14ac:dyDescent="0.3">
      <c r="A48" t="s">
        <v>625</v>
      </c>
      <c r="B48" s="4" t="s">
        <v>626</v>
      </c>
      <c r="C48" t="s">
        <v>625</v>
      </c>
    </row>
    <row r="49" spans="1:3" x14ac:dyDescent="0.3">
      <c r="A49" t="s">
        <v>627</v>
      </c>
      <c r="B49" s="4" t="s">
        <v>628</v>
      </c>
      <c r="C49" t="s">
        <v>627</v>
      </c>
    </row>
    <row r="50" spans="1:3" x14ac:dyDescent="0.3">
      <c r="A50" t="s">
        <v>629</v>
      </c>
      <c r="B50" s="4" t="s">
        <v>630</v>
      </c>
      <c r="C50" t="s">
        <v>629</v>
      </c>
    </row>
    <row r="51" spans="1:3" x14ac:dyDescent="0.3">
      <c r="A51" t="s">
        <v>631</v>
      </c>
      <c r="B51" s="4" t="s">
        <v>632</v>
      </c>
      <c r="C51" t="s">
        <v>633</v>
      </c>
    </row>
    <row r="52" spans="1:3" x14ac:dyDescent="0.3">
      <c r="A52" t="s">
        <v>634</v>
      </c>
      <c r="B52" s="4" t="s">
        <v>635</v>
      </c>
      <c r="C52" t="s">
        <v>636</v>
      </c>
    </row>
    <row r="53" spans="1:3" x14ac:dyDescent="0.3">
      <c r="A53" t="s">
        <v>637</v>
      </c>
      <c r="B53" s="4" t="s">
        <v>638</v>
      </c>
      <c r="C53" t="s">
        <v>639</v>
      </c>
    </row>
    <row r="54" spans="1:3" x14ac:dyDescent="0.3">
      <c r="A54" t="s">
        <v>640</v>
      </c>
      <c r="B54" s="4" t="s">
        <v>641</v>
      </c>
    </row>
    <row r="55" spans="1:3" x14ac:dyDescent="0.3">
      <c r="A55" t="s">
        <v>642</v>
      </c>
      <c r="B55" s="4" t="s">
        <v>643</v>
      </c>
      <c r="C55" t="s">
        <v>644</v>
      </c>
    </row>
    <row r="56" spans="1:3" x14ac:dyDescent="0.3">
      <c r="A56" t="s">
        <v>645</v>
      </c>
      <c r="B56" s="4" t="s">
        <v>646</v>
      </c>
    </row>
    <row r="57" spans="1:3" x14ac:dyDescent="0.3">
      <c r="A57" t="s">
        <v>647</v>
      </c>
      <c r="B57" s="4" t="s">
        <v>648</v>
      </c>
      <c r="C57" t="s">
        <v>649</v>
      </c>
    </row>
    <row r="58" spans="1:3" x14ac:dyDescent="0.3">
      <c r="A58" t="s">
        <v>650</v>
      </c>
      <c r="B58" s="4" t="s">
        <v>651</v>
      </c>
      <c r="C58" t="s">
        <v>652</v>
      </c>
    </row>
    <row r="59" spans="1:3" x14ac:dyDescent="0.3">
      <c r="A59" t="s">
        <v>653</v>
      </c>
      <c r="B59" s="4" t="s">
        <v>654</v>
      </c>
      <c r="C59" t="s">
        <v>655</v>
      </c>
    </row>
    <row r="60" spans="1:3" x14ac:dyDescent="0.3">
      <c r="A60" t="s">
        <v>656</v>
      </c>
      <c r="B60" s="4" t="s">
        <v>657</v>
      </c>
      <c r="C60" t="s">
        <v>656</v>
      </c>
    </row>
    <row r="61" spans="1:3" x14ac:dyDescent="0.3">
      <c r="A61" t="s">
        <v>658</v>
      </c>
      <c r="B61" s="4" t="s">
        <v>659</v>
      </c>
      <c r="C61" t="s">
        <v>660</v>
      </c>
    </row>
    <row r="62" spans="1:3" x14ac:dyDescent="0.3">
      <c r="A62" t="s">
        <v>661</v>
      </c>
      <c r="B62" s="4" t="s">
        <v>662</v>
      </c>
      <c r="C62" t="s">
        <v>661</v>
      </c>
    </row>
    <row r="63" spans="1:3" x14ac:dyDescent="0.3">
      <c r="A63" t="s">
        <v>663</v>
      </c>
      <c r="B63" s="4" t="s">
        <v>664</v>
      </c>
      <c r="C63" t="s">
        <v>663</v>
      </c>
    </row>
    <row r="64" spans="1:3" x14ac:dyDescent="0.3">
      <c r="A64" t="s">
        <v>665</v>
      </c>
      <c r="B64" s="4" t="s">
        <v>666</v>
      </c>
      <c r="C64" t="s">
        <v>665</v>
      </c>
    </row>
    <row r="65" spans="1:3" x14ac:dyDescent="0.3">
      <c r="A65" t="s">
        <v>667</v>
      </c>
      <c r="B65" s="4" t="s">
        <v>668</v>
      </c>
      <c r="C65" t="s">
        <v>669</v>
      </c>
    </row>
    <row r="66" spans="1:3" x14ac:dyDescent="0.3">
      <c r="A66" t="s">
        <v>670</v>
      </c>
      <c r="B66" s="4" t="s">
        <v>671</v>
      </c>
      <c r="C66" t="s">
        <v>670</v>
      </c>
    </row>
    <row r="67" spans="1:3" x14ac:dyDescent="0.3">
      <c r="A67" t="s">
        <v>672</v>
      </c>
      <c r="B67" s="4" t="s">
        <v>673</v>
      </c>
    </row>
    <row r="68" spans="1:3" x14ac:dyDescent="0.3">
      <c r="A68" t="s">
        <v>674</v>
      </c>
      <c r="B68" s="4" t="s">
        <v>675</v>
      </c>
      <c r="C68" t="s">
        <v>674</v>
      </c>
    </row>
    <row r="69" spans="1:3" x14ac:dyDescent="0.3">
      <c r="A69" t="s">
        <v>676</v>
      </c>
      <c r="B69" s="4" t="s">
        <v>677</v>
      </c>
      <c r="C69" t="s">
        <v>676</v>
      </c>
    </row>
    <row r="70" spans="1:3" x14ac:dyDescent="0.3">
      <c r="A70" t="s">
        <v>678</v>
      </c>
      <c r="B70" s="4" t="s">
        <v>679</v>
      </c>
      <c r="C70" t="s">
        <v>678</v>
      </c>
    </row>
    <row r="71" spans="1:3" x14ac:dyDescent="0.3">
      <c r="A71" t="s">
        <v>680</v>
      </c>
      <c r="B71" s="4" t="s">
        <v>681</v>
      </c>
      <c r="C71" t="s">
        <v>680</v>
      </c>
    </row>
    <row r="72" spans="1:3" x14ac:dyDescent="0.3">
      <c r="A72" t="s">
        <v>682</v>
      </c>
      <c r="B72" s="4" t="s">
        <v>683</v>
      </c>
      <c r="C72" t="s">
        <v>682</v>
      </c>
    </row>
    <row r="73" spans="1:3" x14ac:dyDescent="0.3">
      <c r="A73" t="s">
        <v>684</v>
      </c>
      <c r="B73" s="4" t="s">
        <v>685</v>
      </c>
      <c r="C73" t="s">
        <v>684</v>
      </c>
    </row>
    <row r="74" spans="1:3" x14ac:dyDescent="0.3">
      <c r="A74" t="s">
        <v>686</v>
      </c>
      <c r="B74" s="4" t="s">
        <v>687</v>
      </c>
    </row>
    <row r="75" spans="1:3" x14ac:dyDescent="0.3">
      <c r="A75" t="s">
        <v>688</v>
      </c>
      <c r="B75" s="4" t="s">
        <v>689</v>
      </c>
      <c r="C75" t="s">
        <v>688</v>
      </c>
    </row>
    <row r="76" spans="1:3" x14ac:dyDescent="0.3">
      <c r="A76" t="s">
        <v>690</v>
      </c>
      <c r="B76" s="4" t="s">
        <v>167</v>
      </c>
      <c r="C76" t="s">
        <v>690</v>
      </c>
    </row>
    <row r="77" spans="1:3" x14ac:dyDescent="0.3">
      <c r="A77" t="s">
        <v>691</v>
      </c>
      <c r="B77" s="4" t="s">
        <v>692</v>
      </c>
      <c r="C77" t="s">
        <v>691</v>
      </c>
    </row>
    <row r="78" spans="1:3" x14ac:dyDescent="0.3">
      <c r="A78" t="s">
        <v>693</v>
      </c>
      <c r="B78" s="4" t="s">
        <v>694</v>
      </c>
      <c r="C78" t="s">
        <v>693</v>
      </c>
    </row>
    <row r="79" spans="1:3" x14ac:dyDescent="0.3">
      <c r="A79" t="s">
        <v>695</v>
      </c>
      <c r="B79" s="4" t="s">
        <v>696</v>
      </c>
      <c r="C79" t="s">
        <v>695</v>
      </c>
    </row>
    <row r="80" spans="1:3" x14ac:dyDescent="0.3">
      <c r="A80" t="s">
        <v>697</v>
      </c>
      <c r="B80" s="4" t="s">
        <v>698</v>
      </c>
    </row>
    <row r="81" spans="1:3" x14ac:dyDescent="0.3">
      <c r="A81" t="s">
        <v>699</v>
      </c>
      <c r="B81" s="4" t="s">
        <v>700</v>
      </c>
    </row>
    <row r="82" spans="1:3" x14ac:dyDescent="0.3">
      <c r="A82" t="s">
        <v>701</v>
      </c>
      <c r="B82" s="4" t="s">
        <v>702</v>
      </c>
      <c r="C82" t="s">
        <v>703</v>
      </c>
    </row>
    <row r="83" spans="1:3" x14ac:dyDescent="0.3">
      <c r="A83" t="s">
        <v>704</v>
      </c>
      <c r="B83" s="4" t="s">
        <v>705</v>
      </c>
      <c r="C83" t="s">
        <v>706</v>
      </c>
    </row>
    <row r="84" spans="1:3" x14ac:dyDescent="0.3">
      <c r="A84" t="s">
        <v>707</v>
      </c>
      <c r="B84" s="4" t="s">
        <v>708</v>
      </c>
      <c r="C84" t="s">
        <v>707</v>
      </c>
    </row>
    <row r="85" spans="1:3" x14ac:dyDescent="0.3">
      <c r="A85" t="s">
        <v>709</v>
      </c>
      <c r="B85" s="4" t="s">
        <v>710</v>
      </c>
      <c r="C85" t="s">
        <v>709</v>
      </c>
    </row>
    <row r="86" spans="1:3" x14ac:dyDescent="0.3">
      <c r="A86" t="s">
        <v>711</v>
      </c>
      <c r="B86" s="4" t="s">
        <v>712</v>
      </c>
      <c r="C86" t="s">
        <v>711</v>
      </c>
    </row>
    <row r="87" spans="1:3" x14ac:dyDescent="0.3">
      <c r="A87" t="s">
        <v>713</v>
      </c>
      <c r="B87" s="4" t="s">
        <v>714</v>
      </c>
      <c r="C87" t="s">
        <v>713</v>
      </c>
    </row>
    <row r="88" spans="1:3" x14ac:dyDescent="0.3">
      <c r="A88" t="s">
        <v>715</v>
      </c>
      <c r="B88" s="4" t="s">
        <v>716</v>
      </c>
      <c r="C88" t="s">
        <v>715</v>
      </c>
    </row>
    <row r="89" spans="1:3" x14ac:dyDescent="0.3">
      <c r="A89" t="s">
        <v>717</v>
      </c>
      <c r="B89" s="4" t="s">
        <v>718</v>
      </c>
      <c r="C89" t="s">
        <v>717</v>
      </c>
    </row>
    <row r="90" spans="1:3" x14ac:dyDescent="0.3">
      <c r="A90" t="s">
        <v>719</v>
      </c>
      <c r="B90" s="4" t="s">
        <v>720</v>
      </c>
      <c r="C90" t="s">
        <v>719</v>
      </c>
    </row>
    <row r="91" spans="1:3" x14ac:dyDescent="0.3">
      <c r="A91" t="s">
        <v>721</v>
      </c>
      <c r="B91" s="4" t="s">
        <v>722</v>
      </c>
      <c r="C91" t="s">
        <v>723</v>
      </c>
    </row>
    <row r="92" spans="1:3" x14ac:dyDescent="0.3">
      <c r="A92" t="s">
        <v>724</v>
      </c>
      <c r="B92" s="4" t="s">
        <v>725</v>
      </c>
      <c r="C92" t="s">
        <v>724</v>
      </c>
    </row>
    <row r="93" spans="1:3" x14ac:dyDescent="0.3">
      <c r="A93" t="s">
        <v>726</v>
      </c>
      <c r="B93" s="4" t="s">
        <v>727</v>
      </c>
      <c r="C93" t="s">
        <v>728</v>
      </c>
    </row>
    <row r="94" spans="1:3" x14ac:dyDescent="0.3">
      <c r="A94" t="s">
        <v>729</v>
      </c>
      <c r="B94" s="4" t="s">
        <v>730</v>
      </c>
      <c r="C94" t="s">
        <v>731</v>
      </c>
    </row>
    <row r="95" spans="1:3" x14ac:dyDescent="0.3">
      <c r="A95" t="s">
        <v>732</v>
      </c>
      <c r="B95" s="4" t="s">
        <v>733</v>
      </c>
      <c r="C95" t="s">
        <v>732</v>
      </c>
    </row>
    <row r="96" spans="1:3" x14ac:dyDescent="0.3">
      <c r="A96" t="s">
        <v>734</v>
      </c>
      <c r="B96" s="4" t="s">
        <v>735</v>
      </c>
      <c r="C96" t="s">
        <v>734</v>
      </c>
    </row>
    <row r="97" spans="1:3" x14ac:dyDescent="0.3">
      <c r="A97" t="s">
        <v>25</v>
      </c>
      <c r="B97" s="4" t="s">
        <v>24</v>
      </c>
      <c r="C97" t="s">
        <v>25</v>
      </c>
    </row>
    <row r="98" spans="1:3" x14ac:dyDescent="0.3">
      <c r="A98" t="s">
        <v>736</v>
      </c>
      <c r="B98" s="4" t="s">
        <v>737</v>
      </c>
      <c r="C98" t="s">
        <v>738</v>
      </c>
    </row>
    <row r="99" spans="1:3" x14ac:dyDescent="0.3">
      <c r="A99" t="s">
        <v>739</v>
      </c>
      <c r="B99" s="4" t="s">
        <v>740</v>
      </c>
      <c r="C99" t="s">
        <v>741</v>
      </c>
    </row>
    <row r="100" spans="1:3" x14ac:dyDescent="0.3">
      <c r="A100" t="s">
        <v>742</v>
      </c>
      <c r="B100" s="4" t="s">
        <v>743</v>
      </c>
      <c r="C100" t="s">
        <v>744</v>
      </c>
    </row>
    <row r="101" spans="1:3" x14ac:dyDescent="0.3">
      <c r="A101" t="s">
        <v>745</v>
      </c>
      <c r="B101" s="4" t="s">
        <v>746</v>
      </c>
      <c r="C101" t="s">
        <v>745</v>
      </c>
    </row>
    <row r="102" spans="1:3" x14ac:dyDescent="0.3">
      <c r="A102" t="s">
        <v>747</v>
      </c>
      <c r="B102" s="4" t="s">
        <v>748</v>
      </c>
      <c r="C102" t="s">
        <v>749</v>
      </c>
    </row>
    <row r="103" spans="1:3" x14ac:dyDescent="0.3">
      <c r="A103" t="s">
        <v>750</v>
      </c>
      <c r="B103" s="4" t="s">
        <v>751</v>
      </c>
      <c r="C103" t="s">
        <v>752</v>
      </c>
    </row>
    <row r="104" spans="1:3" x14ac:dyDescent="0.3">
      <c r="A104" t="s">
        <v>753</v>
      </c>
      <c r="B104" s="4" t="s">
        <v>754</v>
      </c>
      <c r="C104" t="s">
        <v>753</v>
      </c>
    </row>
    <row r="105" spans="1:3" x14ac:dyDescent="0.3">
      <c r="A105" t="s">
        <v>755</v>
      </c>
      <c r="B105" s="4" t="s">
        <v>756</v>
      </c>
      <c r="C105" t="s">
        <v>757</v>
      </c>
    </row>
    <row r="106" spans="1:3" x14ac:dyDescent="0.3">
      <c r="A106" t="s">
        <v>758</v>
      </c>
      <c r="B106" s="4" t="s">
        <v>759</v>
      </c>
      <c r="C106" t="s">
        <v>758</v>
      </c>
    </row>
    <row r="107" spans="1:3" x14ac:dyDescent="0.3">
      <c r="A107" t="s">
        <v>760</v>
      </c>
      <c r="B107" s="4" t="s">
        <v>761</v>
      </c>
      <c r="C107" t="s">
        <v>762</v>
      </c>
    </row>
    <row r="108" spans="1:3" x14ac:dyDescent="0.3">
      <c r="A108" t="s">
        <v>763</v>
      </c>
      <c r="B108" s="4" t="s">
        <v>764</v>
      </c>
      <c r="C108" t="s">
        <v>765</v>
      </c>
    </row>
    <row r="109" spans="1:3" x14ac:dyDescent="0.3">
      <c r="A109" t="s">
        <v>766</v>
      </c>
      <c r="B109" s="4" t="s">
        <v>767</v>
      </c>
      <c r="C109" t="s">
        <v>766</v>
      </c>
    </row>
    <row r="110" spans="1:3" x14ac:dyDescent="0.3">
      <c r="A110" t="s">
        <v>768</v>
      </c>
      <c r="B110" s="4" t="s">
        <v>769</v>
      </c>
      <c r="C110" t="s">
        <v>770</v>
      </c>
    </row>
    <row r="111" spans="1:3" x14ac:dyDescent="0.3">
      <c r="A111" t="s">
        <v>771</v>
      </c>
      <c r="B111" s="4" t="s">
        <v>772</v>
      </c>
      <c r="C111" t="s">
        <v>771</v>
      </c>
    </row>
    <row r="112" spans="1:3" x14ac:dyDescent="0.3">
      <c r="A112" t="s">
        <v>773</v>
      </c>
      <c r="B112" s="4" t="s">
        <v>774</v>
      </c>
    </row>
    <row r="113" spans="1:3" x14ac:dyDescent="0.3">
      <c r="A113" t="s">
        <v>775</v>
      </c>
      <c r="B113" s="4" t="s">
        <v>776</v>
      </c>
    </row>
    <row r="114" spans="1:3" x14ac:dyDescent="0.3">
      <c r="A114" t="s">
        <v>777</v>
      </c>
      <c r="B114" s="4" t="s">
        <v>778</v>
      </c>
      <c r="C114" t="s">
        <v>779</v>
      </c>
    </row>
    <row r="115" spans="1:3" x14ac:dyDescent="0.3">
      <c r="A115" t="s">
        <v>780</v>
      </c>
      <c r="B115" s="4" t="s">
        <v>781</v>
      </c>
      <c r="C115" t="s">
        <v>782</v>
      </c>
    </row>
    <row r="116" spans="1:3" x14ac:dyDescent="0.3">
      <c r="A116" t="s">
        <v>783</v>
      </c>
      <c r="B116" s="4" t="s">
        <v>784</v>
      </c>
      <c r="C116" t="s">
        <v>785</v>
      </c>
    </row>
    <row r="117" spans="1:3" x14ac:dyDescent="0.3">
      <c r="A117" t="s">
        <v>786</v>
      </c>
      <c r="B117" s="4" t="s">
        <v>787</v>
      </c>
      <c r="C117" t="s">
        <v>788</v>
      </c>
    </row>
    <row r="118" spans="1:3" x14ac:dyDescent="0.3">
      <c r="A118" t="s">
        <v>789</v>
      </c>
      <c r="B118" s="4" t="s">
        <v>790</v>
      </c>
    </row>
    <row r="119" spans="1:3" x14ac:dyDescent="0.3">
      <c r="A119" t="s">
        <v>791</v>
      </c>
      <c r="B119" s="4" t="s">
        <v>792</v>
      </c>
    </row>
    <row r="120" spans="1:3" x14ac:dyDescent="0.3">
      <c r="A120" t="s">
        <v>793</v>
      </c>
      <c r="B120" s="4" t="s">
        <v>794</v>
      </c>
      <c r="C120" t="s">
        <v>795</v>
      </c>
    </row>
    <row r="121" spans="1:3" x14ac:dyDescent="0.3">
      <c r="A121" t="s">
        <v>796</v>
      </c>
      <c r="B121" s="4" t="s">
        <v>797</v>
      </c>
    </row>
    <row r="122" spans="1:3" x14ac:dyDescent="0.3">
      <c r="A122" t="s">
        <v>798</v>
      </c>
      <c r="B122" s="4" t="s">
        <v>799</v>
      </c>
      <c r="C122" t="s">
        <v>800</v>
      </c>
    </row>
    <row r="123" spans="1:3" x14ac:dyDescent="0.3">
      <c r="A123" t="s">
        <v>801</v>
      </c>
      <c r="B123" s="4" t="s">
        <v>802</v>
      </c>
      <c r="C123" t="s">
        <v>801</v>
      </c>
    </row>
    <row r="124" spans="1:3" x14ac:dyDescent="0.3">
      <c r="A124" t="s">
        <v>803</v>
      </c>
      <c r="B124" s="4" t="s">
        <v>804</v>
      </c>
      <c r="C124" t="s">
        <v>803</v>
      </c>
    </row>
    <row r="125" spans="1:3" x14ac:dyDescent="0.3">
      <c r="A125" t="s">
        <v>805</v>
      </c>
      <c r="B125" s="4" t="s">
        <v>806</v>
      </c>
      <c r="C125" t="s">
        <v>805</v>
      </c>
    </row>
    <row r="126" spans="1:3" x14ac:dyDescent="0.3">
      <c r="A126" t="s">
        <v>54</v>
      </c>
      <c r="B126" s="4" t="s">
        <v>807</v>
      </c>
      <c r="C126" t="s">
        <v>54</v>
      </c>
    </row>
    <row r="127" spans="1:3" x14ac:dyDescent="0.3">
      <c r="A127" t="s">
        <v>808</v>
      </c>
      <c r="B127" s="4" t="s">
        <v>809</v>
      </c>
      <c r="C127" t="s">
        <v>808</v>
      </c>
    </row>
    <row r="128" spans="1:3" x14ac:dyDescent="0.3">
      <c r="A128" t="s">
        <v>810</v>
      </c>
      <c r="B128" s="4" t="s">
        <v>811</v>
      </c>
      <c r="C128" t="s">
        <v>810</v>
      </c>
    </row>
    <row r="129" spans="1:3" x14ac:dyDescent="0.3">
      <c r="A129" t="s">
        <v>812</v>
      </c>
      <c r="B129" s="4" t="s">
        <v>813</v>
      </c>
      <c r="C129" t="s">
        <v>812</v>
      </c>
    </row>
    <row r="130" spans="1:3" x14ac:dyDescent="0.3">
      <c r="A130" t="s">
        <v>814</v>
      </c>
      <c r="B130" s="4" t="s">
        <v>815</v>
      </c>
      <c r="C130" t="s">
        <v>816</v>
      </c>
    </row>
    <row r="131" spans="1:3" x14ac:dyDescent="0.3">
      <c r="A131" t="s">
        <v>817</v>
      </c>
      <c r="B131" s="4" t="s">
        <v>818</v>
      </c>
      <c r="C131" t="s">
        <v>819</v>
      </c>
    </row>
    <row r="132" spans="1:3" x14ac:dyDescent="0.3">
      <c r="A132" t="s">
        <v>820</v>
      </c>
      <c r="B132" s="4" t="s">
        <v>821</v>
      </c>
      <c r="C132" t="s">
        <v>820</v>
      </c>
    </row>
    <row r="133" spans="1:3" x14ac:dyDescent="0.3">
      <c r="A133" t="s">
        <v>46</v>
      </c>
      <c r="B133" s="4" t="s">
        <v>45</v>
      </c>
      <c r="C133" t="s">
        <v>822</v>
      </c>
    </row>
    <row r="134" spans="1:3" x14ac:dyDescent="0.3">
      <c r="A134" t="s">
        <v>823</v>
      </c>
      <c r="B134" s="4" t="s">
        <v>824</v>
      </c>
      <c r="C134" t="s">
        <v>825</v>
      </c>
    </row>
    <row r="135" spans="1:3" x14ac:dyDescent="0.3">
      <c r="A135" t="s">
        <v>826</v>
      </c>
      <c r="B135" s="4" t="s">
        <v>827</v>
      </c>
      <c r="C135" t="s">
        <v>826</v>
      </c>
    </row>
    <row r="136" spans="1:3" x14ac:dyDescent="0.3">
      <c r="A136" t="s">
        <v>828</v>
      </c>
      <c r="B136" s="4" t="s">
        <v>829</v>
      </c>
      <c r="C136" t="s">
        <v>828</v>
      </c>
    </row>
    <row r="137" spans="1:3" x14ac:dyDescent="0.3">
      <c r="A137" t="s">
        <v>830</v>
      </c>
      <c r="B137" s="4" t="s">
        <v>831</v>
      </c>
      <c r="C137" t="s">
        <v>830</v>
      </c>
    </row>
    <row r="138" spans="1:3" x14ac:dyDescent="0.3">
      <c r="A138" t="s">
        <v>832</v>
      </c>
      <c r="B138" s="4" t="s">
        <v>833</v>
      </c>
      <c r="C138" t="s">
        <v>834</v>
      </c>
    </row>
    <row r="139" spans="1:3" x14ac:dyDescent="0.3">
      <c r="A139" t="s">
        <v>835</v>
      </c>
      <c r="B139" s="4" t="s">
        <v>836</v>
      </c>
      <c r="C139" t="s">
        <v>835</v>
      </c>
    </row>
    <row r="140" spans="1:3" x14ac:dyDescent="0.3">
      <c r="A140" t="s">
        <v>837</v>
      </c>
      <c r="B140" s="4" t="s">
        <v>838</v>
      </c>
      <c r="C140" t="s">
        <v>839</v>
      </c>
    </row>
    <row r="141" spans="1:3" x14ac:dyDescent="0.3">
      <c r="A141" t="s">
        <v>840</v>
      </c>
      <c r="B141" s="4" t="s">
        <v>841</v>
      </c>
      <c r="C141" t="s">
        <v>842</v>
      </c>
    </row>
    <row r="142" spans="1:3" x14ac:dyDescent="0.3">
      <c r="A142" t="s">
        <v>843</v>
      </c>
      <c r="B142" s="4" t="s">
        <v>844</v>
      </c>
    </row>
    <row r="143" spans="1:3" x14ac:dyDescent="0.3">
      <c r="A143" t="s">
        <v>845</v>
      </c>
      <c r="B143" s="4" t="s">
        <v>846</v>
      </c>
    </row>
    <row r="144" spans="1:3" x14ac:dyDescent="0.3">
      <c r="A144" t="s">
        <v>847</v>
      </c>
      <c r="B144" s="4" t="s">
        <v>848</v>
      </c>
      <c r="C144" t="s">
        <v>847</v>
      </c>
    </row>
    <row r="145" spans="1:3" x14ac:dyDescent="0.3">
      <c r="A145" t="s">
        <v>849</v>
      </c>
      <c r="B145" s="4" t="s">
        <v>850</v>
      </c>
      <c r="C145" t="s">
        <v>851</v>
      </c>
    </row>
    <row r="146" spans="1:3" x14ac:dyDescent="0.3">
      <c r="A146" t="s">
        <v>852</v>
      </c>
      <c r="B146" s="4" t="s">
        <v>853</v>
      </c>
      <c r="C146" t="s">
        <v>852</v>
      </c>
    </row>
    <row r="147" spans="1:3" x14ac:dyDescent="0.3">
      <c r="A147" t="s">
        <v>854</v>
      </c>
      <c r="B147" s="4" t="s">
        <v>855</v>
      </c>
      <c r="C147" t="s">
        <v>854</v>
      </c>
    </row>
    <row r="148" spans="1:3" x14ac:dyDescent="0.3">
      <c r="A148" t="s">
        <v>856</v>
      </c>
      <c r="B148" s="4" t="s">
        <v>857</v>
      </c>
      <c r="C148" t="s">
        <v>856</v>
      </c>
    </row>
    <row r="149" spans="1:3" x14ac:dyDescent="0.3">
      <c r="A149" t="s">
        <v>858</v>
      </c>
      <c r="B149" s="4" t="s">
        <v>859</v>
      </c>
      <c r="C149" t="s">
        <v>858</v>
      </c>
    </row>
    <row r="150" spans="1:3" x14ac:dyDescent="0.3">
      <c r="A150" t="s">
        <v>860</v>
      </c>
      <c r="B150" s="4" t="s">
        <v>861</v>
      </c>
      <c r="C150" t="s">
        <v>860</v>
      </c>
    </row>
    <row r="151" spans="1:3" x14ac:dyDescent="0.3">
      <c r="A151" t="s">
        <v>862</v>
      </c>
      <c r="B151" s="4" t="s">
        <v>863</v>
      </c>
      <c r="C151" t="s">
        <v>191</v>
      </c>
    </row>
    <row r="152" spans="1:3" x14ac:dyDescent="0.3">
      <c r="A152" t="s">
        <v>864</v>
      </c>
      <c r="B152" s="4" t="s">
        <v>865</v>
      </c>
      <c r="C152" t="s">
        <v>864</v>
      </c>
    </row>
    <row r="153" spans="1:3" x14ac:dyDescent="0.3">
      <c r="A153" t="s">
        <v>866</v>
      </c>
      <c r="B153" s="4" t="s">
        <v>867</v>
      </c>
      <c r="C153" t="s">
        <v>868</v>
      </c>
    </row>
    <row r="154" spans="1:3" x14ac:dyDescent="0.3">
      <c r="A154" t="s">
        <v>869</v>
      </c>
      <c r="B154" s="4" t="s">
        <v>870</v>
      </c>
      <c r="C154" t="s">
        <v>871</v>
      </c>
    </row>
    <row r="155" spans="1:3" x14ac:dyDescent="0.3">
      <c r="A155" t="s">
        <v>872</v>
      </c>
      <c r="B155" s="4" t="s">
        <v>873</v>
      </c>
      <c r="C155" t="s">
        <v>872</v>
      </c>
    </row>
    <row r="156" spans="1:3" x14ac:dyDescent="0.3">
      <c r="A156" t="s">
        <v>874</v>
      </c>
      <c r="B156" s="4" t="s">
        <v>875</v>
      </c>
      <c r="C156" t="s">
        <v>874</v>
      </c>
    </row>
    <row r="157" spans="1:3" x14ac:dyDescent="0.3">
      <c r="A157" t="s">
        <v>876</v>
      </c>
      <c r="B157" s="4" t="s">
        <v>877</v>
      </c>
      <c r="C157" t="s">
        <v>878</v>
      </c>
    </row>
    <row r="158" spans="1:3" x14ac:dyDescent="0.3">
      <c r="A158" t="s">
        <v>879</v>
      </c>
      <c r="B158" s="4" t="s">
        <v>880</v>
      </c>
    </row>
    <row r="159" spans="1:3" x14ac:dyDescent="0.3">
      <c r="A159" t="s">
        <v>881</v>
      </c>
      <c r="B159" s="4" t="s">
        <v>882</v>
      </c>
      <c r="C159" t="s">
        <v>883</v>
      </c>
    </row>
    <row r="160" spans="1:3" x14ac:dyDescent="0.3">
      <c r="A160" t="s">
        <v>884</v>
      </c>
      <c r="B160" s="4" t="s">
        <v>885</v>
      </c>
      <c r="C160" t="s">
        <v>884</v>
      </c>
    </row>
    <row r="161" spans="1:3" x14ac:dyDescent="0.3">
      <c r="A161" t="s">
        <v>886</v>
      </c>
      <c r="B161" s="4" t="s">
        <v>887</v>
      </c>
      <c r="C161" t="s">
        <v>888</v>
      </c>
    </row>
    <row r="162" spans="1:3" x14ac:dyDescent="0.3">
      <c r="A162" t="s">
        <v>889</v>
      </c>
      <c r="B162" s="4" t="s">
        <v>890</v>
      </c>
    </row>
    <row r="163" spans="1:3" x14ac:dyDescent="0.3">
      <c r="A163" t="s">
        <v>891</v>
      </c>
      <c r="B163" s="4" t="s">
        <v>892</v>
      </c>
      <c r="C163" t="s">
        <v>891</v>
      </c>
    </row>
    <row r="164" spans="1:3" x14ac:dyDescent="0.3">
      <c r="A164" t="s">
        <v>893</v>
      </c>
      <c r="B164" s="4" t="s">
        <v>894</v>
      </c>
      <c r="C164" t="s">
        <v>895</v>
      </c>
    </row>
    <row r="165" spans="1:3" x14ac:dyDescent="0.3">
      <c r="A165" t="s">
        <v>896</v>
      </c>
      <c r="B165" s="4" t="s">
        <v>897</v>
      </c>
      <c r="C165" t="s">
        <v>896</v>
      </c>
    </row>
    <row r="166" spans="1:3" x14ac:dyDescent="0.3">
      <c r="A166" t="s">
        <v>898</v>
      </c>
      <c r="B166" s="4" t="s">
        <v>899</v>
      </c>
      <c r="C166" t="s">
        <v>898</v>
      </c>
    </row>
    <row r="167" spans="1:3" x14ac:dyDescent="0.3">
      <c r="A167" t="s">
        <v>900</v>
      </c>
      <c r="B167" s="4" t="s">
        <v>901</v>
      </c>
      <c r="C167" t="s">
        <v>900</v>
      </c>
    </row>
    <row r="168" spans="1:3" x14ac:dyDescent="0.3">
      <c r="A168" t="s">
        <v>902</v>
      </c>
      <c r="B168" s="4" t="s">
        <v>903</v>
      </c>
      <c r="C168" t="s">
        <v>902</v>
      </c>
    </row>
    <row r="169" spans="1:3" x14ac:dyDescent="0.3">
      <c r="A169" t="s">
        <v>904</v>
      </c>
      <c r="B169" s="4" t="s">
        <v>905</v>
      </c>
      <c r="C169" t="s">
        <v>904</v>
      </c>
    </row>
    <row r="170" spans="1:3" x14ac:dyDescent="0.3">
      <c r="A170" t="s">
        <v>906</v>
      </c>
      <c r="B170" s="4" t="s">
        <v>907</v>
      </c>
      <c r="C170" t="s">
        <v>906</v>
      </c>
    </row>
    <row r="171" spans="1:3" x14ac:dyDescent="0.3">
      <c r="A171" t="s">
        <v>908</v>
      </c>
      <c r="B171" s="4" t="s">
        <v>909</v>
      </c>
      <c r="C171" t="s">
        <v>910</v>
      </c>
    </row>
    <row r="172" spans="1:3" x14ac:dyDescent="0.3">
      <c r="A172" t="s">
        <v>911</v>
      </c>
      <c r="B172" s="4" t="s">
        <v>912</v>
      </c>
      <c r="C172" t="s">
        <v>911</v>
      </c>
    </row>
    <row r="173" spans="1:3" x14ac:dyDescent="0.3">
      <c r="A173" t="s">
        <v>913</v>
      </c>
      <c r="B173" s="4" t="s">
        <v>914</v>
      </c>
      <c r="C173" t="s">
        <v>913</v>
      </c>
    </row>
    <row r="174" spans="1:3" x14ac:dyDescent="0.3">
      <c r="A174" t="s">
        <v>915</v>
      </c>
      <c r="B174" s="4" t="s">
        <v>916</v>
      </c>
      <c r="C174" t="s">
        <v>915</v>
      </c>
    </row>
    <row r="175" spans="1:3" x14ac:dyDescent="0.3">
      <c r="A175" t="s">
        <v>917</v>
      </c>
      <c r="B175" s="4" t="s">
        <v>918</v>
      </c>
      <c r="C175" t="s">
        <v>919</v>
      </c>
    </row>
    <row r="176" spans="1:3" x14ac:dyDescent="0.3">
      <c r="A176" t="s">
        <v>920</v>
      </c>
      <c r="B176" s="4" t="s">
        <v>921</v>
      </c>
      <c r="C176" t="s">
        <v>922</v>
      </c>
    </row>
    <row r="177" spans="1:3" x14ac:dyDescent="0.3">
      <c r="A177" t="s">
        <v>923</v>
      </c>
      <c r="B177" s="4" t="s">
        <v>924</v>
      </c>
      <c r="C177" t="s">
        <v>923</v>
      </c>
    </row>
    <row r="178" spans="1:3" x14ac:dyDescent="0.3">
      <c r="A178" t="s">
        <v>925</v>
      </c>
      <c r="B178" s="4" t="s">
        <v>926</v>
      </c>
      <c r="C178" t="s">
        <v>925</v>
      </c>
    </row>
    <row r="179" spans="1:3" x14ac:dyDescent="0.3">
      <c r="A179" t="s">
        <v>927</v>
      </c>
      <c r="B179" s="4" t="s">
        <v>928</v>
      </c>
      <c r="C179" t="s">
        <v>929</v>
      </c>
    </row>
    <row r="180" spans="1:3" x14ac:dyDescent="0.3">
      <c r="A180" t="s">
        <v>930</v>
      </c>
      <c r="B180" s="4" t="s">
        <v>931</v>
      </c>
      <c r="C180" t="s">
        <v>930</v>
      </c>
    </row>
    <row r="181" spans="1:3" x14ac:dyDescent="0.3">
      <c r="A181" t="s">
        <v>932</v>
      </c>
      <c r="B181" s="4" t="s">
        <v>933</v>
      </c>
      <c r="C181" t="s">
        <v>934</v>
      </c>
    </row>
    <row r="182" spans="1:3" x14ac:dyDescent="0.3">
      <c r="A182" t="s">
        <v>935</v>
      </c>
      <c r="B182" s="4" t="s">
        <v>936</v>
      </c>
    </row>
    <row r="183" spans="1:3" x14ac:dyDescent="0.3">
      <c r="A183" t="s">
        <v>937</v>
      </c>
      <c r="B183" s="4" t="s">
        <v>938</v>
      </c>
      <c r="C183" t="s">
        <v>937</v>
      </c>
    </row>
    <row r="184" spans="1:3" x14ac:dyDescent="0.3">
      <c r="A184" t="s">
        <v>939</v>
      </c>
      <c r="B184" s="4" t="s">
        <v>940</v>
      </c>
      <c r="C184" t="s">
        <v>939</v>
      </c>
    </row>
    <row r="185" spans="1:3" x14ac:dyDescent="0.3">
      <c r="A185" t="s">
        <v>941</v>
      </c>
      <c r="B185" s="4" t="s">
        <v>942</v>
      </c>
      <c r="C185" t="s">
        <v>941</v>
      </c>
    </row>
    <row r="186" spans="1:3" x14ac:dyDescent="0.3">
      <c r="A186" t="s">
        <v>943</v>
      </c>
      <c r="B186" s="4" t="s">
        <v>944</v>
      </c>
      <c r="C186" t="s">
        <v>943</v>
      </c>
    </row>
    <row r="187" spans="1:3" x14ac:dyDescent="0.3">
      <c r="A187" t="s">
        <v>945</v>
      </c>
      <c r="B187" s="4" t="s">
        <v>946</v>
      </c>
      <c r="C187" t="s">
        <v>947</v>
      </c>
    </row>
    <row r="188" spans="1:3" x14ac:dyDescent="0.3">
      <c r="A188" t="s">
        <v>948</v>
      </c>
      <c r="B188" s="4" t="s">
        <v>949</v>
      </c>
      <c r="C188" t="s">
        <v>950</v>
      </c>
    </row>
    <row r="189" spans="1:3" x14ac:dyDescent="0.3">
      <c r="A189" t="s">
        <v>951</v>
      </c>
      <c r="B189" s="4" t="s">
        <v>952</v>
      </c>
      <c r="C189" t="s">
        <v>951</v>
      </c>
    </row>
    <row r="190" spans="1:3" x14ac:dyDescent="0.3">
      <c r="A190" t="s">
        <v>953</v>
      </c>
      <c r="B190" s="4" t="s">
        <v>954</v>
      </c>
      <c r="C190" t="s">
        <v>953</v>
      </c>
    </row>
    <row r="191" spans="1:3" x14ac:dyDescent="0.3">
      <c r="A191" t="s">
        <v>955</v>
      </c>
      <c r="B191" s="4" t="s">
        <v>956</v>
      </c>
    </row>
    <row r="192" spans="1:3" x14ac:dyDescent="0.3">
      <c r="A192" t="s">
        <v>957</v>
      </c>
      <c r="B192" s="4" t="s">
        <v>958</v>
      </c>
      <c r="C192" t="s">
        <v>957</v>
      </c>
    </row>
    <row r="193" spans="1:3" x14ac:dyDescent="0.3">
      <c r="A193" t="s">
        <v>959</v>
      </c>
      <c r="B193" s="4" t="s">
        <v>960</v>
      </c>
      <c r="C193" t="s">
        <v>961</v>
      </c>
    </row>
    <row r="194" spans="1:3" x14ac:dyDescent="0.3">
      <c r="A194" t="s">
        <v>962</v>
      </c>
      <c r="B194" s="4" t="s">
        <v>963</v>
      </c>
      <c r="C194" t="s">
        <v>964</v>
      </c>
    </row>
    <row r="195" spans="1:3" x14ac:dyDescent="0.3">
      <c r="A195" t="s">
        <v>965</v>
      </c>
      <c r="B195" s="4" t="s">
        <v>966</v>
      </c>
      <c r="C195" t="s">
        <v>965</v>
      </c>
    </row>
    <row r="196" spans="1:3" x14ac:dyDescent="0.3">
      <c r="A196" t="s">
        <v>967</v>
      </c>
      <c r="B196" s="4" t="s">
        <v>968</v>
      </c>
      <c r="C196" t="s">
        <v>967</v>
      </c>
    </row>
    <row r="197" spans="1:3" x14ac:dyDescent="0.3">
      <c r="A197" t="s">
        <v>969</v>
      </c>
      <c r="B197" s="4" t="s">
        <v>970</v>
      </c>
      <c r="C197" t="s">
        <v>969</v>
      </c>
    </row>
    <row r="198" spans="1:3" x14ac:dyDescent="0.3">
      <c r="A198" t="s">
        <v>971</v>
      </c>
      <c r="B198" s="4" t="s">
        <v>972</v>
      </c>
      <c r="C198" t="s">
        <v>973</v>
      </c>
    </row>
    <row r="199" spans="1:3" x14ac:dyDescent="0.3">
      <c r="A199" t="s">
        <v>974</v>
      </c>
      <c r="B199" s="4" t="s">
        <v>975</v>
      </c>
      <c r="C199" t="s">
        <v>974</v>
      </c>
    </row>
    <row r="200" spans="1:3" x14ac:dyDescent="0.3">
      <c r="A200" t="s">
        <v>976</v>
      </c>
      <c r="B200" s="4" t="s">
        <v>977</v>
      </c>
      <c r="C200" t="s">
        <v>978</v>
      </c>
    </row>
    <row r="201" spans="1:3" x14ac:dyDescent="0.3">
      <c r="A201" t="s">
        <v>979</v>
      </c>
      <c r="B201" s="4" t="s">
        <v>980</v>
      </c>
      <c r="C201" t="s">
        <v>981</v>
      </c>
    </row>
    <row r="202" spans="1:3" x14ac:dyDescent="0.3">
      <c r="A202" t="s">
        <v>982</v>
      </c>
      <c r="B202" s="4" t="s">
        <v>983</v>
      </c>
      <c r="C202" t="s">
        <v>984</v>
      </c>
    </row>
    <row r="203" spans="1:3" x14ac:dyDescent="0.3">
      <c r="A203" t="s">
        <v>985</v>
      </c>
      <c r="B203" s="4" t="s">
        <v>986</v>
      </c>
      <c r="C203" t="s">
        <v>985</v>
      </c>
    </row>
    <row r="204" spans="1:3" x14ac:dyDescent="0.3">
      <c r="A204" t="s">
        <v>987</v>
      </c>
      <c r="B204" s="4" t="s">
        <v>988</v>
      </c>
      <c r="C204" t="s">
        <v>987</v>
      </c>
    </row>
    <row r="205" spans="1:3" x14ac:dyDescent="0.3">
      <c r="A205" t="s">
        <v>989</v>
      </c>
      <c r="B205" s="4" t="s">
        <v>990</v>
      </c>
      <c r="C205" t="s">
        <v>991</v>
      </c>
    </row>
    <row r="206" spans="1:3" x14ac:dyDescent="0.3">
      <c r="A206" t="s">
        <v>992</v>
      </c>
      <c r="B206" s="4" t="s">
        <v>993</v>
      </c>
      <c r="C206" t="s">
        <v>992</v>
      </c>
    </row>
    <row r="207" spans="1:3" x14ac:dyDescent="0.3">
      <c r="A207" t="s">
        <v>994</v>
      </c>
      <c r="B207" s="4" t="s">
        <v>995</v>
      </c>
      <c r="C207" t="s">
        <v>994</v>
      </c>
    </row>
    <row r="208" spans="1:3" x14ac:dyDescent="0.3">
      <c r="A208" t="s">
        <v>996</v>
      </c>
      <c r="B208" s="4" t="s">
        <v>997</v>
      </c>
      <c r="C208" t="s">
        <v>996</v>
      </c>
    </row>
    <row r="209" spans="1:3" x14ac:dyDescent="0.3">
      <c r="A209" t="s">
        <v>998</v>
      </c>
      <c r="B209" s="4" t="s">
        <v>999</v>
      </c>
      <c r="C209" t="s">
        <v>998</v>
      </c>
    </row>
    <row r="210" spans="1:3" x14ac:dyDescent="0.3">
      <c r="A210" t="s">
        <v>1000</v>
      </c>
      <c r="B210" s="4" t="s">
        <v>1001</v>
      </c>
      <c r="C210" t="s">
        <v>1002</v>
      </c>
    </row>
    <row r="211" spans="1:3" x14ac:dyDescent="0.3">
      <c r="A211" t="s">
        <v>1003</v>
      </c>
      <c r="B211" s="4" t="s">
        <v>1004</v>
      </c>
    </row>
    <row r="212" spans="1:3" x14ac:dyDescent="0.3">
      <c r="A212" t="s">
        <v>1005</v>
      </c>
      <c r="B212" s="4" t="s">
        <v>1006</v>
      </c>
      <c r="C212" t="s">
        <v>1007</v>
      </c>
    </row>
    <row r="213" spans="1:3" x14ac:dyDescent="0.3">
      <c r="A213" t="s">
        <v>1008</v>
      </c>
      <c r="B213" s="4" t="s">
        <v>1009</v>
      </c>
      <c r="C213" t="s">
        <v>1008</v>
      </c>
    </row>
    <row r="214" spans="1:3" x14ac:dyDescent="0.3">
      <c r="A214" t="s">
        <v>1010</v>
      </c>
      <c r="B214" s="4" t="s">
        <v>1011</v>
      </c>
      <c r="C214" t="s">
        <v>1012</v>
      </c>
    </row>
    <row r="215" spans="1:3" x14ac:dyDescent="0.3">
      <c r="A215" t="s">
        <v>1013</v>
      </c>
      <c r="B215" s="4" t="s">
        <v>1014</v>
      </c>
      <c r="C215" t="s">
        <v>1013</v>
      </c>
    </row>
    <row r="216" spans="1:3" x14ac:dyDescent="0.3">
      <c r="A216" t="s">
        <v>1015</v>
      </c>
      <c r="B216" s="4" t="s">
        <v>1016</v>
      </c>
      <c r="C216" t="s">
        <v>1017</v>
      </c>
    </row>
    <row r="217" spans="1:3" x14ac:dyDescent="0.3">
      <c r="A217" t="s">
        <v>1018</v>
      </c>
      <c r="B217" s="4" t="s">
        <v>1019</v>
      </c>
      <c r="C217" t="s">
        <v>1020</v>
      </c>
    </row>
    <row r="218" spans="1:3" x14ac:dyDescent="0.3">
      <c r="A218" t="s">
        <v>1021</v>
      </c>
      <c r="B218" s="4" t="s">
        <v>1022</v>
      </c>
      <c r="C218" t="s">
        <v>1023</v>
      </c>
    </row>
    <row r="219" spans="1:3" x14ac:dyDescent="0.3">
      <c r="A219" t="s">
        <v>1024</v>
      </c>
      <c r="B219" s="4" t="s">
        <v>1025</v>
      </c>
      <c r="C219" t="s">
        <v>1024</v>
      </c>
    </row>
    <row r="220" spans="1:3" x14ac:dyDescent="0.3">
      <c r="A220" t="s">
        <v>1026</v>
      </c>
      <c r="B220" s="4" t="s">
        <v>1027</v>
      </c>
      <c r="C220" t="s">
        <v>1026</v>
      </c>
    </row>
    <row r="221" spans="1:3" x14ac:dyDescent="0.3">
      <c r="A221" t="s">
        <v>1028</v>
      </c>
      <c r="B221" s="4" t="s">
        <v>1029</v>
      </c>
      <c r="C221" t="s">
        <v>1030</v>
      </c>
    </row>
    <row r="222" spans="1:3" x14ac:dyDescent="0.3">
      <c r="A222" t="s">
        <v>1031</v>
      </c>
      <c r="B222" s="4" t="s">
        <v>1032</v>
      </c>
      <c r="C222" t="s">
        <v>1031</v>
      </c>
    </row>
    <row r="223" spans="1:3" x14ac:dyDescent="0.3">
      <c r="A223" t="s">
        <v>1033</v>
      </c>
      <c r="B223" s="4" t="s">
        <v>1034</v>
      </c>
      <c r="C223" t="s">
        <v>1033</v>
      </c>
    </row>
    <row r="224" spans="1:3" x14ac:dyDescent="0.3">
      <c r="A224" t="s">
        <v>1035</v>
      </c>
      <c r="B224" s="4" t="s">
        <v>1036</v>
      </c>
      <c r="C224" t="s">
        <v>1035</v>
      </c>
    </row>
    <row r="225" spans="1:3" x14ac:dyDescent="0.3">
      <c r="A225" t="s">
        <v>1037</v>
      </c>
      <c r="B225" s="4" t="s">
        <v>1038</v>
      </c>
      <c r="C225" t="s">
        <v>1037</v>
      </c>
    </row>
    <row r="226" spans="1:3" x14ac:dyDescent="0.3">
      <c r="A226" t="s">
        <v>1039</v>
      </c>
      <c r="B226" s="4" t="s">
        <v>1040</v>
      </c>
      <c r="C226" t="s">
        <v>1041</v>
      </c>
    </row>
    <row r="227" spans="1:3" x14ac:dyDescent="0.3">
      <c r="A227" t="s">
        <v>1042</v>
      </c>
      <c r="B227" s="4" t="s">
        <v>1043</v>
      </c>
      <c r="C227" t="s">
        <v>1042</v>
      </c>
    </row>
    <row r="228" spans="1:3" x14ac:dyDescent="0.3">
      <c r="A228" t="s">
        <v>1044</v>
      </c>
      <c r="B228" s="4" t="s">
        <v>1045</v>
      </c>
      <c r="C228" t="s">
        <v>1044</v>
      </c>
    </row>
    <row r="229" spans="1:3" x14ac:dyDescent="0.3">
      <c r="A229" t="s">
        <v>1046</v>
      </c>
      <c r="B229" s="4" t="s">
        <v>1045</v>
      </c>
      <c r="C229" t="s">
        <v>1046</v>
      </c>
    </row>
    <row r="230" spans="1:3" x14ac:dyDescent="0.3">
      <c r="A230" t="s">
        <v>1047</v>
      </c>
      <c r="B230" s="4" t="s">
        <v>1048</v>
      </c>
      <c r="C230" t="s">
        <v>1047</v>
      </c>
    </row>
    <row r="231" spans="1:3" x14ac:dyDescent="0.3">
      <c r="A231" t="s">
        <v>1049</v>
      </c>
      <c r="B231" s="4" t="s">
        <v>1050</v>
      </c>
      <c r="C231" t="s">
        <v>1051</v>
      </c>
    </row>
    <row r="232" spans="1:3" x14ac:dyDescent="0.3">
      <c r="A232" t="s">
        <v>1052</v>
      </c>
      <c r="B232" t="s">
        <v>1053</v>
      </c>
      <c r="C232" t="s">
        <v>1052</v>
      </c>
    </row>
    <row r="233" spans="1:3" x14ac:dyDescent="0.3">
      <c r="A233" t="s">
        <v>1054</v>
      </c>
      <c r="B233" t="s">
        <v>1055</v>
      </c>
      <c r="C233" t="s">
        <v>1056</v>
      </c>
    </row>
    <row r="234" spans="1:3" x14ac:dyDescent="0.3">
      <c r="A234" t="s">
        <v>1057</v>
      </c>
      <c r="B234" t="s">
        <v>1058</v>
      </c>
      <c r="C234" t="s">
        <v>1057</v>
      </c>
    </row>
    <row r="235" spans="1:3" x14ac:dyDescent="0.3">
      <c r="A235" t="s">
        <v>1059</v>
      </c>
      <c r="B235" t="s">
        <v>1060</v>
      </c>
      <c r="C235" t="s">
        <v>1059</v>
      </c>
    </row>
    <row r="236" spans="1:3" x14ac:dyDescent="0.3">
      <c r="A236" t="s">
        <v>1061</v>
      </c>
      <c r="B236" t="s">
        <v>1062</v>
      </c>
      <c r="C236" t="s">
        <v>1061</v>
      </c>
    </row>
    <row r="237" spans="1:3" x14ac:dyDescent="0.3">
      <c r="A237" t="s">
        <v>1063</v>
      </c>
      <c r="B237" t="s">
        <v>1064</v>
      </c>
      <c r="C237" t="s">
        <v>1063</v>
      </c>
    </row>
    <row r="238" spans="1:3" x14ac:dyDescent="0.3">
      <c r="A238" t="s">
        <v>1065</v>
      </c>
      <c r="B238" t="s">
        <v>1066</v>
      </c>
      <c r="C238" t="s">
        <v>1067</v>
      </c>
    </row>
    <row r="239" spans="1:3" x14ac:dyDescent="0.3">
      <c r="A239" t="s">
        <v>1068</v>
      </c>
      <c r="B239" t="s">
        <v>1069</v>
      </c>
      <c r="C239" t="s">
        <v>1068</v>
      </c>
    </row>
    <row r="240" spans="1:3" x14ac:dyDescent="0.3">
      <c r="A240" t="s">
        <v>1070</v>
      </c>
      <c r="B240" t="s">
        <v>1071</v>
      </c>
      <c r="C240" t="s">
        <v>1070</v>
      </c>
    </row>
    <row r="241" spans="1:3" x14ac:dyDescent="0.3">
      <c r="A241" t="s">
        <v>1072</v>
      </c>
      <c r="B241" t="s">
        <v>1064</v>
      </c>
      <c r="C241" t="s">
        <v>1073</v>
      </c>
    </row>
    <row r="242" spans="1:3" x14ac:dyDescent="0.3">
      <c r="A242" t="s">
        <v>1074</v>
      </c>
      <c r="B242" t="s">
        <v>1075</v>
      </c>
      <c r="C242" t="s">
        <v>1074</v>
      </c>
    </row>
    <row r="243" spans="1:3" x14ac:dyDescent="0.3">
      <c r="A243" t="s">
        <v>1076</v>
      </c>
      <c r="B243" t="s">
        <v>1077</v>
      </c>
      <c r="C243" t="s">
        <v>1076</v>
      </c>
    </row>
    <row r="244" spans="1:3" x14ac:dyDescent="0.3">
      <c r="A244" t="s">
        <v>1078</v>
      </c>
      <c r="B244" t="s">
        <v>1079</v>
      </c>
      <c r="C244" t="s">
        <v>1078</v>
      </c>
    </row>
    <row r="245" spans="1:3" x14ac:dyDescent="0.3">
      <c r="A245" t="s">
        <v>1080</v>
      </c>
      <c r="B245" t="s">
        <v>1081</v>
      </c>
      <c r="C245" t="s">
        <v>1080</v>
      </c>
    </row>
    <row r="246" spans="1:3" x14ac:dyDescent="0.3">
      <c r="A246" t="s">
        <v>1082</v>
      </c>
      <c r="B246" t="s">
        <v>1083</v>
      </c>
      <c r="C246" t="s">
        <v>788</v>
      </c>
    </row>
    <row r="247" spans="1:3" x14ac:dyDescent="0.3">
      <c r="A247" t="s">
        <v>1084</v>
      </c>
      <c r="B247" t="s">
        <v>1085</v>
      </c>
      <c r="C247" t="s">
        <v>1084</v>
      </c>
    </row>
    <row r="248" spans="1:3" x14ac:dyDescent="0.3">
      <c r="A248" t="s">
        <v>1086</v>
      </c>
      <c r="B248" t="s">
        <v>1087</v>
      </c>
      <c r="C248" t="s">
        <v>1088</v>
      </c>
    </row>
    <row r="249" spans="1:3" x14ac:dyDescent="0.3">
      <c r="A249" t="s">
        <v>1089</v>
      </c>
      <c r="B249" t="s">
        <v>1090</v>
      </c>
      <c r="C249" t="s">
        <v>1089</v>
      </c>
    </row>
    <row r="250" spans="1:3" x14ac:dyDescent="0.3">
      <c r="A250" t="s">
        <v>1091</v>
      </c>
      <c r="B250" t="s">
        <v>1092</v>
      </c>
      <c r="C250" t="s">
        <v>1091</v>
      </c>
    </row>
    <row r="251" spans="1:3" x14ac:dyDescent="0.3">
      <c r="A251" t="s">
        <v>1093</v>
      </c>
      <c r="B251" t="s">
        <v>1094</v>
      </c>
      <c r="C251" t="s">
        <v>1093</v>
      </c>
    </row>
    <row r="252" spans="1:3" x14ac:dyDescent="0.3">
      <c r="A252" t="s">
        <v>1095</v>
      </c>
      <c r="B252" t="s">
        <v>1096</v>
      </c>
      <c r="C252" t="s">
        <v>1095</v>
      </c>
    </row>
    <row r="253" spans="1:3" x14ac:dyDescent="0.3">
      <c r="A253" t="s">
        <v>1097</v>
      </c>
      <c r="B253" t="s">
        <v>1098</v>
      </c>
      <c r="C253" t="s">
        <v>1099</v>
      </c>
    </row>
    <row r="254" spans="1:3" x14ac:dyDescent="0.3">
      <c r="A254" t="s">
        <v>1100</v>
      </c>
      <c r="B254" t="s">
        <v>1101</v>
      </c>
      <c r="C254" t="s">
        <v>1100</v>
      </c>
    </row>
    <row r="255" spans="1:3" x14ac:dyDescent="0.3">
      <c r="A255" t="s">
        <v>1102</v>
      </c>
      <c r="B255" t="s">
        <v>1103</v>
      </c>
      <c r="C255" t="s">
        <v>1104</v>
      </c>
    </row>
    <row r="256" spans="1:3" x14ac:dyDescent="0.3">
      <c r="A256" t="s">
        <v>1105</v>
      </c>
      <c r="B256" t="s">
        <v>1106</v>
      </c>
      <c r="C256" t="s">
        <v>1105</v>
      </c>
    </row>
    <row r="257" spans="1:3" x14ac:dyDescent="0.3">
      <c r="A257" t="s">
        <v>1107</v>
      </c>
      <c r="B257" t="s">
        <v>1108</v>
      </c>
      <c r="C257" t="s">
        <v>1109</v>
      </c>
    </row>
    <row r="258" spans="1:3" x14ac:dyDescent="0.3">
      <c r="A258" t="s">
        <v>1110</v>
      </c>
      <c r="B258" t="s">
        <v>1111</v>
      </c>
      <c r="C258" t="s">
        <v>1110</v>
      </c>
    </row>
    <row r="259" spans="1:3" x14ac:dyDescent="0.3">
      <c r="A259" t="s">
        <v>1112</v>
      </c>
      <c r="B259" t="s">
        <v>1113</v>
      </c>
      <c r="C259" t="s">
        <v>1112</v>
      </c>
    </row>
    <row r="260" spans="1:3" x14ac:dyDescent="0.3">
      <c r="A260" t="s">
        <v>1114</v>
      </c>
      <c r="B260" t="s">
        <v>1115</v>
      </c>
      <c r="C260" t="s">
        <v>1116</v>
      </c>
    </row>
    <row r="261" spans="1:3" x14ac:dyDescent="0.3">
      <c r="A261" t="s">
        <v>1117</v>
      </c>
      <c r="B261" t="s">
        <v>1118</v>
      </c>
      <c r="C261" t="s">
        <v>1117</v>
      </c>
    </row>
    <row r="262" spans="1:3" x14ac:dyDescent="0.3">
      <c r="A262" t="s">
        <v>1119</v>
      </c>
      <c r="B262" t="s">
        <v>1120</v>
      </c>
      <c r="C262" t="s">
        <v>1121</v>
      </c>
    </row>
    <row r="263" spans="1:3" x14ac:dyDescent="0.3">
      <c r="A263" t="s">
        <v>1122</v>
      </c>
      <c r="B263" t="s">
        <v>1123</v>
      </c>
      <c r="C263" t="s">
        <v>1122</v>
      </c>
    </row>
    <row r="264" spans="1:3" x14ac:dyDescent="0.3">
      <c r="A264" t="s">
        <v>1124</v>
      </c>
      <c r="B264" t="s">
        <v>1125</v>
      </c>
      <c r="C264" t="s">
        <v>1126</v>
      </c>
    </row>
    <row r="265" spans="1:3" x14ac:dyDescent="0.3">
      <c r="A265" t="s">
        <v>1127</v>
      </c>
      <c r="B265" t="s">
        <v>1128</v>
      </c>
      <c r="C265" t="s">
        <v>1129</v>
      </c>
    </row>
    <row r="266" spans="1:3" x14ac:dyDescent="0.3">
      <c r="A266" t="s">
        <v>1130</v>
      </c>
      <c r="B266" t="s">
        <v>1131</v>
      </c>
      <c r="C266" t="s">
        <v>1130</v>
      </c>
    </row>
    <row r="267" spans="1:3" x14ac:dyDescent="0.3">
      <c r="A267" t="s">
        <v>1132</v>
      </c>
      <c r="B267" t="s">
        <v>1133</v>
      </c>
      <c r="C267" t="s">
        <v>1132</v>
      </c>
    </row>
    <row r="268" spans="1:3" x14ac:dyDescent="0.3">
      <c r="A268" t="s">
        <v>1134</v>
      </c>
      <c r="B268" t="s">
        <v>1135</v>
      </c>
      <c r="C268" t="s">
        <v>1136</v>
      </c>
    </row>
    <row r="269" spans="1:3" x14ac:dyDescent="0.3">
      <c r="A269" t="s">
        <v>1137</v>
      </c>
      <c r="B269" t="s">
        <v>1138</v>
      </c>
      <c r="C269" t="s">
        <v>1139</v>
      </c>
    </row>
    <row r="270" spans="1:3" x14ac:dyDescent="0.3">
      <c r="A270" t="s">
        <v>1140</v>
      </c>
      <c r="B270" t="s">
        <v>1141</v>
      </c>
      <c r="C270" t="s">
        <v>1140</v>
      </c>
    </row>
    <row r="271" spans="1:3" x14ac:dyDescent="0.3">
      <c r="A271" t="s">
        <v>1142</v>
      </c>
      <c r="B271" t="s">
        <v>1143</v>
      </c>
      <c r="C271" t="s">
        <v>1142</v>
      </c>
    </row>
    <row r="272" spans="1:3" x14ac:dyDescent="0.3">
      <c r="A272" t="s">
        <v>1144</v>
      </c>
      <c r="B272" t="s">
        <v>1145</v>
      </c>
      <c r="C272" t="s">
        <v>1146</v>
      </c>
    </row>
    <row r="273" spans="1:3" x14ac:dyDescent="0.3">
      <c r="A273" t="s">
        <v>1147</v>
      </c>
      <c r="B273" t="s">
        <v>1148</v>
      </c>
      <c r="C273" t="s">
        <v>1149</v>
      </c>
    </row>
    <row r="274" spans="1:3" x14ac:dyDescent="0.3">
      <c r="A274" t="s">
        <v>1150</v>
      </c>
      <c r="B274" t="s">
        <v>115</v>
      </c>
      <c r="C274" t="s">
        <v>191</v>
      </c>
    </row>
    <row r="275" spans="1:3" x14ac:dyDescent="0.3">
      <c r="A275" t="s">
        <v>1151</v>
      </c>
      <c r="B275" t="s">
        <v>1152</v>
      </c>
      <c r="C275" t="s">
        <v>1151</v>
      </c>
    </row>
    <row r="276" spans="1:3" x14ac:dyDescent="0.3">
      <c r="A276" t="s">
        <v>1153</v>
      </c>
      <c r="B276" t="s">
        <v>1154</v>
      </c>
      <c r="C276" t="s">
        <v>1155</v>
      </c>
    </row>
    <row r="277" spans="1:3" x14ac:dyDescent="0.3">
      <c r="A277" t="s">
        <v>1156</v>
      </c>
      <c r="B277" t="s">
        <v>338</v>
      </c>
      <c r="C277" t="s">
        <v>12</v>
      </c>
    </row>
    <row r="278" spans="1:3" x14ac:dyDescent="0.3">
      <c r="A278" t="s">
        <v>1157</v>
      </c>
      <c r="B278" t="s">
        <v>1158</v>
      </c>
      <c r="C278" t="s">
        <v>1157</v>
      </c>
    </row>
    <row r="279" spans="1:3" x14ac:dyDescent="0.3">
      <c r="A279" t="s">
        <v>1159</v>
      </c>
      <c r="B279" t="s">
        <v>1160</v>
      </c>
      <c r="C279" t="s">
        <v>1159</v>
      </c>
    </row>
    <row r="280" spans="1:3" x14ac:dyDescent="0.3">
      <c r="A280" t="s">
        <v>1161</v>
      </c>
      <c r="B280" t="s">
        <v>1162</v>
      </c>
      <c r="C280" t="s">
        <v>1161</v>
      </c>
    </row>
    <row r="281" spans="1:3" x14ac:dyDescent="0.3">
      <c r="A281" t="s">
        <v>1163</v>
      </c>
      <c r="B281" t="s">
        <v>1164</v>
      </c>
      <c r="C281" t="s">
        <v>1163</v>
      </c>
    </row>
    <row r="282" spans="1:3" x14ac:dyDescent="0.3">
      <c r="A282" t="s">
        <v>1165</v>
      </c>
      <c r="B282" t="s">
        <v>1166</v>
      </c>
      <c r="C282" t="s">
        <v>1165</v>
      </c>
    </row>
    <row r="283" spans="1:3" x14ac:dyDescent="0.3">
      <c r="A283" t="s">
        <v>1167</v>
      </c>
      <c r="B283" t="s">
        <v>1168</v>
      </c>
      <c r="C283" t="s">
        <v>1167</v>
      </c>
    </row>
    <row r="284" spans="1:3" x14ac:dyDescent="0.3">
      <c r="A284" t="s">
        <v>1169</v>
      </c>
      <c r="B284" t="s">
        <v>1170</v>
      </c>
      <c r="C284" t="s">
        <v>1169</v>
      </c>
    </row>
    <row r="285" spans="1:3" x14ac:dyDescent="0.3">
      <c r="A285" t="s">
        <v>301</v>
      </c>
      <c r="B285" t="s">
        <v>294</v>
      </c>
      <c r="C285" t="s">
        <v>301</v>
      </c>
    </row>
    <row r="286" spans="1:3" x14ac:dyDescent="0.3">
      <c r="A286" t="s">
        <v>1171</v>
      </c>
      <c r="B286" t="s">
        <v>1172</v>
      </c>
      <c r="C286" t="s">
        <v>1173</v>
      </c>
    </row>
    <row r="287" spans="1:3" x14ac:dyDescent="0.3">
      <c r="A287" t="s">
        <v>1174</v>
      </c>
      <c r="B287" t="s">
        <v>1175</v>
      </c>
      <c r="C287" t="s">
        <v>1176</v>
      </c>
    </row>
    <row r="288" spans="1:3" x14ac:dyDescent="0.3">
      <c r="A288" t="s">
        <v>1177</v>
      </c>
      <c r="B288" t="s">
        <v>1178</v>
      </c>
      <c r="C288" t="s">
        <v>1177</v>
      </c>
    </row>
    <row r="289" spans="1:3" x14ac:dyDescent="0.3">
      <c r="A289" t="s">
        <v>1179</v>
      </c>
      <c r="B289" t="s">
        <v>1180</v>
      </c>
      <c r="C289" t="s">
        <v>1179</v>
      </c>
    </row>
    <row r="290" spans="1:3" x14ac:dyDescent="0.3">
      <c r="A290" t="s">
        <v>1181</v>
      </c>
      <c r="B290" t="s">
        <v>1182</v>
      </c>
      <c r="C290" t="s">
        <v>1183</v>
      </c>
    </row>
    <row r="291" spans="1:3" x14ac:dyDescent="0.3">
      <c r="A291" t="s">
        <v>1184</v>
      </c>
      <c r="B291" t="s">
        <v>1185</v>
      </c>
      <c r="C291" t="s">
        <v>1184</v>
      </c>
    </row>
    <row r="292" spans="1:3" x14ac:dyDescent="0.3">
      <c r="A292" t="s">
        <v>1186</v>
      </c>
      <c r="B292" t="s">
        <v>1187</v>
      </c>
      <c r="C292" t="s">
        <v>1186</v>
      </c>
    </row>
    <row r="293" spans="1:3" x14ac:dyDescent="0.3">
      <c r="A293" t="s">
        <v>1188</v>
      </c>
      <c r="B293" t="s">
        <v>1189</v>
      </c>
      <c r="C293" t="s">
        <v>1188</v>
      </c>
    </row>
    <row r="294" spans="1:3" x14ac:dyDescent="0.3">
      <c r="A294" t="s">
        <v>1190</v>
      </c>
      <c r="B294" t="s">
        <v>1191</v>
      </c>
      <c r="C294" t="s">
        <v>1190</v>
      </c>
    </row>
    <row r="295" spans="1:3" x14ac:dyDescent="0.3">
      <c r="A295" t="s">
        <v>1192</v>
      </c>
      <c r="B295" t="s">
        <v>1193</v>
      </c>
      <c r="C295" t="s">
        <v>1192</v>
      </c>
    </row>
    <row r="296" spans="1:3" x14ac:dyDescent="0.3">
      <c r="A296" t="s">
        <v>1194</v>
      </c>
      <c r="B296" t="s">
        <v>1195</v>
      </c>
      <c r="C296" t="s">
        <v>1194</v>
      </c>
    </row>
    <row r="297" spans="1:3" x14ac:dyDescent="0.3">
      <c r="A297" t="s">
        <v>1196</v>
      </c>
      <c r="B297" t="s">
        <v>1197</v>
      </c>
      <c r="C297" t="s">
        <v>1196</v>
      </c>
    </row>
    <row r="298" spans="1:3" x14ac:dyDescent="0.3">
      <c r="A298" t="s">
        <v>1198</v>
      </c>
      <c r="B298" t="s">
        <v>1199</v>
      </c>
      <c r="C298" t="s">
        <v>1200</v>
      </c>
    </row>
    <row r="299" spans="1:3" x14ac:dyDescent="0.3">
      <c r="A299" t="s">
        <v>1201</v>
      </c>
      <c r="B299" t="s">
        <v>1202</v>
      </c>
      <c r="C299" t="s">
        <v>1203</v>
      </c>
    </row>
    <row r="300" spans="1:3" x14ac:dyDescent="0.3">
      <c r="A300" t="s">
        <v>1204</v>
      </c>
      <c r="B300" t="s">
        <v>1205</v>
      </c>
      <c r="C300" t="s">
        <v>1206</v>
      </c>
    </row>
    <row r="301" spans="1:3" x14ac:dyDescent="0.3">
      <c r="A301" t="s">
        <v>1207</v>
      </c>
      <c r="B301" t="s">
        <v>1208</v>
      </c>
      <c r="C301" t="s">
        <v>1207</v>
      </c>
    </row>
    <row r="302" spans="1:3" x14ac:dyDescent="0.3">
      <c r="A302" t="s">
        <v>1209</v>
      </c>
      <c r="B302" t="s">
        <v>1210</v>
      </c>
      <c r="C302" t="s">
        <v>1209</v>
      </c>
    </row>
    <row r="303" spans="1:3" x14ac:dyDescent="0.3">
      <c r="A303" t="s">
        <v>1211</v>
      </c>
      <c r="B303" t="s">
        <v>1212</v>
      </c>
      <c r="C303" t="s">
        <v>1211</v>
      </c>
    </row>
    <row r="304" spans="1:3" x14ac:dyDescent="0.3">
      <c r="A304" t="s">
        <v>1213</v>
      </c>
      <c r="B304" t="s">
        <v>1214</v>
      </c>
      <c r="C304" t="s">
        <v>1215</v>
      </c>
    </row>
    <row r="305" spans="1:3" x14ac:dyDescent="0.3">
      <c r="A305" t="s">
        <v>1216</v>
      </c>
      <c r="B305" t="s">
        <v>1217</v>
      </c>
      <c r="C305" t="s">
        <v>1218</v>
      </c>
    </row>
    <row r="306" spans="1:3" x14ac:dyDescent="0.3">
      <c r="A306" t="s">
        <v>1219</v>
      </c>
      <c r="B306" t="s">
        <v>1220</v>
      </c>
      <c r="C306" t="s">
        <v>1221</v>
      </c>
    </row>
    <row r="307" spans="1:3" x14ac:dyDescent="0.3">
      <c r="A307" t="s">
        <v>1222</v>
      </c>
      <c r="B307" t="s">
        <v>468</v>
      </c>
      <c r="C307" t="s">
        <v>1223</v>
      </c>
    </row>
    <row r="308" spans="1:3" x14ac:dyDescent="0.3">
      <c r="A308" t="s">
        <v>1224</v>
      </c>
      <c r="B308" t="s">
        <v>1225</v>
      </c>
      <c r="C308" t="s">
        <v>1224</v>
      </c>
    </row>
    <row r="309" spans="1:3" x14ac:dyDescent="0.3">
      <c r="A309" t="s">
        <v>1226</v>
      </c>
      <c r="B309" t="s">
        <v>1227</v>
      </c>
      <c r="C309" t="s">
        <v>1226</v>
      </c>
    </row>
    <row r="310" spans="1:3" x14ac:dyDescent="0.3">
      <c r="A310" t="s">
        <v>1228</v>
      </c>
      <c r="B310" t="s">
        <v>1229</v>
      </c>
      <c r="C310" t="s">
        <v>1230</v>
      </c>
    </row>
    <row r="311" spans="1:3" x14ac:dyDescent="0.3">
      <c r="A311" t="s">
        <v>1231</v>
      </c>
      <c r="B311" t="s">
        <v>1232</v>
      </c>
      <c r="C311" t="s">
        <v>1231</v>
      </c>
    </row>
    <row r="312" spans="1:3" x14ac:dyDescent="0.3">
      <c r="A312" t="s">
        <v>1233</v>
      </c>
      <c r="B312" t="s">
        <v>1234</v>
      </c>
      <c r="C312" t="s">
        <v>1233</v>
      </c>
    </row>
    <row r="313" spans="1:3" x14ac:dyDescent="0.3">
      <c r="A313" t="s">
        <v>1235</v>
      </c>
      <c r="B313" t="s">
        <v>1236</v>
      </c>
      <c r="C313" t="s">
        <v>1237</v>
      </c>
    </row>
    <row r="314" spans="1:3" x14ac:dyDescent="0.3">
      <c r="A314" t="s">
        <v>1238</v>
      </c>
      <c r="B314" t="s">
        <v>1239</v>
      </c>
      <c r="C314" t="s">
        <v>1240</v>
      </c>
    </row>
    <row r="315" spans="1:3" x14ac:dyDescent="0.3">
      <c r="A315" t="s">
        <v>1241</v>
      </c>
      <c r="B315" t="s">
        <v>1242</v>
      </c>
      <c r="C315" t="s">
        <v>1241</v>
      </c>
    </row>
    <row r="316" spans="1:3" x14ac:dyDescent="0.3">
      <c r="A316" t="s">
        <v>1243</v>
      </c>
      <c r="B316" t="s">
        <v>1244</v>
      </c>
      <c r="C316" t="s">
        <v>1245</v>
      </c>
    </row>
    <row r="317" spans="1:3" x14ac:dyDescent="0.3">
      <c r="A317" t="s">
        <v>1246</v>
      </c>
      <c r="B317" t="s">
        <v>1247</v>
      </c>
      <c r="C317" t="s">
        <v>1246</v>
      </c>
    </row>
    <row r="318" spans="1:3" x14ac:dyDescent="0.3">
      <c r="A318" t="s">
        <v>1248</v>
      </c>
      <c r="B318" t="s">
        <v>1249</v>
      </c>
      <c r="C318" t="s">
        <v>1250</v>
      </c>
    </row>
    <row r="319" spans="1:3" x14ac:dyDescent="0.3">
      <c r="A319" t="s">
        <v>1251</v>
      </c>
      <c r="B319" t="s">
        <v>1252</v>
      </c>
      <c r="C319" t="s">
        <v>1251</v>
      </c>
    </row>
    <row r="320" spans="1:3" x14ac:dyDescent="0.3">
      <c r="A320" t="s">
        <v>1253</v>
      </c>
      <c r="B320" t="s">
        <v>1254</v>
      </c>
      <c r="C320" t="s">
        <v>1255</v>
      </c>
    </row>
    <row r="321" spans="1:3" x14ac:dyDescent="0.3">
      <c r="A321" t="s">
        <v>1256</v>
      </c>
      <c r="B321" t="s">
        <v>1257</v>
      </c>
      <c r="C321" t="s">
        <v>1258</v>
      </c>
    </row>
    <row r="322" spans="1:3" x14ac:dyDescent="0.3">
      <c r="A322" t="s">
        <v>1259</v>
      </c>
      <c r="B322" t="s">
        <v>1260</v>
      </c>
      <c r="C322" t="s">
        <v>1259</v>
      </c>
    </row>
    <row r="323" spans="1:3" x14ac:dyDescent="0.3">
      <c r="A323" t="s">
        <v>1261</v>
      </c>
      <c r="B323" t="s">
        <v>1262</v>
      </c>
      <c r="C323" t="s">
        <v>1263</v>
      </c>
    </row>
    <row r="324" spans="1:3" x14ac:dyDescent="0.3">
      <c r="A324" t="s">
        <v>1264</v>
      </c>
      <c r="B324" t="s">
        <v>11</v>
      </c>
      <c r="C324" t="s">
        <v>41</v>
      </c>
    </row>
    <row r="325" spans="1:3" x14ac:dyDescent="0.3">
      <c r="A325" t="s">
        <v>18</v>
      </c>
      <c r="B325" t="s">
        <v>17</v>
      </c>
      <c r="C325" t="s">
        <v>18</v>
      </c>
    </row>
    <row r="326" spans="1:3" x14ac:dyDescent="0.3">
      <c r="A326" t="s">
        <v>1265</v>
      </c>
      <c r="B326" t="s">
        <v>1266</v>
      </c>
      <c r="C326" t="s">
        <v>1267</v>
      </c>
    </row>
    <row r="327" spans="1:3" x14ac:dyDescent="0.3">
      <c r="A327" t="s">
        <v>1268</v>
      </c>
      <c r="B327" t="s">
        <v>1269</v>
      </c>
      <c r="C327" t="s">
        <v>1270</v>
      </c>
    </row>
    <row r="328" spans="1:3" x14ac:dyDescent="0.3">
      <c r="A328" t="s">
        <v>1271</v>
      </c>
      <c r="B328" t="s">
        <v>1272</v>
      </c>
      <c r="C328" t="s">
        <v>1273</v>
      </c>
    </row>
    <row r="329" spans="1:3" x14ac:dyDescent="0.3">
      <c r="A329" t="s">
        <v>1274</v>
      </c>
      <c r="B329" t="s">
        <v>1275</v>
      </c>
      <c r="C329" t="s">
        <v>1276</v>
      </c>
    </row>
    <row r="330" spans="1:3" x14ac:dyDescent="0.3">
      <c r="A330" t="s">
        <v>1277</v>
      </c>
      <c r="B330" t="s">
        <v>1278</v>
      </c>
      <c r="C330" t="s">
        <v>1277</v>
      </c>
    </row>
    <row r="331" spans="1:3" x14ac:dyDescent="0.3">
      <c r="A331" t="s">
        <v>1279</v>
      </c>
      <c r="B331" t="s">
        <v>1280</v>
      </c>
      <c r="C331" t="s">
        <v>1279</v>
      </c>
    </row>
    <row r="332" spans="1:3" x14ac:dyDescent="0.3">
      <c r="A332" t="s">
        <v>1281</v>
      </c>
      <c r="B332" t="s">
        <v>1282</v>
      </c>
      <c r="C332" t="s">
        <v>1051</v>
      </c>
    </row>
    <row r="333" spans="1:3" x14ac:dyDescent="0.3">
      <c r="A333" t="s">
        <v>1283</v>
      </c>
      <c r="B333" t="s">
        <v>1284</v>
      </c>
      <c r="C333" t="s">
        <v>1283</v>
      </c>
    </row>
    <row r="334" spans="1:3" x14ac:dyDescent="0.3">
      <c r="A334" t="s">
        <v>1285</v>
      </c>
      <c r="B334" t="s">
        <v>1286</v>
      </c>
      <c r="C334" t="s">
        <v>1287</v>
      </c>
    </row>
    <row r="335" spans="1:3" x14ac:dyDescent="0.3">
      <c r="A335" t="s">
        <v>1288</v>
      </c>
      <c r="B335" t="s">
        <v>1289</v>
      </c>
      <c r="C335" t="s">
        <v>1290</v>
      </c>
    </row>
    <row r="336" spans="1:3" x14ac:dyDescent="0.3">
      <c r="A336" t="s">
        <v>1291</v>
      </c>
      <c r="B336" t="s">
        <v>50</v>
      </c>
      <c r="C336" t="s">
        <v>51</v>
      </c>
    </row>
    <row r="337" spans="1:3" x14ac:dyDescent="0.3">
      <c r="A337" t="s">
        <v>1292</v>
      </c>
      <c r="B337" t="s">
        <v>1293</v>
      </c>
      <c r="C337" t="s">
        <v>1292</v>
      </c>
    </row>
    <row r="338" spans="1:3" x14ac:dyDescent="0.3">
      <c r="A338" t="s">
        <v>1294</v>
      </c>
      <c r="B338" t="s">
        <v>1295</v>
      </c>
      <c r="C338" t="s">
        <v>1294</v>
      </c>
    </row>
    <row r="339" spans="1:3" x14ac:dyDescent="0.3">
      <c r="A339" t="s">
        <v>1296</v>
      </c>
      <c r="B339" t="s">
        <v>1297</v>
      </c>
      <c r="C339" t="s">
        <v>1298</v>
      </c>
    </row>
    <row r="340" spans="1:3" x14ac:dyDescent="0.3">
      <c r="A340" t="s">
        <v>1299</v>
      </c>
      <c r="B340" t="s">
        <v>1300</v>
      </c>
      <c r="C340" t="s">
        <v>1301</v>
      </c>
    </row>
    <row r="341" spans="1:3" x14ac:dyDescent="0.3">
      <c r="A341" t="s">
        <v>1302</v>
      </c>
      <c r="B341" t="s">
        <v>1303</v>
      </c>
      <c r="C341" t="s">
        <v>1304</v>
      </c>
    </row>
    <row r="342" spans="1:3" x14ac:dyDescent="0.3">
      <c r="A342" t="s">
        <v>1305</v>
      </c>
      <c r="B342" t="s">
        <v>1306</v>
      </c>
      <c r="C342" t="s">
        <v>1305</v>
      </c>
    </row>
  </sheetData>
  <sheetProtection sheet="1" objects="1" scenarios="1"/>
  <pageMargins left="0.511811024" right="0.511811024" top="0.78740157499999996" bottom="0.78740157499999996" header="0.31496062000000002" footer="0.31496062000000002"/>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82E144-F79B-4714-B5BD-628F4EF64A45}">
  <sheetPr codeName="Planilha2"/>
  <dimension ref="A1:K28"/>
  <sheetViews>
    <sheetView workbookViewId="0">
      <selection activeCell="E21" sqref="E21"/>
    </sheetView>
  </sheetViews>
  <sheetFormatPr defaultRowHeight="14.4" x14ac:dyDescent="0.3"/>
  <cols>
    <col min="1" max="1" width="22.109375" customWidth="1"/>
    <col min="2" max="2" width="30" customWidth="1"/>
    <col min="3" max="3" width="23" customWidth="1"/>
    <col min="6" max="6" width="15.88671875" customWidth="1"/>
    <col min="7" max="7" width="23" customWidth="1"/>
    <col min="8" max="8" width="28.109375" customWidth="1"/>
    <col min="9" max="9" width="29.88671875" bestFit="1" customWidth="1"/>
    <col min="10" max="10" width="50.5546875" bestFit="1" customWidth="1"/>
    <col min="11" max="11" width="34.109375" customWidth="1"/>
  </cols>
  <sheetData>
    <row r="1" spans="1:11" x14ac:dyDescent="0.3">
      <c r="A1" s="2" t="s">
        <v>1307</v>
      </c>
      <c r="B1" s="28" t="s">
        <v>15</v>
      </c>
      <c r="C1" s="2" t="s">
        <v>1308</v>
      </c>
      <c r="D1" s="4">
        <v>1</v>
      </c>
      <c r="E1" t="s">
        <v>179</v>
      </c>
      <c r="F1" s="6" t="s">
        <v>1309</v>
      </c>
      <c r="G1">
        <v>1</v>
      </c>
      <c r="H1" t="s">
        <v>1310</v>
      </c>
      <c r="I1" t="s">
        <v>1311</v>
      </c>
      <c r="J1" t="s">
        <v>1312</v>
      </c>
      <c r="K1" t="s">
        <v>1313</v>
      </c>
    </row>
    <row r="2" spans="1:11" x14ac:dyDescent="0.3">
      <c r="A2" s="2" t="s">
        <v>1314</v>
      </c>
      <c r="B2" s="29" t="s">
        <v>7</v>
      </c>
      <c r="C2" s="2" t="s">
        <v>1315</v>
      </c>
      <c r="D2" s="4">
        <v>2</v>
      </c>
      <c r="E2" t="s">
        <v>9</v>
      </c>
      <c r="F2" s="6" t="s">
        <v>1316</v>
      </c>
      <c r="G2">
        <v>2</v>
      </c>
      <c r="H2" t="s">
        <v>13</v>
      </c>
      <c r="I2" t="s">
        <v>1311</v>
      </c>
      <c r="J2" t="s">
        <v>1317</v>
      </c>
      <c r="K2" t="s">
        <v>1318</v>
      </c>
    </row>
    <row r="3" spans="1:11" x14ac:dyDescent="0.3">
      <c r="A3" s="2" t="s">
        <v>1319</v>
      </c>
      <c r="B3" s="29" t="s">
        <v>1320</v>
      </c>
      <c r="C3" s="2" t="s">
        <v>1321</v>
      </c>
      <c r="D3" s="4">
        <v>3</v>
      </c>
      <c r="E3" t="s">
        <v>1322</v>
      </c>
      <c r="F3" s="6" t="s">
        <v>1323</v>
      </c>
      <c r="G3">
        <v>3</v>
      </c>
      <c r="H3" t="s">
        <v>1324</v>
      </c>
      <c r="J3" t="s">
        <v>1325</v>
      </c>
    </row>
    <row r="4" spans="1:11" x14ac:dyDescent="0.3">
      <c r="A4" s="2" t="s">
        <v>273</v>
      </c>
      <c r="B4" s="28" t="s">
        <v>1326</v>
      </c>
      <c r="C4" s="2" t="s">
        <v>1327</v>
      </c>
      <c r="D4" s="4">
        <v>4</v>
      </c>
      <c r="F4" s="6"/>
      <c r="G4">
        <v>4</v>
      </c>
      <c r="H4" t="s">
        <v>20</v>
      </c>
      <c r="J4" t="s">
        <v>1328</v>
      </c>
    </row>
    <row r="5" spans="1:11" x14ac:dyDescent="0.3">
      <c r="A5" s="2" t="s">
        <v>1329</v>
      </c>
      <c r="B5" s="29" t="s">
        <v>1330</v>
      </c>
      <c r="C5" s="2" t="s">
        <v>8</v>
      </c>
      <c r="D5" s="4">
        <v>5</v>
      </c>
      <c r="F5" s="6"/>
      <c r="G5">
        <v>5</v>
      </c>
      <c r="H5" t="s">
        <v>1331</v>
      </c>
      <c r="J5" t="s">
        <v>1332</v>
      </c>
    </row>
    <row r="6" spans="1:11" x14ac:dyDescent="0.3">
      <c r="A6" s="2" t="s">
        <v>1333</v>
      </c>
      <c r="B6" s="28" t="s">
        <v>1334</v>
      </c>
      <c r="C6" s="2" t="s">
        <v>1335</v>
      </c>
      <c r="D6" s="4">
        <v>6</v>
      </c>
      <c r="F6" s="6"/>
      <c r="G6">
        <v>6</v>
      </c>
    </row>
    <row r="7" spans="1:11" x14ac:dyDescent="0.3">
      <c r="A7" s="2" t="s">
        <v>22</v>
      </c>
      <c r="B7" s="28" t="s">
        <v>1336</v>
      </c>
      <c r="C7" s="2" t="s">
        <v>1337</v>
      </c>
      <c r="D7" s="5" t="s">
        <v>1338</v>
      </c>
      <c r="F7" s="6"/>
      <c r="G7">
        <v>7</v>
      </c>
    </row>
    <row r="8" spans="1:11" x14ac:dyDescent="0.3">
      <c r="A8" s="2" t="s">
        <v>6</v>
      </c>
      <c r="B8" s="28" t="s">
        <v>132</v>
      </c>
      <c r="C8" s="2" t="s">
        <v>1339</v>
      </c>
      <c r="F8" s="6"/>
      <c r="G8">
        <v>8</v>
      </c>
    </row>
    <row r="9" spans="1:11" x14ac:dyDescent="0.3">
      <c r="A9" s="2" t="s">
        <v>216</v>
      </c>
      <c r="B9" s="28" t="s">
        <v>1340</v>
      </c>
      <c r="C9" s="2"/>
      <c r="F9" s="6"/>
      <c r="G9">
        <v>9</v>
      </c>
    </row>
    <row r="10" spans="1:11" x14ac:dyDescent="0.3">
      <c r="A10" s="2"/>
      <c r="B10" s="28" t="s">
        <v>1341</v>
      </c>
      <c r="C10" s="2"/>
      <c r="F10" s="6"/>
      <c r="G10">
        <v>10</v>
      </c>
    </row>
    <row r="11" spans="1:11" x14ac:dyDescent="0.3">
      <c r="A11" s="2"/>
      <c r="B11" s="30"/>
      <c r="F11" s="6"/>
      <c r="G11">
        <v>11</v>
      </c>
    </row>
    <row r="12" spans="1:11" x14ac:dyDescent="0.3">
      <c r="A12" s="2"/>
      <c r="F12" s="6"/>
      <c r="G12">
        <v>12</v>
      </c>
    </row>
    <row r="13" spans="1:11" x14ac:dyDescent="0.3">
      <c r="F13" s="6"/>
      <c r="G13">
        <v>13</v>
      </c>
    </row>
    <row r="14" spans="1:11" x14ac:dyDescent="0.3">
      <c r="G14">
        <v>14</v>
      </c>
    </row>
    <row r="22" spans="2:2" x14ac:dyDescent="0.3">
      <c r="B22" s="3"/>
    </row>
    <row r="28" spans="2:2" x14ac:dyDescent="0.3">
      <c r="B28" s="2"/>
    </row>
  </sheetData>
  <dataValidations count="1">
    <dataValidation type="list" allowBlank="1" showInputMessage="1" showErrorMessage="1" sqref="A20" xr:uid="{6D2069AD-09B2-4797-A000-10B868EDD2AE}">
      <formula1>$A:$A</formula1>
    </dataValidation>
  </dataValidations>
  <pageMargins left="0.511811024" right="0.511811024" top="0.78740157499999996" bottom="0.78740157499999996" header="0.31496062000000002" footer="0.3149606200000000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3</vt:i4>
      </vt:variant>
    </vt:vector>
  </HeadingPairs>
  <TitlesOfParts>
    <vt:vector size="3" baseType="lpstr">
      <vt:lpstr>ilustração</vt:lpstr>
      <vt:lpstr>créditos_base</vt:lpstr>
      <vt:lpstr>LISTAS</vt:lpstr>
    </vt:vector>
  </TitlesOfParts>
  <Manager/>
  <Company>Scriba Projetos Editoriais</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Lucia Moniz das Neves</dc:creator>
  <cp:keywords/>
  <dc:description/>
  <cp:lastModifiedBy>Junior F. Dias</cp:lastModifiedBy>
  <cp:revision/>
  <dcterms:created xsi:type="dcterms:W3CDTF">2023-09-25T18:19:59Z</dcterms:created>
  <dcterms:modified xsi:type="dcterms:W3CDTF">2025-11-14T23:02:02Z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0x01010005E5B6A881E6CA4EA9E0A82F7294BCF9</vt:lpwstr>
  </property>
  <property fmtid="{D5CDD505-2E9C-101B-9397-08002B2CF9AE}" pid="3" name="MediaServiceImageTags">
    <vt:lpwstr/>
  </property>
</Properties>
</file>