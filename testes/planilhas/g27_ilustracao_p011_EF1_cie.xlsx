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junior.dias\PycharmProjects\ilustracoes\testes\planilhas\"/>
    </mc:Choice>
  </mc:AlternateContent>
  <xr:revisionPtr revIDLastSave="0" documentId="13_ncr:1_{C1D8F658-50E8-4237-839F-4C51798C2AF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lustração" sheetId="1" r:id="rId1"/>
    <sheet name="créditos_base" sheetId="2" r:id="rId2"/>
    <sheet name="metadado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" i="1" l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X269" i="1"/>
  <c r="Z269" i="1" s="1"/>
  <c r="X268" i="1"/>
  <c r="Z268" i="1" s="1"/>
  <c r="X267" i="1"/>
  <c r="Z267" i="1" s="1"/>
  <c r="X266" i="1"/>
  <c r="Z266" i="1" s="1"/>
  <c r="X265" i="1"/>
  <c r="Z265" i="1" s="1"/>
  <c r="X264" i="1"/>
  <c r="Z264" i="1" s="1"/>
  <c r="X263" i="1"/>
  <c r="Z263" i="1" s="1"/>
  <c r="X262" i="1"/>
  <c r="Z262" i="1" s="1"/>
  <c r="X261" i="1"/>
  <c r="Z261" i="1" s="1"/>
  <c r="X260" i="1"/>
  <c r="Z260" i="1" s="1"/>
  <c r="X259" i="1"/>
  <c r="Z259" i="1" s="1"/>
  <c r="X258" i="1"/>
  <c r="Z258" i="1" s="1"/>
  <c r="X257" i="1"/>
  <c r="X256" i="1"/>
  <c r="Z256" i="1" s="1"/>
  <c r="X255" i="1"/>
  <c r="Z255" i="1" s="1"/>
  <c r="X254" i="1"/>
  <c r="Z254" i="1" s="1"/>
  <c r="X253" i="1"/>
  <c r="Z253" i="1" s="1"/>
  <c r="X252" i="1"/>
  <c r="Z252" i="1" s="1"/>
  <c r="X251" i="1"/>
  <c r="Z251" i="1" s="1"/>
  <c r="X250" i="1"/>
  <c r="Z250" i="1" s="1"/>
  <c r="X249" i="1"/>
  <c r="Z249" i="1" s="1"/>
  <c r="X248" i="1"/>
  <c r="Z248" i="1" s="1"/>
  <c r="X247" i="1"/>
  <c r="Z247" i="1" s="1"/>
  <c r="X246" i="1"/>
  <c r="Z246" i="1" s="1"/>
  <c r="X245" i="1"/>
  <c r="Z245" i="1" s="1"/>
  <c r="X244" i="1"/>
  <c r="Z244" i="1" s="1"/>
  <c r="X243" i="1"/>
  <c r="Z243" i="1" s="1"/>
  <c r="X242" i="1"/>
  <c r="Z242" i="1" s="1"/>
  <c r="X241" i="1"/>
  <c r="Z241" i="1" s="1"/>
  <c r="X240" i="1"/>
  <c r="Z240" i="1" s="1"/>
  <c r="X239" i="1"/>
  <c r="Z239" i="1" s="1"/>
  <c r="X238" i="1"/>
  <c r="Z238" i="1" s="1"/>
  <c r="X237" i="1"/>
  <c r="Z237" i="1" s="1"/>
  <c r="X236" i="1"/>
  <c r="Z236" i="1" s="1"/>
  <c r="X235" i="1"/>
  <c r="Z235" i="1" s="1"/>
  <c r="X234" i="1"/>
  <c r="Z234" i="1" s="1"/>
  <c r="X233" i="1"/>
  <c r="Z233" i="1" s="1"/>
  <c r="X232" i="1"/>
  <c r="Z232" i="1" s="1"/>
  <c r="X231" i="1"/>
  <c r="Z231" i="1" s="1"/>
  <c r="X230" i="1"/>
  <c r="Z230" i="1" s="1"/>
  <c r="X229" i="1"/>
  <c r="Z229" i="1" s="1"/>
  <c r="X228" i="1"/>
  <c r="Z228" i="1" s="1"/>
  <c r="X227" i="1"/>
  <c r="Z227" i="1" s="1"/>
  <c r="X226" i="1"/>
  <c r="Z226" i="1" s="1"/>
  <c r="X225" i="1"/>
  <c r="Z225" i="1" s="1"/>
  <c r="X224" i="1"/>
  <c r="Z224" i="1" s="1"/>
  <c r="X223" i="1"/>
  <c r="Z223" i="1" s="1"/>
  <c r="X222" i="1"/>
  <c r="Z222" i="1" s="1"/>
  <c r="X221" i="1"/>
  <c r="Z221" i="1" s="1"/>
  <c r="X220" i="1"/>
  <c r="Z220" i="1" s="1"/>
  <c r="X219" i="1"/>
  <c r="Z219" i="1" s="1"/>
  <c r="X218" i="1"/>
  <c r="Z218" i="1" s="1"/>
  <c r="X217" i="1"/>
  <c r="Z217" i="1" s="1"/>
  <c r="X216" i="1"/>
  <c r="Z216" i="1" s="1"/>
  <c r="X215" i="1"/>
  <c r="Z215" i="1" s="1"/>
  <c r="X214" i="1"/>
  <c r="Z214" i="1" s="1"/>
  <c r="X213" i="1"/>
  <c r="Z213" i="1" s="1"/>
  <c r="X212" i="1"/>
  <c r="Z212" i="1" s="1"/>
  <c r="X211" i="1"/>
  <c r="Z211" i="1" s="1"/>
  <c r="X210" i="1"/>
  <c r="Z210" i="1" s="1"/>
  <c r="X209" i="1"/>
  <c r="Z209" i="1" s="1"/>
  <c r="X208" i="1"/>
  <c r="Z208" i="1" s="1"/>
  <c r="X207" i="1"/>
  <c r="Z207" i="1" s="1"/>
  <c r="X206" i="1"/>
  <c r="Z206" i="1" s="1"/>
  <c r="X205" i="1"/>
  <c r="Z205" i="1" s="1"/>
  <c r="X204" i="1"/>
  <c r="Z204" i="1" s="1"/>
  <c r="X203" i="1"/>
  <c r="Z203" i="1" s="1"/>
  <c r="X202" i="1"/>
  <c r="Z202" i="1" s="1"/>
  <c r="X201" i="1"/>
  <c r="Z201" i="1" s="1"/>
  <c r="X200" i="1"/>
  <c r="Z200" i="1" s="1"/>
  <c r="X199" i="1"/>
  <c r="Z199" i="1" s="1"/>
  <c r="X198" i="1"/>
  <c r="Z198" i="1" s="1"/>
  <c r="X197" i="1"/>
  <c r="Z197" i="1" s="1"/>
  <c r="X196" i="1"/>
  <c r="X195" i="1"/>
  <c r="X194" i="1"/>
  <c r="Z194" i="1" s="1"/>
  <c r="X193" i="1"/>
  <c r="Z193" i="1" s="1"/>
  <c r="X192" i="1"/>
  <c r="Z192" i="1" s="1"/>
  <c r="X191" i="1"/>
  <c r="Z191" i="1" s="1"/>
  <c r="X190" i="1"/>
  <c r="Z190" i="1" s="1"/>
  <c r="X189" i="1"/>
  <c r="Z189" i="1" s="1"/>
  <c r="X188" i="1"/>
  <c r="Z188" i="1" s="1"/>
  <c r="X187" i="1"/>
  <c r="Z187" i="1" s="1"/>
  <c r="X186" i="1"/>
  <c r="Z186" i="1" s="1"/>
  <c r="X185" i="1"/>
  <c r="Z185" i="1" s="1"/>
  <c r="X184" i="1"/>
  <c r="Z184" i="1" s="1"/>
  <c r="X183" i="1"/>
  <c r="X182" i="1"/>
  <c r="Z182" i="1" s="1"/>
  <c r="X181" i="1"/>
  <c r="Z181" i="1" s="1"/>
  <c r="X180" i="1"/>
  <c r="Z180" i="1" s="1"/>
  <c r="X179" i="1"/>
  <c r="Z179" i="1" s="1"/>
  <c r="X178" i="1"/>
  <c r="X177" i="1"/>
  <c r="X176" i="1"/>
  <c r="Z176" i="1" s="1"/>
  <c r="X175" i="1"/>
  <c r="Z175" i="1" s="1"/>
  <c r="X174" i="1"/>
  <c r="Z174" i="1" s="1"/>
  <c r="X173" i="1"/>
  <c r="Z173" i="1" s="1"/>
  <c r="X172" i="1"/>
  <c r="Z172" i="1" s="1"/>
  <c r="X171" i="1"/>
  <c r="X170" i="1"/>
  <c r="Z170" i="1" s="1"/>
  <c r="X169" i="1"/>
  <c r="Z169" i="1" s="1"/>
  <c r="X168" i="1"/>
  <c r="Z168" i="1" s="1"/>
  <c r="X167" i="1"/>
  <c r="X166" i="1"/>
  <c r="Z166" i="1" s="1"/>
  <c r="X165" i="1"/>
  <c r="Z165" i="1" s="1"/>
  <c r="X164" i="1"/>
  <c r="Z164" i="1" s="1"/>
  <c r="X163" i="1"/>
  <c r="Z163" i="1" s="1"/>
  <c r="X162" i="1"/>
  <c r="Z162" i="1" s="1"/>
  <c r="X161" i="1"/>
  <c r="Z161" i="1" s="1"/>
  <c r="X160" i="1"/>
  <c r="Z160" i="1" s="1"/>
  <c r="X159" i="1"/>
  <c r="Z159" i="1" s="1"/>
  <c r="X158" i="1"/>
  <c r="Z158" i="1" s="1"/>
  <c r="X157" i="1"/>
  <c r="Z157" i="1" s="1"/>
  <c r="X156" i="1"/>
  <c r="Z156" i="1" s="1"/>
  <c r="X155" i="1"/>
  <c r="Z155" i="1" s="1"/>
  <c r="X154" i="1"/>
  <c r="Z154" i="1" s="1"/>
  <c r="X153" i="1"/>
  <c r="Z153" i="1" s="1"/>
  <c r="X152" i="1"/>
  <c r="Z152" i="1" s="1"/>
  <c r="X151" i="1"/>
  <c r="Z151" i="1" s="1"/>
  <c r="X150" i="1"/>
  <c r="Z150" i="1" s="1"/>
  <c r="X149" i="1"/>
  <c r="Z149" i="1" s="1"/>
  <c r="X148" i="1"/>
  <c r="Z148" i="1" s="1"/>
  <c r="X147" i="1"/>
  <c r="Z147" i="1" s="1"/>
  <c r="X146" i="1"/>
  <c r="Z146" i="1" s="1"/>
  <c r="X145" i="1"/>
  <c r="Z145" i="1" s="1"/>
  <c r="X144" i="1"/>
  <c r="Z144" i="1" s="1"/>
  <c r="X143" i="1"/>
  <c r="Z143" i="1" s="1"/>
  <c r="X142" i="1"/>
  <c r="Z142" i="1" s="1"/>
  <c r="X141" i="1"/>
  <c r="Z141" i="1" s="1"/>
  <c r="X140" i="1"/>
  <c r="Z140" i="1" s="1"/>
  <c r="X139" i="1"/>
  <c r="Z139" i="1" s="1"/>
  <c r="X138" i="1"/>
  <c r="Z138" i="1" s="1"/>
  <c r="X137" i="1"/>
  <c r="Z137" i="1" s="1"/>
  <c r="X136" i="1"/>
  <c r="Z136" i="1" s="1"/>
  <c r="X135" i="1"/>
  <c r="Z135" i="1" s="1"/>
  <c r="X134" i="1"/>
  <c r="Z134" i="1" s="1"/>
  <c r="X133" i="1"/>
  <c r="Z133" i="1" s="1"/>
  <c r="X132" i="1"/>
  <c r="Z132" i="1" s="1"/>
  <c r="X131" i="1"/>
  <c r="Z131" i="1" s="1"/>
  <c r="X130" i="1"/>
  <c r="Z130" i="1" s="1"/>
  <c r="X129" i="1"/>
  <c r="Z129" i="1" s="1"/>
  <c r="X128" i="1"/>
  <c r="Z128" i="1" s="1"/>
  <c r="X127" i="1"/>
  <c r="Z127" i="1" s="1"/>
  <c r="X126" i="1"/>
  <c r="Z126" i="1" s="1"/>
  <c r="X125" i="1"/>
  <c r="Z125" i="1" s="1"/>
  <c r="X124" i="1"/>
  <c r="Z124" i="1" s="1"/>
  <c r="X123" i="1"/>
  <c r="Z123" i="1" s="1"/>
  <c r="X122" i="1"/>
  <c r="Z122" i="1" s="1"/>
  <c r="X121" i="1"/>
  <c r="Z121" i="1" s="1"/>
  <c r="X120" i="1"/>
  <c r="Z120" i="1" s="1"/>
  <c r="X119" i="1"/>
  <c r="Z119" i="1" s="1"/>
  <c r="X118" i="1"/>
  <c r="Z118" i="1" s="1"/>
  <c r="X117" i="1"/>
  <c r="Z117" i="1" s="1"/>
  <c r="X116" i="1"/>
  <c r="Z116" i="1" s="1"/>
  <c r="X115" i="1"/>
  <c r="Z115" i="1" s="1"/>
  <c r="X114" i="1"/>
  <c r="Z114" i="1" s="1"/>
  <c r="X113" i="1"/>
  <c r="Z113" i="1" s="1"/>
  <c r="X112" i="1"/>
  <c r="Z112" i="1" s="1"/>
  <c r="X111" i="1"/>
  <c r="Z111" i="1" s="1"/>
  <c r="X110" i="1"/>
  <c r="Z110" i="1" s="1"/>
  <c r="X109" i="1"/>
  <c r="Z109" i="1" s="1"/>
  <c r="X108" i="1"/>
  <c r="Z108" i="1" s="1"/>
  <c r="X107" i="1"/>
  <c r="Z107" i="1" s="1"/>
  <c r="X106" i="1"/>
  <c r="Z106" i="1" s="1"/>
  <c r="X105" i="1"/>
  <c r="Z105" i="1" s="1"/>
  <c r="X104" i="1"/>
  <c r="Z104" i="1" s="1"/>
  <c r="X103" i="1"/>
  <c r="Z103" i="1" s="1"/>
  <c r="X102" i="1"/>
  <c r="Z102" i="1" s="1"/>
  <c r="X101" i="1"/>
  <c r="Z101" i="1" s="1"/>
  <c r="X100" i="1"/>
  <c r="Z100" i="1" s="1"/>
  <c r="X99" i="1"/>
  <c r="Z99" i="1" s="1"/>
  <c r="X98" i="1"/>
  <c r="Z98" i="1" s="1"/>
  <c r="X97" i="1"/>
  <c r="Z97" i="1" s="1"/>
  <c r="X96" i="1"/>
  <c r="Z96" i="1" s="1"/>
  <c r="X95" i="1"/>
  <c r="Z95" i="1" s="1"/>
  <c r="X94" i="1"/>
  <c r="Z94" i="1" s="1"/>
  <c r="X93" i="1"/>
  <c r="Z93" i="1" s="1"/>
  <c r="X92" i="1"/>
  <c r="Z92" i="1" s="1"/>
  <c r="X91" i="1"/>
  <c r="Z91" i="1" s="1"/>
  <c r="X90" i="1"/>
  <c r="Z90" i="1" s="1"/>
  <c r="X89" i="1"/>
  <c r="Z89" i="1" s="1"/>
  <c r="X88" i="1"/>
  <c r="Z88" i="1" s="1"/>
  <c r="X87" i="1"/>
  <c r="Z87" i="1" s="1"/>
  <c r="X86" i="1"/>
  <c r="Z86" i="1" s="1"/>
  <c r="X85" i="1"/>
  <c r="Z85" i="1" s="1"/>
  <c r="X84" i="1"/>
  <c r="Z84" i="1" s="1"/>
  <c r="X83" i="1"/>
  <c r="Z83" i="1" s="1"/>
  <c r="X82" i="1"/>
  <c r="Z82" i="1" s="1"/>
  <c r="X81" i="1"/>
  <c r="Z81" i="1" s="1"/>
  <c r="X80" i="1"/>
  <c r="Z80" i="1" s="1"/>
  <c r="X79" i="1"/>
  <c r="Z79" i="1" s="1"/>
  <c r="X78" i="1"/>
  <c r="Z78" i="1" s="1"/>
  <c r="X77" i="1"/>
  <c r="Z77" i="1" s="1"/>
  <c r="X76" i="1"/>
  <c r="Z76" i="1" s="1"/>
  <c r="X75" i="1"/>
  <c r="Z75" i="1" s="1"/>
  <c r="X74" i="1"/>
  <c r="Z74" i="1" s="1"/>
  <c r="X73" i="1"/>
  <c r="Z73" i="1" s="1"/>
  <c r="X72" i="1"/>
  <c r="Z72" i="1" s="1"/>
  <c r="X71" i="1"/>
  <c r="Z71" i="1" s="1"/>
  <c r="X70" i="1"/>
  <c r="Z70" i="1" s="1"/>
  <c r="X69" i="1"/>
  <c r="Z69" i="1" s="1"/>
  <c r="X68" i="1"/>
  <c r="Z68" i="1" s="1"/>
  <c r="X67" i="1"/>
  <c r="Z67" i="1" s="1"/>
  <c r="X66" i="1"/>
  <c r="Z66" i="1" s="1"/>
  <c r="X65" i="1"/>
  <c r="Z65" i="1" s="1"/>
  <c r="X64" i="1"/>
  <c r="Z64" i="1" s="1"/>
  <c r="X63" i="1"/>
  <c r="Z63" i="1" s="1"/>
  <c r="X62" i="1"/>
  <c r="Z62" i="1" s="1"/>
  <c r="X61" i="1"/>
  <c r="Z61" i="1" s="1"/>
  <c r="X60" i="1"/>
  <c r="Z60" i="1" s="1"/>
  <c r="X59" i="1"/>
  <c r="Z59" i="1" s="1"/>
  <c r="X58" i="1"/>
  <c r="Z58" i="1" s="1"/>
  <c r="X57" i="1"/>
  <c r="Z57" i="1" s="1"/>
  <c r="X56" i="1"/>
  <c r="Z56" i="1" s="1"/>
  <c r="X55" i="1"/>
  <c r="Z55" i="1" s="1"/>
  <c r="X54" i="1"/>
  <c r="Z54" i="1" s="1"/>
  <c r="X53" i="1"/>
  <c r="Z53" i="1" s="1"/>
  <c r="X52" i="1"/>
  <c r="Z52" i="1" s="1"/>
  <c r="X51" i="1"/>
  <c r="Z51" i="1" s="1"/>
  <c r="X50" i="1"/>
  <c r="Z50" i="1" s="1"/>
  <c r="X49" i="1"/>
  <c r="Z49" i="1" s="1"/>
  <c r="X48" i="1"/>
  <c r="Z48" i="1" s="1"/>
  <c r="X47" i="1"/>
  <c r="Z47" i="1" s="1"/>
  <c r="X46" i="1"/>
  <c r="Z46" i="1" s="1"/>
  <c r="X45" i="1"/>
  <c r="Z45" i="1" s="1"/>
  <c r="X44" i="1"/>
  <c r="Z44" i="1" s="1"/>
  <c r="X43" i="1"/>
  <c r="Z43" i="1" s="1"/>
  <c r="X42" i="1"/>
  <c r="Z42" i="1" s="1"/>
  <c r="X41" i="1"/>
  <c r="Z41" i="1" s="1"/>
  <c r="X40" i="1"/>
  <c r="Z40" i="1" s="1"/>
  <c r="X39" i="1"/>
  <c r="Z39" i="1" s="1"/>
  <c r="X38" i="1"/>
  <c r="Z38" i="1" s="1"/>
  <c r="X37" i="1"/>
  <c r="Z37" i="1" s="1"/>
  <c r="X36" i="1"/>
  <c r="Z36" i="1" s="1"/>
  <c r="X35" i="1"/>
  <c r="X34" i="1"/>
  <c r="Z34" i="1" s="1"/>
  <c r="X33" i="1"/>
  <c r="X32" i="1"/>
  <c r="Z32" i="1" s="1"/>
  <c r="X31" i="1"/>
  <c r="Z31" i="1" s="1"/>
  <c r="X30" i="1"/>
  <c r="Z30" i="1" s="1"/>
  <c r="X29" i="1"/>
  <c r="Z29" i="1" s="1"/>
  <c r="X28" i="1"/>
  <c r="Z28" i="1" s="1"/>
  <c r="X27" i="1"/>
  <c r="Z27" i="1" s="1"/>
  <c r="X26" i="1"/>
  <c r="Z26" i="1" s="1"/>
  <c r="X25" i="1"/>
  <c r="Z25" i="1" s="1"/>
  <c r="X24" i="1"/>
  <c r="Z24" i="1" s="1"/>
  <c r="X23" i="1"/>
  <c r="Z23" i="1" s="1"/>
  <c r="X22" i="1"/>
  <c r="Z22" i="1" s="1"/>
  <c r="X21" i="1"/>
  <c r="Z21" i="1" s="1"/>
  <c r="X20" i="1"/>
  <c r="Z20" i="1" s="1"/>
  <c r="X19" i="1"/>
  <c r="Z19" i="1" s="1"/>
  <c r="X18" i="1"/>
  <c r="Z18" i="1" s="1"/>
  <c r="X17" i="1"/>
  <c r="Z17" i="1" s="1"/>
  <c r="X16" i="1"/>
  <c r="Z16" i="1" s="1"/>
  <c r="X15" i="1"/>
  <c r="Z15" i="1" s="1"/>
  <c r="X14" i="1"/>
  <c r="Z14" i="1" s="1"/>
  <c r="X13" i="1"/>
  <c r="Z13" i="1" s="1"/>
  <c r="X12" i="1"/>
  <c r="Z12" i="1" s="1"/>
  <c r="X11" i="1"/>
  <c r="Z11" i="1" s="1"/>
  <c r="X10" i="1"/>
  <c r="Z10" i="1" s="1"/>
  <c r="X9" i="1"/>
  <c r="Z9" i="1" s="1"/>
  <c r="X8" i="1"/>
  <c r="Z8" i="1" s="1"/>
  <c r="X7" i="1"/>
  <c r="Z7" i="1" s="1"/>
  <c r="X6" i="1"/>
  <c r="Z6" i="1" s="1"/>
  <c r="X5" i="1"/>
  <c r="Z5" i="1" s="1"/>
  <c r="X4" i="1"/>
  <c r="Z4" i="1" s="1"/>
  <c r="X3" i="1"/>
  <c r="Z3" i="1" s="1"/>
  <c r="X2" i="1"/>
  <c r="Z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Lucia Moniz das Neves</author>
  </authors>
  <commentList>
    <comment ref="A1" authorId="0" shapeId="0" xr:uid="{B3C04FD1-C36B-49DD-A43C-7EC4E07BE40D}">
      <text>
        <r>
          <rPr>
            <sz val="9"/>
            <color indexed="81"/>
            <rFont val="Segoe UI"/>
            <family val="2"/>
          </rPr>
          <t xml:space="preserve">Sequência numérica acompanhada do código que identifica a obra.
</t>
        </r>
      </text>
    </comment>
    <comment ref="B1" authorId="0" shapeId="0" xr:uid="{1861641B-01B6-48E0-8E77-CB8E794E280D}">
      <text>
        <r>
          <rPr>
            <sz val="9"/>
            <color indexed="81"/>
            <rFont val="Segoe UI"/>
            <family val="2"/>
          </rPr>
          <t>Selecione na lista suspensa em cada célula o status da ilustração.</t>
        </r>
      </text>
    </comment>
    <comment ref="C1" authorId="0" shapeId="0" xr:uid="{7B1A8EB9-8487-4C1A-A437-468D6C12833D}">
      <text>
        <r>
          <rPr>
            <sz val="9"/>
            <color indexed="81"/>
            <rFont val="Segoe UI"/>
            <family val="2"/>
          </rPr>
          <t>Selecione na lista suspensa em cada célula o status da ilustração.</t>
        </r>
      </text>
    </comment>
    <comment ref="D1" authorId="0" shapeId="0" xr:uid="{B17632EC-F5B2-4D41-8E3B-6BBA73C71019}">
      <text>
        <r>
          <rPr>
            <sz val="9"/>
            <color indexed="81"/>
            <rFont val="Segoe UI"/>
            <family val="2"/>
          </rPr>
          <t>Selecione na lista suspensa em cada célula o status da ilustração.</t>
        </r>
      </text>
    </comment>
    <comment ref="E1" authorId="0" shapeId="0" xr:uid="{5FAAC58A-FF17-406D-AA78-2C65B5CF8FCC}">
      <text>
        <r>
          <rPr>
            <sz val="9"/>
            <color indexed="81"/>
            <rFont val="Segoe UI"/>
            <family val="2"/>
          </rPr>
          <t>Preencher estes campos com números 
de páginas.</t>
        </r>
      </text>
    </comment>
    <comment ref="F1" authorId="0" shapeId="0" xr:uid="{65485ABF-895E-4E21-A389-2D6758D454CB}">
      <text>
        <r>
          <rPr>
            <sz val="9"/>
            <color indexed="81"/>
            <rFont val="Segoe UI"/>
            <family val="2"/>
          </rPr>
          <t>Preencher estes campos com números 
de páginas.</t>
        </r>
      </text>
    </comment>
    <comment ref="G1" authorId="0" shapeId="0" xr:uid="{DE47CF63-7E66-4E71-B1F3-7246BA1A2606}">
      <text>
        <r>
          <rPr>
            <sz val="9"/>
            <color indexed="81"/>
            <rFont val="Segoe UI"/>
            <family val="2"/>
          </rPr>
          <t>Preencher este campo com o número do capítulo ou nome da seção.</t>
        </r>
      </text>
    </comment>
    <comment ref="H1" authorId="0" shapeId="0" xr:uid="{C7C75261-7A47-4E3A-9AEE-AD3B5F1E6B8A}">
      <text>
        <r>
          <rPr>
            <sz val="9"/>
            <color indexed="81"/>
            <rFont val="Segoe UI"/>
            <family val="2"/>
          </rPr>
          <t xml:space="preserve">Preencher estes campos com números do capítulos ou os nomes padronizados das seções.
</t>
        </r>
      </text>
    </comment>
    <comment ref="I1" authorId="0" shapeId="0" xr:uid="{B86F45F4-FBB1-4D0D-84E3-6A051DE8E767}">
      <text>
        <r>
          <rPr>
            <sz val="9"/>
            <color indexed="81"/>
            <rFont val="Segoe UI"/>
            <family val="2"/>
          </rPr>
          <t xml:space="preserve">Preencher estes campos com números do capítulos ou os nomes padronizados das seções.
</t>
        </r>
      </text>
    </comment>
    <comment ref="J1" authorId="0" shapeId="0" xr:uid="{D7B97E74-F74B-41C7-BC00-CF790F6241D2}">
      <text>
        <r>
          <rPr>
            <sz val="9"/>
            <color indexed="81"/>
            <rFont val="Segoe UI"/>
            <family val="2"/>
          </rPr>
          <t xml:space="preserve">Se o tipo de imagem escolhida for RESGATE ou AJUSTE, coloque aqui o nome da obra de origem.
</t>
        </r>
      </text>
    </comment>
    <comment ref="K1" authorId="0" shapeId="0" xr:uid="{AB57120A-F035-4F06-8BEF-BDE3E40DB445}">
      <text>
        <r>
          <rPr>
            <sz val="9"/>
            <color indexed="81"/>
            <rFont val="Segoe UI"/>
            <family val="2"/>
          </rPr>
          <t xml:space="preserve">Se o tipo de imagem escolhida for RESGATE ou AJUSTE, coloque aqui apenas o número da página da obra de origem.
</t>
        </r>
      </text>
    </comment>
    <comment ref="L1" authorId="0" shapeId="0" xr:uid="{BD9C4CDB-D85F-4EAA-A6FF-0785D89475F2}">
      <text>
        <r>
          <rPr>
            <sz val="9"/>
            <color indexed="81"/>
            <rFont val="Segoe UI"/>
            <family val="2"/>
          </rPr>
          <t>Se o tipo de imagem escolhida for RESGATE ou AJUSTE, coloque aqui apenas o número do volume da obra de origem.</t>
        </r>
      </text>
    </comment>
    <comment ref="M1" authorId="0" shapeId="0" xr:uid="{FCD024D7-C039-4C97-8E12-C09C396E9E2E}">
      <text>
        <r>
          <rPr>
            <sz val="9"/>
            <color indexed="81"/>
            <rFont val="Segoe UI"/>
            <family val="2"/>
          </rPr>
          <t xml:space="preserve">
Se o tipo de imagem escolhida for RESGATE ou AJUSTE, coloque aqui apenas o número do volume da obra de origem.</t>
        </r>
      </text>
    </comment>
    <comment ref="N1" authorId="0" shapeId="0" xr:uid="{CE07DF58-273B-4E12-9E6A-9D600BFBBFED}">
      <text>
        <r>
          <rPr>
            <sz val="9"/>
            <color indexed="81"/>
            <rFont val="Segoe UI"/>
            <family val="2"/>
          </rPr>
          <t>Qual editora possui o direito de uso da ilustração.</t>
        </r>
      </text>
    </comment>
    <comment ref="O1" authorId="0" shapeId="0" xr:uid="{275A308E-2623-4FEA-8E7C-3ACF8127A42E}">
      <text>
        <r>
          <rPr>
            <sz val="9"/>
            <color indexed="81"/>
            <rFont val="Segoe UI"/>
            <family val="2"/>
          </rPr>
          <t xml:space="preserve">Descrição da imagem detalhada de acordo com a edição.
</t>
        </r>
      </text>
    </comment>
    <comment ref="P1" authorId="0" shapeId="0" xr:uid="{976425B9-5C40-4182-94BF-B76807D3481C}">
      <text>
        <r>
          <rPr>
            <sz val="9"/>
            <color indexed="81"/>
            <rFont val="Segoe UI"/>
            <family val="2"/>
          </rPr>
          <t>Anotações gerais/adicionais da equipe/núcleo sobre a produção da imagem.</t>
        </r>
      </text>
    </comment>
    <comment ref="Q1" authorId="0" shapeId="0" xr:uid="{91DB5F07-0A6E-49F4-A002-C23982F8BE1F}">
      <text>
        <r>
          <rPr>
            <sz val="9"/>
            <color indexed="81"/>
            <rFont val="Segoe UI"/>
            <family val="2"/>
          </rPr>
          <t xml:space="preserve">Número do lote de acordo com a data de liberação para arte.
</t>
        </r>
      </text>
    </comment>
    <comment ref="R1" authorId="0" shapeId="0" xr:uid="{15A3EFEB-A8B8-406E-B81E-8E0A0CF79FAD}">
      <text>
        <r>
          <rPr>
            <sz val="9"/>
            <color indexed="81"/>
            <rFont val="Segoe UI"/>
            <family val="2"/>
          </rPr>
          <t xml:space="preserve">Data que o lote foi liberado para edição de arte.
</t>
        </r>
      </text>
    </comment>
    <comment ref="S1" authorId="0" shapeId="0" xr:uid="{8FA5633D-C6DE-4E9F-A3D4-79AFD5B6D2E4}">
      <text>
        <r>
          <rPr>
            <sz val="9"/>
            <color indexed="81"/>
            <rFont val="Segoe UI"/>
            <family val="2"/>
          </rPr>
          <t>Data de envio da edição de arte para o ilustrador.</t>
        </r>
      </text>
    </comment>
    <comment ref="T1" authorId="0" shapeId="0" xr:uid="{9907336C-E5ED-4AA3-A22C-3364BD584AD9}">
      <text>
        <r>
          <rPr>
            <sz val="9"/>
            <color indexed="81"/>
            <rFont val="Segoe UI"/>
            <family val="2"/>
          </rPr>
          <t xml:space="preserve">Data de recebimento 
do rafe do ilustrador.
</t>
        </r>
      </text>
    </comment>
    <comment ref="U1" authorId="0" shapeId="0" xr:uid="{1357F05E-E949-4EB0-B293-7F318D169B30}">
      <text>
        <r>
          <rPr>
            <sz val="9"/>
            <color indexed="81"/>
            <rFont val="Segoe UI"/>
            <family val="2"/>
          </rPr>
          <t xml:space="preserve">Data de envio para finalizar a ilustração.
</t>
        </r>
      </text>
    </comment>
    <comment ref="V1" authorId="0" shapeId="0" xr:uid="{2CC46B80-102E-4464-A795-E0612AF9C24F}">
      <text>
        <r>
          <rPr>
            <sz val="9"/>
            <color indexed="81"/>
            <rFont val="Segoe UI"/>
            <family val="2"/>
          </rPr>
          <t>Data de retorno da ilustração finalizada pelo ilustrador.</t>
        </r>
      </text>
    </comment>
    <comment ref="W1" authorId="0" shapeId="0" xr:uid="{C77A60B2-ECF4-47A2-8E0B-4D45F090CFB7}">
      <text>
        <r>
          <rPr>
            <sz val="9"/>
            <color indexed="81"/>
            <rFont val="Segoe UI"/>
            <family val="2"/>
          </rPr>
          <t>Data de retorno da ilustração finalizada pelo ilustrador.</t>
        </r>
      </text>
    </comment>
    <comment ref="X1" authorId="0" shapeId="0" xr:uid="{9BF6E56E-B0CB-470E-8BA8-4859BCC6CBA7}">
      <text>
        <r>
          <rPr>
            <sz val="9"/>
            <color indexed="81"/>
            <rFont val="Segoe UI"/>
            <family val="2"/>
          </rPr>
          <t>Nome do ilustrador que produziu ou produzirá a ilustração ou o nome do criador da ilustração do padrão.
Coluna bloqueada para edição manual.</t>
        </r>
      </text>
    </comment>
    <comment ref="Y1" authorId="0" shapeId="0" xr:uid="{B90EA416-61F4-4F27-BB33-A00AF4597512}">
      <text>
        <r>
          <rPr>
            <sz val="9"/>
            <color indexed="81"/>
            <rFont val="Segoe UI"/>
            <family val="2"/>
          </rPr>
          <t>Nome de quem ajustou ou coloriu a ilustração.</t>
        </r>
      </text>
    </comment>
    <comment ref="Z1" authorId="0" shapeId="0" xr:uid="{2511A1FC-2275-49D1-8E3E-558B45675CDE}">
      <text>
        <r>
          <rPr>
            <sz val="9"/>
            <color indexed="81"/>
            <rFont val="Segoe UI"/>
            <family val="2"/>
          </rPr>
          <t>O crédito deve ser de quem criou a ilustração e produziu-a pela primeira vez. Em casos de mais de um ilustrador, separar por /. Ex: Sergio Lima/Rogério Casagrande</t>
        </r>
      </text>
    </comment>
    <comment ref="AA1" authorId="0" shapeId="0" xr:uid="{76A7077C-0D76-44CB-ABD1-AC2057B002AB}">
      <text>
        <r>
          <rPr>
            <sz val="9"/>
            <color indexed="81"/>
            <rFont val="Segoe UI"/>
            <family val="2"/>
          </rPr>
          <t xml:space="preserve">Selecione na lista suspensa em cada célula a classificação da ilustração.
</t>
        </r>
      </text>
    </comment>
    <comment ref="AB1" authorId="0" shapeId="0" xr:uid="{4D36B341-CF6A-4F8B-AFE5-046A04900B18}">
      <text>
        <r>
          <rPr>
            <sz val="9"/>
            <color indexed="81"/>
            <rFont val="Segoe UI"/>
            <family val="2"/>
          </rPr>
          <t>Anotações gerais/adicionais do designer sobre a produção da imagem.</t>
        </r>
      </text>
    </comment>
    <comment ref="AC1" authorId="0" shapeId="0" xr:uid="{744E1151-EFA4-436D-91F6-B020C3BFD959}">
      <text>
        <r>
          <rPr>
            <sz val="9"/>
            <color indexed="81"/>
            <rFont val="Segoe UI"/>
            <family val="2"/>
          </rPr>
          <t>Anotações para fechamento dos pagamentos mensais das ilustrações.</t>
        </r>
      </text>
    </comment>
  </commentList>
</comments>
</file>

<file path=xl/sharedStrings.xml><?xml version="1.0" encoding="utf-8"?>
<sst xmlns="http://schemas.openxmlformats.org/spreadsheetml/2006/main" count="3424" uniqueCount="1608">
  <si>
    <t>NOME DA OBRA
 PARA RESGATE</t>
  </si>
  <si>
    <t>PÁGINA PARA RESGATE</t>
  </si>
  <si>
    <t>VOLUME PARA RESGATE</t>
  </si>
  <si>
    <t>VERSÃO PARA RESGATE</t>
  </si>
  <si>
    <t>PROPRIEDADE</t>
  </si>
  <si>
    <t xml:space="preserve">i0117_3p011c_g27_e001 </t>
  </si>
  <si>
    <t>APLICADA</t>
  </si>
  <si>
    <t>ILUSTRAÇÃO</t>
  </si>
  <si>
    <t>MIOLO</t>
  </si>
  <si>
    <t>NOVA</t>
  </si>
  <si>
    <t xml:space="preserve">Ilustração de uma cidade na qual seja possível identificar diferentes fontes sonoras (carros e outros automóveis em funcionamento, pessoas conversando, ambulância com sirene, cachorros latindo, pessoa trabalhando com betoneira, entre outras). Fazer semáforos, e faixas de pedestre. As pessoas devem estar andando nas calçadas, o cachorro deve estar preso em uma guia sendo segurado por uma pessoa, se couber também fazer um passarinho no galho de uma árvore. </t>
  </si>
  <si>
    <t>la</t>
  </si>
  <si>
    <t>R: 12/03  F: 20/03</t>
  </si>
  <si>
    <t>PAGO</t>
  </si>
  <si>
    <t>i0118_3p011c_g27_e001</t>
  </si>
  <si>
    <t>RESGATE</t>
  </si>
  <si>
    <t>resgatar ilustração de Pessoas correndo em um parque, g23_mdn_lt_3npc.página 17 Código antigo i0214aec_3pmc_g19_mdn</t>
  </si>
  <si>
    <t>ec</t>
  </si>
  <si>
    <t>i0119_3p011c_g27_e001</t>
  </si>
  <si>
    <t>resgatar ilustração de Pessoa utilizando furadeira, g23_mdn_lt_3npc.página 17 Código antigo i0214cec_3pmc_g19_mdn</t>
  </si>
  <si>
    <t xml:space="preserve">i0120_3p011c_g27_e001  </t>
  </si>
  <si>
    <t xml:space="preserve">resgatar ilustração de Liquidificador em funcionamento, g23_mdn_lt_3npc.página 17 Código antigo i0214bec_3pmc_g19_mdn </t>
  </si>
  <si>
    <t>i0121_3p011c_g27_e001</t>
  </si>
  <si>
    <t xml:space="preserve">resgatar ilustração de Pessoa diminuindo a intensidade do som de um aparelho de som, g23_mdn_lt_3npc.página 17 Código antigo i0214dec_3pmc_g19_mdn </t>
  </si>
  <si>
    <t xml:space="preserve">i0140_3p011c_g27_e001  </t>
  </si>
  <si>
    <t>resgatar ilustração de pessoa manipulando um espelho convergindo a luz em um ponto, g23_mdn_lt_3npc.página 25 código antigo i0235sq_3pmc_g19_mdn</t>
  </si>
  <si>
    <t>sq</t>
  </si>
  <si>
    <t xml:space="preserve">i0141_3p011c_g27_e001 </t>
  </si>
  <si>
    <t>AJUSTE</t>
  </si>
  <si>
    <t xml:space="preserve">Ilustração de menino olhando Luz emitida pelo corpo luminoso e refletida pelo corpo iluminado até atingir os olhos da pessoa, g23_mdn_lt_3npc.página 26 código antigo i0236sq_3pmc_g19_mdn 
 AJUSTES 
Ajuste: melhorar as proporções da cabeça do menino, ficou com muita testa e as feições de olho/nariz/boca espremidinhas. </t>
  </si>
  <si>
    <t>Bruna Campos</t>
  </si>
  <si>
    <t>FINALIZADO</t>
  </si>
  <si>
    <t xml:space="preserve">i0149_3p011c_g27_e001  </t>
  </si>
  <si>
    <t xml:space="preserve">Ilustração de uma menina segurando uma lanterna e um cano sinuoso com as mãos e apertando o cano contra uma parede. 
Código antigo: i0246sq_3pmc_g19_mdn 
RESGATAR de: página 32 do g23_mdn_mp_3npc </t>
  </si>
  <si>
    <t>i0157_3p011c_g27_e001</t>
  </si>
  <si>
    <t xml:space="preserve">AJUSTAR 
ilustração de estudantes fazendo anotações em conjunto, g23_mdn_lt_3npc.página 34 código antigo i0257wh_3pmc_g19_mdn_ly 
AJUSTE – ajustar braço do menino destacado, não dá para identificar de onde está saindo o braço direito dele. </t>
  </si>
  <si>
    <t>wh</t>
  </si>
  <si>
    <t>i0158_3p011c_g27_e001</t>
  </si>
  <si>
    <t>RESGATAR 
resgatar ilustração de estudante fazendo anotações, g23_mdn_lt_3npc.página 34 código antigo i0258wh_3pmc_g19_mdn_ly</t>
  </si>
  <si>
    <t xml:space="preserve">i0159_3p011c_g27_e001  </t>
  </si>
  <si>
    <t>resgatar ilustração de pessoa digitando no computador, g23_mdn_lt_3npc.página 34 código antigo i0259wh_3pmc_g19_mdn_ly_LOcopy2</t>
  </si>
  <si>
    <t xml:space="preserve">i0160_3p011c_g27_e001  </t>
  </si>
  <si>
    <t>AJUSTANDO</t>
  </si>
  <si>
    <t xml:space="preserve">resgatar ilustração de Grupo de alunos apresentado um seminário, g23_mdn_lt_3npc.página 35 código antigo i0260wh_3pmc_g19_mdn_ly 
AJUSTE – Melhorar contraste na região da frase projetada (testar cores que deem contraste entre o fundo e as letras) </t>
  </si>
  <si>
    <t>i0302_3p011c_g27_e001</t>
  </si>
  <si>
    <t>Ilustração alunos coletando solo de uma horta, g23_mdn_lt_3npc.página 40 e 41 código antigo i0402wh_3pmc_g19_mdn_ly
AJUSTAR – Retirar o prédio da escola e colocar professor da antiga página 41, acompanhando a coleta de solo realizada pelos alunos conforme referência (mudar a posição dos braços do professor).</t>
  </si>
  <si>
    <t>i0303_3p011c_g27_e001</t>
  </si>
  <si>
    <t>Ilustração de crianças coletando solo no parquinho da escola.
AJUSTAR – Trazer crianças da antiga página 43 para perto do gira-gira, conforme referência abaixo.</t>
  </si>
  <si>
    <t>i0304_3p011c_g27_e001</t>
  </si>
  <si>
    <t>Ilustração da turma da Raquel dentro da sala de aula com o professor.
AJUSTAR – Substituir a professora pelo professor da antiga página 42, conforme referência</t>
  </si>
  <si>
    <t>i0313_3p011c_g27_e001</t>
  </si>
  <si>
    <t>Resgatar ilustração de chuva em cima de rochas, g23_mdn_lt_3npc, página 48, código antigo i0416alu_3pmc_g19_mdn
AJUSTE: diminuir o tamanho da nuvem, para ilustração ficar com tamanho menor na horizontal, possibilitando colocar as 3 ilustrações lado a lado, todas com o mesmo tamanho. Ver ideia a seguir.</t>
  </si>
  <si>
    <t>lu</t>
  </si>
  <si>
    <t>Ingridhi Borges</t>
  </si>
  <si>
    <t>ARTE</t>
  </si>
  <si>
    <t>i0314_3p011c_g27_e001</t>
  </si>
  <si>
    <t>Resgatar ilustração de desgaste das rochas devido as chuvas, g23_mdn_lt_3npc.página 48, código antigo i0416blu_3pmc_g19_mdn_ef
AJUSTE: diminuir o tamanho da ilustração para ficar com tamanho menor na horizontal, possibilitando colocar as 3 ilustrações lado a lado, todas com o mesmo tamanho. Ver ideia a seguir.</t>
  </si>
  <si>
    <t>i0315_3p011c_g27_e001</t>
  </si>
  <si>
    <t>Resgatar ilustração de formação do solo, g23_mdn_lt_3npc, página 48, código antigo i0416clu_3pmc_g19_mdn_ef
AJUSTE: diminuir o tamanho da ilustração para ficar com tamanho menor na horizontal, possibilitando colocar as 3 ilustrações lado a lado, todas com o mesmo tamanho. Ver ideia a seguir.</t>
  </si>
  <si>
    <t>i0324_3p011c_g27_e001</t>
  </si>
  <si>
    <t>ilustração parte de um município, g23_mdn_lt_3npc.página 52 código antigo i0423th_3pmc_g19_mdn_ly
AJUSTAR - a cena principal deve ser aplicada em uma única página. Para isso, deslocar a colheitadeira para a área agrícola á esquerda, reposicionar algumas ovelhas e reposicionar a rede de transmissão de energia para a porção superior esquerda. Incluir marcadores e recortes da cena principal.</t>
  </si>
  <si>
    <t>th</t>
  </si>
  <si>
    <t>i0325_3p011c_g27_e001</t>
  </si>
  <si>
    <t>EXCLUIDA</t>
  </si>
  <si>
    <t>Recortar da i0324 as linhas de transmissão de energia elétrica (Recorte da parte da ilustração da página anterior)</t>
  </si>
  <si>
    <t>Excluída pela equipe</t>
  </si>
  <si>
    <t>i0326_3p011c_g27_e001</t>
  </si>
  <si>
    <t>Recorte da i0324 das casas e prédios (parte da cidade) (Recorte da parte da ilustração da página anterior)</t>
  </si>
  <si>
    <t>i0327_3p011c_g27_e001</t>
  </si>
  <si>
    <t>recortar da i0324 as bombas de extração de petróleo (Recorte da parte da ilustração da página anterior)</t>
  </si>
  <si>
    <t>i0328_3p011c_g27_e001</t>
  </si>
  <si>
    <t>Recorte da i0324 das máquinas realizando colheita em uma plantação (Recorte da parte da ilustração da página anterior)</t>
  </si>
  <si>
    <t>i0329_3p011c_g27_e001</t>
  </si>
  <si>
    <t>Recorte da i0324 da estrada com caminhões e carros (Recorte da parte da ilustração da página anterior)</t>
  </si>
  <si>
    <t>i0330_3p011c_g27_e001</t>
  </si>
  <si>
    <t>Recorte da i0324 da fazenda de criação de animais (Recorte da parte da ilustração da página anterior)</t>
  </si>
  <si>
    <t>i0334_3p011c_g27_e001</t>
  </si>
  <si>
    <t>NOVA
Ilustração de mapa do Acre mostrando locais de agricultura de subsistência conforme referência.</t>
  </si>
  <si>
    <t>rm</t>
  </si>
  <si>
    <t>f: 21/03</t>
  </si>
  <si>
    <t>i0345_3p011c_g27_e001</t>
  </si>
  <si>
    <t>Ilustração de mulher de pele negra utilizando um pequeno rastelo para arar o solo de um vaso.
Código antigo: i0437sq_3pmc_g19_mdn_LOcopy3
RESGATAR de: página 60 do g23_mdn_mp_3npc Separar em 3 ils</t>
  </si>
  <si>
    <t>i0346_3p011c_g27_e001</t>
  </si>
  <si>
    <t>Ilustração de mulher de pele negra adubando o solo de um vaso.
Código antigo:
i0437sq_3pmc_g19_mdn_LOcopy2
RESGATAR de: página 60 do g23_mdn_mp_3npc Separar em 3 ils</t>
  </si>
  <si>
    <t>i0347_3p011c_g27_e001</t>
  </si>
  <si>
    <t>Ilustração de mulher de pele negra regando com um regador o solo de um vaso.
Código antigo: i0437sq_3pmc_g19_mdn_LOcopy1
RESGATAR de: página 60 do g23_mdn_mp_3npc Separar em 3 ils</t>
  </si>
  <si>
    <t>i0362_3p011c_g27_e001</t>
  </si>
  <si>
    <t>RESGATE - resgatar ilustração de Pessoa de pé em seu sítio, g23_mdn_lt_3npc.página 70 código antigo i0458ly_3pmc_g19_mdn</t>
  </si>
  <si>
    <t>Ecluída pela equipe</t>
  </si>
  <si>
    <t>ly</t>
  </si>
  <si>
    <t>i0363_3p011c_g27_e001</t>
  </si>
  <si>
    <t>AJUSTAR
Ilustração de uma menina de cabelos cacheados com uma garrafa na mão derramando água sobre o solo sem cobertura vegetal. - página 71 do g23_mdn_mp_3npc
Código antigo: i0459th_3pmc_g19_mdn
AJUSTE: diminuir um pouquinho a cabeça da menina para combinar com a proporção do resto do corpo.</t>
  </si>
  <si>
    <t>i0368_3p011c_g27_e001</t>
  </si>
  <si>
    <t>Resgatar e ajustar ilustração de Folha de caderno em branco, g23_mdn_lt_3npc.página 72, código antigo i0462bth_3pmc_g19_mdn
AJUSTE: compor o texto a seguir como se fosse manuscrito na folha de caderno, conforme referência a seguir.
Qual é o seu nome?
Qual é a sua formação?
Quando você decidiu que queria ser professor?
Você gosta de ser professor?
Em sua opinião, qual a importância do professor para a sociedade?</t>
  </si>
  <si>
    <t>Essa ilustração foi excluída porque a parte do texto sobre a folha de caderno será inserida pela diagramação.</t>
  </si>
  <si>
    <t>zz</t>
  </si>
  <si>
    <t>VINÍCIUS COSTA/ARQUIVO DA EDITORA</t>
  </si>
  <si>
    <t>i0369_3p011c_g27_e001</t>
  </si>
  <si>
    <t>RESGATAR 
resgatar ilustração de Pessoa escrevendo em um caderno, g23_mdn_lt_3npc.página 72 código antigo i0462ath_3pmc_g19_mdn</t>
  </si>
  <si>
    <t>i0370_3p011c_g27_e001</t>
  </si>
  <si>
    <t xml:space="preserve">Resgatar ilustração de caderno em branco aberto, g23_mdn_lt_3npc.página 73 código antigo i0463th_3pmc_g19_mdn
</t>
  </si>
  <si>
    <t>i0372_3p011c_g27_e001</t>
  </si>
  <si>
    <t>RESGATAR 
Ilustração de bancada com dois copos com terra e um balde água. Um dos copos com terra está sendo mergulhado no balde com água.
Código antigo: i0652sq_3npc_g23_mdn
RESGATAR de: página 74 do g23_mdn_mp_3npc</t>
  </si>
  <si>
    <t>i0507_3p011c_g27_e001</t>
  </si>
  <si>
    <t xml:space="preserve">ilustração de um sitio com pessoas e outros animais se alimentando, g23_mdn_lt_3npc.página 80 código antigo i0604la_3pmc_g19_mdn_ef
AJUSTAR- ajustar il para que todos os elementos fiquem apenas em uma página, como mostra a referência abaixo </t>
  </si>
  <si>
    <t>Resgate com ajuste</t>
  </si>
  <si>
    <t>i0516_3p011c_g27_e001</t>
  </si>
  <si>
    <t xml:space="preserve"> Ilustração de uma pegada de cavalo.
código antigo i0615rm_3pmc_g19_mdn
RESGATAR de: página 83 do g23_mdn_mp_3npc</t>
  </si>
  <si>
    <t>i0517_3p011c_g27_e001</t>
  </si>
  <si>
    <t>Ilustração de uma pegada de cachorro.
código antigo i0616rm_3pmc_g19_mdn
RESGATAR de: página 83 do g23_mdn_mp_3npc</t>
  </si>
  <si>
    <t>i0518_3p011c_g27_e001</t>
  </si>
  <si>
    <t>Ilustração de uma pegada de pato.
código antigo i0617rm_3pmc_g19_mdn
RESGATAR de: página 83 do g23_mdn_mp_3npc</t>
  </si>
  <si>
    <t>i0519_3p011c_g27_e001</t>
  </si>
  <si>
    <t>Ilustração de crânio de vaca.
código antigo i0618rm_3pmc_g19_mdn
RESGATAR de: página 84 do g23_mdn_mp_3npc</t>
  </si>
  <si>
    <t>i0520_3p011c_g27_e001</t>
  </si>
  <si>
    <t>Ilustração de crânio de coiote.
código antigo i0619rm_3pmc_g19_mdn
RESGATAR de: página 84 do g23_mdn_mp_3npc</t>
  </si>
  <si>
    <t>i0521_3p011c_g27_e001</t>
  </si>
  <si>
    <t>Ilustração de crânio de javali.
código antigo i0620rm_3pmc_g19_mdn
RESGATAR de: página 84 do g23_mdn_mp_3npc</t>
  </si>
  <si>
    <t>i0529_3p011c_g27_e001</t>
  </si>
  <si>
    <t>resgatar ilustração de Galinhas chocando os ovos, g23_mdn_lt_3npc. Página 88 código antigo i0629alu_3pmc_g19_mdn</t>
  </si>
  <si>
    <t>i0530_3p011c_g27_e001</t>
  </si>
  <si>
    <t>resgatar ilustração de Nascimento de um pintinho, g23_mdn_lt_3npc. Página 88 código antigo i0629blu_3pmc_g19_mdn</t>
  </si>
  <si>
    <t>i0531_3p011c_g27_e001</t>
  </si>
  <si>
    <t xml:space="preserve"> il de gata prenhe, g23_mdn_lt_3npc. Página 88 código antigo i0630alu_3pmc_g19_mdn.
AJUSTE: inserir ambiente atrás da gata.</t>
  </si>
  <si>
    <t>i0532_3p011c_g27_e001</t>
  </si>
  <si>
    <t>il de Gata amamentando seus filhotes, g23_mdn_lt_3npc. Página 89 código antigo i0630clu_3pmc_g19_mdn.
AJUSTE: inserir ambiente atrás da gata.</t>
  </si>
  <si>
    <t>i0533_3p011c_g27_e001</t>
  </si>
  <si>
    <t>Il de Nascimento dos filhotes da gata, g23_mdn_lt_3npc. Página 89 código antigo i0630blu_3pmc_g19_mdn.
AJUSTAR: inserir ambiente atrás da gata.</t>
  </si>
  <si>
    <t>i0534_3p011c_g27_e001</t>
  </si>
  <si>
    <t>resgatar ilustração de Cobra Jararaca, g23_mdn_lt_3npc.página 89 código antigo i0631alu_3pmc_g19_mdn</t>
  </si>
  <si>
    <t>i0535_3p011c_g27_e001</t>
  </si>
  <si>
    <t>resgatar ilustração de Ovos no interior do corpo da jararaca fêmea, g23_mdn_lt_3npc.página 89 código antigo i0631blu_3pmc_g19_mdn
AJUSTE: Recortar as bordas laterais para ficar igual ao print</t>
  </si>
  <si>
    <t>i0536_3p011c_g27_e001</t>
  </si>
  <si>
    <t>resgatar ilustração de Nascimento dos filhotes da jararaca, g23_mdn_lt_3npc.página 89 código antigo i0631clu_3pmc_g19_mdn.
AJUSTE: Recortar para ficar igual ao print</t>
  </si>
  <si>
    <t>g0550_3p011c_g27_e001</t>
  </si>
  <si>
    <t>GRÁFICO</t>
  </si>
  <si>
    <t>Compor gráfico de período de gestação (eixo y) de animais vivíparos (eixo x) com os dados a seguir.
Vaca: 20 ;Ovelha: 145; Porca: 110; Gata: 65; Coelha: 30; Rata: 20</t>
  </si>
  <si>
    <t>ib</t>
  </si>
  <si>
    <t>Arte</t>
  </si>
  <si>
    <t>g0551_3p011c_g27_e001</t>
  </si>
  <si>
    <t>MP-E</t>
  </si>
  <si>
    <t>Compor gráfico de colunas de período de gestação (eixo y) de animais vivíparos (eixo x) com os dados a seguir.
Vaca: 280; Ovelha: 145; Porca: 110; Gata: 65; Coelha: 30; Rata: 20</t>
  </si>
  <si>
    <t>i0552_3p011c_g27_e001</t>
  </si>
  <si>
    <t>Ilustração de um ovo de serpente intacto.
código antigo i0644sq_3pmc_g19_mdn
Veio da página 93 do g23_mdn_mp_3npc. AJUSTE: Separar as ils</t>
  </si>
  <si>
    <t>i0553_3p011c_g27_e001</t>
  </si>
  <si>
    <t>Ilustração de um ovo de serpente rachado e um pouco enrugado.
código antigo i0644sq_3pmc_g19_mdn
Veio da página 93 do g23_mdn_mp_3npc. AJUSTE: Separar as ils</t>
  </si>
  <si>
    <t>i0554_3p011c_g27_e001</t>
  </si>
  <si>
    <t>Ilustração de um ovo de serpente rachado com a cabeça do animal saindo do ovo.
código antigo i0644sq_3pmc_g19_mdn
Veio da página 93 do g23_mdn_mp_3npc. AJUSTE: Separar as ils</t>
  </si>
  <si>
    <t>i0555_3p011c_g27_e001</t>
  </si>
  <si>
    <t>Ilustração de um ovo de serpente rachado com grande parte do corpo do animal saindo pela rachadura e ovo já bem murcho/enrugado.
código antigo i0644sq_3pmc_g19_mdn
Veio da página 93 do g23_mdn_mp_3npc. AJUSTE: Separar as ils</t>
  </si>
  <si>
    <t>i0562_3p011c_g27_e001</t>
  </si>
  <si>
    <t>Il de esquema da metamorfose de uma rã, código antigo i0650lu_3pmc_g19_mdn - página 95 do g23_mdn_mp_3npc
AJUSTE: remover a seta que vai do F para o A, conforme indicado em vermelho no print.</t>
  </si>
  <si>
    <t>i0563_3p011c_g27_e001</t>
  </si>
  <si>
    <t xml:space="preserve">resgatar ilustração de Menino medindo o tórax do um colega, g23_mdn_lt_3npc.página 98 código antigo i0657ly_3pmc_g19_mdn
 </t>
  </si>
  <si>
    <t>i0565_3p011c_g27_e001</t>
  </si>
  <si>
    <t xml:space="preserve"> resgatar il de cachorro mostrando pulmões, g23_mdn_lt_3npc.página 97 código antigo i0653rm_3pmc_g19_mdn</t>
  </si>
  <si>
    <t>i0566_3p011c_g27_e001</t>
  </si>
  <si>
    <t>resgatar il de peixe e fluxo de agua nas brânquias de um peixe, g23_mdn_lt_3npc.página 97 código antigo i0654rm_3pmc_g19_mdn</t>
  </si>
  <si>
    <t>i0567_3p011c_g27_e001</t>
  </si>
  <si>
    <t>ilustração de minhoca e zoom do sistema respiratório dela, g23_mdn_lt_3npc.página 9. Código antigo i0656rm_3pmc_g19_mdn
AJUSTE – separar as imagens em A e B, e excluir o fio e o círculo menor</t>
  </si>
  <si>
    <t>i0568_3p011c_g27_e001</t>
  </si>
  <si>
    <t xml:space="preserve"> resgatar il do sistema traqueal de uma abelha, g23_mdn_lt_3npc.página 98 código antigo i1075rm_3npc_g23_mdn_aj</t>
  </si>
  <si>
    <t>i0571_3p011c_g27_e001</t>
  </si>
  <si>
    <t>ilustração de esqueleto do cavalo (coluna vertebral) g23_mdn_lt_3npc. Pág. 102 código antigo i0660blu_3pmc_g19_mdn_ly
AJUSTE – separar da ilustração maior (i0572)</t>
  </si>
  <si>
    <t>i0572_3p011c_g27_e001</t>
  </si>
  <si>
    <t>il de ambiente com animais e plantas, g23_mdn_lt_3npc. página 102 e 103 código antigo i0660alu_3pmc_g19_mdn_ly
AJUSTE –ajustar il para que seja aplicada por completa nessa página.</t>
  </si>
  <si>
    <t>i0573_3p011c_g27_e001</t>
  </si>
  <si>
    <t>Recortar cavalo da ilustração (i0572) da página anterior.</t>
  </si>
  <si>
    <t>i0574_3p011c_g27_e001</t>
  </si>
  <si>
    <t>Recortar 2º cavalo da ilustração(i0572) da página anterior</t>
  </si>
  <si>
    <t>i0575_3p011c_g27_e001</t>
  </si>
  <si>
    <t>Recortar garça da ilustração (i0572) da página anterior.</t>
  </si>
  <si>
    <t>i0576_3p011c_g27_e001</t>
  </si>
  <si>
    <t>Recortar preá da ilustração(i0572) da página anterior.</t>
  </si>
  <si>
    <t>i0577_3p011c_g27_e001</t>
  </si>
  <si>
    <t>Recortar pintado da ilustração (i0572) da página anterior.</t>
  </si>
  <si>
    <t>i0578_3p011c_g27_e001</t>
  </si>
  <si>
    <t>Recortar lagarto da ilustração (i0572) da página anterior.</t>
  </si>
  <si>
    <t>i0579_3p011c_g27_e001</t>
  </si>
  <si>
    <t>Recortar pica-pau da ilustração (i0572)  da página anterior.</t>
  </si>
  <si>
    <t>i0580_3p011c_g27_e001</t>
  </si>
  <si>
    <t>Recortar rã da ilustração (i0572) da página anterior.</t>
  </si>
  <si>
    <t>i0581_3p011c_g27_e001</t>
  </si>
  <si>
    <t>Recortar lambaris da ilustração (i0572) da página anterior.</t>
  </si>
  <si>
    <t>i0582_3p011c_g27_e001</t>
  </si>
  <si>
    <t>Recortar bagre da ilustração (i0572) da página anterior.</t>
  </si>
  <si>
    <t>i0596_3p011c_g27_e001</t>
  </si>
  <si>
    <t>Ilustração de uma mulher de cabelos lisos amamentando um bebê, uma menina de cabelos cacheados observando e um homem adulto de cabelos cacheados próximo a ela.
código antigo i0670ec_3pmc_g19_mdn
RESGATAR de: página 108 do g23_mdn_mp_3npc</t>
  </si>
  <si>
    <t>i0599_3p011c_g27_e001</t>
  </si>
  <si>
    <t>Ilustração de um menino de pele clara e cabelos ondulados jantando com uma mulher adulta de pele clara e cabelos ondulados. Página 110 do g23_mdn_mp_3npc
código antigo i0673wh_3pmc_g19_mdn.
AJUSTE: Remover a fala da il e completar o fundo cor</t>
  </si>
  <si>
    <t>m0718_3p011c_g27_e001</t>
  </si>
  <si>
    <t>MAPA</t>
  </si>
  <si>
    <t xml:space="preserve">ilustração de Mapa-múndi, g23_mdn_lt_3npc.página 128 código antigo m0819ed_3pmc_g19_mdn_aj
AJUSTE- separar a legenda do mapa, e aumentar tamanho da fonte da legenda
</t>
  </si>
  <si>
    <t>ed</t>
  </si>
  <si>
    <t>Maryane Vioto Silva</t>
  </si>
  <si>
    <t>Resgate com ajuste (Mary)</t>
  </si>
  <si>
    <t>i0736_3p011c_g27_e001</t>
  </si>
  <si>
    <t>resgatar ilustração de Representação do eixo de rotação da terra, g23_mdn_lt_3npc.página 136 código antigo i0828rm_3pmc_g19_mdn</t>
  </si>
  <si>
    <t>i0737_3p011c_g27_e001</t>
  </si>
  <si>
    <t>resgatar ilustração de representação do movimento de translação da Terra em quatro momentos, g23_mdn_lt_3npc.página 136 código antigo i0829rm_3pmc_g19_mdn
AJUSTAR: Deixar a órbita mais circular. Ao ajustar a órbita cuidado para a luz/sombra da terra ficar correta em relação ao sol que deve estar no centro. Ver referência do m24_e002_lt_4m1p001c_p188</t>
  </si>
  <si>
    <t>i0739_3p011c_g27_e001</t>
  </si>
  <si>
    <t xml:space="preserve">Ilustração de uma menina de cabelos cacheados, com um calendário na mão com a data de 29 de fevereiro, conversando com uma mulher adulta de cabelos ondulados.- página 138 do g23_mdn_mp_3npc
código antigo i0832ly_3pmc_g19_mdn
AJUSTE: melhorar a leitura da palavra “Fevereiro
</t>
  </si>
  <si>
    <t>m0741_3p011c_g27_e001</t>
  </si>
  <si>
    <t xml:space="preserve">Mapa de planisfério terrestre
código antigo m0819ed_3pmc_g19_mdn_aj
página 140 do g23_mdn_mp_3npc
AJUSTE: separar legenda do mapa e tentar aumentar um pouco o tamanho da fonte da legenda
</t>
  </si>
  <si>
    <t>i0302_4p011c_g27_e001</t>
  </si>
  <si>
    <t>il de uma criança e um adulto fazendo uma receita de bolo,
página 52, g23_mdn_lt_4npc código antigo
i0472asq_4pmc_g19_mdn
Ajustar il – apagar os textos da farinha de trigo e do óleo</t>
  </si>
  <si>
    <t>i0303_4p011c_g27_e001</t>
  </si>
  <si>
    <t>Resgatar il de um homem tirando um bolo do forno do
fogão, página 52, g23_mdn_lt_4npc código antigo
i0472bsq_4pmc_g19_mdn</t>
  </si>
  <si>
    <t>i0306_4p011c_g27_e001</t>
  </si>
  <si>
    <t>il de uma professora realizando algumas misturas com
seus alunos, página 54, g23_mdn_lt_4npc código antigo
i0412wh_4pmc_g19_mdn</t>
  </si>
  <si>
    <t>i0333_4p011c_g27_e001</t>
  </si>
  <si>
    <t>il de uma cidade, com as ruas, carros, prédios, praças, página 68, g23_mdn_lt_4npc código antigo
i0445ala_4pmc_g19_mdn
AJUSTE: Ajustar para aplicar a ilustração completa apenas na página par</t>
  </si>
  <si>
    <t>i0334_4p011c_g27_e001</t>
  </si>
  <si>
    <t>Resgate de Ilustração de um escapamento de carro
emitindo fumaça. Página 68 4npc
Código antigo - i0445bla_4pmc_g19_m</t>
  </si>
  <si>
    <t>i0335_4p011c_g27_e001</t>
  </si>
  <si>
    <t>Recortar Ilustração de parte do parque da il
principal (i0333) com diversas árvores. Recortar
conforme referência abaixo.</t>
  </si>
  <si>
    <t>i0336_4p011c_g27_e001</t>
  </si>
  <si>
    <t>Resgatar il de uma criança no hospital usando
respirador, página 68, g23_mdn_lt_4npc código
antigo i0445cla_4pmc_g19_mdn</t>
  </si>
  <si>
    <t>i0337_4p011c_g27_e001</t>
  </si>
  <si>
    <t>Resgatar il de família plantando uma arvore,
página 66, g23_mdn_lt_4npc código antigo
i0445dla_4pmc_g19_mdn</t>
  </si>
  <si>
    <t>i0345_4p011c_g27_e001</t>
  </si>
  <si>
    <t>il com três pessoas na cozinha, uma criança, um homem coando suco e uma mulher separando
feijao, página 76, g23_mdn_lt_4npc código antigo i0469wh_4pmc_g19_mdn_ly
AJUSTE – ajustar il para caber em uma página.</t>
  </si>
  <si>
    <t>i0346_4p011c_g27_e001</t>
  </si>
  <si>
    <t>Recorte da ilustração principal, de uma
pessoa despejando suco em uma peneira
sobre uma jarra (página 76,
g23_mdn_lt_4npc código antigo
i0469wh_4pmc_g19_mdn_ly)</t>
  </si>
  <si>
    <t>i0347_4p011c_g27_e001</t>
  </si>
  <si>
    <t>Recorte da ilustração principal, de um
filtro de água de parede (página 76,
g23_mdn_lt_4npc código antigo
i0469wh_4pmc_g19_mdn_ly)</t>
  </si>
  <si>
    <t>i0348_4p011c_g27_e001</t>
  </si>
  <si>
    <t>Recorte da ilustração principal, de uma
jarra de suco, com parte da polpa da
fruta decantada (página 76,
g23_mdn_lt_4npc código antigo
i0469wh_4pmc_g19_mdn_ly)</t>
  </si>
  <si>
    <t>i0349_4p011c_g27_e001</t>
  </si>
  <si>
    <t>Recorte da ilustração principal, de uma
pessoa escolhendo feijão (página 76,
g23_mdn_lt_4npc código antigo
i0469wh_4pmc_g19_mdn_ly)</t>
  </si>
  <si>
    <t>i0353_4p011c_g27_e001</t>
  </si>
  <si>
    <t>PRONTA</t>
  </si>
  <si>
    <t>Resgatar il do processo de flotação em uma estação de tratamento de água, página 81, g23_mdn_lt_4npc
código antigo i0470rm_4pmc_g19_mdn</t>
  </si>
  <si>
    <t>Rafaela Panissa</t>
  </si>
  <si>
    <t>Resgate ajuste</t>
  </si>
  <si>
    <t>i0361_4p011c_g27_e001</t>
  </si>
  <si>
    <t>Resgatar il de um menino fazendo um
experimento tentando separar a água do
açúcar com um filtro de papel, página 86,
g23_mdn_lt_4npc código antigo
i0464wh_4pmc_g19_mdn</t>
  </si>
  <si>
    <t>i0362_4p011c_g27_e001</t>
  </si>
  <si>
    <t>il de uma menina colocando terra em um prato,
página 86, g23_mdn_lt_4npc código antigo
i0465wh_4pmc_g19_mdn
AJUSTE: alterar a pele para representar uma
criança com vitiligo. Cuidado para e pele da
garota não ficar morena escura. Ver referência
no balão de comentário word.</t>
  </si>
  <si>
    <t>i0363_4p011c_g27_e001</t>
  </si>
  <si>
    <t>Resgatar ilustração de tigela com
palha de aço, página 86,
g23_mdn_lt_4npc código antigo- i0658Asq_4pnc_g23_mdn</t>
  </si>
  <si>
    <t>i0364_4p011c_g27_e001</t>
  </si>
  <si>
    <t>Resgatar ilustração de tigela com
areia, página 86,
g23_mdn_lt_4npc código antigo - i0658Bsq_4pnc_g23_mdn</t>
  </si>
  <si>
    <t>i0365_4p011c_g27_e001</t>
  </si>
  <si>
    <t>Resgatar ilustração de tigela com
mistura de palha de aço com
areia, página 86,
g23_mdn_lt_4npc código antigo - i0658Csq_4pnc_g23_mdn</t>
  </si>
  <si>
    <t>i0366_4p011c_g27_e001</t>
  </si>
  <si>
    <t>Resgatar il de um moço passando café, página 87,
g23_mdn_lt_4npc código antigo
i0466wh_4pmc_g19_mdn - AJUSTE – inserir aparelho auditivo</t>
  </si>
  <si>
    <t>i0367_4p011c_g27_e001</t>
  </si>
  <si>
    <t>il de uma menina colocando chocolate em pó em
um copo de leite, página 87, g23_mdn_lt_4npc
código antigo i0467wh_4pmc_g19_mdn
AJUSTES:
1º – tornar a personagem pele negra com cabelo
black power (afro), se for dar trabalho o cabelo,
então que pelo menos seja preto, ela deve ficar
diferente da i0362, pois é outra personagem, e
estão muito parecidas.
2º – passar pra arte verificar e ajustar o contraste
(utilizar o contrast checker) do texto no rótulo da
embalagem de chocolate em pó. Se possível,
aumentar um pouquinho a fonte.</t>
  </si>
  <si>
    <t>i0374_4p011c_g27_e001</t>
  </si>
  <si>
    <t>Resgatar il de destilação de uma mistura de álcool e oleo, página 89, g23_mdn_lt_4npc código antigo
i0665rm_4pnc_g23_mdn</t>
  </si>
  <si>
    <t>i0375_4p011c_g27_e001</t>
  </si>
  <si>
    <t>IL TEC ARTE</t>
  </si>
  <si>
    <t>RESGATAR
Il de folha de caderno com letra
cursiva - página 71, g23_mdn_lt_4npc
Cód. Antigo - i0651zz_4pnc_g23_mdn
A – areia  ;  B – água + sal ;  C – óleo</t>
  </si>
  <si>
    <t>i0102_4p011c_g27_e001</t>
  </si>
  <si>
    <t>il de um adulto auxiliando uma criança em uma receita, página 10, g23_mdn_lt_4npc código antigo
i0233aly_4pmc_g19_mdn</t>
  </si>
  <si>
    <t>i0103_4p011c_g27_e001</t>
  </si>
  <si>
    <t>il de um adulto auxiliando uma criança em uma receita, página 10, g23_mdn_lt_4npc código antigo
i0233bly_4pmc_g19_mdn</t>
  </si>
  <si>
    <t>i0106_4p011c_g27_e001</t>
  </si>
  <si>
    <t>il de duas pessoas caminhando em um parque, com um rio ao fundo e um cupinzeiro em primeiro plano.
Página 12, g23_mdn_lt_4npc código antigo i0237la_4pmc_g19_mdn_ly
AJUSTE: colocar o cupinzeiro mais próximo das pessoas, para que todos os elementos importantes caibam em
uma única página, fazer conforme o print a seguir.</t>
  </si>
  <si>
    <t>Resgato com ajuste</t>
  </si>
  <si>
    <t>i0111_4p011c_g27_e001</t>
  </si>
  <si>
    <t>il de uma casa, onde pela janela consegue‐se verificar uma criança e um adulto sentados a mesa tomando
suco, e uma mulher em outra janela pegando material de pronto‐socorro. Ao lado está uma garagem coberta
com um carro estacionado. página 14‐15, g23_mdn_lt_4npc código antigo i0212ec_4pmc_g19_mdn
AJUSTE: para que os elementos da ilustração caibam em uma única página, colocar as janelas uma em cima
da outra, próximas da garagem com o carro.</t>
  </si>
  <si>
    <t>i0128_4p011c_g27_e001</t>
  </si>
  <si>
    <t>il de uma mulher medindo a febre de uma criança
com a mão na testa da criança, página 23,
g23_mdn_lt_4npc código antigo
i0202aec_4pmc_g19_mdn</t>
  </si>
  <si>
    <t>i0129_4p011c_g27_e001</t>
  </si>
  <si>
    <t>il um médico verificando a garganta da criança,
página 23, g23_mdn_lt_4npc código antigo
i0202bec_4pmc_g19_mdn</t>
  </si>
  <si>
    <t>i0130_4p011c_g27_e001</t>
  </si>
  <si>
    <t>il do medico passando orientações para paciente
criança, página 23, g23_mdn_lt_4npc código
antigo i0202cec_4pmc_g19_mdn</t>
  </si>
  <si>
    <t>i0131_4p011c_g27_e001</t>
  </si>
  <si>
    <t>il de medico passando orientação para a mae e a
criança, página 23, g23_mdn_lt_4npc código
antigo i0202dec_4pmc_g19_mdn</t>
  </si>
  <si>
    <t>g0137_4p011c_g27_e001</t>
  </si>
  <si>
    <t>Gráfico de colunas do número de casos de poliomielite no Brasil entre os anos de 1968 e 1989.
Eixo Y = Número de casos
Eixo X = Ano
Dados no excel, ano – 1968 a 1989.</t>
  </si>
  <si>
    <t>mv</t>
  </si>
  <si>
    <t>i0138_4p011c_g27_e001</t>
  </si>
  <si>
    <t>il de uma mão dobrando e marcando a folha
de sulfite em três, página 30,
g23_mdn_lt_4npc ‐ código antigo
i0258ec_4pmc_g19_mdn
AJUSTE – inserir fundo cor para dar contraste</t>
  </si>
  <si>
    <t>i0139_4p011c_g27_e001</t>
  </si>
  <si>
    <t>il de revistas, recortes, tesouras e montagem de cartaz contra gripe em um sulfite, página 29,
g23_mdn_lt_4npc código antigo i0259ec_4pmc_g19_mdn
AJUSTE – juntar a perninha da letra “r” com a letra “P”, da palavra “Previna‐se”.</t>
  </si>
  <si>
    <t>i0140_4p011c_g27_e001</t>
  </si>
  <si>
    <t>il de montagem do folheto aberto, depois de feito, página 24, g23_mdn_lt_4npc código antigo
i0260ec_4pmc_g19_mdn
AJUSTE – juntar as letras que estão desemedadas. (Perda, Prevenção)</t>
  </si>
  <si>
    <t>Gabriella Imai</t>
  </si>
  <si>
    <t>i0141_4p011c_g27_e001</t>
  </si>
  <si>
    <t>il do pantanal, página 36, g23_mdn_lt_4npc código antigo i0204lu_4pmc_g19_mdn
AJUSTAR para que todos os seres vivos caibam em uma única página, conforme referência a seguir.</t>
  </si>
  <si>
    <t>i0142_4p011c_g27_e001</t>
  </si>
  <si>
    <t>Ilustração de esquema sobre relações alimentares usar as seguintes ils: ‐pág.38 e 39, g23_mdn_lt_4npc
Il de milho e espiga ‐Cód. Antigo ‐ i0205arm_4pmc_g19_mdn
Il de camundongo‐ Cód. Antigo i0205brm_4pmc_g19_mdn
Il de microrganismo‐ Cód. Antigo i0205crm_4pmc_g19_mdn
Il de coruja‐ Cód. Antigo i0205drm_4pmc_g19_mdn
AJUSTE‐ montar um esquema com as ils e setas, para que caiba em uma única página, conforme referência a
seguir. Arte, favor não inserir as cotas na imagem.</t>
  </si>
  <si>
    <t>i0143_4p011c_g27_e001</t>
  </si>
  <si>
    <t>Il de esquema de relação alimentar aquática – pág 40 e 41, g23_mdn_lt_4npc
Il de plantas ‐cód. antigo i0207arm_4pmc_g19_mdn
Il de pacu‐ cód. antigo i0207brm_4pmc_g19_mdn
Il de piranha ‐cód antigo i0207crm_4pmc_g19_mdn
Il de jacaré ‐cód. antigo i0207drm_4pmc_g19_mdn
Il de microrganismos– cód. Antigo i0207erm_4pmc_g19_mdn
AJUSTE – ajustar para que o esquema com setas caiba em uma única página,
conforme referência a seguir.</t>
  </si>
  <si>
    <t>i0144_4p011c_g27_e001</t>
  </si>
  <si>
    <t>Il de esquema com planta, pacu, piranha e jacaré, setas vermelhas e brancas, Pág. 40 e 41, g23_mdn_lt_4npc
Código antigo i0208rm_4pmc_g19_mdn
AJUSTE – ajustar esquema para caber em uma única página. Cuidado, as setas vermelhas, não é para ficarem
grudadas nas ils e nem sobrepondo. E não mexer na espessura delas.</t>
  </si>
  <si>
    <t>i0145_4p011c_g27_e001</t>
  </si>
  <si>
    <t>ilustração de ambiente aquático e terrestre com
jacarés no solo e peixes na água. Pág. 42_g23_4npc. Cód. Antigo ‐ i0209rm_4pmc_g19_mdn. AJUSTE- separar em 2 ils.</t>
  </si>
  <si>
    <t>i0146_4p011c_g27_e001</t>
  </si>
  <si>
    <t>ilustração de ambiente aquático e terrestre com
  peixes na água. Pág. 42_g23_4npc. Cód. Antigo ‐ i0209rm_4pmc_g19_mdn. AJUSTE- separar em 2 ils.</t>
  </si>
  <si>
    <t>i0148_4p011c_g27_e001</t>
  </si>
  <si>
    <t>il de peixe boi em seu habitat, páginas 44 e 45, g23_mdn_lt_4npc código antigo i0277arm_4pmc_g19_mdn_ly
AJUSTE – recortar a ilustração para fique apenas essa parte aplicada na página, Ref. Abaixo.</t>
  </si>
  <si>
    <t>i0149_4p011c_g27_e001</t>
  </si>
  <si>
    <t>ilustração de um ambiente aquático em desequilíbrio, página 45, g23_mdn_lt_4npc código antigo
i0277brm_4pmc_g19_mdn_ly</t>
  </si>
  <si>
    <t>i0150_4p011c_g27_e001</t>
  </si>
  <si>
    <t>ilustração de um pescador, página 46,
g23_mdn_lt_4npc código antigo
i0210ec_4pmc_g19_mdn_ef</t>
  </si>
  <si>
    <t xml:space="preserve">i0324_4p011c_g27_e001 </t>
  </si>
  <si>
    <t>Resgatar il de menina enchendo um balão de festa no momento em que ele estoura, página 64, g23_mdn_lt_4npc código antigo i0433sq_4pmc_g19_mdn</t>
  </si>
  <si>
    <t>i0159_4p011c_g27_e001</t>
  </si>
  <si>
    <t>VC JÁ SABE</t>
  </si>
  <si>
    <t>il de representação de diferentes tipos de misturas veio da página 06, g23_mdn_lt_4npc código antigo
i0258sq_4npc_g23_mdn</t>
  </si>
  <si>
    <t>i0162_4p011c_g27_e001</t>
  </si>
  <si>
    <t>ilustração de uma cadeia alimentar simples veio da
página 06, g23_mdn_lt_4npc código antigo
i0261sq_4npc_g23_mdn</t>
  </si>
  <si>
    <t>i0163_4p011c_g27_e001</t>
  </si>
  <si>
    <t>ilustração de cavalo comendo grama ao lado de uma
arvore veio da página 07, g23_mdn_lt_4npc código
antigo i0262sq_4npc_g23_mdn</t>
  </si>
  <si>
    <t>i0164_4p011c_g27_e001</t>
  </si>
  <si>
    <t>resgatar ilustração de arvore e sol em 3 etapas veio da página 07, g23_mdn_lt_4npc código antigo
i0263sq_4npc_g23_mdn</t>
  </si>
  <si>
    <t xml:space="preserve">i0313_4p011c_g27_e001 </t>
  </si>
  <si>
    <t>Resgatar il de pessoa fazendo cha mate, página 58, g23_mdn_lt_4npc código antigo i0666ly_4npc_g23_mdn_aj</t>
  </si>
  <si>
    <t>i0522_4p011c_g27_e001</t>
  </si>
  <si>
    <t>il de uma mulher e uma criança na cozinha, a criança enchendo uma forma de gelo e a mulher abrindo a
porta do congelador, página 101, g23_mdn_lt_4npc código antigo i0615awh_4pmc_g19_mdn_ly
AJUSTE: remover o zoom dos cubos de gelo e deixar a mulher e a geladeira mais próximas do menino, para
que a imagem caiba na página sem que os textos fiquem em cima dela, conforme imagem de referência a
seguir</t>
  </si>
  <si>
    <t>Felipe Grigoli</t>
  </si>
  <si>
    <t>Resgate Ajuste</t>
  </si>
  <si>
    <t>i0523_4p011c_g27_e001</t>
  </si>
  <si>
    <t>il. da mesma mulher cozinhando
arroz, página 102, g23_mdn_lt_4npc código antigo
i0616awh_4pmc_g19_mdn_ly   AJUSTE: separar o zoom da panela
da imagem da mulher, e fazer acabamento nessa il para não
ficar um buraco.</t>
  </si>
  <si>
    <t>i0524_4p011c_g27_e001</t>
  </si>
  <si>
    <t>Ilustração da panela de arroz durante o cozimento.
AJUSTE – separar da il da mulher no fogão.</t>
  </si>
  <si>
    <t>i0525_4p011c_g27_e001</t>
  </si>
  <si>
    <t>il. de arroz sendo servido sob a
mesa, página 102, g23_mdn_lt_4npc código  antigo:
i0616awh_4pmc_g19_mdn_ly
AJUSTE: separar essa il da il da  mulher no fogão.</t>
  </si>
  <si>
    <t>i0526_4p011c_g27_e001</t>
  </si>
  <si>
    <t>Ilustração da tampa da panela,
com gotinhas. Pág 102, g23_mdn_lt_4npc‐
Código antigo: i0616bwh_4pmc_g19_mdn_ly</t>
  </si>
  <si>
    <t>i0527_4p011c_g27_e001</t>
  </si>
  <si>
    <t>il. de menina observando duas garrafas de água no jardim, expostas a luz do sol, uma com tampa e outra sem
‐ página 103, g23_mdn_lt_4npc código antigo i0621ly_4pmc_g19_mdn.  AJUSTE: completar em azul o espaço branco céu, pois o texto não ficará sobre a imagem.</t>
  </si>
  <si>
    <t>i0546_4p011c_g27_e001</t>
  </si>
  <si>
    <t>il de folha de caderno escrita cursiva com anotações sobre a transformação da água, página 113,
g23_mdn_lt_4npc‐ código antigo i1041zz_4npc_g23_mdn</t>
  </si>
  <si>
    <t>i0703_4p011c_g27_e001</t>
  </si>
  <si>
    <t>RESGATAR il de duas crianças em um pátio ao ar livre, o menino apontando para a direção leste-oeste, página 104, g23_mdn_lt_4npc código antigo i0803th_4pmc_g19_mdn</t>
  </si>
  <si>
    <t>Tatiane Galheiro</t>
  </si>
  <si>
    <t>i0708_4p011c_g27_e001</t>
  </si>
  <si>
    <t>RESGATAR il de professora montando um gnômon com os alunos, página 120, g23_mdn_lt_4npc código antigo i0808ath_4pmc_g19_mdn</t>
  </si>
  <si>
    <t>i0709_4p011c_g27_e001</t>
  </si>
  <si>
    <t xml:space="preserve">resgatar il de dois alunos marcando uma das posições da sombra do gnômon, página 120, g23_mdn_lt_4npc código antigo i0808bth_4pmc_g19_mdn.
AJUSTE: verificar até que ponto conseguimos aumentar o relógio para evidenciar melhor o horário (08h), ou então a ilustração num todo.
</t>
  </si>
  <si>
    <t>i0710_4p011c_g27_e001</t>
  </si>
  <si>
    <t>Resgatar il. da professora sentada com os alunos no pátio, observando o relógio de sol, página 104, g23_mdn_lt_4npc código antigo i0808cth_4pmc_g19_mdn.
AJUSTE: melhorar o contraste das escritas no chão. Poderíamos deixar o chão mais escuro e a escrita em branco, e trocar a caneta rosa da professora por um giz.</t>
  </si>
  <si>
    <t>i0711_4p011c_g27_e001</t>
  </si>
  <si>
    <t>AVALIANDO</t>
  </si>
  <si>
    <t>RESGATAR e AJUSTAR il. da professora em pé observando o relógio com os alunos, página 121, g23_mdn_lt_4npc código antigo i0808dth_4pmc_g19_mdn.
AJUSTE: melhorar o contraste das escritas no chão conforme ajuste realizado na ilustração anterior.</t>
  </si>
  <si>
    <t>gabriella imai</t>
  </si>
  <si>
    <t>i0712_4p011c_g27_e001</t>
  </si>
  <si>
    <t>RESGATAR il representando o movimento de rotação da terra, página 123, g23_mdn_lt_4npc código antigo i0814rm_4pmc_g19_mdn_LOcopy1</t>
  </si>
  <si>
    <t>i0716_4p011c_g27_e001</t>
  </si>
  <si>
    <t xml:space="preserve">RESGATAR il de crianças no pátio da escola, página 126, g23_mdn_lt_4npc código antigo i0819ec_4pmc_g19_mdn_ef.
AJUSTE: Completar o muro, inserir perninha mecânica e óculos </t>
  </si>
  <si>
    <t>i0717_4p011c_g27_e001</t>
  </si>
  <si>
    <t>Resgatar il de uma lâmpada iluminando uma parte do globo terrestre, página 126, g23_mdn_lt_4npc código antigo i0820ec_4pmc_g19_mdn</t>
  </si>
  <si>
    <t>i0722_4p011c_g27_e001</t>
  </si>
  <si>
    <t xml:space="preserve">Resgatar Il de um indígena idoso contando histórias para os mais novos, página 130, g23_mdn_lt_4npc código antigo i0832th_4pmc_g19_mdn
AJUSTE: ajustar a il para que todos os personagens fiquem em uma única página e completar o céu, conforme referência a seguir. Foi sugestão da leitura plástica.
</t>
  </si>
  <si>
    <t>i0723_4p011c_g27_e001</t>
  </si>
  <si>
    <t xml:space="preserve">RESGATAR il de menina anotando em uma folha, ao passo que observa um calendário de parede, página 132, g23_mdn_lt_4npc código antigo i1420ly_4npc_g23_mdn_aj
AJUSTES: atualizar o calendário de outubro de 2023 por 2027. No quadrinho abaixo do calendário atualizar as informações com os ícones:
7 – Quarto crescente
15 – Lua cheia
22 – Quarto minguante
29 – Lua nova
Ver print
</t>
  </si>
  <si>
    <t>i0724_4p011c_g27_e001</t>
  </si>
  <si>
    <t>RESGATAR il mostrando as fases da lua, página 133, g23_mdn_lt_4npc código antigo i0836km_4pmc_g19_mdn</t>
  </si>
  <si>
    <t>km</t>
  </si>
  <si>
    <t>i0728_4p011c_g27_e001</t>
  </si>
  <si>
    <t>RESGATAR il de um desenho de lua, página 136, g23_mdn_lt_4npc código antigo i1423ly_4npc_g23_mdn_aj
Ajustar o dia para 13/12/2027
Novo ajuste de data  para: 22/03/2027</t>
  </si>
  <si>
    <t>i0731_4p011c_g27_e001</t>
  </si>
  <si>
    <t>RESGATAR il de um garoto soltando uma bolinha sobre um vaso com terra, página 137, g23_mdn_lt_4npc código antigo i0843ly_4pmc_g19_mdn</t>
  </si>
  <si>
    <t>i0737_4p011c_g27_e001</t>
  </si>
  <si>
    <t>RESGATAR foto de ímãs entre duas peças de imã, página 140, g23_mdn_lt_4npc código antigo i1429sq_4npc_g23_mdn</t>
  </si>
  <si>
    <t>Foi para o 5 ano, ver u3</t>
  </si>
  <si>
    <t>i0738_4p011c_g27_e001</t>
  </si>
  <si>
    <t>RESGATAR foto de ímãs se repelindo, um deles colado em uma espuma, página 140, g23_mdn_lt_4npc código antigo i1430sq_4npc_g23_mdn</t>
  </si>
  <si>
    <t>i0739_4p011c_g27_e001</t>
  </si>
  <si>
    <t>RESGATAR il com a representação de um ima, com polo norte e polo sul, página 141, g23_mdn_lt_4npc código antigo i0854km_4pmc_g19_mdn</t>
  </si>
  <si>
    <t>i0740_4p011c_g27_e001</t>
  </si>
  <si>
    <t>RESGATAR il representando a atração de dois imas, com os polos opostos os aproximando, página 141, g23_mdn_lt_4npc código antigo i0855km_4pmc_g19_mdn</t>
  </si>
  <si>
    <t>Foi para o 5 ano, ver u4</t>
  </si>
  <si>
    <t>i0741_4p011c_g27_e001</t>
  </si>
  <si>
    <t>RESGATAR il representando a repulsão entre dois imas, com os polos equivalentes se repelindo, página 141, g23_mdn_lt_4npc código antigo i0856km_4pmc_g19_mdn</t>
  </si>
  <si>
    <t>Foi para o 5 ano, ver u5</t>
  </si>
  <si>
    <t>i0743_4p011c_g27_e001</t>
  </si>
  <si>
    <t>RESGATAR il de dois alunos, a menina segurando uma barra de ima amarrado em um pedaço de linha  , página 143, g23_mdn_lt_4npc código antigo i0850ly_4pmc_g19_mdn</t>
  </si>
  <si>
    <t>i0750_4p011c_g27_e001</t>
  </si>
  <si>
    <t>RESGATAR il de menina brincando com uma vara de pesca feita de madeira com um ima pendurado, pegando peixinhos em uma bacia de agua, página 142, g23_mdn_lt_4npc código antigo i0858sq_4pmc_g19_mdn</t>
  </si>
  <si>
    <t>i0758_4p011c_g27_e001</t>
  </si>
  <si>
    <t>RESGATAR il de de duas crianças em uma mesa, a menina com uma maquina de fotos e o menino fazendo uma dobradura, página 152, g23_mdn_lt_4npc código antigo i0887bwh_4pmc_g19_mdn</t>
  </si>
  <si>
    <t>i0759_4p011c_g27_e001</t>
  </si>
  <si>
    <t>RESGATAR il de alunos fazendo uma apresentação em sala de aula, página 153, g23_mdn_lt_4npc código antigo i0887cwh_4pmc_g19_mdn</t>
  </si>
  <si>
    <t>i0502_3p011c_g27_e001</t>
  </si>
  <si>
    <t xml:space="preserve">Ilustração de uma menina  caminhando com cachorro por um bosque, g23_mdn_lt_3npc.página 78, código antigo i0602sq_3pmc_g19_mdn
AJUSTAR – Inserir próximo à menina uma mulher negra adulta, com lenço (turbante) afro (ver referência). ajustar il para que todos os elementos fiquem apenas em uma página, como mostra a referência abaixo.
</t>
  </si>
  <si>
    <t>RAFE: 09/05
FINAL: 13/05</t>
  </si>
  <si>
    <t>i0503_3p011c_g27_e001</t>
  </si>
  <si>
    <t>Recortar aves da ilustração i0502 da página anterior</t>
  </si>
  <si>
    <t>i0504_3p011c_g27_e001</t>
  </si>
  <si>
    <t>Recortar os peixes da ilustração i0502 da página anterior.</t>
  </si>
  <si>
    <t>i0505_3p011c_g27_e001</t>
  </si>
  <si>
    <t>Recortar cobra da ilustração i0502 da página anterior</t>
  </si>
  <si>
    <t>i0506_3p011c_g27_e001</t>
  </si>
  <si>
    <t>Recortar mulher e menina caminhando com um cachorro da ilustração i0502 da página anterior</t>
  </si>
  <si>
    <t>g0614_3p011c_g27_e001</t>
  </si>
  <si>
    <t>il de seta mostrando passagem do tempo do ser humano, da infância, adolescência, fase adulta e pessoa idosa.</t>
  </si>
  <si>
    <t>i0615_3p011c_g27_e001</t>
  </si>
  <si>
    <t>Ilustração de diferentes fase da vida de uma pessoa. Separar retrancas em A, B, C, D.
- menino com cabelos ruivos de 9 anos de idade.
- mesmo personagem, com cabelos ruivos e 16 anos de ida
- mesmo personagem com 40 anos de idade. Ele deve estar usando óculos.
- mesmo personagem, com 65 anos de idade. Ele deve estar usando óculos.</t>
  </si>
  <si>
    <t>rv</t>
  </si>
  <si>
    <t>R:13/05
F: 14/05</t>
  </si>
  <si>
    <t>i0570_3p011c_g27_e001</t>
  </si>
  <si>
    <t>ilustração de um quintal, g23_mdn_lt_3npc.página 100 código antigo i0659la_3pmc_g19_mdn_ly
AJUSTE - Utilizar apenas o lado esquerdo da imagem, que fica na página par. Fazer um muro atrás dos arbustos para caracterizar um ambiente fechado (quintal de uma casa)</t>
  </si>
  <si>
    <t>i0617_3p011c_g27_e001</t>
  </si>
  <si>
    <t>Ilustração de 3 crianças andando pelo pátio de uma escola com o professor. Elas devem estar observando o ambiente e segurando um caderno e lápis nas mãos, como se
estivessem ou fossem fazer anotações. Inserir alguns animais na cena como pássaros, borboleta e besouro.
As crianças devem estar de uniforme escolar
e o professor de jaleco. Fazer as pessoas com as seguintes
características:
- professor de pele moreno escuro, cabelo
preto encaracolado e de óculos
- uma menina pele clara e cabelo marrom
encaracolado com vitiligo
- uma menina de pele morena escura com
cabelo blackpower
- menino pele branca cabelo liso castanhos,
com prótese em um dos braço. Ver
referências</t>
  </si>
  <si>
    <t>RAFE: 09/05
FINAL: 12/05</t>
  </si>
  <si>
    <t>i0103_5p011c_g27_e001</t>
  </si>
  <si>
    <t xml:space="preserve">ATUALIZAR/AJUSTADA
 ilustração de silhueta humana com sistema respiratório – AJUSTADO POR INGRIDHI.
(corpo_humano7) 
Arte, favor disponibilizar il para avaliação (Maira)
</t>
  </si>
  <si>
    <t>HELOÍSA PINTARELLI/ARQUIVO DA EDITORA</t>
  </si>
  <si>
    <t>Padrão</t>
  </si>
  <si>
    <t>i0104_5p011c_g27_e001</t>
  </si>
  <si>
    <t>ilustração do sistema digestório do corpo humano, página 12, g23_mdn_lt_5npc código antigo i0201rm_5pmc_g19_mdn</t>
  </si>
  <si>
    <t>i0105_5p011c_g27_e001</t>
  </si>
  <si>
    <t xml:space="preserve"> ilustração da representação do sistema cardiovascular do corpo humano, página 12, g23_mdn_lt_5npc código antigo i0203rm_5pmc_g19_mdn</t>
  </si>
  <si>
    <t>i0106_5p011c_g27_e001</t>
  </si>
  <si>
    <t xml:space="preserve"> ilustração de parte do sistema digestório mostrando glândulas e alimento,, página 18, g23_mdn_lt_5npc 
código antigo i0258rm_5pmc_g19_mdn
</t>
  </si>
  <si>
    <t>i0107_5p011c_g27_e001</t>
  </si>
  <si>
    <t xml:space="preserve"> ilustração de parte do sistema digestório, estômago colorido, página 20, g23_mdn_lt_5npc código antigo i0259rm_5pmc_g19_mdn</t>
  </si>
  <si>
    <t>i0108_5p011c_g27_e001</t>
  </si>
  <si>
    <t>ilustração de parte do sistema digestório, intestinos coloridos, página 20, g23_mdn_lt_5npc código antigo i0260rm_5pmc_g19_mdn</t>
  </si>
  <si>
    <t>i0109_5p011c_g27_e001</t>
  </si>
  <si>
    <t>ilustração de parte do sistema respiratório vias aéreas coloridas- AJUSTADO POR INGRIDHI (corpo_humano16). Arte, disponibilizar imagem para avaliação (Maira)</t>
  </si>
  <si>
    <t>i0110_5p011c_g27_e001</t>
  </si>
  <si>
    <t>ilustração de parte do sistema respiratório, pulmão colorido - AJUSTADO POR INGRIDHI (corpo_humano17). Arte, disponibilizar imagem para avaliação (Maira)</t>
  </si>
  <si>
    <t>i0119_5p011c_g27_e001</t>
  </si>
  <si>
    <t>ilustração do sistema cardiovascular, página 31, g23_mdn_lt_5npc código antigo i0264rm_5pmc_g19_mdn</t>
  </si>
  <si>
    <t>i0126_5p011c_g27_e001</t>
  </si>
  <si>
    <t>ilustração do sistema urinário feminino, página 33, g23_mdn_lt_5npc código antigo i0267rm_5pmc_g19_mdn</t>
  </si>
  <si>
    <t>i0127_5p011c_g27_e001</t>
  </si>
  <si>
    <t>ilustração do sistema urinário masculino, página 33, g23_mdn_lt_5npc código antigo i0266rm_5pmc_g19_mdn</t>
  </si>
  <si>
    <t>i0128_5p011c_g27_e001</t>
  </si>
  <si>
    <t>ilustração de parte do sistema urinário masculino, rins coloridos, página 34, g23_mdn_lt_5npc código antigo i0268rm_5pmc_g19_mdn - AJUSTE - deixar a bexiga e ureteres coloridos também.</t>
  </si>
  <si>
    <t>RESGATE COM AJUSTE</t>
  </si>
  <si>
    <t>i0172_5p011c_g27_e001</t>
  </si>
  <si>
    <t>ilustração de folha de caderno Dados da Flávia , página 43, g23_mdn_lt_5npc código antigo i0258zz_5npc_g23_mdn</t>
  </si>
  <si>
    <t>CAMILA CARMONA/ARQUIVO DA EDITORA</t>
  </si>
  <si>
    <t>i0173_5p011c_g27_e001</t>
  </si>
  <si>
    <t xml:space="preserve">ilustração de abacaxi  in natura , página 44, g23_mdn_lt_5npc código antigo i0335rm_5pmc_g19_mdn_ly
AJUSTE – separar il do degrau.
</t>
  </si>
  <si>
    <t>i0174_5p011c_g27_e001</t>
  </si>
  <si>
    <t xml:space="preserve">ilustração de milho in natura , página 44, g23_mdn_lt_5npc código antigo i0335rm_5pmc_g19_mdn_ly
AJUSTE – separar il do degrau.
</t>
  </si>
  <si>
    <t>i0175_5p011c_g27_e001</t>
  </si>
  <si>
    <t xml:space="preserve">ilustração de peixe in natura , página 44, g23_mdn_lt_5npc código antigo i0335rm_5pmc_g19_mdn_ly
AJUSTE – separar il do degrau.
</t>
  </si>
  <si>
    <t>i0176_5p011c_g27_e001</t>
  </si>
  <si>
    <t xml:space="preserve">ilustração de compota de abacaxi, processados, página 45, g23_mdn_lt_5npc código antigo i0335rm_5pmc_g19_mdn_ly
AJUSTE – separar il do degrau.
</t>
  </si>
  <si>
    <t>i0177_5p011c_g27_e001</t>
  </si>
  <si>
    <t xml:space="preserve">ilustração de lata de milho, processados, página 45, g23_mdn_lt_5npc código antigo i0335rm_5pmc_g19_mdn_ly
AJUSTE – separar il do degrau.
</t>
  </si>
  <si>
    <t>i0178_5p011c_g27_e001</t>
  </si>
  <si>
    <t xml:space="preserve">ilustração de lata de sardinha, processados, página 45, g23_mdn_lt_5npc código antigo i0335rm_5pmc_g19_mdn_ly
AJUSTE – separar il do degrau.
</t>
  </si>
  <si>
    <t>i0179_5p011c_g27_e001</t>
  </si>
  <si>
    <t xml:space="preserve">ilustração de copo e suco de abacaxi em pó- ultraprocessados, página 45, g23_mdn_lt_5npc código antigo i0335rm_5pmc_g19_mdn_ly
AJUSTE – separar il do degrau.
</t>
  </si>
  <si>
    <t>i0180_5p011c_g27_e001</t>
  </si>
  <si>
    <t xml:space="preserve">ilustração de salgadinho de milho- ultraprocessados, página 45, g23_mdn_lt_5npc 
código antigo i0335rm_5pmc_g19_mdn_ly
AJUSTE – separar il do degrau.
</t>
  </si>
  <si>
    <t>i0181_5p011c_g27_e001</t>
  </si>
  <si>
    <t xml:space="preserve">ilustração de peixe empanado- ultraprocessados, página 45, g23_mdn_lt_5npc
 código antigo i0335rm_5pmc_g19_mdn_ly
AJUSTE – separar il do degrau.
</t>
  </si>
  <si>
    <t>i0183_5p011c_g27_e001</t>
  </si>
  <si>
    <t>Resgatar a ilustração principal  e também recortar em partes indicadas na edição, separar as retrancas A, B, C, D ...</t>
  </si>
  <si>
    <t>i0188_5p011c_g27_e001</t>
  </si>
  <si>
    <t>Resgatar il da silhueta feminina com sistema urinário, página 56, g23_mdn_lt_5npc código antigo i0267rm_5pmc_g19_mdn</t>
  </si>
  <si>
    <t>i0189_5p011c_g27_e001</t>
  </si>
  <si>
    <t xml:space="preserve">ATUALIZAR/AJUSTADA
ilustração de garoto expirando – IL AJUSTADA POR INGRIDHI (corpo_humano15)
AJUSTE: separar ils cada uma com uma retranca
</t>
  </si>
  <si>
    <t>SAULO NUNES/ARQUIVO DA EDITORA</t>
  </si>
  <si>
    <t>i0190_5p011c_g27_e001</t>
  </si>
  <si>
    <t xml:space="preserve">ATUALIZAR/AJUSTADA
ilustração de garoto inspirando – IL AJUSTADA POR INGRIDHI (corpo_humano15)
AJUSTE: separar ils cada uma com uma retranca
</t>
  </si>
  <si>
    <t>i0312_5p011c_g27_e001</t>
  </si>
  <si>
    <t>ilustração do ciclo de água no ambiente, páginas 68 e 69, g23_mdn_lt_5npc código antigo i0414lu_5pmc_g19_mdn_ly
AJUSTE: ajustar a imagem para caber em uma página. Arte, ver se é preciso, deslocar um pouco para a direita as setas azuis saindo do mar e o sol e nuvens, para aproximar elementos e poder ampliar mais os animais na cena. Ver ideia de layout.</t>
  </si>
  <si>
    <t>Vinícius Costa</t>
  </si>
  <si>
    <t>i0327_5p011c_g27_e001</t>
  </si>
  <si>
    <t>ilustração estação tratamento de água, páginas 78 e 79, g23_mdn_lt_5npc código antigo i0425sq_5pmc_g19_mdn_ef_ly
AJUSTE: Ajustar il para ser aplicada em uma única pág. (par) e aplicar recortes com textos explicativos. Ver layout sugerido pela Arte. Separar os recortes em retranca A, B, C...</t>
  </si>
  <si>
    <t>i0331_5p011c_g27_e001</t>
  </si>
  <si>
    <t>Resgatar ilustração de crianças pegando água em um filtro, página 82, g23_mdn_lt_5npc código antigo i0429ec_5pmc_g19_mdn</t>
  </si>
  <si>
    <t>i0334_5p011c_g27_e001</t>
  </si>
  <si>
    <t>ilustração tanque de floculação –código antigo i0425sq_5pmc_g19_mdn_ef_ly 
AJUSTE: recortar o tanque de floculação como mostra o print.</t>
  </si>
  <si>
    <t>i0335_5p011c_g27_e001</t>
  </si>
  <si>
    <t>Ilustração tanque de decantação- código antigo i0425sq_5pmc_g19_mdn_ef_ly
AJUSTE: recortar o tanque de decantação como mostra o print.</t>
  </si>
  <si>
    <t>g0338_5p011c_g27_e001</t>
  </si>
  <si>
    <t xml:space="preserve"> gráfico de fatos e tendência: água, página 86, g23_mdn_lt_5npc código antigo g0433rm_5pmc_g19_mdn
AJUSTE: excluir legenda, deixar apenas o gráfico
NOVOS AJUSTES -  NOVO AJUSTE1: ajustar gráfico para região azul-escuro abranger 97,5% da área; e a azul-claro 2,5%.
NOVO AJUSTE2: para melhorar contraste com fundo branco, mudar a cor azul claro , para alaranjado.
</t>
  </si>
  <si>
    <t>i0339_5p011c_g27_e001</t>
  </si>
  <si>
    <t>Resgatar ilustração de Joaquim lavando o chão da lavanderia, página 87, g23_mdn_lt_5npc código antigo i0434ec_5pmc_g19_mdn</t>
  </si>
  <si>
    <t>i0343_5p011c_g27_e001</t>
  </si>
  <si>
    <t>Resgatar ilustração de representação de uma residência, página 90, g23_mdn_lt_5npc código antigo i0441la_5pmc_g19_mdn_ef</t>
  </si>
  <si>
    <t>i0345_5p011c_g27_e001</t>
  </si>
  <si>
    <t>ilustração de representação das etapas de tratamento de esgoto em uma estação de tratamento de esgoto, páginas 92 e 93, g23_mdn_lt_5npc código antigo i0444sq_5pmc_g19_mdn_ly
AJUSTE: ajustar il para que seja aplicada apenas na página par.</t>
  </si>
  <si>
    <t>i0351_5p011c_g27_e001</t>
  </si>
  <si>
    <t>Resgatar ilustração de Marcela ajudando o pai a retirar o resíduo sólido da calçada, página 97, g23_mdn_lt_5npc código antigo i0449ly_5pmc_g19_mdn_ef</t>
  </si>
  <si>
    <t>i0353_5p011c_g27_e001</t>
  </si>
  <si>
    <t xml:space="preserve"> ilustração de crianças conversando no pátio da escola, páginas 100 e 101, g23_mdn_lt_5npc código antigo i0452wh_5pmc_g19_mdn_ef
AJUSTE: adequar imagem para que seja aplicada por completo apenas na pág. par. ver layout Arte</t>
  </si>
  <si>
    <t>i0360_5p011c_g27_e001</t>
  </si>
  <si>
    <t>Resgatar ilustração de Marcelo descartando resíduo sólido orgânico, página 104, g23_mdn_lt_5npc código antigo i0463ly_5pmc_g19_mdn</t>
  </si>
  <si>
    <t>i0702_5p011c_g27_e001</t>
  </si>
  <si>
    <t>ilustração de crianças e um adulto observando o céu noturno, página 146 e 147, g23_mdn_lt_5npc código antigo i0801ec_5pmc_g19_mdn_ly - AJUSTES:
-Deixar as estrelas que fazem parte da constelação do caçador com um brilho maior do que as outras; -Colocar as estrelas na orientação apresentada na imagem de referência a seguir (o arco do caçador deve ficar para baixo e as pernas para o lado esquerdo); -Não deve haver linhas ou contornos formando a figura entre as estrelas. - Equipe de Arte: na pasta tem imagem de referência (ceu_constelacao_cacador) que apresenta as linhas entre as estrelas, mas a imagem é apenas uma referência para entender a orientação da constelação no céu e para saber quais estrelas devem apresentar um brilho maior, pois as linhas não devem aparecer na ilustração (a imagem é uma captura do software Stellarium e no print há a informação de localização, data e hora, caso seja necessário fazer uma nova captura):</t>
  </si>
  <si>
    <t>i0708_5p011c_g27_e001</t>
  </si>
  <si>
    <t>ilustração de pessoas observando o céu noturno com uso de um tablet, página 149, g23_mdn_lt_5npc código antigo i0802ec_5pmc_g19_mdn_ly
AJUSTE: separar o tablet grande da imagem.</t>
  </si>
  <si>
    <t>i0709_5p011c_g27_e001</t>
  </si>
  <si>
    <t>ilustração da imagem de aplicativo de identificação dos astros em tablet, página 149, g23_mdn_lt_5npc
AJUSTE: separar o tablet da ilustração principal, aqui ficará apenas o tablet com a imagem.</t>
  </si>
  <si>
    <t>i0715_5p011c_g27_e001</t>
  </si>
  <si>
    <t>Resgatar ilustração da representação artística do movimento de rotação do planeta Terra, página  151 , g23_mdn_lt_5npc código antigo i0803rm_5pmc_g19_mdn</t>
  </si>
  <si>
    <t>i0718_5p011c_g27_e001</t>
  </si>
  <si>
    <t>ilustração A do céu noturno, página 153, g23_mdn_lt_5npc código antigo i0804ec_5pmc_g19_mdn
AJUSTE: deixar fundo mais escuro para melhorar o contraste e a visualidade das estrelas e linhas.</t>
  </si>
  <si>
    <t>i0719_5p011c_g27_e001</t>
  </si>
  <si>
    <t>ilustração B do céu noturno, página 153, g23_mdn_lt_5npc código antigo i0805ec_5pmc_g19_mdn
AJUSTE: deixar fundo mais escuro para melhorar o contraste e a visualidade das estrelas e linhas.</t>
  </si>
  <si>
    <t>i0720_5p011c_g27_e001</t>
  </si>
  <si>
    <t>ilustração C do céu noturno, página 153, g23_mdn_lt_5npc código antigo i0806ec_5pmc_g19_mdn
AJUSTE: deixar fundo mais escuro para melhorar o contraste e a visualidade das estrelas e linhas.</t>
  </si>
  <si>
    <t>i0731_5p011c_g27_e001</t>
  </si>
  <si>
    <t>ilustração do calendário com representações da Lua feitas por Rebeca em setembro 2022, página 156 , g23_mdn_lt_5npc código antigo i1424sq_5npc_g23_mdn_aj
AJUSTES: atualizar calendário para 2027; aumentar o tamanho da fonte com os nomes das fases da Lua e os números. Arte, ver se é possível apenas reposicionar as luas já ilustradas nos dias corretos referentes a setembro 2027.</t>
  </si>
  <si>
    <t>i0732_5p011c_g27_e001</t>
  </si>
  <si>
    <t>ilustração da professora Rebeca, página 156 , g23_mdn_lt_5npc código antigo i0807asq_5pmc_g19_mdn_ly</t>
  </si>
  <si>
    <t>i0733_5p011c_g27_e001</t>
  </si>
  <si>
    <t>ilustração do calendário de Rebeca das representações da Lua no mês de outubro, página 157 , g23_mdn_lt_5npc código antigo i1425sq_5npc_g23_mdn_aj
AJUSTES: atualizar calendário para 2027; aumentar o tamanho da fonte com os nomes das fases da Lua e os números.
Arte, ver se é possível apenas reposicionar as luas já ilustradas nos dias corretos referentes a outubro 2027</t>
  </si>
  <si>
    <t>i0738_5p011c_g27_e001</t>
  </si>
  <si>
    <t>Resgatar ilustração da representação artística dos períodos crescente e decrescente da lua página 159 , g23_mdn_lt_5npc código antigo i0809km_5pmc_g19_mdn</t>
  </si>
  <si>
    <t>i0741_5p011c_g27_e001</t>
  </si>
  <si>
    <t>Resgatar a ilustração (sem o fundo verde) sobre o funcionamento de uma luneta, página 164 , g23_mdn_lt_5npc código antigo i0810rm_5pmc_g19_mdn_ef</t>
  </si>
  <si>
    <t>i0747_5p011c_g27_e001</t>
  </si>
  <si>
    <t>Resgatar ilustração da representação artística do funcionamento de um periscópio página 165 , g23_mdn_lt_5npc código antigo i0811rm_5pmc_g19_mdn</t>
  </si>
  <si>
    <t>i0754_5p011c_g27_e001</t>
  </si>
  <si>
    <t>Resgatar ilustração de uma representação simplificada da posição de alguns constelações em relação a Terra, página 170 , g23_mdn_lt_5npc código antigo i1458rm_5npc_g23_mdn</t>
  </si>
  <si>
    <t>i0755_5p011c_g27_e001</t>
  </si>
  <si>
    <t>Resgatar ilustração de uma representação do movimento da lua em volta da Terra, página 171 , g23_mdn_lt_5npc código antigo i1459rm_5npc_g23_mdn</t>
  </si>
  <si>
    <t>g0196_5p011c_g27_e001</t>
  </si>
  <si>
    <t>O q vc já sabe?</t>
  </si>
  <si>
    <t xml:space="preserve">Gráfico de rosca das demandas de uso de água no Brasil, por setor ,página 06, g23_mdn_lt_5npc código antigo g0265rm_5npc_g23_mdn
AJUSTES:
• Atualizar dados com as informações a seguir: irrigação - 50,0%; abastecimento urbano - 23,4%; indústria - 9,2%; uso animal - 7,9%; termelétrica - 6,4%; mineração - 1,6%; abastecimento rural - 1,5%.
• Deixar o centro do gráfico vazio, sem valor de “retirada total”. 
</t>
  </si>
  <si>
    <t>i0760_5p011c_g27_e001</t>
  </si>
  <si>
    <t>O q vc já aprendeu?</t>
  </si>
  <si>
    <t xml:space="preserve">Ilustração do sistema urinário feminino.
código antigo i0267rm_5pmc_g19_mdn </t>
  </si>
  <si>
    <t>i0761_5p011c_g27_e001</t>
  </si>
  <si>
    <t xml:space="preserve">Ilustração do sistema respiratório.
RESGATAR AJUSTADA - i0103zz_5p011c_g27_e001 </t>
  </si>
  <si>
    <t>i0762_5p011c_g27_e001</t>
  </si>
  <si>
    <t xml:space="preserve">Ilustração do sistema digestório.
Código antigo i0201rm_5pmc_g19_mdn </t>
  </si>
  <si>
    <t>i0763_5p011c_g27_e001</t>
  </si>
  <si>
    <t xml:space="preserve">Ilustração do sistema cardiovascular.
código antigo i0203rm_5pmc_g19_mdn </t>
  </si>
  <si>
    <t>i0764_5p011c_g27_e001</t>
  </si>
  <si>
    <t xml:space="preserve"> ilustração da representação da Lua em translação ao redor da Terra, página 174, g23_mdn_lt_5npc código antigo i1467rm_5npc_g23_mdn.
AJUSTES:
• Remover o eixo de rotação da Terra.
• Alterar perspectiva da Terra, o polo sul deve estar no centro.
• Mudar sentido das setas, elas deverão ficar no sentido horário.
 imagem de referência  se encontra na pasta </t>
  </si>
  <si>
    <t>i0502_5p011c_g27_e001</t>
  </si>
  <si>
    <t>Resgatar ilustração de festa de aniversário páginas 114 e 115, g23_mdn_lt_5npc código antigo i0601wh_5pmc_g19_ly</t>
  </si>
  <si>
    <t>i0503_5p011c_g27_e001</t>
  </si>
  <si>
    <t xml:space="preserve">Recorte com zoom dessas duas crianças enchendo balões.
 código antigo: i0601wh_5pmc_g19_ly
</t>
  </si>
  <si>
    <t>i0504_5p011c_g27_e001</t>
  </si>
  <si>
    <t>Recorte com zoom da mulher retirando a torta do forno- código antigo: i0601wh_5pmc_g19_ly</t>
  </si>
  <si>
    <t>i0505_5p011c_g27_e001</t>
  </si>
  <si>
    <t>Recorte da geladeira- código antigo: i0601wh_5pmc_g19_ly</t>
  </si>
  <si>
    <t>i0506_5p011c_g27_e001</t>
  </si>
  <si>
    <t>Recorte das duas tomadas - código antigo: i0601wh_5pmc_g19_ly</t>
  </si>
  <si>
    <t>i0507_5p011c_g27_e001</t>
  </si>
  <si>
    <t xml:space="preserve">Il de alunos no laboratório - AJUSTE: recortar parte que estão mexendo as substâncias de com aluno cadeirante, fazer o recorte do print.  páginas 116, g23_mdn_lt_5npc
 código antigo i0602th_5pmc_g19_mdn_ef
</t>
  </si>
  <si>
    <t>i0508_5p011c_g27_e001</t>
  </si>
  <si>
    <t xml:space="preserve">Il de alunos no laboratório
AJUSTE: recortar parte dos alunos pesando material.
Atenção, inserir a garota com o caderno nesse recorte, fazer o corte do print.   páginas 117, g23_mdn_lt_5npc
 código antigo i0602th_5pmc_g19_mdn_ef
</t>
  </si>
  <si>
    <t>i0509_5p011c_g27_e001</t>
  </si>
  <si>
    <t xml:space="preserve">Il de alunos no laboratório -  AJUSTE: recortar parte dos alunos observando o professor. Inserir aparelho auditivo no garoto.  páginas 117, g23_mdn_lt_5npc - código antigo: i0602th_5pmc_g19_mdn_ef
</t>
  </si>
  <si>
    <t>i0521_5p011c_g27_e001</t>
  </si>
  <si>
    <t xml:space="preserve">Resgatar il de imã na sequência N S N S horizontalmente, página 121, g23_mdn_lt_5npc –
código antigo: i0609Akm_5pmc_g19_mdn
</t>
  </si>
  <si>
    <t>i0522_5p011c_g27_e001</t>
  </si>
  <si>
    <t>Resgatar il de imã na sequência N S N S um em cima do outro, página 121, g23_mdn_lt_5npc- código antigo: i0609Bkm_5pmc_g19_mdn</t>
  </si>
  <si>
    <t>i0523_5p011c_g27_e001</t>
  </si>
  <si>
    <t>Resgatar il de imã na sequência N S S N um em cima do outro, página 121, g23_mdn_lt_5npc código antigo i1052km_5npc_g23_mdn_aj</t>
  </si>
  <si>
    <t>i0524_5p011c_g27_e001</t>
  </si>
  <si>
    <t xml:space="preserve">Resgatar il de imã na sequência N S S N horizontalmente, página 121, g23_mdn_lt_5npc-
 código antigo: i1053km_5npc_g23_mdn_aj </t>
  </si>
  <si>
    <t>i0528_5p011c_g27_e001</t>
  </si>
  <si>
    <t>Resgatar il de garoto acendendo a luz, página 124, g23_mdn_lt_5npc código antigo i0603th_5pmc_g19_mdn</t>
  </si>
  <si>
    <t>i0530_5p011c_g27_e001</t>
  </si>
  <si>
    <t xml:space="preserve">Resgatar ilus de um circuito elétrico montado por Odete, página 126, g23_mdn_lt_5npc 
código antigo: i0608th_5pmc_g19_mdn_ef
</t>
  </si>
  <si>
    <t>i0531_5p011c_g27_e001</t>
  </si>
  <si>
    <t>Resgatar il de um circuito elétrico aberto, página 126, g23_mdn_lt_5npc código antigo i0604rm_5pmc_g19_mdn</t>
  </si>
  <si>
    <t>i0532_5p011c_g27_e001</t>
  </si>
  <si>
    <t>Resgatar il de um circuito elétrico fechado, página 126, g23_mdn_lt_5npc código antigo i0605rm_5pmc_g19_mdn</t>
  </si>
  <si>
    <t>i0542_5p011c_g27_e001</t>
  </si>
  <si>
    <t xml:space="preserve">Resgatar ilustração de um circuito elétrico montado por Rafael, página 128 g23_mdn_lt_5npc
 código antigo i0607th_5pmc_g19_mdn_ef
</t>
  </si>
  <si>
    <t>i0562_5p011c_g27_e001</t>
  </si>
  <si>
    <t>Il de maquete referente à etapa 3, página 140, g23_mdn_lt_5npc
 código antigo i0610aly_5pmc_g19_mdn
AJUSTE: centralizar a maquete sobre a mesa.</t>
  </si>
  <si>
    <t>i0563_5p011c_g27_e001</t>
  </si>
  <si>
    <t>Resgatar ilustração da imagem referente à etapa 4, página 140, g23_mdn_lt_5npc código antigo i0610bly_5pmc_g19_mdn</t>
  </si>
  <si>
    <t>i0564_5p011c_g27_e001</t>
  </si>
  <si>
    <t xml:space="preserve"> ilustração maquete referente à etapa 6, página 141, g23_mdn_lt_5npc código antigo i0610cly_5pmc_g19_mdn
AJUSTE: centralizar a maquete sobre a mesa. </t>
  </si>
  <si>
    <t>i0565_5p011c_g27_e001</t>
  </si>
  <si>
    <t>Resgatar ilustração da imagem referente à etapa 7, página 141, g23_mdn_lt_5npc código antigo i0610dly_5pmc_g19_mdn</t>
  </si>
  <si>
    <t>i0566_5p011c_g27_e001</t>
  </si>
  <si>
    <t>Resgatar ilustração da representação das forças de interação dos irmãs, página 142, g23_mdn_lt_5npc código antigo i1056th_5npc_g23_mdn</t>
  </si>
  <si>
    <t>arte</t>
  </si>
  <si>
    <t>i0567_5p011c_g27_e001</t>
  </si>
  <si>
    <t xml:space="preserve">Il de garoto realizando experimento, página 142, g23_mdn_lt_5npc código antigo i1057th_5npc_g23_mdn
AJUSTE: ajustar as mãos para que não fiquem encostadas na mesa.   Recado Arte: ilustração já está ajustado na pasta de leitura da arte, se aprovado, puxar de lá.
</t>
  </si>
  <si>
    <t xml:space="preserve">Tatiana Paiva </t>
  </si>
  <si>
    <t>i0767_4p011c_g27_e001</t>
  </si>
  <si>
    <t xml:space="preserve"> il de folha branca, página 152, g23_mdn_lt_4npc código antigo i0887awh_4pmc_g19_mdn
Inserir seguinte texto com letra cursiva: 
VÍDEO TUTORIAL DE COMO FAZER UM AVIÃO DE PAPEL
ROTEIRO
• Apresentar-se.
• Dizer o que vai fazer (avião de papel).
• Citar os materiais necessários.
• Fazer o avião de papel mostrando e explicando todos os passos necessários.
• Mostrar o resultado final.
• Despedir-se.
</t>
  </si>
  <si>
    <t>i0541_4p011c_g27_e001</t>
  </si>
  <si>
    <t>Resgatar il de um gato em cima da mesa empurrando um vaso de vidro, página 112, g23_mdn_lt_4npc código antigo i1037Asq_4npc_g23_mdn</t>
  </si>
  <si>
    <t>i0542_4p011c_g27_e001</t>
  </si>
  <si>
    <t>Resgatar foto de um gato em cima da mesa e o vaso de vidro quebrando no chão, página 112, g23_mdn_lt_4npc código antigo i1037Bsq_4npc_g23_mdn</t>
  </si>
  <si>
    <t>i6114_4p011c_g27_e001</t>
  </si>
  <si>
    <t>O que você 
aprendeu</t>
  </si>
  <si>
    <t>Resgatar il de mapa com bússola, página 156, g23_mdn_lt_4npc código antigo i1459rm_4npc_g23_mdn</t>
  </si>
  <si>
    <t>i0197_5p011c_g27_e001</t>
  </si>
  <si>
    <t>Ilustração de um esquema representando a respiração e as trocas gasosas entre os pulmões e o ambiente, e o transporte do sangue até os órgãos e os pulmões.</t>
  </si>
  <si>
    <t xml:space="preserve">PADRAO </t>
  </si>
  <si>
    <t>g0629_3p011c_g27_e001</t>
  </si>
  <si>
    <t xml:space="preserve">Gráfico de colunas com o titulo do eixo x: Período de gestação (em semanas).
O eixo x tem a fase de embrião e fase de feto, e vai da semana 1 a 38.
cérebro
coração
membros superiores
membros inferiores
lábio superior
orelhas
olhos
dentes
céu da boca
Montar conforme imagem de referência a seguir:
</t>
  </si>
  <si>
    <t>ci</t>
  </si>
  <si>
    <t>Nicolas Furtado</t>
  </si>
  <si>
    <t>resgate ajuste</t>
  </si>
  <si>
    <t>i0330_5p011c_g27_e001</t>
  </si>
  <si>
    <t xml:space="preserve">Resgatar ilustração Da fatura de água , página 80, g23_mdn_lt_5npc código antigo i0626rm_5npc_g23_mdn_aj
AJUSTE: atualizar as datas como indicado na referência e excluir a seta laranja.
</t>
  </si>
  <si>
    <t>g0580_5p011c_g27_e001</t>
  </si>
  <si>
    <t xml:space="preserve">Gráfico de uma escala de Mohs com a dureza de alguns materiais. O Gráfico deve ter apenas um eixo, que vai de 1 a 10, chamado de “Dureza”, e apresentar intervalos de 1 em 1. Os seguintes materiais devem ser indicados com textos e setas:
Unha: 2
Moeda de cobre: 3
Vidro de janela:6
Lâmina de aço: 7
Diamante: 10
Dureza
Ver referência a seguir:
</t>
  </si>
  <si>
    <t>i0573_5p011c_g27_e001</t>
  </si>
  <si>
    <t>i0574_5p011c_g27_e001</t>
  </si>
  <si>
    <t>i0575_5p011c_g27_e001</t>
  </si>
  <si>
    <t>i0576_5p011c_g27_e001</t>
  </si>
  <si>
    <t>i0577_5p011c_g27_e001</t>
  </si>
  <si>
    <t>if0774_5p011c_g27_e001</t>
  </si>
  <si>
    <t>IL + FOTO</t>
  </si>
  <si>
    <t>Foto do céu da região da constelação de órion que corresponde à região da constelação indígena do Homem Velho.
ESCOLHIDA – Getty - 2204962636
Arte: Compor linhas da constelação do Homem Velho conforme referência a seguir.</t>
  </si>
  <si>
    <t>i0756_3p011c_g27_e001</t>
  </si>
  <si>
    <t>circunferência mostrando o centro, o raio e o diâmetro</t>
  </si>
  <si>
    <t xml:space="preserve">m0779_4p011c_g27_e001 </t>
  </si>
  <si>
    <t>Mapa mostrando a mudança de posição do norte magnético. 
Imagem de referência utilizada para fazer o esboço: shutter_1933397342. 
As indicações estão no print a seguir. Caso a resolução esteja baixa, deixei a mesma imagem na pasta:</t>
  </si>
  <si>
    <t>i0780_4p011c_g27_e001</t>
  </si>
  <si>
    <t>Ilustração da Terra com linha do Equador, eixo
de rotação, ilustrar um ímã no centro com eixo
dos polos magnéticos. Ilustrar como referência
abaixo. Não inserir marcadores, a Diag. é quem
vai colocar.</t>
  </si>
  <si>
    <t xml:space="preserve">CRÉDITOS GERAIS DA MODERNA PARA REFERÊNCIA  - EF1
 </t>
  </si>
  <si>
    <t>Nome do ilustrador</t>
  </si>
  <si>
    <t>Sigla Arte</t>
  </si>
  <si>
    <t>Crédito</t>
  </si>
  <si>
    <t>Acervo da editora</t>
  </si>
  <si>
    <t>xx</t>
  </si>
  <si>
    <t>ARQUIVO DA EDITORA</t>
  </si>
  <si>
    <t>Sigla ZZ (ver documento de ils. técnicas)</t>
  </si>
  <si>
    <t>VER DOCUMENTO DE ILS. TÉCNICAS</t>
  </si>
  <si>
    <t>ILUSTRAÇOES DE PROVAS OFICIAIS (somente se não houver crédito)</t>
  </si>
  <si>
    <t>yv</t>
  </si>
  <si>
    <t>NOME DA UNIVERSIDADE/ANO - UNICAMP 2024
NOME DO ILUSTRADOR (AJUSTE)/ARQUIVO DA EDITORA/UNIVERSIDADE ANO</t>
  </si>
  <si>
    <t>ILUSTRAÇÕES DE PLACAS DE TRÂNSITO</t>
  </si>
  <si>
    <t>yy</t>
  </si>
  <si>
    <t>NOME DO ILUSTRADOR/ARQUIVO DA EDITORA</t>
  </si>
  <si>
    <t>ILUSTRAÇÕES DE BANDEIRAS DE PAÍS</t>
  </si>
  <si>
    <t>yp</t>
  </si>
  <si>
    <t>ILUSTRAÇÕES DE BANDEIRAS DE ESTADO</t>
  </si>
  <si>
    <t>ye</t>
  </si>
  <si>
    <t>ILUSTRAÇÕES GERADAS POR PROGRAMAS C/ IA</t>
  </si>
  <si>
    <t>ia</t>
  </si>
  <si>
    <t>a</t>
  </si>
  <si>
    <t>3 Pixel Studio</t>
  </si>
  <si>
    <t>px</t>
  </si>
  <si>
    <t>ROBSON OLIVIERIA/ARQUIVO DA EDITORA</t>
  </si>
  <si>
    <t>A7 Estudio</t>
  </si>
  <si>
    <t>ao</t>
  </si>
  <si>
    <t>JORGE RIBEIRO/ARQUIVO DA EDITORA</t>
  </si>
  <si>
    <t xml:space="preserve">Adilson Farias </t>
  </si>
  <si>
    <t>af</t>
  </si>
  <si>
    <t>ADILSON FARIAS/ARQUIVO DA EDITORA</t>
  </si>
  <si>
    <t xml:space="preserve">Adilson Secco </t>
  </si>
  <si>
    <t>ac</t>
  </si>
  <si>
    <t>ADILSON SECCO/ARQUIVO DA EDITORA</t>
  </si>
  <si>
    <t>Adriano Cesar Moreno Pátaro</t>
  </si>
  <si>
    <t>ad</t>
  </si>
  <si>
    <t>ADRIANO PÁTARO/ARQUIVO DA EDITORA</t>
  </si>
  <si>
    <t>Adriel Contieri</t>
  </si>
  <si>
    <t>av</t>
  </si>
  <si>
    <t>ADRIEL CONTIERI/ARQUIVO DA EDITORA</t>
  </si>
  <si>
    <t>Águeda Horn</t>
  </si>
  <si>
    <t>ah</t>
  </si>
  <si>
    <t>ÁGUEDA HORN/ARQUIVO DA EDITORA</t>
  </si>
  <si>
    <t>Alessandra Tozi</t>
  </si>
  <si>
    <t>az</t>
  </si>
  <si>
    <t>ALESSANDRA TOZI/ARQUIVO DA EDITORA</t>
  </si>
  <si>
    <t>Alexandre Affonso</t>
  </si>
  <si>
    <t>ax</t>
  </si>
  <si>
    <t>ALEXANDRE AFFONSO/ARQUIVO DA EDITORA</t>
  </si>
  <si>
    <t>Alexandre de Lima Barvik</t>
  </si>
  <si>
    <t>ab</t>
  </si>
  <si>
    <t>ALEXANDRE DE LIMA BARVIK/ARQUIVO DA EDITORA</t>
  </si>
  <si>
    <t>Alexandre de Souza</t>
  </si>
  <si>
    <t>xe</t>
  </si>
  <si>
    <t>ALEXANDRE DE SOUZA/ARQUIVO DA EDITORA</t>
  </si>
  <si>
    <t>Alexandre Koyama</t>
  </si>
  <si>
    <t>ak</t>
  </si>
  <si>
    <t>ALEXANDRE KOYAMA/ARQUIVO DA EDITORA</t>
  </si>
  <si>
    <t>Alexandre Rampazo</t>
  </si>
  <si>
    <t>am</t>
  </si>
  <si>
    <t>ALEXANDRE RAMPAZO/ARQUIVO DA EDITORA</t>
  </si>
  <si>
    <t>Ana Elisa Carneiro</t>
  </si>
  <si>
    <t>ae</t>
  </si>
  <si>
    <t>ANA ELISA CARNEIRO/ARQUIVO DA EDITORA</t>
  </si>
  <si>
    <t>Ana Laura Alexius</t>
  </si>
  <si>
    <t>au</t>
  </si>
  <si>
    <t>ANA ALEXIUS/ARQUIVO DA EDITORA</t>
  </si>
  <si>
    <t>Ana Kozuki</t>
  </si>
  <si>
    <t>zk</t>
  </si>
  <si>
    <t>ANA KOZUKI/ARQUIVO DA EDITORA</t>
  </si>
  <si>
    <t>Andressa Meissner</t>
  </si>
  <si>
    <t>aq</t>
  </si>
  <si>
    <t>ANDRESSA MEISSNER/ARQUIVO DA EDITORA</t>
  </si>
  <si>
    <t>André Aguiar</t>
  </si>
  <si>
    <t>aa</t>
  </si>
  <si>
    <t>ANDRÉ AGUIAR/ARQUIVO DA EDITORA</t>
  </si>
  <si>
    <t>André Leandro Silva</t>
  </si>
  <si>
    <t>an</t>
  </si>
  <si>
    <t>ANDRÉ L. SILVA/ARQUIVO DA EDITORA</t>
  </si>
  <si>
    <t>André Rodrigues</t>
  </si>
  <si>
    <t>ag</t>
  </si>
  <si>
    <t>ANDRÉ RODRIGUES/ARQUIVO DA EDITORA</t>
  </si>
  <si>
    <t xml:space="preserve">Angelo Shuman </t>
  </si>
  <si>
    <t>as</t>
  </si>
  <si>
    <t>ANGELO SHUMAN/ARQUIVO DA EDITORA</t>
  </si>
  <si>
    <t>Anna Anjos</t>
  </si>
  <si>
    <t>nn</t>
  </si>
  <si>
    <t>ANNA ANJOS/ARQUIVO DA EDITORA</t>
  </si>
  <si>
    <t>Anna Simonin</t>
  </si>
  <si>
    <t>ai</t>
  </si>
  <si>
    <t>ANNA SIMONIN/ARQUIVO DA EDITORA</t>
  </si>
  <si>
    <t>Ariel Fajtlowicz</t>
  </si>
  <si>
    <t>aj</t>
  </si>
  <si>
    <t>ARIEL FAJTLOWICZ/ARQUIVO DA EDITORA</t>
  </si>
  <si>
    <t>Art Capri - Gustavo Machado</t>
  </si>
  <si>
    <t>gm</t>
  </si>
  <si>
    <t>GUSTAVO MACHADO/ARQUIVO DA EDITORA</t>
  </si>
  <si>
    <t>Arthur Moreno Milan Parreira</t>
  </si>
  <si>
    <t>at</t>
  </si>
  <si>
    <t>ARTHUR M. M. PARREIRA/ARQUIVO DA EDITORA</t>
  </si>
  <si>
    <t>Arthur Rosseto</t>
  </si>
  <si>
    <t>ar</t>
  </si>
  <si>
    <t>ARTHUR ROSSETO/ARQUIVO DA EDITORA</t>
  </si>
  <si>
    <t>Bárbara Lô Sarzi</t>
  </si>
  <si>
    <t>ba</t>
  </si>
  <si>
    <t>BÁRBARA SARZI/ARQUIVO DA EDITORA</t>
  </si>
  <si>
    <t>Beatriz Carvalho</t>
  </si>
  <si>
    <t>bt</t>
  </si>
  <si>
    <t>BEATRIZ CARVALHO/ARQUIVO DA EDITORA</t>
  </si>
  <si>
    <t>Beatriz Mayumi</t>
  </si>
  <si>
    <t>bm</t>
  </si>
  <si>
    <t>BEATRIZ MAYUMI/ARQUIVO DA EDITORA</t>
  </si>
  <si>
    <t>Belli Studio Design</t>
  </si>
  <si>
    <t>bl</t>
  </si>
  <si>
    <t/>
  </si>
  <si>
    <t>Bernardo França</t>
  </si>
  <si>
    <t>be</t>
  </si>
  <si>
    <t>BERNARDO FRANÇA/ARQUIVO DA EDITORA</t>
  </si>
  <si>
    <t>Bianca Nazari</t>
  </si>
  <si>
    <t>bi</t>
  </si>
  <si>
    <t>BIANCA NAZARI/ARQUIVO DA EDITORA</t>
  </si>
  <si>
    <t>Brenda Bossato</t>
  </si>
  <si>
    <t>bd</t>
  </si>
  <si>
    <t>BRENDA BOSSATO/ARQUIVO DA EDITORA</t>
  </si>
  <si>
    <t>Brenda Goes</t>
  </si>
  <si>
    <t>bg</t>
  </si>
  <si>
    <t>BRENDA GOES/ARQUIVO DA EDITORA</t>
  </si>
  <si>
    <t>bp</t>
  </si>
  <si>
    <t>BRUNA CAMPOS/ARQUIVO DA EDITORA</t>
  </si>
  <si>
    <t>Brunna Mancuso</t>
  </si>
  <si>
    <t>bs</t>
  </si>
  <si>
    <t>BRUNNA MANCUSO/ARQUIVO DA EDITORA</t>
  </si>
  <si>
    <t>Bruna Menezes</t>
  </si>
  <si>
    <t>bz</t>
  </si>
  <si>
    <t>BRUNA MENEZES/ARQUIVO DA EDITORA</t>
  </si>
  <si>
    <t>Bruno Badain</t>
  </si>
  <si>
    <t>bb</t>
  </si>
  <si>
    <t>BRUNO BADAIN/ARQUIVO DA EDITORA</t>
  </si>
  <si>
    <t>Bruno H. S. Cerkuenik</t>
  </si>
  <si>
    <t>bc</t>
  </si>
  <si>
    <t>BRUNO CERKUENIK/ARQUIVO DA EDITORA</t>
  </si>
  <si>
    <t>Bruno Nunes Coelho</t>
  </si>
  <si>
    <t>bn</t>
  </si>
  <si>
    <t>BRUNO NUNES/ARQUIVO DA EDITORA</t>
  </si>
  <si>
    <t>Bruno Oliveira Sampaio</t>
  </si>
  <si>
    <t>br</t>
  </si>
  <si>
    <t>BRUNO SAMPAIO/ARQUIVO DA EDITORA</t>
  </si>
  <si>
    <t>Bruno Rosal de Vasconcelos</t>
  </si>
  <si>
    <t>bu</t>
  </si>
  <si>
    <t>Caio Hideki Takaso Tanaka</t>
  </si>
  <si>
    <t>ct</t>
  </si>
  <si>
    <t>CAIO TANAKA/ARQUIVO DA EDITORA</t>
  </si>
  <si>
    <t>Camila Cristiane Pereira dos Santos</t>
  </si>
  <si>
    <t>cd</t>
  </si>
  <si>
    <t>Camila Ferreira Carmona</t>
  </si>
  <si>
    <t>ca</t>
  </si>
  <si>
    <t>Carlitos Pinheiro</t>
  </si>
  <si>
    <t>cq</t>
  </si>
  <si>
    <t>CARLITOS PINHEIRO/ARQUIVO DA EDITORA</t>
  </si>
  <si>
    <t>Carlos Alberto Borin Junior</t>
  </si>
  <si>
    <t>cj</t>
  </si>
  <si>
    <t>CARLOS BORIN/ARQUIVO DA EDITORA</t>
  </si>
  <si>
    <t>Carlos Eduardo Nascimento</t>
  </si>
  <si>
    <t>cn</t>
  </si>
  <si>
    <t>CARLOS EDUARDO NASCIMENTO/ARQUIVO DA EDITORA</t>
  </si>
  <si>
    <t>Carmen Ferreira Martinez</t>
  </si>
  <si>
    <t>cc</t>
  </si>
  <si>
    <t>CARMEN MARTINEZ/ARQUIVO DA EDITORA</t>
  </si>
  <si>
    <t>Carol Rempto</t>
  </si>
  <si>
    <t>cw</t>
  </si>
  <si>
    <t>CAROL REMPTO/ARQUIVO DA EDITORA</t>
  </si>
  <si>
    <t>Carol Sartori</t>
  </si>
  <si>
    <t>cx</t>
  </si>
  <si>
    <t>CAROL SARTORI/ARQUIVO DA EDITORA</t>
  </si>
  <si>
    <t>Carolina Coroa</t>
  </si>
  <si>
    <t>kk</t>
  </si>
  <si>
    <t>CAROLINA COROA/ARQUIVO DA EDITORA</t>
  </si>
  <si>
    <t>Caroline Romão Bezerra</t>
  </si>
  <si>
    <t>co</t>
  </si>
  <si>
    <t>CAROLINE ROMÃO BEZERRA/ARQUIVO DA EDITORA</t>
  </si>
  <si>
    <t>Cartoon Pro</t>
  </si>
  <si>
    <t>cp</t>
  </si>
  <si>
    <t>Cássio Bittencourt</t>
  </si>
  <si>
    <t>cs</t>
  </si>
  <si>
    <t>CÁSSIO BITTENCOURT/ARQUIVO DA EDITORA</t>
  </si>
  <si>
    <t>Cássio Yoshiyaki Shibukawa</t>
  </si>
  <si>
    <t>cy</t>
  </si>
  <si>
    <t>CÁSSIO YOSHIYAKI SHIBUKAWA/ARQUIVO DA EDITORA</t>
  </si>
  <si>
    <t>Cátia Germani</t>
  </si>
  <si>
    <t>cm</t>
  </si>
  <si>
    <t>CÁTIA GERMANI/ARQUIVO DA EDITORA</t>
  </si>
  <si>
    <t>Cauê Zunchini</t>
  </si>
  <si>
    <t>CAUÊ ZUNCHINI/ARQUIVO DA EDITORA</t>
  </si>
  <si>
    <t>Cecilia Andrade</t>
  </si>
  <si>
    <t>cl</t>
  </si>
  <si>
    <t>CECILIA ANDRADE/ARQUIVO DA EDITORA</t>
  </si>
  <si>
    <t xml:space="preserve">Chanceler </t>
  </si>
  <si>
    <t>ch</t>
  </si>
  <si>
    <t>Chris Borges</t>
  </si>
  <si>
    <t>cg</t>
  </si>
  <si>
    <t>CHRIS BORGES/ARQUIVO DA EDITORA</t>
  </si>
  <si>
    <t>Clarissa França</t>
  </si>
  <si>
    <t>cf</t>
  </si>
  <si>
    <t>CLARISSA FRANÇA/ARQUIVO DA EDITORA</t>
  </si>
  <si>
    <t>Claudia Brito</t>
  </si>
  <si>
    <t>cb</t>
  </si>
  <si>
    <t>CLAUDIA BRITO/ARQUIVO DA EDITORA</t>
  </si>
  <si>
    <t>Claudia Souza</t>
  </si>
  <si>
    <t>cz</t>
  </si>
  <si>
    <t>CLAUDIA SOUZA/ARQUIVO DA EDITORA</t>
  </si>
  <si>
    <t>Copa Studio</t>
  </si>
  <si>
    <t>ap</t>
  </si>
  <si>
    <t>Cria Ideias</t>
  </si>
  <si>
    <t>cr</t>
  </si>
  <si>
    <t>Cris Eich (Maria Cristina Pires de Carvalho)</t>
  </si>
  <si>
    <t>ce</t>
  </si>
  <si>
    <t>CRIS EICH/ARQUIVO DA EDITORA</t>
  </si>
  <si>
    <t>Cynthia Sekiguchi</t>
  </si>
  <si>
    <t>ck</t>
  </si>
  <si>
    <t>CYNTHIA SEKIGUCHI/ARQUIVO DA EDITORA</t>
  </si>
  <si>
    <t>Dani Mota</t>
  </si>
  <si>
    <t>dm</t>
  </si>
  <si>
    <t>DANI MOTA/ARQUIVO DA EDITORA</t>
  </si>
  <si>
    <t>Daniel Araujo</t>
  </si>
  <si>
    <t>da</t>
  </si>
  <si>
    <t>DANIEL ARAUJO/ARQUIVO DA EDITORA</t>
  </si>
  <si>
    <t>Daniel Carvalho</t>
  </si>
  <si>
    <t>dc</t>
  </si>
  <si>
    <t>DANIEL CARVALHO/ARQUIVO DA EDITORA</t>
  </si>
  <si>
    <t>Daniel Wu</t>
  </si>
  <si>
    <t>dw</t>
  </si>
  <si>
    <t>DANIEL WU/ARQUIVO DA EDITORA</t>
  </si>
  <si>
    <t>Daniel Zeppo</t>
  </si>
  <si>
    <t>dz</t>
  </si>
  <si>
    <t>DANIEL GUSTAVO SILVA GONÇALVES/ARQUIVO DA EDITORA</t>
  </si>
  <si>
    <t>Danielle Pioli</t>
  </si>
  <si>
    <t>dp</t>
  </si>
  <si>
    <t>DANIELLE PIOLI/ARQUIVO DA EDITORA</t>
  </si>
  <si>
    <t>Danillo Souza</t>
  </si>
  <si>
    <t>dl</t>
  </si>
  <si>
    <t>DANILLO SOUZA/ARQUIVO DA EDITORA</t>
  </si>
  <si>
    <t>Danilo Santos - Red Dragon</t>
  </si>
  <si>
    <t>dd</t>
  </si>
  <si>
    <t>DANILO SANTOS/ARQUIVO DA EDITORA</t>
  </si>
  <si>
    <t>Davi Augusto</t>
  </si>
  <si>
    <t>do</t>
  </si>
  <si>
    <t>DAVI AUGUSTO/ARQUIVO DA EDITORA</t>
  </si>
  <si>
    <t>David Renó</t>
  </si>
  <si>
    <t>dv</t>
  </si>
  <si>
    <t>DAVI RENÓ/ARQUIVO DA EDITORA</t>
  </si>
  <si>
    <t>Dayane Barbieri</t>
  </si>
  <si>
    <t>db</t>
  </si>
  <si>
    <t>DAYANE BARBIERI/ARQUIVO DA EDITORA</t>
  </si>
  <si>
    <t>Débora Ferreira</t>
  </si>
  <si>
    <t>df</t>
  </si>
  <si>
    <t>DÉBORA FERREIRA/ARQUIVO DA EDITORA</t>
  </si>
  <si>
    <t>Débora Kamogawa</t>
  </si>
  <si>
    <t>dk</t>
  </si>
  <si>
    <t>DÉBORA KAMOGAWA/ARQUIVO DA EDITORA</t>
  </si>
  <si>
    <t>Débora Mini</t>
  </si>
  <si>
    <t>di</t>
  </si>
  <si>
    <t>DÉBORA MINI/ARQUIVO DA EDITORA</t>
  </si>
  <si>
    <t>Desenhorama Estúdio</t>
  </si>
  <si>
    <t>ds</t>
  </si>
  <si>
    <t>DEIVY LIMA COSTA/ARQUIVO DA EDITORA</t>
  </si>
  <si>
    <t>Dogzilla Studio - Walkir Fernandes</t>
  </si>
  <si>
    <t>dg</t>
  </si>
  <si>
    <t>WALKIR FERNANDES/ARQUIVO DA EDITORA</t>
  </si>
  <si>
    <t>Dois de nós (Kime Rodrigues)</t>
  </si>
  <si>
    <t>dn</t>
  </si>
  <si>
    <t>GUILHERME RODRIGUES/ARQUIVO DA EDITORA</t>
  </si>
  <si>
    <t>Eber Evangelista</t>
  </si>
  <si>
    <t>ee</t>
  </si>
  <si>
    <t>EBER EVANGELISTA/ARQUIVO DA EDITORA</t>
  </si>
  <si>
    <t>Edde Wagner Aguiar</t>
  </si>
  <si>
    <t>ew</t>
  </si>
  <si>
    <t>EDDE AGUIAR/ARQUIVO DA EDITORA</t>
  </si>
  <si>
    <t>Edson Bellusci Cavalcante</t>
  </si>
  <si>
    <t>EDSON BELLUSCI/ARQUIVO DA EDITORA</t>
  </si>
  <si>
    <t>Edson Farias</t>
  </si>
  <si>
    <t>ef</t>
  </si>
  <si>
    <t>EDSON FARIAS/ARQUIVO DA EDITORA</t>
  </si>
  <si>
    <t>Eduardo A. Rosa Neto</t>
  </si>
  <si>
    <t>du</t>
  </si>
  <si>
    <t>EDUARDO ROSA/ARQUIVO DA EDITORA</t>
  </si>
  <si>
    <t>Eduardo Borges</t>
  </si>
  <si>
    <t>eb</t>
  </si>
  <si>
    <t>EDUARDO BORGES/ARQUIVO DA EDITORA</t>
  </si>
  <si>
    <t>Eduardo Carriça dos Santos</t>
  </si>
  <si>
    <t>es</t>
  </si>
  <si>
    <t>EDUARDO CARRIÇA/ARQUIVO DA EDITORA</t>
  </si>
  <si>
    <t>Ellen Jacob</t>
  </si>
  <si>
    <t>ej</t>
  </si>
  <si>
    <t>ELLEN JACOB/ARQUIVO DA EDITORA</t>
  </si>
  <si>
    <t>Enágio Coelho</t>
  </si>
  <si>
    <t>en</t>
  </si>
  <si>
    <t>ENÁGIO COELHO/ARQUIVO DA EDITORA</t>
  </si>
  <si>
    <t>Erica Maria Rocha Santos (Erica Maradona)</t>
  </si>
  <si>
    <t>er</t>
  </si>
  <si>
    <t>ERICA MARADONA/ARQUIVO DA EDITORA</t>
  </si>
  <si>
    <t>Erika Lourenço</t>
  </si>
  <si>
    <t>ek</t>
  </si>
  <si>
    <t>ERIKA LOURENÇO/ARQUIVO DA EDITORA</t>
  </si>
  <si>
    <t>Estúdio Amplarena</t>
  </si>
  <si>
    <t>al</t>
  </si>
  <si>
    <t>Estúdio Guerra</t>
  </si>
  <si>
    <t>eg</t>
  </si>
  <si>
    <t>Estúdio Ilustranet</t>
  </si>
  <si>
    <t>it</t>
  </si>
  <si>
    <t>RUBENS TAVARES LIMA FILHO/ARQUIVO DA EDITORA</t>
  </si>
  <si>
    <t>Estúdio Kiwi</t>
  </si>
  <si>
    <t>kw</t>
  </si>
  <si>
    <t>THIAGO LOPES/ARQUIVO DA EDITORA</t>
  </si>
  <si>
    <t>Estúdio Lab307</t>
  </si>
  <si>
    <t>lb</t>
  </si>
  <si>
    <t>ERIK MALAGRINO/ARQUIVO DA EDITORA</t>
  </si>
  <si>
    <t>Estúdio Meraki</t>
  </si>
  <si>
    <t>mk</t>
  </si>
  <si>
    <t>NATANAELE BILMAIA/ARQUIVO DA EDITORA</t>
  </si>
  <si>
    <t>Estúdio Mil</t>
  </si>
  <si>
    <t>em</t>
  </si>
  <si>
    <t>Estúdio Orangotango</t>
  </si>
  <si>
    <t>eo</t>
  </si>
  <si>
    <t>Estúdio Ornitorrinco</t>
  </si>
  <si>
    <t>MÁRCIO GUERRA/ARQUIVO DA EDITORA</t>
  </si>
  <si>
    <t>Estúdio Um mais Dois</t>
  </si>
  <si>
    <t>ud</t>
  </si>
  <si>
    <t>Ezequiel Silva (Monge Lua)</t>
  </si>
  <si>
    <t>ez</t>
  </si>
  <si>
    <t>EZEQUIEL SILVA/ARQUIVO DA EDITORA</t>
  </si>
  <si>
    <t>Ewerton Xavier</t>
  </si>
  <si>
    <t>ex</t>
  </si>
  <si>
    <t>EWERTON XAVIER/ARQUIVO DA EDITORA</t>
  </si>
  <si>
    <t>Fabio Eugenio</t>
  </si>
  <si>
    <t>fe</t>
  </si>
  <si>
    <t>FABIO EUGENIO/ARQUIVO DA EDITORA</t>
  </si>
  <si>
    <t>Fabíola Petri</t>
  </si>
  <si>
    <t>fp</t>
  </si>
  <si>
    <t>FABÍOLA PETRI/ARQUIVO DA EDITORA</t>
  </si>
  <si>
    <t>fg</t>
  </si>
  <si>
    <t>FELIPE GRIGOLI/ARQUIVO DA EDITORA</t>
  </si>
  <si>
    <t>Fernanda Monteiro</t>
  </si>
  <si>
    <t>fm</t>
  </si>
  <si>
    <t>FERNANDA MONTEIRO/ARQUIVO DA EDITORA</t>
  </si>
  <si>
    <t>Fernanda Pardini Biagio</t>
  </si>
  <si>
    <t>fb</t>
  </si>
  <si>
    <t>FERNANDA PARDINI BIAGIO/ARQUIVO DA EDITORA</t>
  </si>
  <si>
    <t>Flávia Nunes</t>
  </si>
  <si>
    <t>fn</t>
  </si>
  <si>
    <t>FLÁVIA NUNES/ARQUIVO DA EDITORA</t>
  </si>
  <si>
    <t>Flavio Roberto Pereira</t>
  </si>
  <si>
    <t>fl</t>
  </si>
  <si>
    <t>FLAVIO PEREIRA/ARQUIVO DA EDITORA</t>
  </si>
  <si>
    <t>Francine Matsumoto</t>
  </si>
  <si>
    <t>fr</t>
  </si>
  <si>
    <t>FRAN MATSUMOTO/ARQUIVO DA EDITORA</t>
  </si>
  <si>
    <t>Gabi Vasko</t>
  </si>
  <si>
    <t>gv</t>
  </si>
  <si>
    <t>GABI VASKO/ARQUIVO DA EDITORA</t>
  </si>
  <si>
    <t>Gabriel Kyu</t>
  </si>
  <si>
    <t>gk</t>
  </si>
  <si>
    <t>GABRIEL KYU/ARQUIVO DA EDITORA</t>
  </si>
  <si>
    <t>Gabriela Abreu de Souza</t>
  </si>
  <si>
    <t>gs</t>
  </si>
  <si>
    <t>GABRIELA ABREU/ARQUIVO DA EDITORA</t>
  </si>
  <si>
    <t>Gabriela Heberle</t>
  </si>
  <si>
    <t>gb</t>
  </si>
  <si>
    <t>GABRIELA HEBERLE/ARQUIVO DA EDITORA</t>
  </si>
  <si>
    <t>Gabriela Tozati</t>
  </si>
  <si>
    <t>gt</t>
  </si>
  <si>
    <t>GABRIELA TOZATI/ARQUIVO DA EDITORA</t>
  </si>
  <si>
    <t>gx</t>
  </si>
  <si>
    <t>GABRIELLA IMAI/ARQUIVO DA EDITORA</t>
  </si>
  <si>
    <t xml:space="preserve">Gilberto Audibert Alicio </t>
  </si>
  <si>
    <t>ga</t>
  </si>
  <si>
    <t>GILBERTO ALICIO/ARQUIVO DA EDITORA</t>
  </si>
  <si>
    <t>Giovana Medeiros</t>
  </si>
  <si>
    <t>gi</t>
  </si>
  <si>
    <t>GIOVANA MEDEIROS/ARQUIVO DA EDITORA</t>
  </si>
  <si>
    <t>Girafa Listrada</t>
  </si>
  <si>
    <t>gl</t>
  </si>
  <si>
    <t>BRUNA ASSIS BRASIL/ARQUIVO DA EDITORA</t>
  </si>
  <si>
    <t xml:space="preserve">Giully Leão </t>
  </si>
  <si>
    <t>gy</t>
  </si>
  <si>
    <t>GIULLY LEÃO/ARQUIVO DA EDITORA</t>
  </si>
  <si>
    <t xml:space="preserve">Giz de Cera Studio </t>
  </si>
  <si>
    <t>gz</t>
  </si>
  <si>
    <t>Graphorama</t>
  </si>
  <si>
    <t>gh</t>
  </si>
  <si>
    <t>Graziela Andrade</t>
  </si>
  <si>
    <t>ge</t>
  </si>
  <si>
    <t>GRAZIELA ANDRADE/ARQUIVO DA EDITORA</t>
  </si>
  <si>
    <t>Guilherme Aranega - Estudio Rufus</t>
  </si>
  <si>
    <t>gn</t>
  </si>
  <si>
    <t>GUILHERME ARANEGA/ARQUIVO DA EDITORA</t>
  </si>
  <si>
    <t>Guilherme Casagrandi</t>
  </si>
  <si>
    <t>gg</t>
  </si>
  <si>
    <t>GUILHERME CASAGRANDI/ARQUIVO DA EDITORA</t>
  </si>
  <si>
    <t>Guilherme Da Cas</t>
  </si>
  <si>
    <t>gc</t>
  </si>
  <si>
    <t>GUILHERME DA CAS/ARQUIVO DA EDITORA</t>
  </si>
  <si>
    <t>Gustavo Conti</t>
  </si>
  <si>
    <t>gu</t>
  </si>
  <si>
    <t>GUSTAVO CONTI/ARQUIVO DA EDITORA</t>
  </si>
  <si>
    <t>Gustavo Pedrosa</t>
  </si>
  <si>
    <t>gp</t>
  </si>
  <si>
    <t>GUSTAVO PEDROSA/ARQUIVO DA EDITORA</t>
  </si>
  <si>
    <t>Gustavo Ramos</t>
  </si>
  <si>
    <t>gr</t>
  </si>
  <si>
    <t>GUSTAVO RAMOS/ARQUIVO DA EDITORA</t>
  </si>
  <si>
    <t xml:space="preserve">Heloísa Pintarelli </t>
  </si>
  <si>
    <t>he</t>
  </si>
  <si>
    <t>Henrique Dan Fuzitani</t>
  </si>
  <si>
    <t>hf</t>
  </si>
  <si>
    <t>HENRIQUE DAN FUZITANI/ARQUIVO DA EDITORA</t>
  </si>
  <si>
    <t>Henrique Jorge</t>
  </si>
  <si>
    <t>hj</t>
  </si>
  <si>
    <t>HENRIQUE JORGE G. M. SILVA/ARQUIVO DA EDITORA</t>
  </si>
  <si>
    <t>Hiro Kawahara</t>
  </si>
  <si>
    <t>hk</t>
  </si>
  <si>
    <t>HIRO KAWAHARA/ARQUIVO DA EDITORA</t>
  </si>
  <si>
    <t>Hugo Araújo</t>
  </si>
  <si>
    <t>ha</t>
  </si>
  <si>
    <t>HUGO ARAÚJO/ARQUIVO DA EDITORA</t>
  </si>
  <si>
    <t>Iberá Júnior</t>
  </si>
  <si>
    <t>ij</t>
  </si>
  <si>
    <t>IBERÁ JÚNIOR/ARQUIVO DA EDITORA</t>
  </si>
  <si>
    <t xml:space="preserve">Ideário Lab </t>
  </si>
  <si>
    <t>id</t>
  </si>
  <si>
    <t>REINALDO ROSA/ARQUIVO DA EDITORA</t>
  </si>
  <si>
    <t>Ilustra Cartoon</t>
  </si>
  <si>
    <t>ic</t>
  </si>
  <si>
    <t>Imaginario Studio - Fabio Eiji</t>
  </si>
  <si>
    <t>ig</t>
  </si>
  <si>
    <t>FABIO EIJI SIRASUMA/ARQUIVO DA EDITORA</t>
  </si>
  <si>
    <t>Ingrid Skare</t>
  </si>
  <si>
    <t>ik</t>
  </si>
  <si>
    <t>INGRID SKARE/ARQUIVO DA EDITORA</t>
  </si>
  <si>
    <t>INGRIDHI BORGES/ARQUIVO DA EDITORA</t>
  </si>
  <si>
    <t>Inkdrop Estudio</t>
  </si>
  <si>
    <t>ie</t>
  </si>
  <si>
    <t>Irena Freitas</t>
  </si>
  <si>
    <t>if</t>
  </si>
  <si>
    <t>IRENA FREITAS/ARQUIVO DA EDITORA</t>
  </si>
  <si>
    <t>Isabela Santos Ferreira do Vale</t>
  </si>
  <si>
    <t>ss</t>
  </si>
  <si>
    <t>ISABELA SANTOS/ARQUIVO DA EDITORA</t>
  </si>
  <si>
    <t>Isabella Medeiros</t>
  </si>
  <si>
    <t>im</t>
  </si>
  <si>
    <t>ISABELLA MEDEIROS/ARQUIVO DA EDITORA</t>
  </si>
  <si>
    <t>Isadora Zeferino</t>
  </si>
  <si>
    <t>is</t>
  </si>
  <si>
    <t>ISADORA ZEFERINO/ARQUIVO DA EDITORA</t>
  </si>
  <si>
    <t>Ísis Duarte</t>
  </si>
  <si>
    <t>iu</t>
  </si>
  <si>
    <t>ÍSIS DUARTE/ARQUIVO DA EDITORA</t>
  </si>
  <si>
    <t>Ivy Nunes</t>
  </si>
  <si>
    <t>iv</t>
  </si>
  <si>
    <t>IVY NUNES/ARQUIVO DA EDITORA</t>
  </si>
  <si>
    <t>Izaac Brito</t>
  </si>
  <si>
    <t>zb</t>
  </si>
  <si>
    <t>IZAAC BRITO/ARQUIVO DA EDITORA</t>
  </si>
  <si>
    <t>Jacqueline Amadio</t>
  </si>
  <si>
    <t>jc</t>
  </si>
  <si>
    <t>JACQUELINE AMADIO/ARQUIVO DA EDITORA</t>
  </si>
  <si>
    <t>Jacqueline Lima</t>
  </si>
  <si>
    <t>jl</t>
  </si>
  <si>
    <t>JACQUELINE LIMA/ARQUIVO DA EDITORA</t>
  </si>
  <si>
    <t>Janaina de Oliveira Castro</t>
  </si>
  <si>
    <t>ja</t>
  </si>
  <si>
    <t>JANAINA OLIVEIRA/ARQUIVO DA EDITORA</t>
  </si>
  <si>
    <t>Jessica Machado</t>
  </si>
  <si>
    <t>jg</t>
  </si>
  <si>
    <t>JESSICA MACHADO/ARQUIVO DA EDITORA</t>
  </si>
  <si>
    <t>Jéssica Sinnema</t>
  </si>
  <si>
    <t>jt</t>
  </si>
  <si>
    <t>JÉSSICA SINNEMA/ARQUIVO DA EDITORA</t>
  </si>
  <si>
    <t>Jéssyca Gomes</t>
  </si>
  <si>
    <t>je</t>
  </si>
  <si>
    <t>JÉSSYKA GOMES/ARQUIVO DA EDITORA</t>
  </si>
  <si>
    <t>João Ricardo Sampaio</t>
  </si>
  <si>
    <t>js</t>
  </si>
  <si>
    <t>JOÃO SAMPAIO/ARQUIVO DA EDITORA</t>
  </si>
  <si>
    <t>João Vitor Vanzela</t>
  </si>
  <si>
    <t>jv</t>
  </si>
  <si>
    <t>JOÃO VITOR VANZELA/ARQUIVO DA EDITORA</t>
  </si>
  <si>
    <t>Johannes de Paulo</t>
  </si>
  <si>
    <t>jp</t>
  </si>
  <si>
    <t>JOHANNES DE PAULO/ARQUIVO DA EDITORA</t>
  </si>
  <si>
    <t>Jorge Henrique Brazilio dos Santos</t>
  </si>
  <si>
    <t>jh</t>
  </si>
  <si>
    <t>JORGE BRAZÍLIO/ARQUIVO DA EDITORA</t>
  </si>
  <si>
    <t>Jorge Zaiba</t>
  </si>
  <si>
    <t>za</t>
  </si>
  <si>
    <t>JORGE ZAIBA/ARQUIVO DA EDITORA</t>
  </si>
  <si>
    <t>José Vitor Elorza Costa</t>
  </si>
  <si>
    <t>zv</t>
  </si>
  <si>
    <t>JOSÉ VITOR ELORZA/ARQUIVO DA EDITORA</t>
  </si>
  <si>
    <t>Jotabe Ilustração Infantil</t>
  </si>
  <si>
    <t>jb</t>
  </si>
  <si>
    <t>Julia Mello</t>
  </si>
  <si>
    <t>jm</t>
  </si>
  <si>
    <t>JULIA MELLO/ARQUIVO DA EDITORA</t>
  </si>
  <si>
    <t>Julia Ponnick</t>
  </si>
  <si>
    <t>jn</t>
  </si>
  <si>
    <t>JULIA PONNICK/ARQUIVO DA EDITORA</t>
  </si>
  <si>
    <t>Juliana Dacosta</t>
  </si>
  <si>
    <t>jx</t>
  </si>
  <si>
    <t>JULIANA DACOSTA/ARQUIVO DA EDITORA</t>
  </si>
  <si>
    <t>Juliana Del Anhol Azevedo</t>
  </si>
  <si>
    <t>jd</t>
  </si>
  <si>
    <t>JULIANA DEL ANHOL AZEVEDO/ARQUIVO DA EDITORA</t>
  </si>
  <si>
    <t>Juliana Oliveira</t>
  </si>
  <si>
    <t>ju</t>
  </si>
  <si>
    <t>JULIANA OLIVERIA/ARQUIVO DA EDITORA</t>
  </si>
  <si>
    <t>Júnior Caramez (Antonio Carlos Caramez Jr.)</t>
  </si>
  <si>
    <t>jr</t>
  </si>
  <si>
    <t>ANTONIO CARLOS CARAMEZ JÚNIOR/ARQUIVO DA EDITORA</t>
  </si>
  <si>
    <t>Karina Tamaki Kobayashi</t>
  </si>
  <si>
    <t>kr</t>
  </si>
  <si>
    <t>KARINA TAMAKI KOBAYASHI/ARQUIVO DA EDITORA</t>
  </si>
  <si>
    <t>Karyne Elise Teixeira</t>
  </si>
  <si>
    <t>ke</t>
  </si>
  <si>
    <t>Katharine Frota</t>
  </si>
  <si>
    <t>kf</t>
  </si>
  <si>
    <t>KATHARINE FROTA/ARQUIVO DA EDITORA</t>
  </si>
  <si>
    <t>Keithy Mostachi</t>
  </si>
  <si>
    <t>KEITHY MOSTACHI/ARQUIVO DA EDITORA</t>
  </si>
  <si>
    <t>Kendra Rubio da Silva</t>
  </si>
  <si>
    <t>ks</t>
  </si>
  <si>
    <t>KENDRA RUBIO/ARQUIVO DA EDITORA</t>
  </si>
  <si>
    <t>Kézia Trentini</t>
  </si>
  <si>
    <t>kt</t>
  </si>
  <si>
    <t>KÉZIA TRENTINI/ARQUIVO DA EDITORA</t>
  </si>
  <si>
    <t>Kirlley Velôso</t>
  </si>
  <si>
    <t>kv</t>
  </si>
  <si>
    <t>KIRLLEY VELÔSO/ARQUIVO DA EDITORA</t>
  </si>
  <si>
    <t>Klayton Luz</t>
  </si>
  <si>
    <t>kl</t>
  </si>
  <si>
    <t>KLAYTON LUZ/ARQUIVO DA EDITORA</t>
  </si>
  <si>
    <t>Kleber Maurício Coelho - GIZ DE CERA</t>
  </si>
  <si>
    <t>kb</t>
  </si>
  <si>
    <t>KLEBER MAURÍCIO COELHO/ARQUIVO DA EDITORA</t>
  </si>
  <si>
    <t>Laís Bicudo</t>
  </si>
  <si>
    <t>lc</t>
  </si>
  <si>
    <t>LAÍS BICUDO/ARQUIVO DA EDITORA</t>
  </si>
  <si>
    <t xml:space="preserve">Laís Cristina Caldonazzo Garbelini </t>
  </si>
  <si>
    <t>lg</t>
  </si>
  <si>
    <t>LAÍS GARBELINI/ARQUIVO DA EDITORA</t>
  </si>
  <si>
    <t>Leandro Júnior Pimenta</t>
  </si>
  <si>
    <t>lt</t>
  </si>
  <si>
    <t>LEANDRO PIMENTA/ARQUIVO DA EDITORA</t>
  </si>
  <si>
    <t>Leandro Lassmar</t>
  </si>
  <si>
    <t xml:space="preserve">ls </t>
  </si>
  <si>
    <t>LEANDRO LASSMAR /ARQUIVO DA EDITORA</t>
  </si>
  <si>
    <t>Leo Gibran</t>
  </si>
  <si>
    <t>le</t>
  </si>
  <si>
    <t>LEO GIBRAN/ARQUIVO DA EDITORA</t>
  </si>
  <si>
    <t>Leo Natsume</t>
  </si>
  <si>
    <t>ln</t>
  </si>
  <si>
    <t>LEO NATSUME/ARQUIVO DA EDITORA</t>
  </si>
  <si>
    <t>Leonardo de Moura Amaral - GIZ DE CERA</t>
  </si>
  <si>
    <t>LEONARDO DE MOURA AMARAL/ARQUIVO DA EDITORA</t>
  </si>
  <si>
    <t>Leonardo Mari</t>
  </si>
  <si>
    <t>lm</t>
  </si>
  <si>
    <t>LEONARDO MARI/ARQUIVO DA EDITORA</t>
  </si>
  <si>
    <t>Letícia Ribeiro</t>
  </si>
  <si>
    <t>lr</t>
  </si>
  <si>
    <t>LETÍCIA RIBEIRO/ARQUIVO DA EDITORA</t>
  </si>
  <si>
    <t>Liberi</t>
  </si>
  <si>
    <t>l</t>
  </si>
  <si>
    <t>LIBERI/ARQUIVO DA EDITORA</t>
  </si>
  <si>
    <t>Lislley Velani</t>
  </si>
  <si>
    <t>LISLLEY GOMES FEIGE/ARQUIVO DA EDITORA</t>
  </si>
  <si>
    <t>Loquaz Design</t>
  </si>
  <si>
    <t>lq</t>
  </si>
  <si>
    <t>Lucas Kenzo Hamazaki</t>
  </si>
  <si>
    <t>kz</t>
  </si>
  <si>
    <t>KENZO HAMAZAKI/ARQUIVO DA EDITORA</t>
  </si>
  <si>
    <t>Lucas Palma</t>
  </si>
  <si>
    <t>lp</t>
  </si>
  <si>
    <t>LUCAS PALMA/ARQUIVO DA EDITORA</t>
  </si>
  <si>
    <t xml:space="preserve">Luciane Mori </t>
  </si>
  <si>
    <t>LUCIANE MORI/ARQUIVO DA EDITORA</t>
  </si>
  <si>
    <t>Luciano Veronezi</t>
  </si>
  <si>
    <t>lv</t>
  </si>
  <si>
    <t>LUCIANO VERONEZI/ARQUIVO DA EDITORA</t>
  </si>
  <si>
    <t>Luiz Fernando Fogaça</t>
  </si>
  <si>
    <t>lf</t>
  </si>
  <si>
    <t>LUIZ F. FOGAÇA/ARQUIVO DA EDITORA</t>
  </si>
  <si>
    <t>Luiz Lentini</t>
  </si>
  <si>
    <t>ll</t>
  </si>
  <si>
    <t>LUIZ PEREZ LENTINI/ARQUIVO DA EDITORA</t>
  </si>
  <si>
    <t>Luiz Roberto Lúcio Correa</t>
  </si>
  <si>
    <t>bo</t>
  </si>
  <si>
    <t>LUIZ ROBERTO/ARQUIVO DA EDITORA</t>
  </si>
  <si>
    <t>Malu Menezes</t>
  </si>
  <si>
    <t>mx</t>
  </si>
  <si>
    <t>MALU MENEZES/ARQUIVO DA EDITORA</t>
  </si>
  <si>
    <t>Marcela Pialarissi</t>
  </si>
  <si>
    <t>ma</t>
  </si>
  <si>
    <t>MARCELA PIALARISSI/ARQUIVO DA EDITORA</t>
  </si>
  <si>
    <t>Marcello Araújo</t>
  </si>
  <si>
    <t>mj</t>
  </si>
  <si>
    <t>MARCELLO ARAUJO/ARQUIVO DA EDITORA</t>
  </si>
  <si>
    <t>Marcelo Castro</t>
  </si>
  <si>
    <t>mc</t>
  </si>
  <si>
    <t>MARCELO CASTRO/ARQUIVO DA EDITORA</t>
  </si>
  <si>
    <t>Marciano Palácio</t>
  </si>
  <si>
    <t>mz</t>
  </si>
  <si>
    <t>MARCIANO PALÁCIO/ARQUIVO DA EDITORA</t>
  </si>
  <si>
    <t>Marcos Farrell</t>
  </si>
  <si>
    <t>mr</t>
  </si>
  <si>
    <t>MARCOS FARRELL/ARQUIVO DA EDITORA</t>
  </si>
  <si>
    <t>Marcos Machado</t>
  </si>
  <si>
    <t>mm</t>
  </si>
  <si>
    <t>MARCOS MACHADO/ARQUIVO DA EDITORA</t>
  </si>
  <si>
    <t>Marcos Mello</t>
  </si>
  <si>
    <t>me</t>
  </si>
  <si>
    <t>MARCO MELLO/ARQUIVO DA EDITORA</t>
  </si>
  <si>
    <t>Maria Gabriela Gama</t>
  </si>
  <si>
    <t>md</t>
  </si>
  <si>
    <t>MARIA GABRIELA GAMA/ARQUIVO DA EDITORA</t>
  </si>
  <si>
    <t>Minna Miná</t>
  </si>
  <si>
    <t>mq</t>
  </si>
  <si>
    <t>MINNA MINÁ/ARQUIVO DA EDITORA</t>
  </si>
  <si>
    <t>Mariana Valente</t>
  </si>
  <si>
    <t>mn</t>
  </si>
  <si>
    <t>MARIANA VALENTE/ARQUIVO DA EDITORA</t>
  </si>
  <si>
    <t>Marília Bruno</t>
  </si>
  <si>
    <t>mb</t>
  </si>
  <si>
    <t>MARÍLIA BRUNO/ARQUIVO DA EDITORA</t>
  </si>
  <si>
    <t>Marilia Pirilo</t>
  </si>
  <si>
    <t>mp</t>
  </si>
  <si>
    <t>MARILIA PIRILO/ARQUIVO DA EDITORA</t>
  </si>
  <si>
    <t>Mario Henrique Boaventura Nakano</t>
  </si>
  <si>
    <t>mh</t>
  </si>
  <si>
    <t>MARIO HENRIQUE/ARQUIVO DA EDITORA</t>
  </si>
  <si>
    <t>Marlowa</t>
  </si>
  <si>
    <t>mw</t>
  </si>
  <si>
    <t>MARLOWA/ARQUIVO DA EDITORA</t>
  </si>
  <si>
    <t>MARYANE VIOTO SILVA/ARQUIVO DA EDITORA</t>
  </si>
  <si>
    <t>Maurenilson Freire</t>
  </si>
  <si>
    <t>mu</t>
  </si>
  <si>
    <t>MAURENILSON FREIRE/ARQUIVO DA EDITORA</t>
  </si>
  <si>
    <t>Maurício Loyola</t>
  </si>
  <si>
    <t>ml</t>
  </si>
  <si>
    <t>MAURÍCIO LOYOLA/ARQUIVO DA EDITORA</t>
  </si>
  <si>
    <t>Maurício Planel</t>
  </si>
  <si>
    <t>mo</t>
  </si>
  <si>
    <t>MAURICIO PLANEL/ARQUIVO DA EDITORA</t>
  </si>
  <si>
    <t>Mauro Souza</t>
  </si>
  <si>
    <t>ms</t>
  </si>
  <si>
    <t>MAURO SOUZA/ARQUIVO DA EDITORA</t>
  </si>
  <si>
    <t>Melissa Garabeli</t>
  </si>
  <si>
    <t>mg</t>
  </si>
  <si>
    <t>MELISSA GARABELI/ARQUIVO DA EDITORA</t>
  </si>
  <si>
    <t>Michael Altomani</t>
  </si>
  <si>
    <t>MICHEL ALTOMANI/ARQUIVO DA EDITORA</t>
  </si>
  <si>
    <t>Michel Ramalho</t>
  </si>
  <si>
    <t>mi</t>
  </si>
  <si>
    <t>MICHEL RAMALHO/ARQUIVO DA EDITORA</t>
  </si>
  <si>
    <t>Milena Godoy</t>
  </si>
  <si>
    <t xml:space="preserve">oy </t>
  </si>
  <si>
    <t>GABRIELA MELLO/MILENA GODOY/ARQUIVO DA EDITORA</t>
  </si>
  <si>
    <t>Mosaico Fluído</t>
  </si>
  <si>
    <t>mf</t>
  </si>
  <si>
    <t>MOSAICO FLUÍDO/ARQUIVO DA EDITORA</t>
  </si>
  <si>
    <t>Motoca Design</t>
  </si>
  <si>
    <t>mt</t>
  </si>
  <si>
    <t>MOTOCA DESIGN/ARQUIVO DA EDITORA</t>
  </si>
  <si>
    <t>Murilo Moretti</t>
  </si>
  <si>
    <t>et</t>
  </si>
  <si>
    <t>MURILO MORETTI/ARQUIVO DA EDITORA</t>
  </si>
  <si>
    <t xml:space="preserve">Natanaele Lima Bilmaia </t>
  </si>
  <si>
    <t>nb</t>
  </si>
  <si>
    <t>Nathalia Ichioka</t>
  </si>
  <si>
    <t>ni</t>
  </si>
  <si>
    <t>NATHALIA ICHIOKA/ARQUIVO DA EDITORA</t>
  </si>
  <si>
    <t xml:space="preserve">Nelson Akira Ishikawa </t>
  </si>
  <si>
    <t>ne</t>
  </si>
  <si>
    <t>NELSON ISHIKAWA /ARQUIVO DA EDITORA</t>
  </si>
  <si>
    <t>Nelson Cosentino</t>
  </si>
  <si>
    <t>nc</t>
  </si>
  <si>
    <t>NELSON COSENTINO/ARQUIVO DA EDITORA</t>
  </si>
  <si>
    <t>nf</t>
  </si>
  <si>
    <t>NICOLAS FURTADO/ARQUIVO DA EDITORA</t>
  </si>
  <si>
    <t>Nicole Santos</t>
  </si>
  <si>
    <t>ns</t>
  </si>
  <si>
    <t>NICOLE SANTOS/ARQUIVO DA EDITORA</t>
  </si>
  <si>
    <t>Nik Neves</t>
  </si>
  <si>
    <t>nk</t>
  </si>
  <si>
    <t>NIK NEVES/ARQUIVO DA EDITORA</t>
  </si>
  <si>
    <t xml:space="preserve">Ohanna Schmitt </t>
  </si>
  <si>
    <t>oh</t>
  </si>
  <si>
    <t>OHANNA SCHMITT/ARQUIVO DA EDITORA</t>
  </si>
  <si>
    <t>Patrícia Kelen Takahashi</t>
  </si>
  <si>
    <t>pk</t>
  </si>
  <si>
    <t>PATRÍCIA KELEN TAKAHASHI/ARQUIVO DA EDITORA</t>
  </si>
  <si>
    <t>Patricia Paulozi de Menezes</t>
  </si>
  <si>
    <t>pp</t>
  </si>
  <si>
    <t>PATRÍCIA PAULOZI/ARQUIVO DA EDITORA</t>
  </si>
  <si>
    <t>Patricia Pessoa</t>
  </si>
  <si>
    <t>pt</t>
  </si>
  <si>
    <t>PATRICIA PESSOA/ARQUIVO DA EDITORA</t>
  </si>
  <si>
    <t>Paula Diazzi Ferreira</t>
  </si>
  <si>
    <t>pa</t>
  </si>
  <si>
    <t>PAULA DIAZZI/ARQUIVO DA EDITORA</t>
  </si>
  <si>
    <t>Paula Kranz</t>
  </si>
  <si>
    <t>pz</t>
  </si>
  <si>
    <t>PAULA KRANZ/ARQUIVO DA EDITORA</t>
  </si>
  <si>
    <t>Paula Radi</t>
  </si>
  <si>
    <t>pr</t>
  </si>
  <si>
    <t>PAULA RADI/ARQUIVO DA EDITORA</t>
  </si>
  <si>
    <t>Pedro Guilherme Pauletti Lorenzo</t>
  </si>
  <si>
    <t>pl</t>
  </si>
  <si>
    <t>PEDRO LORENZO/ARQUIVO DA EDITORA</t>
  </si>
  <si>
    <t>Petra Mendes</t>
  </si>
  <si>
    <t>pm</t>
  </si>
  <si>
    <t>PETRA MENDES/ARQUIVO DA EDITORA</t>
  </si>
  <si>
    <t>Poliana de Fátima Garcia</t>
  </si>
  <si>
    <t>po</t>
  </si>
  <si>
    <t>POLIANA GARCIA/ARQUIVO DA EDITORA</t>
  </si>
  <si>
    <t>Pri Wi</t>
  </si>
  <si>
    <t>pw</t>
  </si>
  <si>
    <t>PRIWI/ARQUIVO DA EDITORA</t>
  </si>
  <si>
    <t xml:space="preserve">Priscilla Camacho </t>
  </si>
  <si>
    <t>ps</t>
  </si>
  <si>
    <t>PRISCILLA CAMACHO/ARQUIVO DA EDITORA</t>
  </si>
  <si>
    <t>Quanta Studio (2014 em diante)</t>
  </si>
  <si>
    <t>qs</t>
  </si>
  <si>
    <t>QUANTA STUDIO (2014 EM DIANTE)/ARQUIVO DA EDITORA</t>
  </si>
  <si>
    <t>Quanta Studio (até 2013)</t>
  </si>
  <si>
    <t>qt</t>
  </si>
  <si>
    <t>QUANTA STUDIO (ATÉ 2013)/ARQUIVO DA EDITORA</t>
  </si>
  <si>
    <t xml:space="preserve">Rafael da Silva </t>
  </si>
  <si>
    <t>rd</t>
  </si>
  <si>
    <t>RAFAEL SILVA/ARQUIVO DA EDITORA</t>
  </si>
  <si>
    <t>Rafael da Silva Hatadani</t>
  </si>
  <si>
    <t>rh</t>
  </si>
  <si>
    <t>RAFAEL HATADANI/ARQUIVO DA EDITORA</t>
  </si>
  <si>
    <t>Rafael Gallardo</t>
  </si>
  <si>
    <t>rf</t>
  </si>
  <si>
    <t>RAFAEL GALLARDO/ARQUIVO DA EDITORA</t>
  </si>
  <si>
    <t>Rafael Lam</t>
  </si>
  <si>
    <t>rl</t>
  </si>
  <si>
    <t>RAFAEL LAM/ARQUIVO DA EDITORA</t>
  </si>
  <si>
    <t>Rafael Luís Gaion</t>
  </si>
  <si>
    <t>rn</t>
  </si>
  <si>
    <t>RAFAEL L. GAION/ARQUIVO DA EDITORA</t>
  </si>
  <si>
    <t>Rafael Luzio Rodrigues</t>
  </si>
  <si>
    <t>lz</t>
  </si>
  <si>
    <t>RAFAEL LUZIO/ARQUIVO DA EDITORA</t>
  </si>
  <si>
    <t>Rafael Martins - Somma</t>
  </si>
  <si>
    <t>Rafaela Harger</t>
  </si>
  <si>
    <t xml:space="preserve">rx </t>
  </si>
  <si>
    <t>RAFAELA HARGER/ARQUIVO DA EDITORA</t>
  </si>
  <si>
    <t>Rafaela Hidalgo Pereira</t>
  </si>
  <si>
    <t>rp</t>
  </si>
  <si>
    <t>RAFAELA H. PEREIRA/ARQUIVO DA EDITORA</t>
  </si>
  <si>
    <t xml:space="preserve">Rafaela Panissa </t>
  </si>
  <si>
    <t>pn</t>
  </si>
  <si>
    <t>RAFAELA PANISSA/ARQUIVO DA EDITORA</t>
  </si>
  <si>
    <t>Raíssa Bulhões</t>
  </si>
  <si>
    <t>rs</t>
  </si>
  <si>
    <t>RAÍSSA BULHÕES/ARQUIVO DA EDITORA</t>
  </si>
  <si>
    <t>Raitan Ohi</t>
  </si>
  <si>
    <t>rt</t>
  </si>
  <si>
    <t>RAITAN OHI/ARQUIVO DA EDITORA</t>
  </si>
  <si>
    <t>Raquel Silva</t>
  </si>
  <si>
    <t>rq</t>
  </si>
  <si>
    <t>RAQUEL SILVA/ARQUIVO DA EDITORA</t>
  </si>
  <si>
    <t>Raul Aguiar</t>
  </si>
  <si>
    <t>ra</t>
  </si>
  <si>
    <t>RAUL AGUIAR/ARQUIVO DA EDITORA</t>
  </si>
  <si>
    <t>Rayanne Cardoso</t>
  </si>
  <si>
    <t>ay</t>
  </si>
  <si>
    <t>RAYANNE CARDOSO/ARQUIVO DA EDITORA</t>
  </si>
  <si>
    <t>Rebecca Baniski</t>
  </si>
  <si>
    <t>bk</t>
  </si>
  <si>
    <t>REBECCA BANISKI/ARQUIVO DA EDITORA</t>
  </si>
  <si>
    <t>Reinaldo Rosa - Ideario Lab</t>
  </si>
  <si>
    <t>il</t>
  </si>
  <si>
    <t>Renan de Oliveira Fonseca</t>
  </si>
  <si>
    <t>re</t>
  </si>
  <si>
    <t>RENAN FONSECA/ARQUIVO DA EDITORA</t>
  </si>
  <si>
    <t>Renan Nuche</t>
  </si>
  <si>
    <t>rz</t>
  </si>
  <si>
    <t>RENAN NUCHE/ARQUIVO DA EDITORA</t>
  </si>
  <si>
    <t>Renato Rodrigues</t>
  </si>
  <si>
    <t>xr</t>
  </si>
  <si>
    <t>RENATO RODRIGUES/ARQUIVO DA EDITORA</t>
  </si>
  <si>
    <t>Rivaldo Ferreira Barboza Filho</t>
  </si>
  <si>
    <t>RIVALDO BARBOZA/ARQUIVO DA EDITORA</t>
  </si>
  <si>
    <t>Roberto Bigas</t>
  </si>
  <si>
    <t>rb</t>
  </si>
  <si>
    <t>ROBERTO BIGAS/ARQUIVO DA EDITORA</t>
  </si>
  <si>
    <t>Roberto Weigand</t>
  </si>
  <si>
    <t>rw</t>
  </si>
  <si>
    <t>ROBERTO WEIGAND/ARQUIVO DA EDITORA</t>
  </si>
  <si>
    <t>Robson Araújo</t>
  </si>
  <si>
    <t>rj</t>
  </si>
  <si>
    <t>ROBSON ARAÚJO/ARQUIVO DA EDITORA</t>
  </si>
  <si>
    <t>Rodrigo Arraya</t>
  </si>
  <si>
    <t>ry</t>
  </si>
  <si>
    <t>RODRIGO ARRAYA/ARQUIVO DA EDITORA</t>
  </si>
  <si>
    <t>Rodrigo Cordeiro</t>
  </si>
  <si>
    <t>rk</t>
  </si>
  <si>
    <t>RODRIGO CORDEIRO/ARQUIVO DA EDITORA</t>
  </si>
  <si>
    <t>Rodrigo Gafa</t>
  </si>
  <si>
    <t>ro</t>
  </si>
  <si>
    <t>RODRIGO GAFA/ARQUIVO DA EDITORA</t>
  </si>
  <si>
    <t>Roger Cartoon</t>
  </si>
  <si>
    <t>rg</t>
  </si>
  <si>
    <t>ROGER CARTOON/ARQUIVO DA EDITORA</t>
  </si>
  <si>
    <t xml:space="preserve">Rogério Casagrande </t>
  </si>
  <si>
    <t>rr</t>
  </si>
  <si>
    <t>ROGÉRIO CASAGRANDE/ARQUIVO DA EDITORA</t>
  </si>
  <si>
    <t>Rogério Coelho</t>
  </si>
  <si>
    <t>rc</t>
  </si>
  <si>
    <t>ROGÉRIO COELHO /ARQUIVO DA EDITORA</t>
  </si>
  <si>
    <t>Ronaldo Inácio De Lucena</t>
  </si>
  <si>
    <t>ri</t>
  </si>
  <si>
    <t>RONALDO LUCENA/ARQUIVO DA EDITORA</t>
  </si>
  <si>
    <t>Rosana Urbes</t>
  </si>
  <si>
    <t>ru</t>
  </si>
  <si>
    <t>ROSANA URBES/ARQUIVO DA EDITORA</t>
  </si>
  <si>
    <t>RS2 Comunicação</t>
  </si>
  <si>
    <t>sm</t>
  </si>
  <si>
    <t>RS2 COMUNICAÇÃO/ARQUIVO DA EDITORA</t>
  </si>
  <si>
    <t>Sabrina Eras</t>
  </si>
  <si>
    <t>se</t>
  </si>
  <si>
    <t>SABRINA ERAS/ARQUIVO DA EDITORA</t>
  </si>
  <si>
    <t>Samanta Flôor</t>
  </si>
  <si>
    <t>sf</t>
  </si>
  <si>
    <t>SAMANDA FLÔOR/ARQUIVO DA EDITORA</t>
  </si>
  <si>
    <t xml:space="preserve">Samuel Silva Nascimento </t>
  </si>
  <si>
    <t>sa</t>
  </si>
  <si>
    <t>SAMUEL SILVA/ARQUIVO DA EDITORA</t>
  </si>
  <si>
    <t>Saulo Nunes Marques</t>
  </si>
  <si>
    <t>Sergio Luiz de Lima Filho</t>
  </si>
  <si>
    <t>sl</t>
  </si>
  <si>
    <t>SERGIO LIMA/ARQUIVO DA EDITORA</t>
  </si>
  <si>
    <t>Sidney Siqueira Meireles</t>
  </si>
  <si>
    <t>sd</t>
  </si>
  <si>
    <t>SIDNEY SIQUEIRA MEIRELES/ARQUIVO DA EDITORA</t>
  </si>
  <si>
    <t>Silvia Otofuji</t>
  </si>
  <si>
    <t>so</t>
  </si>
  <si>
    <t>SILVIA OTOFUJI/ARQUIVO DA EDITORA</t>
  </si>
  <si>
    <t>Simone Bellusci Cavalcante</t>
  </si>
  <si>
    <t>si</t>
  </si>
  <si>
    <t>SIMONE/ARQUIVO DA EDITORA</t>
  </si>
  <si>
    <t>Sonia Horn</t>
  </si>
  <si>
    <t>sh</t>
  </si>
  <si>
    <t>SONIA HORN/ARQUIVO DA EDITORA</t>
  </si>
  <si>
    <t>Sonia Vaz</t>
  </si>
  <si>
    <t>VAZ</t>
  </si>
  <si>
    <t>SONIA VAZ/ARQUIVO DA EDITORA</t>
  </si>
  <si>
    <t xml:space="preserve">Sputinik Studio </t>
  </si>
  <si>
    <t>sk</t>
  </si>
  <si>
    <t>SPUTINIK STUDIO/ARQUIVO DA EDITORA</t>
  </si>
  <si>
    <t>Studio Caparroz (Selma)</t>
  </si>
  <si>
    <t>sc</t>
  </si>
  <si>
    <t>SELMA CAPARROZ/ARQUIVO DA EDITORA</t>
  </si>
  <si>
    <t>Studio Maya</t>
  </si>
  <si>
    <t>my</t>
  </si>
  <si>
    <t>STUDIO MAYA/ARQUIVO DA EDITORA</t>
  </si>
  <si>
    <t>Studio OPZ</t>
  </si>
  <si>
    <t>oz</t>
  </si>
  <si>
    <t>ANDERSON GABRIEL CAPELOTO MACOHIN/ARQUIVO DA EDITORA</t>
  </si>
  <si>
    <t>Studio Pack</t>
  </si>
  <si>
    <t>sp</t>
  </si>
  <si>
    <t>STUDIO PACK/ARQUIVO DA EDITORA</t>
  </si>
  <si>
    <t>Suppa</t>
  </si>
  <si>
    <t>su</t>
  </si>
  <si>
    <t>VIVIAN SUPPA/ARQUIVO DA EDITORA</t>
  </si>
  <si>
    <t>Sylvia Muniz</t>
  </si>
  <si>
    <t>sy</t>
  </si>
  <si>
    <t>SYLVIA MUNIZ/ARQUIVO DA EDITORA</t>
  </si>
  <si>
    <t>Sylvia S. Nakamura</t>
  </si>
  <si>
    <t>sn</t>
  </si>
  <si>
    <t>SYLVIA NAKAMURA/ARQUIVO DA EDITORA</t>
  </si>
  <si>
    <t>Tamires Azevedo</t>
  </si>
  <si>
    <t>tr</t>
  </si>
  <si>
    <t>TAMIRES AZEVEDO/ARQUIVO DA EDITORA</t>
  </si>
  <si>
    <t>Tânia Machado</t>
  </si>
  <si>
    <t>tm</t>
  </si>
  <si>
    <t>TÂNIA MACHADO/ARQUIVO DA EDITORA</t>
  </si>
  <si>
    <t>tp</t>
  </si>
  <si>
    <t>TATIANA PAIVA/ARQUIVO DA EDITORA</t>
  </si>
  <si>
    <t>ti</t>
  </si>
  <si>
    <t>TATIANE GALHEIRO/ARQUIVO DA EDITORA</t>
  </si>
  <si>
    <t>Thais Castro</t>
  </si>
  <si>
    <t>tc</t>
  </si>
  <si>
    <t>THAIS CASTRO/ARQUIVO DA EDITORA</t>
  </si>
  <si>
    <t>Thamires Paredes - Universo Paralelo</t>
  </si>
  <si>
    <t>THAMIRES PAREDES/ARQUIVO DA EDITORA</t>
  </si>
  <si>
    <t>Thiago Araujo Lima (Thiago Limon)</t>
  </si>
  <si>
    <t>tl</t>
  </si>
  <si>
    <t>THIAGO LIMA/ARQUIVO DA EDITORA</t>
  </si>
  <si>
    <t>Thiago Barbosa De Almeida</t>
  </si>
  <si>
    <t>ta</t>
  </si>
  <si>
    <t>THIAGO ALMEIDA/ARQUIVO DA EDITORA</t>
  </si>
  <si>
    <t xml:space="preserve">Thiago Moura Januário </t>
  </si>
  <si>
    <t>tj</t>
  </si>
  <si>
    <t>THIAGO MOURA JANUÁRIO/ARQUIVO DA EDITORA</t>
  </si>
  <si>
    <t>Thiago Neumann</t>
  </si>
  <si>
    <t>tn</t>
  </si>
  <si>
    <t>THIAGO NEUMANN/ARQUIVO DA EDITORA</t>
  </si>
  <si>
    <t>Thiago Soares</t>
  </si>
  <si>
    <t>tg</t>
  </si>
  <si>
    <t>THIAGO SOARES/ARQUIVO DA EDITORA</t>
  </si>
  <si>
    <t xml:space="preserve">TypoStudio </t>
  </si>
  <si>
    <t>ts</t>
  </si>
  <si>
    <t>Veridiana Pegoraro Camelo</t>
  </si>
  <si>
    <t>vo</t>
  </si>
  <si>
    <t>VERIDIANA PEGORARO CAMELO/ARQUIVO DA EDITORA</t>
  </si>
  <si>
    <t xml:space="preserve">Veridiana Scarpelli - IMAGERIA ESTUDIO </t>
  </si>
  <si>
    <t>vs</t>
  </si>
  <si>
    <t>VERIDIANA SCARPELLI/ARQUIVO DA EDITORA</t>
  </si>
  <si>
    <t>Victor Ferreira Lemos</t>
  </si>
  <si>
    <t>vf</t>
  </si>
  <si>
    <t>VICTOR LEMOS/ARQUIVO DA EDITORA</t>
  </si>
  <si>
    <t>vc</t>
  </si>
  <si>
    <t>Vitor Locatelli</t>
  </si>
  <si>
    <t>vl</t>
  </si>
  <si>
    <t>VITOR LOCATELLI/ARQUIVO DA EDITORA</t>
  </si>
  <si>
    <t>Volpe Studio</t>
  </si>
  <si>
    <t>vp</t>
  </si>
  <si>
    <t>VOLPE STUDIO/ARQUIVO DA EDITORA</t>
  </si>
  <si>
    <t xml:space="preserve">Waldomiro Neto </t>
  </si>
  <si>
    <t>wn</t>
  </si>
  <si>
    <t>WALDOMIRO NETO/ARQUIVO DA EDITORA</t>
  </si>
  <si>
    <t xml:space="preserve">Wandson Rocha </t>
  </si>
  <si>
    <t>wr</t>
  </si>
  <si>
    <t>WANDSON ROCHA/ARQUIVO DA EDITORA</t>
  </si>
  <si>
    <t>Wanick Correa Flores</t>
  </si>
  <si>
    <t>wk</t>
  </si>
  <si>
    <t>WANICK CORREA/ARQUIVO DA EDITORA</t>
  </si>
  <si>
    <t>Werllen Holanda</t>
  </si>
  <si>
    <t>WERLLEN HOLANDA/ARQUIVO DA EDITORA</t>
  </si>
  <si>
    <t>PRÉ-EDIÇÃO</t>
  </si>
  <si>
    <t>CAPA</t>
  </si>
  <si>
    <t>SCRIBA</t>
  </si>
  <si>
    <t>PREVISAO</t>
  </si>
  <si>
    <t>EDICAO_EQUIPE</t>
  </si>
  <si>
    <t>APRESENT</t>
  </si>
  <si>
    <t>FTD</t>
  </si>
  <si>
    <t>EDICAO_ARTE</t>
  </si>
  <si>
    <t>SUMÁRIO</t>
  </si>
  <si>
    <t>MDN</t>
  </si>
  <si>
    <t>FINALIZADO RAFE</t>
  </si>
  <si>
    <t>ILUSTRANDO</t>
  </si>
  <si>
    <t>ABERTURA</t>
  </si>
  <si>
    <t>SABER</t>
  </si>
  <si>
    <t>SM</t>
  </si>
  <si>
    <t>PAGO RAFE</t>
  </si>
  <si>
    <t>LINHA TEMPO</t>
  </si>
  <si>
    <t>PAG.ESPECIAL</t>
  </si>
  <si>
    <t>SCP</t>
  </si>
  <si>
    <t>FINALIZANDO</t>
  </si>
  <si>
    <t>INFOGRÁFICO</t>
  </si>
  <si>
    <t>MP-G</t>
  </si>
  <si>
    <t>ÚNICO</t>
  </si>
  <si>
    <t>ABR</t>
  </si>
  <si>
    <t>BASE</t>
  </si>
  <si>
    <t>IBEP</t>
  </si>
  <si>
    <t>LEYA</t>
  </si>
  <si>
    <t>SARAIVA</t>
  </si>
  <si>
    <t>SANTILLANA</t>
  </si>
  <si>
    <t>QUINTETO</t>
  </si>
  <si>
    <t>retranca</t>
  </si>
  <si>
    <t>status</t>
  </si>
  <si>
    <t>categoria</t>
  </si>
  <si>
    <t>localizacao</t>
  </si>
  <si>
    <t>pagina</t>
  </si>
  <si>
    <t>volume</t>
  </si>
  <si>
    <t>unidade</t>
  </si>
  <si>
    <t>capitulo_secao</t>
  </si>
  <si>
    <t>tipo</t>
  </si>
  <si>
    <t>descricao</t>
  </si>
  <si>
    <t>observacao_edit_nuc</t>
  </si>
  <si>
    <t>lote</t>
  </si>
  <si>
    <t>data_liberacao_para_arte</t>
  </si>
  <si>
    <t>data_envio_pedido</t>
  </si>
  <si>
    <t>data_recebimento_rafe</t>
  </si>
  <si>
    <t>data_retorno_rafe</t>
  </si>
  <si>
    <t>data_recebimento_finalizada</t>
  </si>
  <si>
    <t>sigla</t>
  </si>
  <si>
    <t>ilustrador</t>
  </si>
  <si>
    <t>ilustrador_ajuste</t>
  </si>
  <si>
    <t>credito</t>
  </si>
  <si>
    <t>classificacao</t>
  </si>
  <si>
    <t>observacao_arte</t>
  </si>
  <si>
    <t>pagamento</t>
  </si>
  <si>
    <t>projeto</t>
  </si>
  <si>
    <t>componente</t>
  </si>
  <si>
    <t>ilustrador_resgate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</si>
</sst>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1"/>
      <name val="Arial Narrow"/>
      <family val="2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000000"/>
      <name val="Aptos Narrow"/>
      <charset val="1"/>
    </font>
    <font>
      <sz val="9"/>
      <color indexed="81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9" tint="-0.249977111117893"/>
        <bgColor theme="1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7" borderId="0" xfId="0" applyFont="1" applyFill="1" applyAlignment="1">
      <alignment vertical="center"/>
    </xf>
    <xf numFmtId="0" fontId="2" fillId="7" borderId="0" xfId="0" applyFont="1" applyFill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8" borderId="0" xfId="0" applyFont="1" applyFill="1" applyAlignment="1">
      <alignment vertical="center"/>
    </xf>
    <xf numFmtId="0" fontId="2" fillId="7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/>
    <xf numFmtId="0" fontId="1" fillId="4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14" fontId="1" fillId="5" borderId="2" xfId="0" applyNumberFormat="1" applyFont="1" applyFill="1" applyBorder="1" applyAlignment="1">
      <alignment horizontal="center" vertical="center" wrapText="1"/>
    </xf>
    <xf numFmtId="14" fontId="1" fillId="5" borderId="3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14" fontId="1" fillId="4" borderId="2" xfId="0" applyNumberFormat="1" applyFont="1" applyFill="1" applyBorder="1" applyAlignment="1">
      <alignment horizontal="center" vertical="center" wrapText="1"/>
    </xf>
    <xf numFmtId="0" fontId="2" fillId="0" borderId="5" xfId="0" applyFont="1" applyBorder="1" applyAlignment="1" applyProtection="1">
      <alignment horizontal="left" vertical="center"/>
      <protection locked="0"/>
    </xf>
    <xf numFmtId="0" fontId="1" fillId="3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>
      <alignment horizontal="left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 vertical="center"/>
    </xf>
    <xf numFmtId="0" fontId="0" fillId="0" borderId="0" xfId="0" applyAlignment="1" applyProtection="1">
      <alignment horizontal="left" vertical="center" wrapText="1"/>
      <protection locked="0"/>
    </xf>
    <xf numFmtId="0" fontId="6" fillId="10" borderId="5" xfId="0" applyFont="1" applyFill="1" applyBorder="1" applyAlignment="1">
      <alignment horizontal="left"/>
    </xf>
    <xf numFmtId="0" fontId="6" fillId="10" borderId="5" xfId="0" applyFont="1" applyFill="1" applyBorder="1" applyAlignment="1">
      <alignment horizontal="left" vertical="center"/>
    </xf>
    <xf numFmtId="0" fontId="3" fillId="0" borderId="0" xfId="0" applyFont="1" applyAlignment="1" applyProtection="1">
      <alignment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vertical="center" wrapText="1"/>
    </xf>
    <xf numFmtId="0" fontId="0" fillId="0" borderId="0" xfId="0" applyAlignment="1" applyProtection="1">
      <alignment horizontal="center" vertical="center" wrapText="1"/>
      <protection locked="0"/>
    </xf>
    <xf numFmtId="0" fontId="8" fillId="0" borderId="0" xfId="0" applyFont="1"/>
    <xf numFmtId="0" fontId="9" fillId="0" borderId="0" xfId="0" applyFont="1" applyAlignment="1" applyProtection="1">
      <alignment vertical="center"/>
      <protection locked="0"/>
    </xf>
    <xf numFmtId="0" fontId="3" fillId="0" borderId="6" xfId="0" applyFont="1" applyBorder="1" applyAlignment="1">
      <alignment vertical="center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left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vertical="center"/>
      <protection locked="0"/>
    </xf>
    <xf numFmtId="0" fontId="0" fillId="0" borderId="8" xfId="0" applyBorder="1" applyAlignment="1" applyProtection="1">
      <alignment horizontal="left" vertical="center" wrapText="1"/>
      <protection locked="0"/>
    </xf>
    <xf numFmtId="0" fontId="5" fillId="9" borderId="0" xfId="0" applyFont="1" applyFill="1" applyAlignment="1">
      <alignment horizontal="center" wrapText="1"/>
    </xf>
    <xf numFmtId="0" fontId="0" fillId="0" borderId="0" xfId="0"/>
    <xf numFmtId="0" fontId="1" fillId="2" borderId="3" xfId="0" applyFont="1" applyFill="1" applyBorder="1" applyAlignment="1" applyProtection="1">
      <alignment vertical="center" wrapText="1"/>
      <protection locked="0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34">
    <dxf>
      <numFmt numFmtId="0" formatCode="General"/>
      <protection locked="0" hidden="0"/>
    </dxf>
    <dxf>
      <numFmt numFmtId="0" formatCode="General"/>
      <alignment horizontal="general" vertical="center"/>
      <protection locked="1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  <scheme val="none"/>
      </font>
      <alignment horizontal="general" vertical="center" textRotation="0" wrapText="0" indent="0" justifyLastLine="0" shrinkToFit="0" readingOrder="0"/>
    </dxf>
    <dxf>
      <alignment horizontal="left" vertical="center"/>
      <protection locked="0" hidden="0"/>
    </dxf>
    <dxf>
      <alignment horizontal="left" vertical="center"/>
      <protection locked="0" hidden="0"/>
    </dxf>
    <dxf>
      <alignment horizontal="center" vertical="center"/>
      <protection locked="0" hidden="0"/>
    </dxf>
    <dxf>
      <numFmt numFmtId="0" formatCode="General"/>
      <alignment horizontal="general" vertical="center"/>
      <protection locked="0" hidden="0"/>
    </dxf>
    <dxf>
      <alignment horizontal="general" vertical="center"/>
      <protection locked="0" hidden="0"/>
    </dxf>
    <dxf>
      <numFmt numFmtId="0" formatCode="General"/>
      <alignment horizontal="general" vertical="center" wrapText="1"/>
      <protection locked="1" hidden="0"/>
    </dxf>
    <dxf>
      <alignment horizontal="center" vertical="center"/>
      <protection locked="0" hidden="0"/>
    </dxf>
    <dxf>
      <numFmt numFmtId="19" formatCode="dd/mm/yyyy"/>
      <alignment horizontal="center" vertical="center"/>
      <protection locked="0" hidden="0"/>
    </dxf>
    <dxf>
      <numFmt numFmtId="19" formatCode="dd/mm/yyyy"/>
      <alignment horizontal="center" vertical="center"/>
      <protection locked="0" hidden="0"/>
    </dxf>
    <dxf>
      <numFmt numFmtId="19" formatCode="dd/mm/yyyy"/>
      <alignment horizontal="center" vertical="center"/>
      <protection locked="0" hidden="0"/>
    </dxf>
    <dxf>
      <numFmt numFmtId="19" formatCode="dd/mm/yyyy"/>
      <alignment horizontal="center" vertical="center"/>
      <protection locked="0" hidden="0"/>
    </dxf>
    <dxf>
      <numFmt numFmtId="19" formatCode="dd/mm/yyyy"/>
      <alignment horizontal="center" vertical="center"/>
      <protection locked="0" hidden="0"/>
    </dxf>
    <dxf>
      <alignment horizontal="center" vertical="center"/>
      <protection locked="0" hidden="0"/>
    </dxf>
    <dxf>
      <alignment horizontal="left" vertical="center"/>
      <protection locked="0" hidden="0"/>
    </dxf>
    <dxf>
      <alignment horizontal="left" vertical="center"/>
      <protection locked="0" hidden="0"/>
    </dxf>
    <dxf>
      <alignment horizontal="general" vertical="center"/>
      <protection locked="0" hidden="0"/>
    </dxf>
    <dxf>
      <alignment horizontal="general" vertical="center"/>
      <protection locked="0" hidden="0"/>
    </dxf>
    <dxf>
      <alignment horizontal="center" vertical="center"/>
      <protection locked="0" hidden="0"/>
    </dxf>
    <dxf>
      <alignment horizontal="center" vertical="center"/>
      <protection locked="0" hidden="0"/>
    </dxf>
    <dxf>
      <alignment horizontal="general" vertical="center"/>
      <protection locked="0" hidden="0"/>
    </dxf>
    <dxf>
      <alignment horizontal="general" vertical="center"/>
      <protection locked="0" hidden="0"/>
    </dxf>
    <dxf>
      <alignment horizontal="center" vertical="center"/>
      <protection locked="0" hidden="0"/>
    </dxf>
    <dxf>
      <alignment horizontal="center" vertical="center"/>
      <protection locked="0" hidden="0"/>
    </dxf>
    <dxf>
      <alignment horizontal="center" vertical="center"/>
      <protection locked="0" hidden="0"/>
    </dxf>
    <dxf>
      <alignment horizontal="center" vertical="center"/>
      <protection locked="0" hidden="0"/>
    </dxf>
    <dxf>
      <alignment horizontal="left" vertical="center"/>
      <protection locked="0" hidden="0"/>
    </dxf>
    <dxf>
      <alignment horizontal="left" vertical="center"/>
      <protection locked="0" hidden="0"/>
    </dxf>
    <dxf>
      <alignment horizontal="left" vertical="center"/>
      <protection locked="0" hidden="0"/>
    </dxf>
    <dxf>
      <protection locked="0" hidden="0"/>
    </dxf>
    <dxf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2" displayName="Tabela2" ref="A1:AF269" totalsRowShown="0" dataDxfId="33">
  <autoFilter ref="A1:AF269" xr:uid="{00000000-0009-0000-0100-000001000000}"/>
  <tableColumns count="32">
    <tableColumn id="1" xr3:uid="{00000000-0010-0000-0000-000001000000}" name="retranca" dataDxfId="32"/>
    <tableColumn id="2" xr3:uid="{00000000-0010-0000-0000-000002000000}" name="status" dataDxfId="31"/>
    <tableColumn id="3" xr3:uid="{00000000-0010-0000-0000-000003000000}" name="categoria" dataDxfId="30"/>
    <tableColumn id="4" xr3:uid="{00000000-0010-0000-0000-000004000000}" name="localizacao" dataDxfId="29"/>
    <tableColumn id="5" xr3:uid="{00000000-0010-0000-0000-000005000000}" name="pagina" dataDxfId="28"/>
    <tableColumn id="6" xr3:uid="{00000000-0010-0000-0000-000006000000}" name="volume" dataDxfId="27">
      <calculatedColumnFormula>_xlfn.NUMBERVALUE(MID(TRIM(Tabela2[[#This Row],[retranca]]), FIND("_", TRIM(Tabela2[[#This Row],[retranca]])) + 1, 1), ",", ".")</calculatedColumnFormula>
    </tableColumn>
    <tableColumn id="7" xr3:uid="{00000000-0010-0000-0000-000007000000}" name="unidade" dataDxfId="26"/>
    <tableColumn id="8" xr3:uid="{00000000-0010-0000-0000-000008000000}" name="capitulo_secao" dataDxfId="25"/>
    <tableColumn id="9" xr3:uid="{00000000-0010-0000-0000-000009000000}" name="tipo" dataDxfId="24"/>
    <tableColumn id="10" xr3:uid="{00000000-0010-0000-0000-00000A000000}" name="NOME DA OBRA_x000a_ PARA RESGATE" dataDxfId="23"/>
    <tableColumn id="11" xr3:uid="{00000000-0010-0000-0000-00000B000000}" name="PÁGINA PARA RESGATE" dataDxfId="22"/>
    <tableColumn id="12" xr3:uid="{00000000-0010-0000-0000-00000C000000}" name="VOLUME PARA RESGATE" dataDxfId="21"/>
    <tableColumn id="13" xr3:uid="{00000000-0010-0000-0000-00000D000000}" name="VERSÃO PARA RESGATE" dataDxfId="20"/>
    <tableColumn id="14" xr3:uid="{00000000-0010-0000-0000-00000E000000}" name="PROPRIEDADE" dataDxfId="19"/>
    <tableColumn id="15" xr3:uid="{00000000-0010-0000-0000-00000F000000}" name="descricao" dataDxfId="18"/>
    <tableColumn id="17" xr3:uid="{00000000-0010-0000-0000-000011000000}" name="observacao_edit_nuc" dataDxfId="17"/>
    <tableColumn id="18" xr3:uid="{00000000-0010-0000-0000-000012000000}" name="lote" dataDxfId="16"/>
    <tableColumn id="19" xr3:uid="{00000000-0010-0000-0000-000013000000}" name="data_liberacao_para_arte" dataDxfId="15"/>
    <tableColumn id="20" xr3:uid="{00000000-0010-0000-0000-000014000000}" name="data_envio_pedido" dataDxfId="14"/>
    <tableColumn id="21" xr3:uid="{00000000-0010-0000-0000-000015000000}" name="data_recebimento_rafe" dataDxfId="13"/>
    <tableColumn id="22" xr3:uid="{00000000-0010-0000-0000-000016000000}" name="data_retorno_rafe" dataDxfId="12"/>
    <tableColumn id="23" xr3:uid="{00000000-0010-0000-0000-000017000000}" name="data_recebimento_finalizada" dataDxfId="11"/>
    <tableColumn id="24" xr3:uid="{00000000-0010-0000-0000-000018000000}" name="sigla" dataDxfId="10"/>
    <tableColumn id="25" xr3:uid="{00000000-0010-0000-0000-000019000000}" name="ilustrador" dataDxfId="9">
      <calculatedColumnFormula>IF(Tabela2[[#This Row],[sigla]]="","",VLOOKUP(Tabela2[[#This Row],[sigla]],Tabela14[[#All],[Sigla Arte]:[Crédito]],2,0))</calculatedColumnFormula>
    </tableColumn>
    <tableColumn id="26" xr3:uid="{00000000-0010-0000-0000-00001A000000}" name="ilustrador_ajuste" dataDxfId="8"/>
    <tableColumn id="27" xr3:uid="{00000000-0010-0000-0000-00001B000000}" name="credito" dataDxfId="7">
      <calculatedColumnFormula>Tabela2[[#This Row],[ilustrador]]</calculatedColumnFormula>
    </tableColumn>
    <tableColumn id="28" xr3:uid="{00000000-0010-0000-0000-00001C000000}" name="classificacao" dataDxfId="6"/>
    <tableColumn id="29" xr3:uid="{00000000-0010-0000-0000-00001D000000}" name="observacao_arte" dataDxfId="5"/>
    <tableColumn id="30" xr3:uid="{00000000-0010-0000-0000-00001E000000}" name="pagamento" dataDxfId="4"/>
    <tableColumn id="31" xr3:uid="{00000000-0010-0000-0000-00001F000000}" name="projeto" dataDxfId="1">
      <calculatedColumnFormula>"Pitanguá"</calculatedColumnFormula>
    </tableColumn>
    <tableColumn id="16" xr3:uid="{A9C2E216-111B-47B2-AB6C-20ACA3FAB174}" name="componente" dataDxfId="0">
      <calculatedColumnFormula>"Ciências"</calculatedColumnFormula>
    </tableColumn>
    <tableColumn id="32" xr3:uid="{0AA80B5C-EDCF-400E-8F2E-E468D4C1D1A8}" name="ilustrador_resgate" dataDxfId="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14" displayName="Tabela14" ref="A2:C334" totalsRowShown="0">
  <autoFilter ref="A2:C334" xr:uid="{00000000-0009-0000-0100-000002000000}"/>
  <tableColumns count="3">
    <tableColumn id="1" xr3:uid="{00000000-0010-0000-0100-000001000000}" name="Nome do ilustrador"/>
    <tableColumn id="2" xr3:uid="{00000000-0010-0000-0100-000002000000}" name="Sigla Arte"/>
    <tableColumn id="3" xr3:uid="{00000000-0010-0000-0100-000003000000}" name="Crédito" dataDxfId="3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69"/>
  <sheetViews>
    <sheetView tabSelected="1" workbookViewId="0"/>
  </sheetViews>
  <sheetFormatPr defaultColWidth="9.109375" defaultRowHeight="14.4" x14ac:dyDescent="0.3"/>
  <cols>
    <col min="1" max="1" width="27.33203125" customWidth="1"/>
    <col min="2" max="2" width="15" style="22" customWidth="1"/>
    <col min="3" max="3" width="16.109375" style="22" customWidth="1"/>
    <col min="4" max="4" width="15.33203125" style="22" customWidth="1"/>
    <col min="5" max="7" width="10.5546875" style="3" customWidth="1"/>
    <col min="8" max="8" width="16.5546875" style="3" customWidth="1"/>
    <col min="9" max="9" width="9.6640625" style="4" customWidth="1"/>
    <col min="10" max="10" width="8.33203125" style="4" customWidth="1"/>
    <col min="11" max="11" width="6.5546875" style="3" customWidth="1"/>
    <col min="12" max="12" width="7.109375" style="3" customWidth="1"/>
    <col min="13" max="13" width="8" style="4" customWidth="1"/>
    <col min="14" max="14" width="7.5546875" style="4" customWidth="1"/>
    <col min="15" max="15" width="54.44140625" style="22" customWidth="1"/>
    <col min="16" max="16" width="14.6640625" style="22" customWidth="1"/>
    <col min="17" max="17" width="20.5546875" style="3" customWidth="1"/>
    <col min="18" max="22" width="18.6640625" style="26" customWidth="1"/>
    <col min="23" max="23" width="8.88671875" style="3" customWidth="1"/>
    <col min="24" max="24" width="45.5546875" style="4" customWidth="1"/>
    <col min="25" max="25" width="26.5546875" style="4" customWidth="1"/>
    <col min="26" max="26" width="48.88671875" style="4" bestFit="1" customWidth="1"/>
    <col min="27" max="27" width="16.5546875" style="3" customWidth="1"/>
    <col min="28" max="28" width="35.5546875" style="22" customWidth="1"/>
    <col min="29" max="29" width="19.44140625" style="21" customWidth="1"/>
    <col min="30" max="30" width="13.6640625" style="4" customWidth="1"/>
    <col min="31" max="31" width="9.109375" customWidth="1"/>
  </cols>
  <sheetData>
    <row r="1" spans="1:32" s="12" customFormat="1" ht="90" customHeight="1" x14ac:dyDescent="0.3">
      <c r="A1" s="9" t="s">
        <v>1581</v>
      </c>
      <c r="B1" s="10" t="s">
        <v>1582</v>
      </c>
      <c r="C1" s="10" t="s">
        <v>1583</v>
      </c>
      <c r="D1" s="10" t="s">
        <v>1584</v>
      </c>
      <c r="E1" s="10" t="s">
        <v>1585</v>
      </c>
      <c r="F1" s="10" t="s">
        <v>1586</v>
      </c>
      <c r="G1" s="10" t="s">
        <v>1587</v>
      </c>
      <c r="H1" s="10" t="s">
        <v>1588</v>
      </c>
      <c r="I1" s="10" t="s">
        <v>1589</v>
      </c>
      <c r="J1" s="10" t="s">
        <v>0</v>
      </c>
      <c r="K1" s="10" t="s">
        <v>1</v>
      </c>
      <c r="L1" s="10" t="s">
        <v>2</v>
      </c>
      <c r="M1" s="10" t="s">
        <v>3</v>
      </c>
      <c r="N1" s="10" t="s">
        <v>4</v>
      </c>
      <c r="O1" s="10" t="s">
        <v>1590</v>
      </c>
      <c r="P1" s="10" t="s">
        <v>1591</v>
      </c>
      <c r="Q1" s="10" t="s">
        <v>1592</v>
      </c>
      <c r="R1" s="18" t="s">
        <v>1593</v>
      </c>
      <c r="S1" s="15" t="s">
        <v>1594</v>
      </c>
      <c r="T1" s="15" t="s">
        <v>1595</v>
      </c>
      <c r="U1" s="15" t="s">
        <v>1596</v>
      </c>
      <c r="V1" s="16" t="s">
        <v>1597</v>
      </c>
      <c r="W1" s="16" t="s">
        <v>1598</v>
      </c>
      <c r="X1" s="44" t="s">
        <v>1599</v>
      </c>
      <c r="Y1" s="11" t="s">
        <v>1600</v>
      </c>
      <c r="Z1" s="13" t="s">
        <v>1601</v>
      </c>
      <c r="AA1" s="11" t="s">
        <v>1602</v>
      </c>
      <c r="AB1" s="11" t="s">
        <v>1603</v>
      </c>
      <c r="AC1" s="20" t="s">
        <v>1604</v>
      </c>
      <c r="AD1" s="17" t="s">
        <v>1605</v>
      </c>
      <c r="AE1" s="45" t="s">
        <v>1606</v>
      </c>
      <c r="AF1" s="45" t="s">
        <v>1607</v>
      </c>
    </row>
    <row r="2" spans="1:32" s="14" customFormat="1" ht="135" customHeight="1" x14ac:dyDescent="0.3">
      <c r="A2" s="24" t="s">
        <v>5</v>
      </c>
      <c r="B2" s="21" t="s">
        <v>6</v>
      </c>
      <c r="C2" s="21" t="s">
        <v>7</v>
      </c>
      <c r="D2" s="21" t="s">
        <v>8</v>
      </c>
      <c r="E2" s="23">
        <v>16</v>
      </c>
      <c r="F2" s="23">
        <f>_xlfn.NUMBERVALUE(MID(TRIM(Tabela2[[#This Row],[retranca]]), FIND("_", TRIM(Tabela2[[#This Row],[retranca]])) + 1, 1), ",", ".")</f>
        <v>3</v>
      </c>
      <c r="G2" s="23">
        <v>1</v>
      </c>
      <c r="H2" s="23"/>
      <c r="I2" s="24" t="s">
        <v>9</v>
      </c>
      <c r="J2" s="24"/>
      <c r="K2" s="23"/>
      <c r="L2" s="23"/>
      <c r="M2" s="24"/>
      <c r="N2" s="24"/>
      <c r="O2" s="27" t="s">
        <v>10</v>
      </c>
      <c r="P2" s="27"/>
      <c r="Q2" s="23">
        <v>1</v>
      </c>
      <c r="R2" s="25">
        <v>45723</v>
      </c>
      <c r="S2" s="25">
        <v>45726</v>
      </c>
      <c r="T2" s="25">
        <v>45728</v>
      </c>
      <c r="U2" s="25">
        <v>45733</v>
      </c>
      <c r="V2" s="25">
        <v>45736</v>
      </c>
      <c r="W2" s="23" t="s">
        <v>11</v>
      </c>
      <c r="X2" s="32" t="str">
        <f>IF(Tabela2[[#This Row],[sigla]]="","",VLOOKUP(Tabela2[[#This Row],[sigla]],Tabela14[[#All],[Sigla Arte]:[Crédito]],2,0))</f>
        <v>LEONARDO DE MOURA AMARAL/ARQUIVO DA EDITORA</v>
      </c>
      <c r="Y2" s="24"/>
      <c r="Z2" s="24" t="str">
        <f>Tabela2[[#This Row],[ilustrador]]</f>
        <v>LEONARDO DE MOURA AMARAL/ARQUIVO DA EDITORA</v>
      </c>
      <c r="AA2" s="23">
        <v>3</v>
      </c>
      <c r="AB2" s="21" t="s">
        <v>12</v>
      </c>
      <c r="AC2" s="21" t="s">
        <v>13</v>
      </c>
      <c r="AD2" s="4" t="str">
        <f t="shared" ref="AD2:AD65" si="0">"Pitanguá"</f>
        <v>Pitanguá</v>
      </c>
      <c r="AE2" s="14" t="str">
        <f t="shared" ref="AE2:AE65" si="1">"Ciências"</f>
        <v>Ciências</v>
      </c>
    </row>
    <row r="3" spans="1:32" s="14" customFormat="1" ht="45" customHeight="1" x14ac:dyDescent="0.3">
      <c r="A3" s="24" t="s">
        <v>14</v>
      </c>
      <c r="B3" s="21" t="s">
        <v>6</v>
      </c>
      <c r="C3" s="21" t="s">
        <v>7</v>
      </c>
      <c r="D3" s="21" t="s">
        <v>8</v>
      </c>
      <c r="E3" s="23">
        <v>17</v>
      </c>
      <c r="F3" s="23">
        <f>_xlfn.NUMBERVALUE(MID(TRIM(Tabela2[[#This Row],[retranca]]), FIND("_", TRIM(Tabela2[[#This Row],[retranca]])) + 1, 1), ",", ".")</f>
        <v>3</v>
      </c>
      <c r="G3" s="23">
        <v>1</v>
      </c>
      <c r="H3" s="23">
        <v>1</v>
      </c>
      <c r="I3" s="24" t="s">
        <v>15</v>
      </c>
      <c r="J3" s="24"/>
      <c r="K3" s="23"/>
      <c r="L3" s="23"/>
      <c r="M3" s="24"/>
      <c r="N3" s="24"/>
      <c r="O3" s="27" t="s">
        <v>16</v>
      </c>
      <c r="P3" s="27"/>
      <c r="Q3" s="23"/>
      <c r="R3" s="25"/>
      <c r="S3" s="25"/>
      <c r="T3" s="25"/>
      <c r="U3" s="25"/>
      <c r="V3" s="25"/>
      <c r="W3" s="23" t="s">
        <v>17</v>
      </c>
      <c r="X3" s="32" t="str">
        <f>IF(Tabela2[[#This Row],[sigla]]="","",VLOOKUP(Tabela2[[#This Row],[sigla]],Tabela14[[#All],[Sigla Arte]:[Crédito]],2,0))</f>
        <v>MÁRCIO GUERRA/ARQUIVO DA EDITORA</v>
      </c>
      <c r="Y3" s="24"/>
      <c r="Z3" s="24" t="str">
        <f>Tabela2[[#This Row],[ilustrador]]</f>
        <v>MÁRCIO GUERRA/ARQUIVO DA EDITORA</v>
      </c>
      <c r="AA3" s="23"/>
      <c r="AB3" s="21"/>
      <c r="AC3" s="21"/>
      <c r="AD3" s="4" t="str">
        <f t="shared" si="0"/>
        <v>Pitanguá</v>
      </c>
      <c r="AE3" s="14" t="str">
        <f t="shared" si="1"/>
        <v>Ciências</v>
      </c>
    </row>
    <row r="4" spans="1:32" s="14" customFormat="1" ht="45" customHeight="1" x14ac:dyDescent="0.3">
      <c r="A4" s="24" t="s">
        <v>18</v>
      </c>
      <c r="B4" s="21" t="s">
        <v>6</v>
      </c>
      <c r="C4" s="21" t="s">
        <v>7</v>
      </c>
      <c r="D4" s="21" t="s">
        <v>8</v>
      </c>
      <c r="E4" s="23">
        <v>17</v>
      </c>
      <c r="F4" s="23">
        <f>_xlfn.NUMBERVALUE(MID(TRIM(Tabela2[[#This Row],[retranca]]), FIND("_", TRIM(Tabela2[[#This Row],[retranca]])) + 1, 1), ",", ".")</f>
        <v>3</v>
      </c>
      <c r="G4" s="23">
        <v>1</v>
      </c>
      <c r="H4" s="23">
        <v>1</v>
      </c>
      <c r="I4" s="24" t="s">
        <v>15</v>
      </c>
      <c r="J4" s="24"/>
      <c r="K4" s="23"/>
      <c r="L4" s="23"/>
      <c r="M4" s="24"/>
      <c r="N4" s="24"/>
      <c r="O4" s="27" t="s">
        <v>19</v>
      </c>
      <c r="P4" s="27"/>
      <c r="Q4" s="23"/>
      <c r="R4" s="25"/>
      <c r="S4" s="25"/>
      <c r="T4" s="25"/>
      <c r="U4" s="25"/>
      <c r="V4" s="25"/>
      <c r="W4" s="23" t="s">
        <v>17</v>
      </c>
      <c r="X4" s="32" t="str">
        <f>IF(Tabela2[[#This Row],[sigla]]="","",VLOOKUP(Tabela2[[#This Row],[sigla]],Tabela14[[#All],[Sigla Arte]:[Crédito]],2,0))</f>
        <v>MÁRCIO GUERRA/ARQUIVO DA EDITORA</v>
      </c>
      <c r="Y4" s="24"/>
      <c r="Z4" s="24" t="str">
        <f>Tabela2[[#This Row],[ilustrador]]</f>
        <v>MÁRCIO GUERRA/ARQUIVO DA EDITORA</v>
      </c>
      <c r="AA4" s="23"/>
      <c r="AB4" s="21"/>
      <c r="AC4" s="21"/>
      <c r="AD4" s="4" t="str">
        <f t="shared" si="0"/>
        <v>Pitanguá</v>
      </c>
      <c r="AE4" s="14" t="str">
        <f t="shared" si="1"/>
        <v>Ciências</v>
      </c>
    </row>
    <row r="5" spans="1:32" s="14" customFormat="1" ht="45" customHeight="1" x14ac:dyDescent="0.3">
      <c r="A5" s="24" t="s">
        <v>20</v>
      </c>
      <c r="B5" s="21" t="s">
        <v>6</v>
      </c>
      <c r="C5" s="21" t="s">
        <v>7</v>
      </c>
      <c r="D5" s="21" t="s">
        <v>8</v>
      </c>
      <c r="E5" s="23">
        <v>17</v>
      </c>
      <c r="F5" s="23">
        <f>_xlfn.NUMBERVALUE(MID(TRIM(Tabela2[[#This Row],[retranca]]), FIND("_", TRIM(Tabela2[[#This Row],[retranca]])) + 1, 1), ",", ".")</f>
        <v>3</v>
      </c>
      <c r="G5" s="23">
        <v>1</v>
      </c>
      <c r="H5" s="23">
        <v>1</v>
      </c>
      <c r="I5" s="24" t="s">
        <v>15</v>
      </c>
      <c r="J5" s="24"/>
      <c r="K5" s="23"/>
      <c r="L5" s="23"/>
      <c r="M5" s="24"/>
      <c r="N5" s="24"/>
      <c r="O5" s="27" t="s">
        <v>21</v>
      </c>
      <c r="P5" s="27"/>
      <c r="Q5" s="23"/>
      <c r="R5" s="25"/>
      <c r="S5" s="25"/>
      <c r="T5" s="25"/>
      <c r="U5" s="25"/>
      <c r="V5" s="25"/>
      <c r="W5" s="23" t="s">
        <v>17</v>
      </c>
      <c r="X5" s="32" t="str">
        <f>IF(Tabela2[[#This Row],[sigla]]="","",VLOOKUP(Tabela2[[#This Row],[sigla]],Tabela14[[#All],[Sigla Arte]:[Crédito]],2,0))</f>
        <v>MÁRCIO GUERRA/ARQUIVO DA EDITORA</v>
      </c>
      <c r="Y5" s="24"/>
      <c r="Z5" s="24" t="str">
        <f>Tabela2[[#This Row],[ilustrador]]</f>
        <v>MÁRCIO GUERRA/ARQUIVO DA EDITORA</v>
      </c>
      <c r="AA5" s="23"/>
      <c r="AB5" s="21"/>
      <c r="AC5" s="21"/>
      <c r="AD5" s="4" t="str">
        <f t="shared" si="0"/>
        <v>Pitanguá</v>
      </c>
      <c r="AE5" s="14" t="str">
        <f t="shared" si="1"/>
        <v>Ciências</v>
      </c>
    </row>
    <row r="6" spans="1:32" s="14" customFormat="1" ht="45" customHeight="1" x14ac:dyDescent="0.3">
      <c r="A6" s="24" t="s">
        <v>22</v>
      </c>
      <c r="B6" s="21" t="s">
        <v>6</v>
      </c>
      <c r="C6" s="21" t="s">
        <v>7</v>
      </c>
      <c r="D6" s="21" t="s">
        <v>8</v>
      </c>
      <c r="E6" s="23">
        <v>17</v>
      </c>
      <c r="F6" s="23">
        <f>_xlfn.NUMBERVALUE(MID(TRIM(Tabela2[[#This Row],[retranca]]), FIND("_", TRIM(Tabela2[[#This Row],[retranca]])) + 1, 1), ",", ".")</f>
        <v>3</v>
      </c>
      <c r="G6" s="23">
        <v>1</v>
      </c>
      <c r="H6" s="23">
        <v>1</v>
      </c>
      <c r="I6" s="24" t="s">
        <v>15</v>
      </c>
      <c r="J6" s="24"/>
      <c r="K6" s="23"/>
      <c r="L6" s="23"/>
      <c r="M6" s="24"/>
      <c r="N6" s="24"/>
      <c r="O6" s="27" t="s">
        <v>23</v>
      </c>
      <c r="P6" s="27"/>
      <c r="Q6" s="23"/>
      <c r="R6" s="25"/>
      <c r="S6" s="25"/>
      <c r="T6" s="25"/>
      <c r="U6" s="25"/>
      <c r="V6" s="25"/>
      <c r="W6" s="23" t="s">
        <v>17</v>
      </c>
      <c r="X6" s="32" t="str">
        <f>IF(Tabela2[[#This Row],[sigla]]="","",VLOOKUP(Tabela2[[#This Row],[sigla]],Tabela14[[#All],[Sigla Arte]:[Crédito]],2,0))</f>
        <v>MÁRCIO GUERRA/ARQUIVO DA EDITORA</v>
      </c>
      <c r="Y6" s="24"/>
      <c r="Z6" s="24" t="str">
        <f>Tabela2[[#This Row],[ilustrador]]</f>
        <v>MÁRCIO GUERRA/ARQUIVO DA EDITORA</v>
      </c>
      <c r="AA6" s="23"/>
      <c r="AB6" s="21"/>
      <c r="AC6" s="21"/>
      <c r="AD6" s="4" t="str">
        <f t="shared" si="0"/>
        <v>Pitanguá</v>
      </c>
      <c r="AE6" s="14" t="str">
        <f t="shared" si="1"/>
        <v>Ciências</v>
      </c>
    </row>
    <row r="7" spans="1:32" s="14" customFormat="1" ht="45" customHeight="1" x14ac:dyDescent="0.3">
      <c r="A7" s="19" t="s">
        <v>24</v>
      </c>
      <c r="B7" s="21" t="s">
        <v>6</v>
      </c>
      <c r="C7" s="21" t="s">
        <v>7</v>
      </c>
      <c r="D7" s="21" t="s">
        <v>8</v>
      </c>
      <c r="E7" s="23">
        <v>24</v>
      </c>
      <c r="F7" s="23">
        <f>_xlfn.NUMBERVALUE(MID(TRIM(Tabela2[[#This Row],[retranca]]), FIND("_", TRIM(Tabela2[[#This Row],[retranca]])) + 1, 1), ",", ".")</f>
        <v>3</v>
      </c>
      <c r="G7" s="23">
        <v>1</v>
      </c>
      <c r="H7" s="23">
        <v>2</v>
      </c>
      <c r="I7" s="24" t="s">
        <v>15</v>
      </c>
      <c r="J7" s="24"/>
      <c r="K7" s="23"/>
      <c r="L7" s="23"/>
      <c r="M7" s="24"/>
      <c r="N7" s="24"/>
      <c r="O7" s="27" t="s">
        <v>25</v>
      </c>
      <c r="P7" s="27"/>
      <c r="Q7" s="23"/>
      <c r="R7" s="25"/>
      <c r="S7" s="25"/>
      <c r="T7" s="25"/>
      <c r="U7" s="25"/>
      <c r="V7" s="25"/>
      <c r="W7" s="23" t="s">
        <v>26</v>
      </c>
      <c r="X7" s="32" t="str">
        <f>IF(Tabela2[[#This Row],[sigla]]="","",VLOOKUP(Tabela2[[#This Row],[sigla]],Tabela14[[#All],[Sigla Arte]:[Crédito]],2,0))</f>
        <v>SAULO NUNES/ARQUIVO DA EDITORA</v>
      </c>
      <c r="Y7" s="24"/>
      <c r="Z7" s="24" t="str">
        <f>Tabela2[[#This Row],[ilustrador]]</f>
        <v>SAULO NUNES/ARQUIVO DA EDITORA</v>
      </c>
      <c r="AA7" s="23"/>
      <c r="AB7" s="21"/>
      <c r="AC7" s="21"/>
      <c r="AD7" s="4" t="str">
        <f t="shared" si="0"/>
        <v>Pitanguá</v>
      </c>
      <c r="AE7" s="14" t="str">
        <f t="shared" si="1"/>
        <v>Ciências</v>
      </c>
    </row>
    <row r="8" spans="1:32" s="14" customFormat="1" ht="120" customHeight="1" x14ac:dyDescent="0.3">
      <c r="A8" s="24" t="s">
        <v>27</v>
      </c>
      <c r="B8" s="21" t="s">
        <v>6</v>
      </c>
      <c r="C8" s="21" t="s">
        <v>7</v>
      </c>
      <c r="D8" s="21" t="s">
        <v>8</v>
      </c>
      <c r="E8" s="23">
        <v>25</v>
      </c>
      <c r="F8" s="23">
        <f>_xlfn.NUMBERVALUE(MID(TRIM(Tabela2[[#This Row],[retranca]]), FIND("_", TRIM(Tabela2[[#This Row],[retranca]])) + 1, 1), ",", ".")</f>
        <v>3</v>
      </c>
      <c r="G8" s="23">
        <v>1</v>
      </c>
      <c r="H8" s="23"/>
      <c r="I8" s="24" t="s">
        <v>28</v>
      </c>
      <c r="J8" s="24"/>
      <c r="K8" s="23"/>
      <c r="L8" s="23"/>
      <c r="M8" s="24"/>
      <c r="N8" s="24"/>
      <c r="O8" s="27" t="s">
        <v>29</v>
      </c>
      <c r="P8" s="27"/>
      <c r="Q8" s="23">
        <v>1</v>
      </c>
      <c r="R8" s="25">
        <v>45723</v>
      </c>
      <c r="S8" s="25">
        <v>45723</v>
      </c>
      <c r="T8" s="25"/>
      <c r="U8" s="25"/>
      <c r="V8" s="25">
        <v>45728</v>
      </c>
      <c r="W8" s="23" t="s">
        <v>26</v>
      </c>
      <c r="X8" s="32" t="str">
        <f>IF(Tabela2[[#This Row],[sigla]]="","",VLOOKUP(Tabela2[[#This Row],[sigla]],Tabela14[[#All],[Sigla Arte]:[Crédito]],2,0))</f>
        <v>SAULO NUNES/ARQUIVO DA EDITORA</v>
      </c>
      <c r="Y8" s="24" t="s">
        <v>30</v>
      </c>
      <c r="Z8" s="24" t="str">
        <f>Tabela2[[#This Row],[ilustrador]]</f>
        <v>SAULO NUNES/ARQUIVO DA EDITORA</v>
      </c>
      <c r="AA8" s="23">
        <v>13</v>
      </c>
      <c r="AB8" s="21"/>
      <c r="AC8" s="21" t="s">
        <v>31</v>
      </c>
      <c r="AD8" s="4" t="str">
        <f t="shared" si="0"/>
        <v>Pitanguá</v>
      </c>
      <c r="AE8" s="14" t="str">
        <f t="shared" si="1"/>
        <v>Ciências</v>
      </c>
    </row>
    <row r="9" spans="1:32" s="14" customFormat="1" ht="75" customHeight="1" x14ac:dyDescent="0.3">
      <c r="A9" s="24" t="s">
        <v>32</v>
      </c>
      <c r="B9" s="21" t="s">
        <v>6</v>
      </c>
      <c r="C9" s="21" t="s">
        <v>7</v>
      </c>
      <c r="D9" s="21" t="s">
        <v>8</v>
      </c>
      <c r="E9" s="23">
        <v>32</v>
      </c>
      <c r="F9" s="23">
        <f>_xlfn.NUMBERVALUE(MID(TRIM(Tabela2[[#This Row],[retranca]]), FIND("_", TRIM(Tabela2[[#This Row],[retranca]])) + 1, 1), ",", ".")</f>
        <v>3</v>
      </c>
      <c r="G9" s="23">
        <v>1</v>
      </c>
      <c r="H9" s="23">
        <v>2</v>
      </c>
      <c r="I9" s="24" t="s">
        <v>15</v>
      </c>
      <c r="J9" s="24"/>
      <c r="K9" s="23"/>
      <c r="L9" s="23"/>
      <c r="M9" s="24"/>
      <c r="N9" s="24"/>
      <c r="O9" s="27" t="s">
        <v>33</v>
      </c>
      <c r="P9" s="27"/>
      <c r="Q9" s="23"/>
      <c r="R9" s="25"/>
      <c r="S9" s="25"/>
      <c r="T9" s="25"/>
      <c r="U9" s="25"/>
      <c r="V9" s="25"/>
      <c r="W9" s="23" t="s">
        <v>26</v>
      </c>
      <c r="X9" s="32" t="str">
        <f>IF(Tabela2[[#This Row],[sigla]]="","",VLOOKUP(Tabela2[[#This Row],[sigla]],Tabela14[[#All],[Sigla Arte]:[Crédito]],2,0))</f>
        <v>SAULO NUNES/ARQUIVO DA EDITORA</v>
      </c>
      <c r="Y9" s="24"/>
      <c r="Z9" s="24" t="str">
        <f>Tabela2[[#This Row],[ilustrador]]</f>
        <v>SAULO NUNES/ARQUIVO DA EDITORA</v>
      </c>
      <c r="AA9" s="23"/>
      <c r="AB9" s="21"/>
      <c r="AC9" s="21"/>
      <c r="AD9" s="4" t="str">
        <f t="shared" si="0"/>
        <v>Pitanguá</v>
      </c>
      <c r="AE9" s="14" t="str">
        <f t="shared" si="1"/>
        <v>Ciências</v>
      </c>
    </row>
    <row r="10" spans="1:32" s="14" customFormat="1" ht="120" customHeight="1" x14ac:dyDescent="0.3">
      <c r="A10" s="24" t="s">
        <v>34</v>
      </c>
      <c r="B10" s="21" t="s">
        <v>6</v>
      </c>
      <c r="C10" s="21" t="s">
        <v>7</v>
      </c>
      <c r="D10" s="21" t="s">
        <v>8</v>
      </c>
      <c r="E10" s="23">
        <v>34</v>
      </c>
      <c r="F10" s="23">
        <f>_xlfn.NUMBERVALUE(MID(TRIM(Tabela2[[#This Row],[retranca]]), FIND("_", TRIM(Tabela2[[#This Row],[retranca]])) + 1, 1), ",", ".")</f>
        <v>3</v>
      </c>
      <c r="G10" s="23">
        <v>1</v>
      </c>
      <c r="H10" s="23"/>
      <c r="I10" s="24" t="s">
        <v>28</v>
      </c>
      <c r="J10" s="24"/>
      <c r="K10" s="23"/>
      <c r="L10" s="23"/>
      <c r="M10" s="24"/>
      <c r="N10" s="24"/>
      <c r="O10" s="27" t="s">
        <v>35</v>
      </c>
      <c r="P10" s="27"/>
      <c r="Q10" s="23">
        <v>1</v>
      </c>
      <c r="R10" s="25">
        <v>45723</v>
      </c>
      <c r="S10" s="25">
        <v>45723</v>
      </c>
      <c r="T10" s="25"/>
      <c r="U10" s="25"/>
      <c r="V10" s="25">
        <v>45728</v>
      </c>
      <c r="W10" s="23" t="s">
        <v>36</v>
      </c>
      <c r="X10" s="32" t="str">
        <f>IF(Tabela2[[#This Row],[sigla]]="","",VLOOKUP(Tabela2[[#This Row],[sigla]],Tabela14[[#All],[Sigla Arte]:[Crédito]],2,0))</f>
        <v>WERLLEN HOLANDA/ARQUIVO DA EDITORA</v>
      </c>
      <c r="Y10" s="24" t="s">
        <v>30</v>
      </c>
      <c r="Z10" s="24" t="str">
        <f>Tabela2[[#This Row],[ilustrador]]</f>
        <v>WERLLEN HOLANDA/ARQUIVO DA EDITORA</v>
      </c>
      <c r="AA10" s="23">
        <v>13</v>
      </c>
      <c r="AB10" s="21"/>
      <c r="AC10" s="21" t="s">
        <v>31</v>
      </c>
      <c r="AD10" s="4" t="str">
        <f t="shared" si="0"/>
        <v>Pitanguá</v>
      </c>
      <c r="AE10" s="14" t="str">
        <f t="shared" si="1"/>
        <v>Ciências</v>
      </c>
    </row>
    <row r="11" spans="1:32" s="14" customFormat="1" ht="60" customHeight="1" x14ac:dyDescent="0.3">
      <c r="A11" s="24" t="s">
        <v>37</v>
      </c>
      <c r="B11" s="21" t="s">
        <v>6</v>
      </c>
      <c r="C11" s="21" t="s">
        <v>7</v>
      </c>
      <c r="D11" s="21" t="s">
        <v>8</v>
      </c>
      <c r="E11" s="23">
        <v>34</v>
      </c>
      <c r="F11" s="23">
        <f>_xlfn.NUMBERVALUE(MID(TRIM(Tabela2[[#This Row],[retranca]]), FIND("_", TRIM(Tabela2[[#This Row],[retranca]])) + 1, 1), ",", ".")</f>
        <v>3</v>
      </c>
      <c r="G11" s="23">
        <v>1</v>
      </c>
      <c r="H11" s="23">
        <v>2</v>
      </c>
      <c r="I11" s="24" t="s">
        <v>15</v>
      </c>
      <c r="J11" s="24"/>
      <c r="K11" s="23"/>
      <c r="L11" s="23"/>
      <c r="M11" s="24"/>
      <c r="N11" s="24"/>
      <c r="O11" s="27" t="s">
        <v>38</v>
      </c>
      <c r="P11" s="27"/>
      <c r="Q11" s="23"/>
      <c r="R11" s="25"/>
      <c r="S11" s="25"/>
      <c r="T11" s="25"/>
      <c r="U11" s="25"/>
      <c r="V11" s="25"/>
      <c r="W11" s="23" t="s">
        <v>36</v>
      </c>
      <c r="X11" s="32" t="str">
        <f>IF(Tabela2[[#This Row],[sigla]]="","",VLOOKUP(Tabela2[[#This Row],[sigla]],Tabela14[[#All],[Sigla Arte]:[Crédito]],2,0))</f>
        <v>WERLLEN HOLANDA/ARQUIVO DA EDITORA</v>
      </c>
      <c r="Y11" s="24"/>
      <c r="Z11" s="24" t="str">
        <f>Tabela2[[#This Row],[ilustrador]]</f>
        <v>WERLLEN HOLANDA/ARQUIVO DA EDITORA</v>
      </c>
      <c r="AA11" s="23"/>
      <c r="AB11" s="21"/>
      <c r="AC11" s="21"/>
      <c r="AD11" s="4" t="str">
        <f t="shared" si="0"/>
        <v>Pitanguá</v>
      </c>
      <c r="AE11" s="14" t="str">
        <f t="shared" si="1"/>
        <v>Ciências</v>
      </c>
    </row>
    <row r="12" spans="1:32" s="14" customFormat="1" ht="45" customHeight="1" x14ac:dyDescent="0.3">
      <c r="A12" s="24" t="s">
        <v>39</v>
      </c>
      <c r="B12" s="21" t="s">
        <v>6</v>
      </c>
      <c r="C12" s="21" t="s">
        <v>7</v>
      </c>
      <c r="D12" s="21" t="s">
        <v>8</v>
      </c>
      <c r="E12" s="23">
        <v>34</v>
      </c>
      <c r="F12" s="23">
        <f>_xlfn.NUMBERVALUE(MID(TRIM(Tabela2[[#This Row],[retranca]]), FIND("_", TRIM(Tabela2[[#This Row],[retranca]])) + 1, 1), ",", ".")</f>
        <v>3</v>
      </c>
      <c r="G12" s="23">
        <v>1</v>
      </c>
      <c r="H12" s="23">
        <v>2</v>
      </c>
      <c r="I12" s="24" t="s">
        <v>15</v>
      </c>
      <c r="J12" s="24"/>
      <c r="K12" s="23"/>
      <c r="L12" s="23"/>
      <c r="M12" s="24"/>
      <c r="N12" s="24"/>
      <c r="O12" s="27" t="s">
        <v>40</v>
      </c>
      <c r="P12" s="27"/>
      <c r="Q12" s="23"/>
      <c r="R12" s="25"/>
      <c r="S12" s="25"/>
      <c r="T12" s="25"/>
      <c r="U12" s="25"/>
      <c r="V12" s="25"/>
      <c r="W12" s="23" t="s">
        <v>36</v>
      </c>
      <c r="X12" s="32" t="str">
        <f>IF(Tabela2[[#This Row],[sigla]]="","",VLOOKUP(Tabela2[[#This Row],[sigla]],Tabela14[[#All],[Sigla Arte]:[Crédito]],2,0))</f>
        <v>WERLLEN HOLANDA/ARQUIVO DA EDITORA</v>
      </c>
      <c r="Y12" s="24"/>
      <c r="Z12" s="24" t="str">
        <f>Tabela2[[#This Row],[ilustrador]]</f>
        <v>WERLLEN HOLANDA/ARQUIVO DA EDITORA</v>
      </c>
      <c r="AA12" s="23"/>
      <c r="AB12" s="21"/>
      <c r="AC12" s="21"/>
      <c r="AD12" s="4" t="str">
        <f t="shared" si="0"/>
        <v>Pitanguá</v>
      </c>
      <c r="AE12" s="14" t="str">
        <f t="shared" si="1"/>
        <v>Ciências</v>
      </c>
    </row>
    <row r="13" spans="1:32" s="14" customFormat="1" ht="90" customHeight="1" x14ac:dyDescent="0.3">
      <c r="A13" s="24" t="s">
        <v>41</v>
      </c>
      <c r="B13" s="21" t="s">
        <v>42</v>
      </c>
      <c r="C13" s="21" t="s">
        <v>7</v>
      </c>
      <c r="D13" s="21" t="s">
        <v>8</v>
      </c>
      <c r="E13" s="23">
        <v>35</v>
      </c>
      <c r="F13" s="23">
        <f>_xlfn.NUMBERVALUE(MID(TRIM(Tabela2[[#This Row],[retranca]]), FIND("_", TRIM(Tabela2[[#This Row],[retranca]])) + 1, 1), ",", ".")</f>
        <v>3</v>
      </c>
      <c r="G13" s="23">
        <v>1</v>
      </c>
      <c r="H13" s="23"/>
      <c r="I13" s="24" t="s">
        <v>28</v>
      </c>
      <c r="J13" s="24"/>
      <c r="K13" s="23"/>
      <c r="L13" s="23"/>
      <c r="M13" s="24"/>
      <c r="N13" s="24"/>
      <c r="O13" s="27" t="s">
        <v>43</v>
      </c>
      <c r="P13" s="27"/>
      <c r="Q13" s="23">
        <v>1</v>
      </c>
      <c r="R13" s="25">
        <v>45723</v>
      </c>
      <c r="S13" s="25">
        <v>45723</v>
      </c>
      <c r="T13" s="25"/>
      <c r="U13" s="25"/>
      <c r="V13" s="25">
        <v>45728</v>
      </c>
      <c r="W13" s="23" t="s">
        <v>36</v>
      </c>
      <c r="X13" s="32" t="str">
        <f>IF(Tabela2[[#This Row],[sigla]]="","",VLOOKUP(Tabela2[[#This Row],[sigla]],Tabela14[[#All],[Sigla Arte]:[Crédito]],2,0))</f>
        <v>WERLLEN HOLANDA/ARQUIVO DA EDITORA</v>
      </c>
      <c r="Y13" s="24" t="s">
        <v>30</v>
      </c>
      <c r="Z13" s="24" t="str">
        <f>Tabela2[[#This Row],[ilustrador]]</f>
        <v>WERLLEN HOLANDA/ARQUIVO DA EDITORA</v>
      </c>
      <c r="AA13" s="23">
        <v>14</v>
      </c>
      <c r="AB13" s="21"/>
      <c r="AC13" s="21" t="s">
        <v>31</v>
      </c>
      <c r="AD13" s="4" t="str">
        <f t="shared" si="0"/>
        <v>Pitanguá</v>
      </c>
      <c r="AE13" s="14" t="str">
        <f t="shared" si="1"/>
        <v>Ciências</v>
      </c>
    </row>
    <row r="14" spans="1:32" s="14" customFormat="1" ht="105" customHeight="1" x14ac:dyDescent="0.3">
      <c r="A14" s="24" t="s">
        <v>44</v>
      </c>
      <c r="B14" s="21" t="s">
        <v>6</v>
      </c>
      <c r="C14" s="21" t="s">
        <v>7</v>
      </c>
      <c r="D14" s="21" t="s">
        <v>8</v>
      </c>
      <c r="E14" s="23">
        <v>40</v>
      </c>
      <c r="F14" s="23">
        <f>_xlfn.NUMBERVALUE(MID(TRIM(Tabela2[[#This Row],[retranca]]), FIND("_", TRIM(Tabela2[[#This Row],[retranca]])) + 1, 1), ",", ".")</f>
        <v>3</v>
      </c>
      <c r="G14" s="23">
        <v>2</v>
      </c>
      <c r="H14" s="23"/>
      <c r="I14" s="24" t="s">
        <v>28</v>
      </c>
      <c r="J14" s="24"/>
      <c r="K14" s="23"/>
      <c r="L14" s="23"/>
      <c r="M14" s="24"/>
      <c r="N14" s="24"/>
      <c r="O14" s="27" t="s">
        <v>45</v>
      </c>
      <c r="P14" s="27"/>
      <c r="Q14" s="23">
        <v>1</v>
      </c>
      <c r="R14" s="25">
        <v>45723</v>
      </c>
      <c r="S14" s="25">
        <v>45723</v>
      </c>
      <c r="T14" s="25"/>
      <c r="U14" s="25"/>
      <c r="V14" s="25">
        <v>45728</v>
      </c>
      <c r="W14" s="23" t="s">
        <v>36</v>
      </c>
      <c r="X14" s="32" t="str">
        <f>IF(Tabela2[[#This Row],[sigla]]="","",VLOOKUP(Tabela2[[#This Row],[sigla]],Tabela14[[#All],[Sigla Arte]:[Crédito]],2,0))</f>
        <v>WERLLEN HOLANDA/ARQUIVO DA EDITORA</v>
      </c>
      <c r="Y14" s="24" t="s">
        <v>30</v>
      </c>
      <c r="Z14" s="24" t="str">
        <f>Tabela2[[#This Row],[ilustrador]]</f>
        <v>WERLLEN HOLANDA/ARQUIVO DA EDITORA</v>
      </c>
      <c r="AA14" s="23">
        <v>13</v>
      </c>
      <c r="AB14" s="21"/>
      <c r="AC14" s="21" t="s">
        <v>31</v>
      </c>
      <c r="AD14" s="4" t="str">
        <f t="shared" si="0"/>
        <v>Pitanguá</v>
      </c>
      <c r="AE14" s="14" t="str">
        <f t="shared" si="1"/>
        <v>Ciências</v>
      </c>
    </row>
    <row r="15" spans="1:32" s="14" customFormat="1" ht="60" customHeight="1" x14ac:dyDescent="0.3">
      <c r="A15" s="24" t="s">
        <v>46</v>
      </c>
      <c r="B15" s="21" t="s">
        <v>6</v>
      </c>
      <c r="C15" s="21" t="s">
        <v>7</v>
      </c>
      <c r="D15" s="21" t="s">
        <v>8</v>
      </c>
      <c r="E15" s="23">
        <v>41</v>
      </c>
      <c r="F15" s="23">
        <f>_xlfn.NUMBERVALUE(MID(TRIM(Tabela2[[#This Row],[retranca]]), FIND("_", TRIM(Tabela2[[#This Row],[retranca]])) + 1, 1), ",", ".")</f>
        <v>3</v>
      </c>
      <c r="G15" s="23">
        <v>2</v>
      </c>
      <c r="H15" s="23"/>
      <c r="I15" s="24" t="s">
        <v>28</v>
      </c>
      <c r="J15" s="24"/>
      <c r="K15" s="23"/>
      <c r="L15" s="23"/>
      <c r="M15" s="24"/>
      <c r="N15" s="24"/>
      <c r="O15" s="27" t="s">
        <v>47</v>
      </c>
      <c r="P15" s="27"/>
      <c r="Q15" s="23">
        <v>1</v>
      </c>
      <c r="R15" s="25">
        <v>45723</v>
      </c>
      <c r="S15" s="25">
        <v>45723</v>
      </c>
      <c r="T15" s="25"/>
      <c r="U15" s="25"/>
      <c r="V15" s="25">
        <v>45728</v>
      </c>
      <c r="W15" s="23" t="s">
        <v>36</v>
      </c>
      <c r="X15" s="32" t="str">
        <f>IF(Tabela2[[#This Row],[sigla]]="","",VLOOKUP(Tabela2[[#This Row],[sigla]],Tabela14[[#All],[Sigla Arte]:[Crédito]],2,0))</f>
        <v>WERLLEN HOLANDA/ARQUIVO DA EDITORA</v>
      </c>
      <c r="Y15" s="24" t="s">
        <v>30</v>
      </c>
      <c r="Z15" s="24" t="str">
        <f>Tabela2[[#This Row],[ilustrador]]</f>
        <v>WERLLEN HOLANDA/ARQUIVO DA EDITORA</v>
      </c>
      <c r="AA15" s="23">
        <v>14</v>
      </c>
      <c r="AB15" s="21"/>
      <c r="AC15" s="21" t="s">
        <v>31</v>
      </c>
      <c r="AD15" s="4" t="str">
        <f t="shared" si="0"/>
        <v>Pitanguá</v>
      </c>
      <c r="AE15" s="14" t="str">
        <f t="shared" si="1"/>
        <v>Ciências</v>
      </c>
    </row>
    <row r="16" spans="1:32" s="14" customFormat="1" ht="60" customHeight="1" x14ac:dyDescent="0.3">
      <c r="A16" s="24" t="s">
        <v>48</v>
      </c>
      <c r="B16" s="21" t="s">
        <v>6</v>
      </c>
      <c r="C16" s="21" t="s">
        <v>7</v>
      </c>
      <c r="D16" s="21" t="s">
        <v>8</v>
      </c>
      <c r="E16" s="23">
        <v>42</v>
      </c>
      <c r="F16" s="23">
        <f>_xlfn.NUMBERVALUE(MID(TRIM(Tabela2[[#This Row],[retranca]]), FIND("_", TRIM(Tabela2[[#This Row],[retranca]])) + 1, 1), ",", ".")</f>
        <v>3</v>
      </c>
      <c r="G16" s="23">
        <v>2</v>
      </c>
      <c r="H16" s="23"/>
      <c r="I16" s="24" t="s">
        <v>28</v>
      </c>
      <c r="J16" s="24"/>
      <c r="K16" s="23"/>
      <c r="L16" s="23"/>
      <c r="M16" s="24"/>
      <c r="N16" s="24"/>
      <c r="O16" s="27" t="s">
        <v>49</v>
      </c>
      <c r="P16" s="27"/>
      <c r="Q16" s="23">
        <v>1</v>
      </c>
      <c r="R16" s="25">
        <v>45723</v>
      </c>
      <c r="S16" s="25">
        <v>45723</v>
      </c>
      <c r="T16" s="25"/>
      <c r="U16" s="25"/>
      <c r="V16" s="25">
        <v>45728</v>
      </c>
      <c r="W16" s="23" t="s">
        <v>36</v>
      </c>
      <c r="X16" s="32" t="str">
        <f>IF(Tabela2[[#This Row],[sigla]]="","",VLOOKUP(Tabela2[[#This Row],[sigla]],Tabela14[[#All],[Sigla Arte]:[Crédito]],2,0))</f>
        <v>WERLLEN HOLANDA/ARQUIVO DA EDITORA</v>
      </c>
      <c r="Y16" s="24" t="s">
        <v>30</v>
      </c>
      <c r="Z16" s="24" t="str">
        <f>Tabela2[[#This Row],[ilustrador]]</f>
        <v>WERLLEN HOLANDA/ARQUIVO DA EDITORA</v>
      </c>
      <c r="AA16" s="23">
        <v>14</v>
      </c>
      <c r="AB16" s="21"/>
      <c r="AC16" s="21" t="s">
        <v>31</v>
      </c>
      <c r="AD16" s="4" t="str">
        <f t="shared" si="0"/>
        <v>Pitanguá</v>
      </c>
      <c r="AE16" s="14" t="str">
        <f t="shared" si="1"/>
        <v>Ciências</v>
      </c>
    </row>
    <row r="17" spans="1:31" s="14" customFormat="1" ht="105" customHeight="1" x14ac:dyDescent="0.3">
      <c r="A17" s="24" t="s">
        <v>50</v>
      </c>
      <c r="B17" s="21" t="s">
        <v>6</v>
      </c>
      <c r="C17" s="21" t="s">
        <v>7</v>
      </c>
      <c r="D17" s="21" t="s">
        <v>8</v>
      </c>
      <c r="E17" s="23">
        <v>45</v>
      </c>
      <c r="F17" s="23">
        <f>_xlfn.NUMBERVALUE(MID(TRIM(Tabela2[[#This Row],[retranca]]), FIND("_", TRIM(Tabela2[[#This Row],[retranca]])) + 1, 1), ",", ".")</f>
        <v>3</v>
      </c>
      <c r="G17" s="23">
        <v>2</v>
      </c>
      <c r="H17" s="23"/>
      <c r="I17" s="24" t="s">
        <v>28</v>
      </c>
      <c r="J17" s="24"/>
      <c r="K17" s="23"/>
      <c r="L17" s="23"/>
      <c r="M17" s="24"/>
      <c r="N17" s="24"/>
      <c r="O17" s="27" t="s">
        <v>51</v>
      </c>
      <c r="P17" s="27"/>
      <c r="Q17" s="23">
        <v>6</v>
      </c>
      <c r="R17" s="25">
        <v>45797</v>
      </c>
      <c r="S17" s="25">
        <v>45798</v>
      </c>
      <c r="T17" s="25"/>
      <c r="U17" s="25"/>
      <c r="V17" s="25">
        <v>45799</v>
      </c>
      <c r="W17" s="23" t="s">
        <v>52</v>
      </c>
      <c r="X17" s="32" t="str">
        <f>IF(Tabela2[[#This Row],[sigla]]="","",VLOOKUP(Tabela2[[#This Row],[sigla]],Tabela14[[#All],[Sigla Arte]:[Crédito]],2,0))</f>
        <v>LUCIANE MORI/ARQUIVO DA EDITORA</v>
      </c>
      <c r="Y17" s="24" t="s">
        <v>53</v>
      </c>
      <c r="Z17" s="24" t="str">
        <f>Tabela2[[#This Row],[ilustrador]]</f>
        <v>LUCIANE MORI/ARQUIVO DA EDITORA</v>
      </c>
      <c r="AA17" s="23">
        <v>13</v>
      </c>
      <c r="AB17" s="21" t="s">
        <v>54</v>
      </c>
      <c r="AC17" s="21" t="s">
        <v>31</v>
      </c>
      <c r="AD17" s="4" t="str">
        <f t="shared" si="0"/>
        <v>Pitanguá</v>
      </c>
      <c r="AE17" s="14" t="str">
        <f t="shared" si="1"/>
        <v>Ciências</v>
      </c>
    </row>
    <row r="18" spans="1:31" s="14" customFormat="1" ht="105" customHeight="1" x14ac:dyDescent="0.3">
      <c r="A18" s="24" t="s">
        <v>55</v>
      </c>
      <c r="B18" s="21" t="s">
        <v>6</v>
      </c>
      <c r="C18" s="21" t="s">
        <v>7</v>
      </c>
      <c r="D18" s="21" t="s">
        <v>8</v>
      </c>
      <c r="E18" s="23">
        <v>45</v>
      </c>
      <c r="F18" s="23">
        <f>_xlfn.NUMBERVALUE(MID(TRIM(Tabela2[[#This Row],[retranca]]), FIND("_", TRIM(Tabela2[[#This Row],[retranca]])) + 1, 1), ",", ".")</f>
        <v>3</v>
      </c>
      <c r="G18" s="23">
        <v>2</v>
      </c>
      <c r="H18" s="23"/>
      <c r="I18" s="24" t="s">
        <v>28</v>
      </c>
      <c r="J18" s="24"/>
      <c r="K18" s="23"/>
      <c r="L18" s="23"/>
      <c r="M18" s="24"/>
      <c r="N18" s="24"/>
      <c r="O18" s="27" t="s">
        <v>56</v>
      </c>
      <c r="P18" s="27"/>
      <c r="Q18" s="23">
        <v>6</v>
      </c>
      <c r="R18" s="25">
        <v>45797</v>
      </c>
      <c r="S18" s="25">
        <v>45798</v>
      </c>
      <c r="T18" s="25"/>
      <c r="U18" s="25"/>
      <c r="V18" s="25">
        <v>45799</v>
      </c>
      <c r="W18" s="23" t="s">
        <v>52</v>
      </c>
      <c r="X18" s="32" t="str">
        <f>IF(Tabela2[[#This Row],[sigla]]="","",VLOOKUP(Tabela2[[#This Row],[sigla]],Tabela14[[#All],[Sigla Arte]:[Crédito]],2,0))</f>
        <v>LUCIANE MORI/ARQUIVO DA EDITORA</v>
      </c>
      <c r="Y18" s="24" t="s">
        <v>53</v>
      </c>
      <c r="Z18" s="24" t="str">
        <f>Tabela2[[#This Row],[ilustrador]]</f>
        <v>LUCIANE MORI/ARQUIVO DA EDITORA</v>
      </c>
      <c r="AA18" s="23">
        <v>13</v>
      </c>
      <c r="AB18" s="21" t="s">
        <v>54</v>
      </c>
      <c r="AC18" s="21" t="s">
        <v>31</v>
      </c>
      <c r="AD18" s="4" t="str">
        <f t="shared" si="0"/>
        <v>Pitanguá</v>
      </c>
      <c r="AE18" s="14" t="str">
        <f t="shared" si="1"/>
        <v>Ciências</v>
      </c>
    </row>
    <row r="19" spans="1:31" s="14" customFormat="1" ht="105" customHeight="1" x14ac:dyDescent="0.3">
      <c r="A19" s="24" t="s">
        <v>57</v>
      </c>
      <c r="B19" s="21" t="s">
        <v>6</v>
      </c>
      <c r="C19" s="21" t="s">
        <v>7</v>
      </c>
      <c r="D19" s="21" t="s">
        <v>8</v>
      </c>
      <c r="E19" s="23">
        <v>45</v>
      </c>
      <c r="F19" s="23">
        <f>_xlfn.NUMBERVALUE(MID(TRIM(Tabela2[[#This Row],[retranca]]), FIND("_", TRIM(Tabela2[[#This Row],[retranca]])) + 1, 1), ",", ".")</f>
        <v>3</v>
      </c>
      <c r="G19" s="23">
        <v>2</v>
      </c>
      <c r="H19" s="23"/>
      <c r="I19" s="24" t="s">
        <v>28</v>
      </c>
      <c r="J19" s="24"/>
      <c r="K19" s="23"/>
      <c r="L19" s="23"/>
      <c r="M19" s="24"/>
      <c r="N19" s="24"/>
      <c r="O19" s="27" t="s">
        <v>58</v>
      </c>
      <c r="P19" s="27"/>
      <c r="Q19" s="23">
        <v>6</v>
      </c>
      <c r="R19" s="25">
        <v>45797</v>
      </c>
      <c r="S19" s="25">
        <v>45798</v>
      </c>
      <c r="T19" s="25"/>
      <c r="U19" s="25"/>
      <c r="V19" s="25">
        <v>45799</v>
      </c>
      <c r="W19" s="23" t="s">
        <v>52</v>
      </c>
      <c r="X19" s="32" t="str">
        <f>IF(Tabela2[[#This Row],[sigla]]="","",VLOOKUP(Tabela2[[#This Row],[sigla]],Tabela14[[#All],[Sigla Arte]:[Crédito]],2,0))</f>
        <v>LUCIANE MORI/ARQUIVO DA EDITORA</v>
      </c>
      <c r="Y19" s="24" t="s">
        <v>53</v>
      </c>
      <c r="Z19" s="24" t="str">
        <f>Tabela2[[#This Row],[ilustrador]]</f>
        <v>LUCIANE MORI/ARQUIVO DA EDITORA</v>
      </c>
      <c r="AA19" s="23">
        <v>13</v>
      </c>
      <c r="AB19" s="21" t="s">
        <v>54</v>
      </c>
      <c r="AC19" s="21" t="s">
        <v>31</v>
      </c>
      <c r="AD19" s="4" t="str">
        <f t="shared" si="0"/>
        <v>Pitanguá</v>
      </c>
      <c r="AE19" s="14" t="str">
        <f t="shared" si="1"/>
        <v>Ciências</v>
      </c>
    </row>
    <row r="20" spans="1:31" s="14" customFormat="1" ht="120" customHeight="1" x14ac:dyDescent="0.3">
      <c r="A20" s="24" t="s">
        <v>59</v>
      </c>
      <c r="B20" s="21" t="s">
        <v>6</v>
      </c>
      <c r="C20" s="21" t="s">
        <v>7</v>
      </c>
      <c r="D20" s="21" t="s">
        <v>8</v>
      </c>
      <c r="E20" s="23">
        <v>51</v>
      </c>
      <c r="F20" s="23">
        <f>_xlfn.NUMBERVALUE(MID(TRIM(Tabela2[[#This Row],[retranca]]), FIND("_", TRIM(Tabela2[[#This Row],[retranca]])) + 1, 1), ",", ".")</f>
        <v>3</v>
      </c>
      <c r="G20" s="23">
        <v>2</v>
      </c>
      <c r="H20" s="23"/>
      <c r="I20" s="24" t="s">
        <v>28</v>
      </c>
      <c r="J20" s="24"/>
      <c r="K20" s="23"/>
      <c r="L20" s="23"/>
      <c r="M20" s="24"/>
      <c r="N20" s="24"/>
      <c r="O20" s="27" t="s">
        <v>60</v>
      </c>
      <c r="P20" s="27"/>
      <c r="Q20" s="23">
        <v>1</v>
      </c>
      <c r="R20" s="25">
        <v>45723</v>
      </c>
      <c r="S20" s="25">
        <v>45723</v>
      </c>
      <c r="T20" s="25"/>
      <c r="U20" s="25"/>
      <c r="V20" s="25">
        <v>45728</v>
      </c>
      <c r="W20" s="23" t="s">
        <v>61</v>
      </c>
      <c r="X20" s="32" t="str">
        <f>IF(Tabela2[[#This Row],[sigla]]="","",VLOOKUP(Tabela2[[#This Row],[sigla]],Tabela14[[#All],[Sigla Arte]:[Crédito]],2,0))</f>
        <v>THAMIRES PAREDES/ARQUIVO DA EDITORA</v>
      </c>
      <c r="Y20" s="24" t="s">
        <v>30</v>
      </c>
      <c r="Z20" s="24" t="str">
        <f>Tabela2[[#This Row],[ilustrador]]</f>
        <v>THAMIRES PAREDES/ARQUIVO DA EDITORA</v>
      </c>
      <c r="AA20" s="23">
        <v>13</v>
      </c>
      <c r="AB20" s="21"/>
      <c r="AC20" s="21" t="s">
        <v>31</v>
      </c>
      <c r="AD20" s="4" t="str">
        <f t="shared" si="0"/>
        <v>Pitanguá</v>
      </c>
      <c r="AE20" s="14" t="str">
        <f t="shared" si="1"/>
        <v>Ciências</v>
      </c>
    </row>
    <row r="21" spans="1:31" s="14" customFormat="1" ht="30" customHeight="1" x14ac:dyDescent="0.3">
      <c r="A21" s="24" t="s">
        <v>62</v>
      </c>
      <c r="B21" s="21" t="s">
        <v>63</v>
      </c>
      <c r="C21" s="21" t="s">
        <v>7</v>
      </c>
      <c r="D21" s="21" t="s">
        <v>8</v>
      </c>
      <c r="E21" s="23">
        <v>52</v>
      </c>
      <c r="F21" s="23">
        <f>_xlfn.NUMBERVALUE(MID(TRIM(Tabela2[[#This Row],[retranca]]), FIND("_", TRIM(Tabela2[[#This Row],[retranca]])) + 1, 1), ",", ".")</f>
        <v>3</v>
      </c>
      <c r="G21" s="23">
        <v>2</v>
      </c>
      <c r="H21" s="23"/>
      <c r="I21" s="24" t="s">
        <v>9</v>
      </c>
      <c r="J21" s="24"/>
      <c r="K21" s="23"/>
      <c r="L21" s="23"/>
      <c r="M21" s="24"/>
      <c r="N21" s="24"/>
      <c r="O21" s="27" t="s">
        <v>64</v>
      </c>
      <c r="P21" s="27" t="s">
        <v>65</v>
      </c>
      <c r="Q21" s="23">
        <v>1</v>
      </c>
      <c r="R21" s="25">
        <v>45723</v>
      </c>
      <c r="S21" s="25">
        <v>45723</v>
      </c>
      <c r="T21" s="25"/>
      <c r="U21" s="25"/>
      <c r="V21" s="25">
        <v>45728</v>
      </c>
      <c r="W21" s="23" t="s">
        <v>61</v>
      </c>
      <c r="X21" s="32" t="str">
        <f>IF(Tabela2[[#This Row],[sigla]]="","",VLOOKUP(Tabela2[[#This Row],[sigla]],Tabela14[[#All],[Sigla Arte]:[Crédito]],2,0))</f>
        <v>THAMIRES PAREDES/ARQUIVO DA EDITORA</v>
      </c>
      <c r="Y21" s="24" t="s">
        <v>30</v>
      </c>
      <c r="Z21" s="24" t="str">
        <f>Tabela2[[#This Row],[ilustrador]]</f>
        <v>THAMIRES PAREDES/ARQUIVO DA EDITORA</v>
      </c>
      <c r="AA21" s="23">
        <v>14</v>
      </c>
      <c r="AB21" s="21"/>
      <c r="AC21" s="21" t="s">
        <v>31</v>
      </c>
      <c r="AD21" s="4" t="str">
        <f t="shared" si="0"/>
        <v>Pitanguá</v>
      </c>
      <c r="AE21" s="14" t="str">
        <f t="shared" si="1"/>
        <v>Ciências</v>
      </c>
    </row>
    <row r="22" spans="1:31" s="14" customFormat="1" ht="30" customHeight="1" x14ac:dyDescent="0.3">
      <c r="A22" s="24" t="s">
        <v>66</v>
      </c>
      <c r="B22" s="21" t="s">
        <v>6</v>
      </c>
      <c r="C22" s="21" t="s">
        <v>7</v>
      </c>
      <c r="D22" s="21" t="s">
        <v>8</v>
      </c>
      <c r="E22" s="23">
        <v>52</v>
      </c>
      <c r="F22" s="23">
        <f>_xlfn.NUMBERVALUE(MID(TRIM(Tabela2[[#This Row],[retranca]]), FIND("_", TRIM(Tabela2[[#This Row],[retranca]])) + 1, 1), ",", ".")</f>
        <v>3</v>
      </c>
      <c r="G22" s="23">
        <v>2</v>
      </c>
      <c r="H22" s="23"/>
      <c r="I22" s="24" t="s">
        <v>9</v>
      </c>
      <c r="J22" s="24"/>
      <c r="K22" s="23"/>
      <c r="L22" s="23"/>
      <c r="M22" s="24"/>
      <c r="N22" s="24"/>
      <c r="O22" s="27" t="s">
        <v>67</v>
      </c>
      <c r="P22" s="27"/>
      <c r="Q22" s="23">
        <v>1</v>
      </c>
      <c r="R22" s="25">
        <v>45723</v>
      </c>
      <c r="S22" s="25">
        <v>45723</v>
      </c>
      <c r="T22" s="25"/>
      <c r="U22" s="25"/>
      <c r="V22" s="25">
        <v>45728</v>
      </c>
      <c r="W22" s="23" t="s">
        <v>61</v>
      </c>
      <c r="X22" s="32" t="str">
        <f>IF(Tabela2[[#This Row],[sigla]]="","",VLOOKUP(Tabela2[[#This Row],[sigla]],Tabela14[[#All],[Sigla Arte]:[Crédito]],2,0))</f>
        <v>THAMIRES PAREDES/ARQUIVO DA EDITORA</v>
      </c>
      <c r="Y22" s="24" t="s">
        <v>30</v>
      </c>
      <c r="Z22" s="24" t="str">
        <f>Tabela2[[#This Row],[ilustrador]]</f>
        <v>THAMIRES PAREDES/ARQUIVO DA EDITORA</v>
      </c>
      <c r="AA22" s="23">
        <v>14</v>
      </c>
      <c r="AB22" s="21"/>
      <c r="AC22" s="21" t="s">
        <v>31</v>
      </c>
      <c r="AD22" s="4" t="str">
        <f t="shared" si="0"/>
        <v>Pitanguá</v>
      </c>
      <c r="AE22" s="14" t="str">
        <f t="shared" si="1"/>
        <v>Ciências</v>
      </c>
    </row>
    <row r="23" spans="1:31" s="14" customFormat="1" ht="30" customHeight="1" x14ac:dyDescent="0.3">
      <c r="A23" s="24" t="s">
        <v>68</v>
      </c>
      <c r="B23" s="21" t="s">
        <v>6</v>
      </c>
      <c r="C23" s="21" t="s">
        <v>7</v>
      </c>
      <c r="D23" s="21" t="s">
        <v>8</v>
      </c>
      <c r="E23" s="23">
        <v>52</v>
      </c>
      <c r="F23" s="23">
        <f>_xlfn.NUMBERVALUE(MID(TRIM(Tabela2[[#This Row],[retranca]]), FIND("_", TRIM(Tabela2[[#This Row],[retranca]])) + 1, 1), ",", ".")</f>
        <v>3</v>
      </c>
      <c r="G23" s="23">
        <v>2</v>
      </c>
      <c r="H23" s="23"/>
      <c r="I23" s="24" t="s">
        <v>9</v>
      </c>
      <c r="J23" s="24"/>
      <c r="K23" s="23"/>
      <c r="L23" s="23"/>
      <c r="M23" s="24"/>
      <c r="N23" s="24"/>
      <c r="O23" s="27" t="s">
        <v>69</v>
      </c>
      <c r="P23" s="27"/>
      <c r="Q23" s="23">
        <v>1</v>
      </c>
      <c r="R23" s="25">
        <v>45723</v>
      </c>
      <c r="S23" s="25">
        <v>45723</v>
      </c>
      <c r="T23" s="25"/>
      <c r="U23" s="25"/>
      <c r="V23" s="25">
        <v>45728</v>
      </c>
      <c r="W23" s="23" t="s">
        <v>61</v>
      </c>
      <c r="X23" s="32" t="str">
        <f>IF(Tabela2[[#This Row],[sigla]]="","",VLOOKUP(Tabela2[[#This Row],[sigla]],Tabela14[[#All],[Sigla Arte]:[Crédito]],2,0))</f>
        <v>THAMIRES PAREDES/ARQUIVO DA EDITORA</v>
      </c>
      <c r="Y23" s="24" t="s">
        <v>30</v>
      </c>
      <c r="Z23" s="24" t="str">
        <f>Tabela2[[#This Row],[ilustrador]]</f>
        <v>THAMIRES PAREDES/ARQUIVO DA EDITORA</v>
      </c>
      <c r="AA23" s="23">
        <v>14</v>
      </c>
      <c r="AB23" s="21"/>
      <c r="AC23" s="21" t="s">
        <v>31</v>
      </c>
      <c r="AD23" s="4" t="str">
        <f t="shared" si="0"/>
        <v>Pitanguá</v>
      </c>
      <c r="AE23" s="14" t="str">
        <f t="shared" si="1"/>
        <v>Ciências</v>
      </c>
    </row>
    <row r="24" spans="1:31" s="14" customFormat="1" ht="45" customHeight="1" x14ac:dyDescent="0.3">
      <c r="A24" s="24" t="s">
        <v>70</v>
      </c>
      <c r="B24" s="21" t="s">
        <v>6</v>
      </c>
      <c r="C24" s="21" t="s">
        <v>7</v>
      </c>
      <c r="D24" s="21" t="s">
        <v>8</v>
      </c>
      <c r="E24" s="23">
        <v>52</v>
      </c>
      <c r="F24" s="23">
        <f>_xlfn.NUMBERVALUE(MID(TRIM(Tabela2[[#This Row],[retranca]]), FIND("_", TRIM(Tabela2[[#This Row],[retranca]])) + 1, 1), ",", ".")</f>
        <v>3</v>
      </c>
      <c r="G24" s="23">
        <v>2</v>
      </c>
      <c r="H24" s="23"/>
      <c r="I24" s="24" t="s">
        <v>9</v>
      </c>
      <c r="J24" s="24"/>
      <c r="K24" s="23"/>
      <c r="L24" s="23"/>
      <c r="M24" s="24"/>
      <c r="N24" s="24"/>
      <c r="O24" s="27" t="s">
        <v>71</v>
      </c>
      <c r="P24" s="27"/>
      <c r="Q24" s="23">
        <v>1</v>
      </c>
      <c r="R24" s="25">
        <v>45723</v>
      </c>
      <c r="S24" s="25">
        <v>45723</v>
      </c>
      <c r="T24" s="25"/>
      <c r="U24" s="25"/>
      <c r="V24" s="25">
        <v>45728</v>
      </c>
      <c r="W24" s="23" t="s">
        <v>61</v>
      </c>
      <c r="X24" s="32" t="str">
        <f>IF(Tabela2[[#This Row],[sigla]]="","",VLOOKUP(Tabela2[[#This Row],[sigla]],Tabela14[[#All],[Sigla Arte]:[Crédito]],2,0))</f>
        <v>THAMIRES PAREDES/ARQUIVO DA EDITORA</v>
      </c>
      <c r="Y24" s="24" t="s">
        <v>30</v>
      </c>
      <c r="Z24" s="24" t="str">
        <f>Tabela2[[#This Row],[ilustrador]]</f>
        <v>THAMIRES PAREDES/ARQUIVO DA EDITORA</v>
      </c>
      <c r="AA24" s="23">
        <v>14</v>
      </c>
      <c r="AB24" s="21"/>
      <c r="AC24" s="21" t="s">
        <v>31</v>
      </c>
      <c r="AD24" s="4" t="str">
        <f t="shared" si="0"/>
        <v>Pitanguá</v>
      </c>
      <c r="AE24" s="14" t="str">
        <f t="shared" si="1"/>
        <v>Ciências</v>
      </c>
    </row>
    <row r="25" spans="1:31" s="14" customFormat="1" ht="30" customHeight="1" x14ac:dyDescent="0.3">
      <c r="A25" s="24" t="s">
        <v>72</v>
      </c>
      <c r="B25" s="21" t="s">
        <v>6</v>
      </c>
      <c r="C25" s="21" t="s">
        <v>7</v>
      </c>
      <c r="D25" s="21" t="s">
        <v>8</v>
      </c>
      <c r="E25" s="23">
        <v>52</v>
      </c>
      <c r="F25" s="23">
        <f>_xlfn.NUMBERVALUE(MID(TRIM(Tabela2[[#This Row],[retranca]]), FIND("_", TRIM(Tabela2[[#This Row],[retranca]])) + 1, 1), ",", ".")</f>
        <v>3</v>
      </c>
      <c r="G25" s="23">
        <v>2</v>
      </c>
      <c r="H25" s="23"/>
      <c r="I25" s="24" t="s">
        <v>9</v>
      </c>
      <c r="J25" s="24"/>
      <c r="K25" s="23"/>
      <c r="L25" s="23"/>
      <c r="M25" s="24"/>
      <c r="N25" s="24"/>
      <c r="O25" s="27" t="s">
        <v>73</v>
      </c>
      <c r="P25" s="27"/>
      <c r="Q25" s="23">
        <v>1</v>
      </c>
      <c r="R25" s="25">
        <v>45723</v>
      </c>
      <c r="S25" s="25">
        <v>45723</v>
      </c>
      <c r="T25" s="25"/>
      <c r="U25" s="25"/>
      <c r="V25" s="25">
        <v>45728</v>
      </c>
      <c r="W25" s="23" t="s">
        <v>61</v>
      </c>
      <c r="X25" s="32" t="str">
        <f>IF(Tabela2[[#This Row],[sigla]]="","",VLOOKUP(Tabela2[[#This Row],[sigla]],Tabela14[[#All],[Sigla Arte]:[Crédito]],2,0))</f>
        <v>THAMIRES PAREDES/ARQUIVO DA EDITORA</v>
      </c>
      <c r="Y25" s="24" t="s">
        <v>30</v>
      </c>
      <c r="Z25" s="24" t="str">
        <f>Tabela2[[#This Row],[ilustrador]]</f>
        <v>THAMIRES PAREDES/ARQUIVO DA EDITORA</v>
      </c>
      <c r="AA25" s="23">
        <v>14</v>
      </c>
      <c r="AB25" s="21"/>
      <c r="AC25" s="21" t="s">
        <v>31</v>
      </c>
      <c r="AD25" s="4" t="str">
        <f t="shared" si="0"/>
        <v>Pitanguá</v>
      </c>
      <c r="AE25" s="14" t="str">
        <f t="shared" si="1"/>
        <v>Ciências</v>
      </c>
    </row>
    <row r="26" spans="1:31" s="14" customFormat="1" ht="30" customHeight="1" x14ac:dyDescent="0.3">
      <c r="A26" s="24" t="s">
        <v>74</v>
      </c>
      <c r="B26" s="21" t="s">
        <v>6</v>
      </c>
      <c r="C26" s="21" t="s">
        <v>7</v>
      </c>
      <c r="D26" s="21" t="s">
        <v>8</v>
      </c>
      <c r="E26" s="23">
        <v>52</v>
      </c>
      <c r="F26" s="23">
        <f>_xlfn.NUMBERVALUE(MID(TRIM(Tabela2[[#This Row],[retranca]]), FIND("_", TRIM(Tabela2[[#This Row],[retranca]])) + 1, 1), ",", ".")</f>
        <v>3</v>
      </c>
      <c r="G26" s="23">
        <v>2</v>
      </c>
      <c r="H26" s="23"/>
      <c r="I26" s="24" t="s">
        <v>9</v>
      </c>
      <c r="J26" s="24"/>
      <c r="K26" s="23"/>
      <c r="L26" s="23"/>
      <c r="M26" s="24"/>
      <c r="N26" s="24"/>
      <c r="O26" s="27" t="s">
        <v>75</v>
      </c>
      <c r="P26" s="27"/>
      <c r="Q26" s="23">
        <v>1</v>
      </c>
      <c r="R26" s="25">
        <v>45723</v>
      </c>
      <c r="S26" s="25">
        <v>45723</v>
      </c>
      <c r="T26" s="25"/>
      <c r="U26" s="25"/>
      <c r="V26" s="25">
        <v>45728</v>
      </c>
      <c r="W26" s="23" t="s">
        <v>61</v>
      </c>
      <c r="X26" s="32" t="str">
        <f>IF(Tabela2[[#This Row],[sigla]]="","",VLOOKUP(Tabela2[[#This Row],[sigla]],Tabela14[[#All],[Sigla Arte]:[Crédito]],2,0))</f>
        <v>THAMIRES PAREDES/ARQUIVO DA EDITORA</v>
      </c>
      <c r="Y26" s="24" t="s">
        <v>30</v>
      </c>
      <c r="Z26" s="24" t="str">
        <f>Tabela2[[#This Row],[ilustrador]]</f>
        <v>THAMIRES PAREDES/ARQUIVO DA EDITORA</v>
      </c>
      <c r="AA26" s="23">
        <v>14</v>
      </c>
      <c r="AB26" s="21"/>
      <c r="AC26" s="21" t="s">
        <v>31</v>
      </c>
      <c r="AD26" s="4" t="str">
        <f t="shared" si="0"/>
        <v>Pitanguá</v>
      </c>
      <c r="AE26" s="14" t="str">
        <f t="shared" si="1"/>
        <v>Ciências</v>
      </c>
    </row>
    <row r="27" spans="1:31" s="14" customFormat="1" ht="45" customHeight="1" x14ac:dyDescent="0.3">
      <c r="A27" s="24" t="s">
        <v>76</v>
      </c>
      <c r="B27" s="21" t="s">
        <v>6</v>
      </c>
      <c r="C27" s="21" t="s">
        <v>7</v>
      </c>
      <c r="D27" s="21" t="s">
        <v>8</v>
      </c>
      <c r="E27" s="23">
        <v>55</v>
      </c>
      <c r="F27" s="23">
        <f>_xlfn.NUMBERVALUE(MID(TRIM(Tabela2[[#This Row],[retranca]]), FIND("_", TRIM(Tabela2[[#This Row],[retranca]])) + 1, 1), ",", ".")</f>
        <v>3</v>
      </c>
      <c r="G27" s="23">
        <v>2</v>
      </c>
      <c r="H27" s="23"/>
      <c r="I27" s="24" t="s">
        <v>9</v>
      </c>
      <c r="J27" s="24"/>
      <c r="K27" s="23"/>
      <c r="L27" s="23"/>
      <c r="M27" s="24"/>
      <c r="N27" s="24"/>
      <c r="O27" s="27" t="s">
        <v>77</v>
      </c>
      <c r="P27" s="27"/>
      <c r="Q27" s="23">
        <v>1</v>
      </c>
      <c r="R27" s="25">
        <v>45723</v>
      </c>
      <c r="S27" s="25">
        <v>45728</v>
      </c>
      <c r="T27" s="25">
        <v>45734</v>
      </c>
      <c r="U27" s="25">
        <v>45736</v>
      </c>
      <c r="V27" s="25">
        <v>45737</v>
      </c>
      <c r="W27" s="23" t="s">
        <v>78</v>
      </c>
      <c r="X27" s="32" t="str">
        <f>IF(Tabela2[[#This Row],[sigla]]="","",VLOOKUP(Tabela2[[#This Row],[sigla]],Tabela14[[#All],[Sigla Arte]:[Crédito]],2,0))</f>
        <v>HELOÍSA PINTARELLI/ARQUIVO DA EDITORA</v>
      </c>
      <c r="Y27" s="24"/>
      <c r="Z27" s="24" t="str">
        <f>Tabela2[[#This Row],[ilustrador]]</f>
        <v>HELOÍSA PINTARELLI/ARQUIVO DA EDITORA</v>
      </c>
      <c r="AA27" s="23">
        <v>4</v>
      </c>
      <c r="AB27" s="21" t="s">
        <v>79</v>
      </c>
      <c r="AC27" s="21" t="s">
        <v>13</v>
      </c>
      <c r="AD27" s="4" t="str">
        <f t="shared" si="0"/>
        <v>Pitanguá</v>
      </c>
      <c r="AE27" s="14" t="str">
        <f t="shared" si="1"/>
        <v>Ciências</v>
      </c>
    </row>
    <row r="28" spans="1:31" s="14" customFormat="1" ht="75" customHeight="1" x14ac:dyDescent="0.3">
      <c r="A28" s="24" t="s">
        <v>80</v>
      </c>
      <c r="B28" s="21" t="s">
        <v>6</v>
      </c>
      <c r="C28" s="21" t="s">
        <v>7</v>
      </c>
      <c r="D28" s="21" t="s">
        <v>8</v>
      </c>
      <c r="E28" s="23">
        <v>59</v>
      </c>
      <c r="F28" s="23">
        <f>_xlfn.NUMBERVALUE(MID(TRIM(Tabela2[[#This Row],[retranca]]), FIND("_", TRIM(Tabela2[[#This Row],[retranca]])) + 1, 1), ",", ".")</f>
        <v>3</v>
      </c>
      <c r="G28" s="23">
        <v>2</v>
      </c>
      <c r="H28" s="23"/>
      <c r="I28" s="24" t="s">
        <v>28</v>
      </c>
      <c r="J28" s="24"/>
      <c r="K28" s="23"/>
      <c r="L28" s="23"/>
      <c r="M28" s="24"/>
      <c r="N28" s="24"/>
      <c r="O28" s="27" t="s">
        <v>81</v>
      </c>
      <c r="P28" s="27"/>
      <c r="Q28" s="23">
        <v>1</v>
      </c>
      <c r="R28" s="25">
        <v>45723</v>
      </c>
      <c r="S28" s="25">
        <v>45723</v>
      </c>
      <c r="T28" s="25"/>
      <c r="U28" s="25"/>
      <c r="V28" s="25">
        <v>45728</v>
      </c>
      <c r="W28" s="23" t="s">
        <v>26</v>
      </c>
      <c r="X28" s="32" t="str">
        <f>IF(Tabela2[[#This Row],[sigla]]="","",VLOOKUP(Tabela2[[#This Row],[sigla]],Tabela14[[#All],[Sigla Arte]:[Crédito]],2,0))</f>
        <v>SAULO NUNES/ARQUIVO DA EDITORA</v>
      </c>
      <c r="Y28" s="24" t="s">
        <v>30</v>
      </c>
      <c r="Z28" s="24" t="str">
        <f>Tabela2[[#This Row],[ilustrador]]</f>
        <v>SAULO NUNES/ARQUIVO DA EDITORA</v>
      </c>
      <c r="AA28" s="23">
        <v>14</v>
      </c>
      <c r="AB28" s="21"/>
      <c r="AC28" s="21" t="s">
        <v>31</v>
      </c>
      <c r="AD28" s="4" t="str">
        <f t="shared" si="0"/>
        <v>Pitanguá</v>
      </c>
      <c r="AE28" s="14" t="str">
        <f t="shared" si="1"/>
        <v>Ciências</v>
      </c>
    </row>
    <row r="29" spans="1:31" s="14" customFormat="1" ht="90" customHeight="1" x14ac:dyDescent="0.3">
      <c r="A29" s="24" t="s">
        <v>82</v>
      </c>
      <c r="B29" s="21" t="s">
        <v>6</v>
      </c>
      <c r="C29" s="21" t="s">
        <v>7</v>
      </c>
      <c r="D29" s="21" t="s">
        <v>8</v>
      </c>
      <c r="E29" s="23">
        <v>59</v>
      </c>
      <c r="F29" s="23">
        <f>_xlfn.NUMBERVALUE(MID(TRIM(Tabela2[[#This Row],[retranca]]), FIND("_", TRIM(Tabela2[[#This Row],[retranca]])) + 1, 1), ",", ".")</f>
        <v>3</v>
      </c>
      <c r="G29" s="23">
        <v>2</v>
      </c>
      <c r="H29" s="23"/>
      <c r="I29" s="24" t="s">
        <v>28</v>
      </c>
      <c r="J29" s="24"/>
      <c r="K29" s="23"/>
      <c r="L29" s="23"/>
      <c r="M29" s="24"/>
      <c r="N29" s="24"/>
      <c r="O29" s="27" t="s">
        <v>83</v>
      </c>
      <c r="P29" s="27"/>
      <c r="Q29" s="23">
        <v>1</v>
      </c>
      <c r="R29" s="25">
        <v>45723</v>
      </c>
      <c r="S29" s="25">
        <v>45723</v>
      </c>
      <c r="T29" s="25"/>
      <c r="U29" s="25"/>
      <c r="V29" s="25">
        <v>45728</v>
      </c>
      <c r="W29" s="23" t="s">
        <v>26</v>
      </c>
      <c r="X29" s="32" t="str">
        <f>IF(Tabela2[[#This Row],[sigla]]="","",VLOOKUP(Tabela2[[#This Row],[sigla]],Tabela14[[#All],[Sigla Arte]:[Crédito]],2,0))</f>
        <v>SAULO NUNES/ARQUIVO DA EDITORA</v>
      </c>
      <c r="Y29" s="24" t="s">
        <v>30</v>
      </c>
      <c r="Z29" s="24" t="str">
        <f>Tabela2[[#This Row],[ilustrador]]</f>
        <v>SAULO NUNES/ARQUIVO DA EDITORA</v>
      </c>
      <c r="AA29" s="23">
        <v>14</v>
      </c>
      <c r="AB29" s="21"/>
      <c r="AC29" s="21" t="s">
        <v>31</v>
      </c>
      <c r="AD29" s="4" t="str">
        <f t="shared" si="0"/>
        <v>Pitanguá</v>
      </c>
      <c r="AE29" s="14" t="str">
        <f t="shared" si="1"/>
        <v>Ciências</v>
      </c>
    </row>
    <row r="30" spans="1:31" s="14" customFormat="1" ht="75" customHeight="1" x14ac:dyDescent="0.3">
      <c r="A30" s="24" t="s">
        <v>84</v>
      </c>
      <c r="B30" s="21" t="s">
        <v>6</v>
      </c>
      <c r="C30" s="21" t="s">
        <v>7</v>
      </c>
      <c r="D30" s="21" t="s">
        <v>8</v>
      </c>
      <c r="E30" s="23">
        <v>59</v>
      </c>
      <c r="F30" s="23">
        <f>_xlfn.NUMBERVALUE(MID(TRIM(Tabela2[[#This Row],[retranca]]), FIND("_", TRIM(Tabela2[[#This Row],[retranca]])) + 1, 1), ",", ".")</f>
        <v>3</v>
      </c>
      <c r="G30" s="23">
        <v>2</v>
      </c>
      <c r="H30" s="23"/>
      <c r="I30" s="24" t="s">
        <v>28</v>
      </c>
      <c r="J30" s="24"/>
      <c r="K30" s="23"/>
      <c r="L30" s="23"/>
      <c r="M30" s="24"/>
      <c r="N30" s="24"/>
      <c r="O30" s="27" t="s">
        <v>85</v>
      </c>
      <c r="P30" s="27"/>
      <c r="Q30" s="23">
        <v>1</v>
      </c>
      <c r="R30" s="25">
        <v>45723</v>
      </c>
      <c r="S30" s="25">
        <v>45723</v>
      </c>
      <c r="T30" s="25"/>
      <c r="U30" s="25"/>
      <c r="V30" s="25">
        <v>45728</v>
      </c>
      <c r="W30" s="23" t="s">
        <v>26</v>
      </c>
      <c r="X30" s="32" t="str">
        <f>IF(Tabela2[[#This Row],[sigla]]="","",VLOOKUP(Tabela2[[#This Row],[sigla]],Tabela14[[#All],[Sigla Arte]:[Crédito]],2,0))</f>
        <v>SAULO NUNES/ARQUIVO DA EDITORA</v>
      </c>
      <c r="Y30" s="24" t="s">
        <v>30</v>
      </c>
      <c r="Z30" s="24" t="str">
        <f>Tabela2[[#This Row],[ilustrador]]</f>
        <v>SAULO NUNES/ARQUIVO DA EDITORA</v>
      </c>
      <c r="AA30" s="23">
        <v>14</v>
      </c>
      <c r="AB30" s="21"/>
      <c r="AC30" s="21" t="s">
        <v>31</v>
      </c>
      <c r="AD30" s="4" t="str">
        <f t="shared" si="0"/>
        <v>Pitanguá</v>
      </c>
      <c r="AE30" s="14" t="str">
        <f t="shared" si="1"/>
        <v>Ciências</v>
      </c>
    </row>
    <row r="31" spans="1:31" s="14" customFormat="1" ht="45" customHeight="1" x14ac:dyDescent="0.3">
      <c r="A31" s="24" t="s">
        <v>86</v>
      </c>
      <c r="B31" s="21" t="s">
        <v>63</v>
      </c>
      <c r="C31" s="21" t="s">
        <v>7</v>
      </c>
      <c r="D31" s="21" t="s">
        <v>8</v>
      </c>
      <c r="E31" s="23">
        <v>68</v>
      </c>
      <c r="F31" s="23">
        <f>_xlfn.NUMBERVALUE(MID(TRIM(Tabela2[[#This Row],[retranca]]), FIND("_", TRIM(Tabela2[[#This Row],[retranca]])) + 1, 1), ",", ".")</f>
        <v>3</v>
      </c>
      <c r="G31" s="23">
        <v>2</v>
      </c>
      <c r="H31" s="23"/>
      <c r="I31" s="24" t="s">
        <v>15</v>
      </c>
      <c r="J31" s="24"/>
      <c r="K31" s="23"/>
      <c r="L31" s="23"/>
      <c r="M31" s="24"/>
      <c r="N31" s="24"/>
      <c r="O31" s="27" t="s">
        <v>87</v>
      </c>
      <c r="P31" s="27" t="s">
        <v>88</v>
      </c>
      <c r="Q31" s="23"/>
      <c r="R31" s="25"/>
      <c r="S31" s="25"/>
      <c r="T31" s="25"/>
      <c r="U31" s="25"/>
      <c r="V31" s="25"/>
      <c r="W31" s="23" t="s">
        <v>89</v>
      </c>
      <c r="X31" s="32" t="str">
        <f>IF(Tabela2[[#This Row],[sigla]]="","",VLOOKUP(Tabela2[[#This Row],[sigla]],Tabela14[[#All],[Sigla Arte]:[Crédito]],2,0))</f>
        <v>LISLLEY GOMES FEIGE/ARQUIVO DA EDITORA</v>
      </c>
      <c r="Y31" s="24"/>
      <c r="Z31" s="24" t="str">
        <f>Tabela2[[#This Row],[ilustrador]]</f>
        <v>LISLLEY GOMES FEIGE/ARQUIVO DA EDITORA</v>
      </c>
      <c r="AA31" s="23"/>
      <c r="AB31" s="21"/>
      <c r="AC31" s="21"/>
      <c r="AD31" s="4" t="str">
        <f t="shared" si="0"/>
        <v>Pitanguá</v>
      </c>
      <c r="AE31" s="14" t="str">
        <f t="shared" si="1"/>
        <v>Ciências</v>
      </c>
    </row>
    <row r="32" spans="1:31" s="14" customFormat="1" ht="105" customHeight="1" x14ac:dyDescent="0.3">
      <c r="A32" s="24" t="s">
        <v>90</v>
      </c>
      <c r="B32" s="21" t="s">
        <v>6</v>
      </c>
      <c r="C32" s="21" t="s">
        <v>7</v>
      </c>
      <c r="D32" s="21" t="s">
        <v>8</v>
      </c>
      <c r="E32" s="23">
        <v>68</v>
      </c>
      <c r="F32" s="23">
        <f>_xlfn.NUMBERVALUE(MID(TRIM(Tabela2[[#This Row],[retranca]]), FIND("_", TRIM(Tabela2[[#This Row],[retranca]])) + 1, 1), ",", ".")</f>
        <v>3</v>
      </c>
      <c r="G32" s="23">
        <v>2</v>
      </c>
      <c r="H32" s="23"/>
      <c r="I32" s="24" t="s">
        <v>28</v>
      </c>
      <c r="J32" s="24"/>
      <c r="K32" s="23"/>
      <c r="L32" s="23"/>
      <c r="M32" s="24"/>
      <c r="N32" s="24"/>
      <c r="O32" s="27" t="s">
        <v>91</v>
      </c>
      <c r="P32" s="27"/>
      <c r="Q32" s="23">
        <v>1</v>
      </c>
      <c r="R32" s="25">
        <v>45723</v>
      </c>
      <c r="S32" s="25">
        <v>45723</v>
      </c>
      <c r="T32" s="25"/>
      <c r="U32" s="25"/>
      <c r="V32" s="25">
        <v>45728</v>
      </c>
      <c r="W32" s="23" t="s">
        <v>61</v>
      </c>
      <c r="X32" s="32" t="str">
        <f>IF(Tabela2[[#This Row],[sigla]]="","",VLOOKUP(Tabela2[[#This Row],[sigla]],Tabela14[[#All],[Sigla Arte]:[Crédito]],2,0))</f>
        <v>THAMIRES PAREDES/ARQUIVO DA EDITORA</v>
      </c>
      <c r="Y32" s="24" t="s">
        <v>30</v>
      </c>
      <c r="Z32" s="24" t="str">
        <f>Tabela2[[#This Row],[ilustrador]]</f>
        <v>THAMIRES PAREDES/ARQUIVO DA EDITORA</v>
      </c>
      <c r="AA32" s="23">
        <v>14</v>
      </c>
      <c r="AB32" s="21"/>
      <c r="AC32" s="21" t="s">
        <v>31</v>
      </c>
      <c r="AD32" s="4" t="str">
        <f t="shared" si="0"/>
        <v>Pitanguá</v>
      </c>
      <c r="AE32" s="14" t="str">
        <f t="shared" si="1"/>
        <v>Ciências</v>
      </c>
    </row>
    <row r="33" spans="1:31" s="14" customFormat="1" ht="165" customHeight="1" x14ac:dyDescent="0.3">
      <c r="A33" s="24" t="s">
        <v>92</v>
      </c>
      <c r="B33" s="21" t="s">
        <v>63</v>
      </c>
      <c r="C33" s="21" t="s">
        <v>7</v>
      </c>
      <c r="D33" s="21" t="s">
        <v>8</v>
      </c>
      <c r="E33" s="23">
        <v>70</v>
      </c>
      <c r="F33" s="23">
        <f>_xlfn.NUMBERVALUE(MID(TRIM(Tabela2[[#This Row],[retranca]]), FIND("_", TRIM(Tabela2[[#This Row],[retranca]])) + 1, 1), ",", ".")</f>
        <v>3</v>
      </c>
      <c r="G33" s="23">
        <v>2</v>
      </c>
      <c r="H33" s="23"/>
      <c r="I33" s="24" t="s">
        <v>28</v>
      </c>
      <c r="J33" s="24"/>
      <c r="K33" s="23"/>
      <c r="L33" s="23"/>
      <c r="M33" s="24"/>
      <c r="N33" s="24"/>
      <c r="O33" s="27" t="s">
        <v>93</v>
      </c>
      <c r="P33" s="27" t="s">
        <v>94</v>
      </c>
      <c r="Q33" s="23"/>
      <c r="R33" s="25"/>
      <c r="S33" s="25">
        <v>45798</v>
      </c>
      <c r="T33" s="25"/>
      <c r="U33" s="25"/>
      <c r="V33" s="25">
        <v>45799</v>
      </c>
      <c r="W33" s="23" t="s">
        <v>95</v>
      </c>
      <c r="X33" s="32" t="str">
        <f>IF(Tabela2[[#This Row],[sigla]]="","",VLOOKUP(Tabela2[[#This Row],[sigla]],Tabela14[[#All],[Sigla Arte]:[Crédito]],2,0))</f>
        <v>VER DOCUMENTO DE ILS. TÉCNICAS</v>
      </c>
      <c r="Y33" s="24" t="s">
        <v>53</v>
      </c>
      <c r="Z33" s="30" t="s">
        <v>96</v>
      </c>
      <c r="AA33" s="23">
        <v>13</v>
      </c>
      <c r="AB33" s="21" t="s">
        <v>54</v>
      </c>
      <c r="AC33" s="21" t="s">
        <v>31</v>
      </c>
      <c r="AD33" s="4" t="str">
        <f t="shared" si="0"/>
        <v>Pitanguá</v>
      </c>
      <c r="AE33" s="14" t="str">
        <f t="shared" si="1"/>
        <v>Ciências</v>
      </c>
    </row>
    <row r="34" spans="1:31" s="14" customFormat="1" ht="60" customHeight="1" x14ac:dyDescent="0.3">
      <c r="A34" s="24" t="s">
        <v>97</v>
      </c>
      <c r="B34" s="21" t="s">
        <v>6</v>
      </c>
      <c r="C34" s="21" t="s">
        <v>7</v>
      </c>
      <c r="D34" s="21" t="s">
        <v>8</v>
      </c>
      <c r="E34" s="23">
        <v>71</v>
      </c>
      <c r="F34" s="23">
        <f>_xlfn.NUMBERVALUE(MID(TRIM(Tabela2[[#This Row],[retranca]]), FIND("_", TRIM(Tabela2[[#This Row],[retranca]])) + 1, 1), ",", ".")</f>
        <v>3</v>
      </c>
      <c r="G34" s="23">
        <v>2</v>
      </c>
      <c r="H34" s="23"/>
      <c r="I34" s="24" t="s">
        <v>15</v>
      </c>
      <c r="J34" s="24"/>
      <c r="K34" s="23"/>
      <c r="L34" s="23"/>
      <c r="M34" s="24"/>
      <c r="N34" s="24"/>
      <c r="O34" s="27" t="s">
        <v>98</v>
      </c>
      <c r="P34" s="27"/>
      <c r="Q34" s="23"/>
      <c r="R34" s="25"/>
      <c r="S34" s="25"/>
      <c r="T34" s="25"/>
      <c r="U34" s="25"/>
      <c r="V34" s="25"/>
      <c r="W34" s="23" t="s">
        <v>61</v>
      </c>
      <c r="X34" s="32" t="str">
        <f>IF(Tabela2[[#This Row],[sigla]]="","",VLOOKUP(Tabela2[[#This Row],[sigla]],Tabela14[[#All],[Sigla Arte]:[Crédito]],2,0))</f>
        <v>THAMIRES PAREDES/ARQUIVO DA EDITORA</v>
      </c>
      <c r="Y34" s="24"/>
      <c r="Z34" s="24" t="str">
        <f>Tabela2[[#This Row],[ilustrador]]</f>
        <v>THAMIRES PAREDES/ARQUIVO DA EDITORA</v>
      </c>
      <c r="AA34" s="23"/>
      <c r="AB34" s="21"/>
      <c r="AC34" s="21"/>
      <c r="AD34" s="4" t="str">
        <f t="shared" si="0"/>
        <v>Pitanguá</v>
      </c>
      <c r="AE34" s="14" t="str">
        <f t="shared" si="1"/>
        <v>Ciências</v>
      </c>
    </row>
    <row r="35" spans="1:31" s="14" customFormat="1" ht="120" customHeight="1" x14ac:dyDescent="0.3">
      <c r="A35" s="24" t="s">
        <v>99</v>
      </c>
      <c r="B35" s="21" t="s">
        <v>63</v>
      </c>
      <c r="C35" s="21" t="s">
        <v>7</v>
      </c>
      <c r="D35" s="21" t="s">
        <v>8</v>
      </c>
      <c r="E35" s="23">
        <v>71</v>
      </c>
      <c r="F35" s="23">
        <f>_xlfn.NUMBERVALUE(MID(TRIM(Tabela2[[#This Row],[retranca]]), FIND("_", TRIM(Tabela2[[#This Row],[retranca]])) + 1, 1), ",", ".")</f>
        <v>3</v>
      </c>
      <c r="G35" s="31">
        <v>2</v>
      </c>
      <c r="H35" s="23"/>
      <c r="I35" s="24" t="s">
        <v>28</v>
      </c>
      <c r="J35" s="24"/>
      <c r="K35" s="23"/>
      <c r="L35" s="23"/>
      <c r="M35" s="24"/>
      <c r="N35" s="24"/>
      <c r="O35" s="27" t="s">
        <v>100</v>
      </c>
      <c r="P35" s="27" t="s">
        <v>94</v>
      </c>
      <c r="Q35" s="23"/>
      <c r="R35" s="25"/>
      <c r="S35" s="25">
        <v>45798</v>
      </c>
      <c r="T35" s="25"/>
      <c r="U35" s="25"/>
      <c r="V35" s="25">
        <v>45799</v>
      </c>
      <c r="W35" s="23" t="s">
        <v>95</v>
      </c>
      <c r="X35" s="32" t="str">
        <f>IF(Tabela2[[#This Row],[sigla]]="","",VLOOKUP(Tabela2[[#This Row],[sigla]],Tabela14[[#All],[Sigla Arte]:[Crédito]],2,0))</f>
        <v>VER DOCUMENTO DE ILS. TÉCNICAS</v>
      </c>
      <c r="Y35" s="24" t="s">
        <v>53</v>
      </c>
      <c r="Z35" s="30" t="s">
        <v>96</v>
      </c>
      <c r="AA35" s="23">
        <v>13</v>
      </c>
      <c r="AB35" s="21" t="s">
        <v>54</v>
      </c>
      <c r="AC35" s="21" t="s">
        <v>31</v>
      </c>
      <c r="AD35" s="4" t="str">
        <f t="shared" si="0"/>
        <v>Pitanguá</v>
      </c>
      <c r="AE35" s="14" t="str">
        <f t="shared" si="1"/>
        <v>Ciências</v>
      </c>
    </row>
    <row r="36" spans="1:31" s="14" customFormat="1" ht="90" customHeight="1" x14ac:dyDescent="0.3">
      <c r="A36" s="24" t="s">
        <v>101</v>
      </c>
      <c r="B36" s="21" t="s">
        <v>6</v>
      </c>
      <c r="C36" s="21" t="s">
        <v>7</v>
      </c>
      <c r="D36" s="21" t="s">
        <v>8</v>
      </c>
      <c r="E36" s="23">
        <v>72</v>
      </c>
      <c r="F36" s="23">
        <f>_xlfn.NUMBERVALUE(MID(TRIM(Tabela2[[#This Row],[retranca]]), FIND("_", TRIM(Tabela2[[#This Row],[retranca]])) + 1, 1), ",", ".")</f>
        <v>3</v>
      </c>
      <c r="G36" s="23">
        <v>2</v>
      </c>
      <c r="H36" s="23"/>
      <c r="I36" s="24" t="s">
        <v>15</v>
      </c>
      <c r="J36" s="24"/>
      <c r="K36" s="23"/>
      <c r="L36" s="23"/>
      <c r="M36" s="24"/>
      <c r="N36" s="24"/>
      <c r="O36" s="27" t="s">
        <v>102</v>
      </c>
      <c r="P36" s="27"/>
      <c r="Q36" s="23"/>
      <c r="R36" s="25"/>
      <c r="S36" s="25"/>
      <c r="T36" s="25"/>
      <c r="U36" s="25"/>
      <c r="V36" s="25"/>
      <c r="W36" s="23" t="s">
        <v>26</v>
      </c>
      <c r="X36" s="32" t="str">
        <f>IF(Tabela2[[#This Row],[sigla]]="","",VLOOKUP(Tabela2[[#This Row],[sigla]],Tabela14[[#All],[Sigla Arte]:[Crédito]],2,0))</f>
        <v>SAULO NUNES/ARQUIVO DA EDITORA</v>
      </c>
      <c r="Y36" s="24"/>
      <c r="Z36" s="24" t="str">
        <f>Tabela2[[#This Row],[ilustrador]]</f>
        <v>SAULO NUNES/ARQUIVO DA EDITORA</v>
      </c>
      <c r="AA36" s="23"/>
      <c r="AB36" s="21"/>
      <c r="AC36" s="21"/>
      <c r="AD36" s="4" t="str">
        <f t="shared" si="0"/>
        <v>Pitanguá</v>
      </c>
      <c r="AE36" s="14" t="str">
        <f t="shared" si="1"/>
        <v>Ciências</v>
      </c>
    </row>
    <row r="37" spans="1:31" s="14" customFormat="1" ht="75" customHeight="1" x14ac:dyDescent="0.3">
      <c r="A37" s="24" t="s">
        <v>103</v>
      </c>
      <c r="B37" s="21" t="s">
        <v>6</v>
      </c>
      <c r="C37" s="21" t="s">
        <v>7</v>
      </c>
      <c r="D37" s="21" t="s">
        <v>8</v>
      </c>
      <c r="E37" s="23">
        <v>78</v>
      </c>
      <c r="F37" s="23">
        <f>_xlfn.NUMBERVALUE(MID(TRIM(Tabela2[[#This Row],[retranca]]), FIND("_", TRIM(Tabela2[[#This Row],[retranca]])) + 1, 1), ",", ".")</f>
        <v>3</v>
      </c>
      <c r="G37" s="23">
        <v>3</v>
      </c>
      <c r="H37" s="23"/>
      <c r="I37" s="24" t="s">
        <v>28</v>
      </c>
      <c r="J37" s="24"/>
      <c r="K37" s="23"/>
      <c r="L37" s="23"/>
      <c r="M37" s="24"/>
      <c r="N37" s="24"/>
      <c r="O37" s="27" t="s">
        <v>104</v>
      </c>
      <c r="P37" s="27"/>
      <c r="Q37" s="23">
        <v>1</v>
      </c>
      <c r="R37" s="25">
        <v>45723</v>
      </c>
      <c r="S37" s="25">
        <v>45723</v>
      </c>
      <c r="T37" s="25"/>
      <c r="U37" s="25"/>
      <c r="V37" s="25">
        <v>45735</v>
      </c>
      <c r="W37" s="23" t="s">
        <v>11</v>
      </c>
      <c r="X37" s="32" t="str">
        <f>IF(Tabela2[[#This Row],[sigla]]="","",VLOOKUP(Tabela2[[#This Row],[sigla]],Tabela14[[#All],[Sigla Arte]:[Crédito]],2,0))</f>
        <v>LEONARDO DE MOURA AMARAL/ARQUIVO DA EDITORA</v>
      </c>
      <c r="Y37" s="24" t="s">
        <v>53</v>
      </c>
      <c r="Z37" s="24" t="str">
        <f>Tabela2[[#This Row],[ilustrador]]</f>
        <v>LEONARDO DE MOURA AMARAL/ARQUIVO DA EDITORA</v>
      </c>
      <c r="AA37" s="23">
        <v>14</v>
      </c>
      <c r="AB37" s="21" t="s">
        <v>105</v>
      </c>
      <c r="AC37" s="21" t="s">
        <v>31</v>
      </c>
      <c r="AD37" s="4" t="str">
        <f t="shared" si="0"/>
        <v>Pitanguá</v>
      </c>
      <c r="AE37" s="14" t="str">
        <f t="shared" si="1"/>
        <v>Ciências</v>
      </c>
    </row>
    <row r="38" spans="1:31" s="14" customFormat="1" ht="45" customHeight="1" x14ac:dyDescent="0.3">
      <c r="A38" s="24" t="s">
        <v>106</v>
      </c>
      <c r="B38" s="21" t="s">
        <v>6</v>
      </c>
      <c r="C38" s="21" t="s">
        <v>7</v>
      </c>
      <c r="D38" s="21" t="s">
        <v>8</v>
      </c>
      <c r="E38" s="23">
        <v>80</v>
      </c>
      <c r="F38" s="23">
        <f>_xlfn.NUMBERVALUE(MID(TRIM(Tabela2[[#This Row],[retranca]]), FIND("_", TRIM(Tabela2[[#This Row],[retranca]])) + 1, 1), ",", ".")</f>
        <v>3</v>
      </c>
      <c r="G38" s="23">
        <v>3</v>
      </c>
      <c r="H38" s="23"/>
      <c r="I38" s="24" t="s">
        <v>15</v>
      </c>
      <c r="J38" s="24"/>
      <c r="K38" s="23"/>
      <c r="L38" s="23"/>
      <c r="M38" s="24"/>
      <c r="N38" s="24"/>
      <c r="O38" s="27" t="s">
        <v>107</v>
      </c>
      <c r="P38" s="27"/>
      <c r="Q38" s="23"/>
      <c r="R38" s="25"/>
      <c r="S38" s="25"/>
      <c r="T38" s="25"/>
      <c r="U38" s="25"/>
      <c r="V38" s="25"/>
      <c r="W38" s="23" t="s">
        <v>78</v>
      </c>
      <c r="X38" s="32" t="str">
        <f>IF(Tabela2[[#This Row],[sigla]]="","",VLOOKUP(Tabela2[[#This Row],[sigla]],Tabela14[[#All],[Sigla Arte]:[Crédito]],2,0))</f>
        <v>HELOÍSA PINTARELLI/ARQUIVO DA EDITORA</v>
      </c>
      <c r="Y38" s="24"/>
      <c r="Z38" s="24" t="str">
        <f>Tabela2[[#This Row],[ilustrador]]</f>
        <v>HELOÍSA PINTARELLI/ARQUIVO DA EDITORA</v>
      </c>
      <c r="AA38" s="23"/>
      <c r="AB38" s="21"/>
      <c r="AC38" s="21"/>
      <c r="AD38" s="4" t="str">
        <f t="shared" si="0"/>
        <v>Pitanguá</v>
      </c>
      <c r="AE38" s="14" t="str">
        <f t="shared" si="1"/>
        <v>Ciências</v>
      </c>
    </row>
    <row r="39" spans="1:31" s="14" customFormat="1" ht="45" customHeight="1" x14ac:dyDescent="0.3">
      <c r="A39" s="24" t="s">
        <v>108</v>
      </c>
      <c r="B39" s="21" t="s">
        <v>6</v>
      </c>
      <c r="C39" s="21" t="s">
        <v>7</v>
      </c>
      <c r="D39" s="21" t="s">
        <v>8</v>
      </c>
      <c r="E39" s="23">
        <v>80</v>
      </c>
      <c r="F39" s="23">
        <f>_xlfn.NUMBERVALUE(MID(TRIM(Tabela2[[#This Row],[retranca]]), FIND("_", TRIM(Tabela2[[#This Row],[retranca]])) + 1, 1), ",", ".")</f>
        <v>3</v>
      </c>
      <c r="G39" s="23">
        <v>3</v>
      </c>
      <c r="H39" s="23"/>
      <c r="I39" s="24" t="s">
        <v>15</v>
      </c>
      <c r="J39" s="24"/>
      <c r="K39" s="23"/>
      <c r="L39" s="23"/>
      <c r="M39" s="24"/>
      <c r="N39" s="24"/>
      <c r="O39" s="27" t="s">
        <v>109</v>
      </c>
      <c r="P39" s="27"/>
      <c r="Q39" s="23"/>
      <c r="R39" s="25"/>
      <c r="S39" s="25"/>
      <c r="T39" s="25"/>
      <c r="U39" s="25"/>
      <c r="V39" s="25"/>
      <c r="W39" s="23" t="s">
        <v>78</v>
      </c>
      <c r="X39" s="32" t="str">
        <f>IF(Tabela2[[#This Row],[sigla]]="","",VLOOKUP(Tabela2[[#This Row],[sigla]],Tabela14[[#All],[Sigla Arte]:[Crédito]],2,0))</f>
        <v>HELOÍSA PINTARELLI/ARQUIVO DA EDITORA</v>
      </c>
      <c r="Y39" s="24"/>
      <c r="Z39" s="24" t="str">
        <f>Tabela2[[#This Row],[ilustrador]]</f>
        <v>HELOÍSA PINTARELLI/ARQUIVO DA EDITORA</v>
      </c>
      <c r="AA39" s="23"/>
      <c r="AB39" s="21"/>
      <c r="AC39" s="21"/>
      <c r="AD39" s="4" t="str">
        <f t="shared" si="0"/>
        <v>Pitanguá</v>
      </c>
      <c r="AE39" s="14" t="str">
        <f t="shared" si="1"/>
        <v>Ciências</v>
      </c>
    </row>
    <row r="40" spans="1:31" s="14" customFormat="1" ht="45" customHeight="1" x14ac:dyDescent="0.3">
      <c r="A40" s="24" t="s">
        <v>110</v>
      </c>
      <c r="B40" s="21" t="s">
        <v>6</v>
      </c>
      <c r="C40" s="21" t="s">
        <v>7</v>
      </c>
      <c r="D40" s="21" t="s">
        <v>8</v>
      </c>
      <c r="E40" s="23">
        <v>80</v>
      </c>
      <c r="F40" s="23">
        <f>_xlfn.NUMBERVALUE(MID(TRIM(Tabela2[[#This Row],[retranca]]), FIND("_", TRIM(Tabela2[[#This Row],[retranca]])) + 1, 1), ",", ".")</f>
        <v>3</v>
      </c>
      <c r="G40" s="23">
        <v>3</v>
      </c>
      <c r="H40" s="23"/>
      <c r="I40" s="24" t="s">
        <v>15</v>
      </c>
      <c r="J40" s="24"/>
      <c r="K40" s="23"/>
      <c r="L40" s="23"/>
      <c r="M40" s="24"/>
      <c r="N40" s="24"/>
      <c r="O40" s="27" t="s">
        <v>111</v>
      </c>
      <c r="P40" s="27"/>
      <c r="Q40" s="23"/>
      <c r="R40" s="25"/>
      <c r="S40" s="25"/>
      <c r="T40" s="25"/>
      <c r="U40" s="25"/>
      <c r="V40" s="25"/>
      <c r="W40" s="23" t="s">
        <v>78</v>
      </c>
      <c r="X40" s="32" t="str">
        <f>IF(Tabela2[[#This Row],[sigla]]="","",VLOOKUP(Tabela2[[#This Row],[sigla]],Tabela14[[#All],[Sigla Arte]:[Crédito]],2,0))</f>
        <v>HELOÍSA PINTARELLI/ARQUIVO DA EDITORA</v>
      </c>
      <c r="Y40" s="24"/>
      <c r="Z40" s="24" t="str">
        <f>Tabela2[[#This Row],[ilustrador]]</f>
        <v>HELOÍSA PINTARELLI/ARQUIVO DA EDITORA</v>
      </c>
      <c r="AA40" s="23"/>
      <c r="AB40" s="21"/>
      <c r="AC40" s="21"/>
      <c r="AD40" s="4" t="str">
        <f t="shared" si="0"/>
        <v>Pitanguá</v>
      </c>
      <c r="AE40" s="14" t="str">
        <f t="shared" si="1"/>
        <v>Ciências</v>
      </c>
    </row>
    <row r="41" spans="1:31" s="14" customFormat="1" ht="45" customHeight="1" x14ac:dyDescent="0.3">
      <c r="A41" s="24" t="s">
        <v>112</v>
      </c>
      <c r="B41" s="21" t="s">
        <v>6</v>
      </c>
      <c r="C41" s="21" t="s">
        <v>7</v>
      </c>
      <c r="D41" s="21" t="s">
        <v>8</v>
      </c>
      <c r="E41" s="23">
        <v>81</v>
      </c>
      <c r="F41" s="23">
        <f>_xlfn.NUMBERVALUE(MID(TRIM(Tabela2[[#This Row],[retranca]]), FIND("_", TRIM(Tabela2[[#This Row],[retranca]])) + 1, 1), ",", ".")</f>
        <v>3</v>
      </c>
      <c r="G41" s="23">
        <v>3</v>
      </c>
      <c r="H41" s="23"/>
      <c r="I41" s="24" t="s">
        <v>15</v>
      </c>
      <c r="J41" s="24"/>
      <c r="K41" s="23"/>
      <c r="L41" s="23"/>
      <c r="M41" s="24"/>
      <c r="N41" s="24"/>
      <c r="O41" s="27" t="s">
        <v>113</v>
      </c>
      <c r="P41" s="27"/>
      <c r="Q41" s="23"/>
      <c r="R41" s="25"/>
      <c r="S41" s="25"/>
      <c r="T41" s="25"/>
      <c r="U41" s="25"/>
      <c r="V41" s="25"/>
      <c r="W41" s="23" t="s">
        <v>78</v>
      </c>
      <c r="X41" s="32" t="str">
        <f>IF(Tabela2[[#This Row],[sigla]]="","",VLOOKUP(Tabela2[[#This Row],[sigla]],Tabela14[[#All],[Sigla Arte]:[Crédito]],2,0))</f>
        <v>HELOÍSA PINTARELLI/ARQUIVO DA EDITORA</v>
      </c>
      <c r="Y41" s="24"/>
      <c r="Z41" s="24" t="str">
        <f>Tabela2[[#This Row],[ilustrador]]</f>
        <v>HELOÍSA PINTARELLI/ARQUIVO DA EDITORA</v>
      </c>
      <c r="AA41" s="23"/>
      <c r="AB41" s="21"/>
      <c r="AC41" s="21"/>
      <c r="AD41" s="4" t="str">
        <f t="shared" si="0"/>
        <v>Pitanguá</v>
      </c>
      <c r="AE41" s="14" t="str">
        <f t="shared" si="1"/>
        <v>Ciências</v>
      </c>
    </row>
    <row r="42" spans="1:31" s="14" customFormat="1" ht="45" customHeight="1" x14ac:dyDescent="0.3">
      <c r="A42" s="24" t="s">
        <v>114</v>
      </c>
      <c r="B42" s="21" t="s">
        <v>6</v>
      </c>
      <c r="C42" s="21" t="s">
        <v>7</v>
      </c>
      <c r="D42" s="21" t="s">
        <v>8</v>
      </c>
      <c r="E42" s="23">
        <v>81</v>
      </c>
      <c r="F42" s="23">
        <f>_xlfn.NUMBERVALUE(MID(TRIM(Tabela2[[#This Row],[retranca]]), FIND("_", TRIM(Tabela2[[#This Row],[retranca]])) + 1, 1), ",", ".")</f>
        <v>3</v>
      </c>
      <c r="G42" s="23">
        <v>3</v>
      </c>
      <c r="H42" s="23"/>
      <c r="I42" s="24" t="s">
        <v>15</v>
      </c>
      <c r="J42" s="24"/>
      <c r="K42" s="23"/>
      <c r="L42" s="23"/>
      <c r="M42" s="24"/>
      <c r="N42" s="24"/>
      <c r="O42" s="27" t="s">
        <v>115</v>
      </c>
      <c r="P42" s="27"/>
      <c r="Q42" s="23"/>
      <c r="R42" s="25"/>
      <c r="S42" s="25"/>
      <c r="T42" s="25"/>
      <c r="U42" s="25"/>
      <c r="V42" s="25"/>
      <c r="W42" s="23" t="s">
        <v>78</v>
      </c>
      <c r="X42" s="32" t="str">
        <f>IF(Tabela2[[#This Row],[sigla]]="","",VLOOKUP(Tabela2[[#This Row],[sigla]],Tabela14[[#All],[Sigla Arte]:[Crédito]],2,0))</f>
        <v>HELOÍSA PINTARELLI/ARQUIVO DA EDITORA</v>
      </c>
      <c r="Y42" s="24"/>
      <c r="Z42" s="24" t="str">
        <f>Tabela2[[#This Row],[ilustrador]]</f>
        <v>HELOÍSA PINTARELLI/ARQUIVO DA EDITORA</v>
      </c>
      <c r="AA42" s="23"/>
      <c r="AB42" s="21"/>
      <c r="AC42" s="21"/>
      <c r="AD42" s="4" t="str">
        <f t="shared" si="0"/>
        <v>Pitanguá</v>
      </c>
      <c r="AE42" s="14" t="str">
        <f t="shared" si="1"/>
        <v>Ciências</v>
      </c>
    </row>
    <row r="43" spans="1:31" s="14" customFormat="1" ht="45" customHeight="1" x14ac:dyDescent="0.3">
      <c r="A43" s="24" t="s">
        <v>116</v>
      </c>
      <c r="B43" s="21" t="s">
        <v>6</v>
      </c>
      <c r="C43" s="21" t="s">
        <v>7</v>
      </c>
      <c r="D43" s="21" t="s">
        <v>8</v>
      </c>
      <c r="E43" s="23">
        <v>81</v>
      </c>
      <c r="F43" s="23">
        <f>_xlfn.NUMBERVALUE(MID(TRIM(Tabela2[[#This Row],[retranca]]), FIND("_", TRIM(Tabela2[[#This Row],[retranca]])) + 1, 1), ",", ".")</f>
        <v>3</v>
      </c>
      <c r="G43" s="23">
        <v>3</v>
      </c>
      <c r="H43" s="23"/>
      <c r="I43" s="24" t="s">
        <v>15</v>
      </c>
      <c r="J43" s="24"/>
      <c r="K43" s="23"/>
      <c r="L43" s="23"/>
      <c r="M43" s="24"/>
      <c r="N43" s="24"/>
      <c r="O43" s="27" t="s">
        <v>117</v>
      </c>
      <c r="P43" s="27"/>
      <c r="Q43" s="23"/>
      <c r="R43" s="25"/>
      <c r="S43" s="25"/>
      <c r="T43" s="25"/>
      <c r="U43" s="25"/>
      <c r="V43" s="25"/>
      <c r="W43" s="23" t="s">
        <v>78</v>
      </c>
      <c r="X43" s="32" t="str">
        <f>IF(Tabela2[[#This Row],[sigla]]="","",VLOOKUP(Tabela2[[#This Row],[sigla]],Tabela14[[#All],[Sigla Arte]:[Crédito]],2,0))</f>
        <v>HELOÍSA PINTARELLI/ARQUIVO DA EDITORA</v>
      </c>
      <c r="Y43" s="24"/>
      <c r="Z43" s="24" t="str">
        <f>Tabela2[[#This Row],[ilustrador]]</f>
        <v>HELOÍSA PINTARELLI/ARQUIVO DA EDITORA</v>
      </c>
      <c r="AA43" s="23"/>
      <c r="AB43" s="21"/>
      <c r="AC43" s="21"/>
      <c r="AD43" s="4" t="str">
        <f t="shared" si="0"/>
        <v>Pitanguá</v>
      </c>
      <c r="AE43" s="14" t="str">
        <f t="shared" si="1"/>
        <v>Ciências</v>
      </c>
    </row>
    <row r="44" spans="1:31" s="14" customFormat="1" ht="45" customHeight="1" x14ac:dyDescent="0.3">
      <c r="A44" s="24" t="s">
        <v>118</v>
      </c>
      <c r="B44" s="21" t="s">
        <v>6</v>
      </c>
      <c r="C44" s="21" t="s">
        <v>7</v>
      </c>
      <c r="D44" s="21" t="s">
        <v>8</v>
      </c>
      <c r="E44" s="23">
        <v>84</v>
      </c>
      <c r="F44" s="23">
        <f>_xlfn.NUMBERVALUE(MID(TRIM(Tabela2[[#This Row],[retranca]]), FIND("_", TRIM(Tabela2[[#This Row],[retranca]])) + 1, 1), ",", ".")</f>
        <v>3</v>
      </c>
      <c r="G44" s="23">
        <v>3</v>
      </c>
      <c r="H44" s="23"/>
      <c r="I44" s="24" t="s">
        <v>15</v>
      </c>
      <c r="J44" s="24"/>
      <c r="K44" s="23"/>
      <c r="L44" s="23"/>
      <c r="M44" s="24"/>
      <c r="N44" s="24"/>
      <c r="O44" s="27" t="s">
        <v>119</v>
      </c>
      <c r="P44" s="27"/>
      <c r="Q44" s="23"/>
      <c r="R44" s="25"/>
      <c r="S44" s="25"/>
      <c r="T44" s="25"/>
      <c r="U44" s="25"/>
      <c r="V44" s="25"/>
      <c r="W44" s="23" t="s">
        <v>52</v>
      </c>
      <c r="X44" s="32" t="str">
        <f>IF(Tabela2[[#This Row],[sigla]]="","",VLOOKUP(Tabela2[[#This Row],[sigla]],Tabela14[[#All],[Sigla Arte]:[Crédito]],2,0))</f>
        <v>LUCIANE MORI/ARQUIVO DA EDITORA</v>
      </c>
      <c r="Y44" s="24"/>
      <c r="Z44" s="24" t="str">
        <f>Tabela2[[#This Row],[ilustrador]]</f>
        <v>LUCIANE MORI/ARQUIVO DA EDITORA</v>
      </c>
      <c r="AA44" s="23"/>
      <c r="AB44" s="21"/>
      <c r="AC44" s="21"/>
      <c r="AD44" s="4" t="str">
        <f t="shared" si="0"/>
        <v>Pitanguá</v>
      </c>
      <c r="AE44" s="14" t="str">
        <f t="shared" si="1"/>
        <v>Ciências</v>
      </c>
    </row>
    <row r="45" spans="1:31" s="14" customFormat="1" ht="45" customHeight="1" x14ac:dyDescent="0.3">
      <c r="A45" s="24" t="s">
        <v>120</v>
      </c>
      <c r="B45" s="21" t="s">
        <v>6</v>
      </c>
      <c r="C45" s="21" t="s">
        <v>7</v>
      </c>
      <c r="D45" s="21" t="s">
        <v>8</v>
      </c>
      <c r="E45" s="23">
        <v>84</v>
      </c>
      <c r="F45" s="23">
        <f>_xlfn.NUMBERVALUE(MID(TRIM(Tabela2[[#This Row],[retranca]]), FIND("_", TRIM(Tabela2[[#This Row],[retranca]])) + 1, 1), ",", ".")</f>
        <v>3</v>
      </c>
      <c r="G45" s="23">
        <v>3</v>
      </c>
      <c r="H45" s="23"/>
      <c r="I45" s="24" t="s">
        <v>15</v>
      </c>
      <c r="J45" s="24"/>
      <c r="K45" s="23"/>
      <c r="L45" s="23"/>
      <c r="M45" s="24"/>
      <c r="N45" s="24"/>
      <c r="O45" s="27" t="s">
        <v>121</v>
      </c>
      <c r="P45" s="27"/>
      <c r="Q45" s="23"/>
      <c r="R45" s="25"/>
      <c r="S45" s="25"/>
      <c r="T45" s="25"/>
      <c r="U45" s="25"/>
      <c r="V45" s="25"/>
      <c r="W45" s="23" t="s">
        <v>52</v>
      </c>
      <c r="X45" s="32" t="str">
        <f>IF(Tabela2[[#This Row],[sigla]]="","",VLOOKUP(Tabela2[[#This Row],[sigla]],Tabela14[[#All],[Sigla Arte]:[Crédito]],2,0))</f>
        <v>LUCIANE MORI/ARQUIVO DA EDITORA</v>
      </c>
      <c r="Y45" s="24"/>
      <c r="Z45" s="24" t="str">
        <f>Tabela2[[#This Row],[ilustrador]]</f>
        <v>LUCIANE MORI/ARQUIVO DA EDITORA</v>
      </c>
      <c r="AA45" s="23"/>
      <c r="AB45" s="21"/>
      <c r="AC45" s="21"/>
      <c r="AD45" s="4" t="str">
        <f t="shared" si="0"/>
        <v>Pitanguá</v>
      </c>
      <c r="AE45" s="14" t="str">
        <f t="shared" si="1"/>
        <v>Ciências</v>
      </c>
    </row>
    <row r="46" spans="1:31" s="14" customFormat="1" ht="45" customHeight="1" x14ac:dyDescent="0.3">
      <c r="A46" s="24" t="s">
        <v>122</v>
      </c>
      <c r="B46" s="21" t="s">
        <v>6</v>
      </c>
      <c r="C46" s="21" t="s">
        <v>7</v>
      </c>
      <c r="D46" s="21" t="s">
        <v>8</v>
      </c>
      <c r="E46" s="23">
        <v>85</v>
      </c>
      <c r="F46" s="23">
        <f>_xlfn.NUMBERVALUE(MID(TRIM(Tabela2[[#This Row],[retranca]]), FIND("_", TRIM(Tabela2[[#This Row],[retranca]])) + 1, 1), ",", ".")</f>
        <v>3</v>
      </c>
      <c r="G46" s="23">
        <v>3</v>
      </c>
      <c r="H46" s="23"/>
      <c r="I46" s="24" t="s">
        <v>28</v>
      </c>
      <c r="J46" s="24"/>
      <c r="K46" s="23"/>
      <c r="L46" s="23"/>
      <c r="M46" s="24"/>
      <c r="N46" s="24"/>
      <c r="O46" s="27" t="s">
        <v>123</v>
      </c>
      <c r="P46" s="27"/>
      <c r="Q46" s="23">
        <v>1</v>
      </c>
      <c r="R46" s="25">
        <v>45723</v>
      </c>
      <c r="S46" s="25">
        <v>45723</v>
      </c>
      <c r="T46" s="25"/>
      <c r="U46" s="25"/>
      <c r="V46" s="25">
        <v>45735</v>
      </c>
      <c r="W46" s="23" t="s">
        <v>52</v>
      </c>
      <c r="X46" s="32" t="str">
        <f>IF(Tabela2[[#This Row],[sigla]]="","",VLOOKUP(Tabela2[[#This Row],[sigla]],Tabela14[[#All],[Sigla Arte]:[Crédito]],2,0))</f>
        <v>LUCIANE MORI/ARQUIVO DA EDITORA</v>
      </c>
      <c r="Y46" s="24" t="s">
        <v>53</v>
      </c>
      <c r="Z46" s="24" t="str">
        <f>Tabela2[[#This Row],[ilustrador]]</f>
        <v>LUCIANE MORI/ARQUIVO DA EDITORA</v>
      </c>
      <c r="AA46" s="23">
        <v>13</v>
      </c>
      <c r="AB46" s="21" t="s">
        <v>105</v>
      </c>
      <c r="AC46" s="21" t="s">
        <v>31</v>
      </c>
      <c r="AD46" s="4" t="str">
        <f t="shared" si="0"/>
        <v>Pitanguá</v>
      </c>
      <c r="AE46" s="14" t="str">
        <f t="shared" si="1"/>
        <v>Ciências</v>
      </c>
    </row>
    <row r="47" spans="1:31" s="14" customFormat="1" ht="45" customHeight="1" x14ac:dyDescent="0.3">
      <c r="A47" s="24" t="s">
        <v>124</v>
      </c>
      <c r="B47" s="21" t="s">
        <v>6</v>
      </c>
      <c r="C47" s="21" t="s">
        <v>7</v>
      </c>
      <c r="D47" s="21" t="s">
        <v>8</v>
      </c>
      <c r="E47" s="23">
        <v>85</v>
      </c>
      <c r="F47" s="23">
        <f>_xlfn.NUMBERVALUE(MID(TRIM(Tabela2[[#This Row],[retranca]]), FIND("_", TRIM(Tabela2[[#This Row],[retranca]])) + 1, 1), ",", ".")</f>
        <v>3</v>
      </c>
      <c r="G47" s="23">
        <v>3</v>
      </c>
      <c r="H47" s="23"/>
      <c r="I47" s="24" t="s">
        <v>28</v>
      </c>
      <c r="J47" s="24"/>
      <c r="K47" s="23"/>
      <c r="L47" s="23"/>
      <c r="M47" s="24"/>
      <c r="N47" s="24"/>
      <c r="O47" s="27" t="s">
        <v>125</v>
      </c>
      <c r="P47" s="27"/>
      <c r="Q47" s="23">
        <v>1</v>
      </c>
      <c r="R47" s="25">
        <v>45723</v>
      </c>
      <c r="S47" s="25">
        <v>45723</v>
      </c>
      <c r="T47" s="25"/>
      <c r="U47" s="25"/>
      <c r="V47" s="25">
        <v>45735</v>
      </c>
      <c r="W47" s="23" t="s">
        <v>52</v>
      </c>
      <c r="X47" s="32" t="str">
        <f>IF(Tabela2[[#This Row],[sigla]]="","",VLOOKUP(Tabela2[[#This Row],[sigla]],Tabela14[[#All],[Sigla Arte]:[Crédito]],2,0))</f>
        <v>LUCIANE MORI/ARQUIVO DA EDITORA</v>
      </c>
      <c r="Y47" s="24" t="s">
        <v>53</v>
      </c>
      <c r="Z47" s="24" t="str">
        <f>Tabela2[[#This Row],[ilustrador]]</f>
        <v>LUCIANE MORI/ARQUIVO DA EDITORA</v>
      </c>
      <c r="AA47" s="23">
        <v>14</v>
      </c>
      <c r="AB47" s="21" t="s">
        <v>105</v>
      </c>
      <c r="AC47" s="21" t="s">
        <v>31</v>
      </c>
      <c r="AD47" s="4" t="str">
        <f t="shared" si="0"/>
        <v>Pitanguá</v>
      </c>
      <c r="AE47" s="14" t="str">
        <f t="shared" si="1"/>
        <v>Ciências</v>
      </c>
    </row>
    <row r="48" spans="1:31" s="14" customFormat="1" ht="45" customHeight="1" x14ac:dyDescent="0.3">
      <c r="A48" s="24" t="s">
        <v>126</v>
      </c>
      <c r="B48" s="21" t="s">
        <v>6</v>
      </c>
      <c r="C48" s="21" t="s">
        <v>7</v>
      </c>
      <c r="D48" s="21" t="s">
        <v>8</v>
      </c>
      <c r="E48" s="23">
        <v>85</v>
      </c>
      <c r="F48" s="23">
        <f>_xlfn.NUMBERVALUE(MID(TRIM(Tabela2[[#This Row],[retranca]]), FIND("_", TRIM(Tabela2[[#This Row],[retranca]])) + 1, 1), ",", ".")</f>
        <v>3</v>
      </c>
      <c r="G48" s="23">
        <v>3</v>
      </c>
      <c r="H48" s="23"/>
      <c r="I48" s="24" t="s">
        <v>28</v>
      </c>
      <c r="J48" s="24"/>
      <c r="K48" s="23"/>
      <c r="L48" s="23"/>
      <c r="M48" s="24"/>
      <c r="N48" s="24"/>
      <c r="O48" s="27" t="s">
        <v>127</v>
      </c>
      <c r="P48" s="27"/>
      <c r="Q48" s="23">
        <v>1</v>
      </c>
      <c r="R48" s="25">
        <v>45723</v>
      </c>
      <c r="S48" s="25">
        <v>45723</v>
      </c>
      <c r="T48" s="25"/>
      <c r="U48" s="25"/>
      <c r="V48" s="25">
        <v>45735</v>
      </c>
      <c r="W48" s="23" t="s">
        <v>52</v>
      </c>
      <c r="X48" s="32" t="str">
        <f>IF(Tabela2[[#This Row],[sigla]]="","",VLOOKUP(Tabela2[[#This Row],[sigla]],Tabela14[[#All],[Sigla Arte]:[Crédito]],2,0))</f>
        <v>LUCIANE MORI/ARQUIVO DA EDITORA</v>
      </c>
      <c r="Y48" s="24" t="s">
        <v>53</v>
      </c>
      <c r="Z48" s="24" t="str">
        <f>Tabela2[[#This Row],[ilustrador]]</f>
        <v>LUCIANE MORI/ARQUIVO DA EDITORA</v>
      </c>
      <c r="AA48" s="23">
        <v>14</v>
      </c>
      <c r="AB48" s="21" t="s">
        <v>105</v>
      </c>
      <c r="AC48" s="21" t="s">
        <v>31</v>
      </c>
      <c r="AD48" s="4" t="str">
        <f t="shared" si="0"/>
        <v>Pitanguá</v>
      </c>
      <c r="AE48" s="14" t="str">
        <f t="shared" si="1"/>
        <v>Ciências</v>
      </c>
    </row>
    <row r="49" spans="1:31" s="14" customFormat="1" ht="45" customHeight="1" x14ac:dyDescent="0.3">
      <c r="A49" s="24" t="s">
        <v>128</v>
      </c>
      <c r="B49" s="21" t="s">
        <v>6</v>
      </c>
      <c r="C49" s="21" t="s">
        <v>7</v>
      </c>
      <c r="D49" s="21" t="s">
        <v>8</v>
      </c>
      <c r="E49" s="23">
        <v>85</v>
      </c>
      <c r="F49" s="23">
        <f>_xlfn.NUMBERVALUE(MID(TRIM(Tabela2[[#This Row],[retranca]]), FIND("_", TRIM(Tabela2[[#This Row],[retranca]])) + 1, 1), ",", ".")</f>
        <v>3</v>
      </c>
      <c r="G49" s="23">
        <v>3</v>
      </c>
      <c r="H49" s="23"/>
      <c r="I49" s="24" t="s">
        <v>15</v>
      </c>
      <c r="J49" s="24"/>
      <c r="K49" s="23"/>
      <c r="L49" s="23"/>
      <c r="M49" s="24"/>
      <c r="N49" s="24"/>
      <c r="O49" s="27" t="s">
        <v>129</v>
      </c>
      <c r="P49" s="27"/>
      <c r="Q49" s="23"/>
      <c r="R49" s="25"/>
      <c r="S49" s="25"/>
      <c r="T49" s="25"/>
      <c r="U49" s="25"/>
      <c r="V49" s="25"/>
      <c r="W49" s="23" t="s">
        <v>52</v>
      </c>
      <c r="X49" s="32" t="str">
        <f>IF(Tabela2[[#This Row],[sigla]]="","",VLOOKUP(Tabela2[[#This Row],[sigla]],Tabela14[[#All],[Sigla Arte]:[Crédito]],2,0))</f>
        <v>LUCIANE MORI/ARQUIVO DA EDITORA</v>
      </c>
      <c r="Y49" s="24"/>
      <c r="Z49" s="24" t="str">
        <f>Tabela2[[#This Row],[ilustrador]]</f>
        <v>LUCIANE MORI/ARQUIVO DA EDITORA</v>
      </c>
      <c r="AA49" s="23"/>
      <c r="AB49" s="21"/>
      <c r="AC49" s="21"/>
      <c r="AD49" s="4" t="str">
        <f t="shared" si="0"/>
        <v>Pitanguá</v>
      </c>
      <c r="AE49" s="14" t="str">
        <f t="shared" si="1"/>
        <v>Ciências</v>
      </c>
    </row>
    <row r="50" spans="1:31" s="14" customFormat="1" ht="75" customHeight="1" x14ac:dyDescent="0.3">
      <c r="A50" s="24" t="s">
        <v>130</v>
      </c>
      <c r="B50" s="21" t="s">
        <v>6</v>
      </c>
      <c r="C50" s="21" t="s">
        <v>7</v>
      </c>
      <c r="D50" s="21" t="s">
        <v>8</v>
      </c>
      <c r="E50" s="23">
        <v>85</v>
      </c>
      <c r="F50" s="23">
        <f>_xlfn.NUMBERVALUE(MID(TRIM(Tabela2[[#This Row],[retranca]]), FIND("_", TRIM(Tabela2[[#This Row],[retranca]])) + 1, 1), ",", ".")</f>
        <v>3</v>
      </c>
      <c r="G50" s="23">
        <v>3</v>
      </c>
      <c r="H50" s="23"/>
      <c r="I50" s="24" t="s">
        <v>28</v>
      </c>
      <c r="J50" s="24"/>
      <c r="K50" s="23"/>
      <c r="L50" s="23"/>
      <c r="M50" s="24"/>
      <c r="N50" s="24"/>
      <c r="O50" s="27" t="s">
        <v>131</v>
      </c>
      <c r="P50" s="27"/>
      <c r="Q50" s="23">
        <v>7</v>
      </c>
      <c r="R50" s="25">
        <v>45799</v>
      </c>
      <c r="S50" s="25">
        <v>45803</v>
      </c>
      <c r="T50" s="25"/>
      <c r="U50" s="25"/>
      <c r="V50" s="25">
        <v>45803</v>
      </c>
      <c r="W50" s="23" t="s">
        <v>52</v>
      </c>
      <c r="X50" s="32" t="str">
        <f>IF(Tabela2[[#This Row],[sigla]]="","",VLOOKUP(Tabela2[[#This Row],[sigla]],Tabela14[[#All],[Sigla Arte]:[Crédito]],2,0))</f>
        <v>LUCIANE MORI/ARQUIVO DA EDITORA</v>
      </c>
      <c r="Y50" s="24" t="s">
        <v>53</v>
      </c>
      <c r="Z50" s="24" t="str">
        <f>Tabela2[[#This Row],[ilustrador]]</f>
        <v>LUCIANE MORI/ARQUIVO DA EDITORA</v>
      </c>
      <c r="AA50" s="23">
        <v>13</v>
      </c>
      <c r="AB50" s="21" t="s">
        <v>54</v>
      </c>
      <c r="AC50" s="21" t="s">
        <v>31</v>
      </c>
      <c r="AD50" s="4" t="str">
        <f t="shared" si="0"/>
        <v>Pitanguá</v>
      </c>
      <c r="AE50" s="14" t="str">
        <f t="shared" si="1"/>
        <v>Ciências</v>
      </c>
    </row>
    <row r="51" spans="1:31" s="14" customFormat="1" ht="60" customHeight="1" x14ac:dyDescent="0.3">
      <c r="A51" s="24" t="s">
        <v>132</v>
      </c>
      <c r="B51" s="21" t="s">
        <v>6</v>
      </c>
      <c r="C51" s="21" t="s">
        <v>7</v>
      </c>
      <c r="D51" s="21" t="s">
        <v>8</v>
      </c>
      <c r="E51" s="23">
        <v>85</v>
      </c>
      <c r="F51" s="23">
        <f>_xlfn.NUMBERVALUE(MID(TRIM(Tabela2[[#This Row],[retranca]]), FIND("_", TRIM(Tabela2[[#This Row],[retranca]])) + 1, 1), ",", ".")</f>
        <v>3</v>
      </c>
      <c r="G51" s="23">
        <v>3</v>
      </c>
      <c r="H51" s="23"/>
      <c r="I51" s="24" t="s">
        <v>28</v>
      </c>
      <c r="J51" s="24"/>
      <c r="K51" s="23"/>
      <c r="L51" s="23"/>
      <c r="M51" s="24"/>
      <c r="N51" s="24"/>
      <c r="O51" s="27" t="s">
        <v>133</v>
      </c>
      <c r="P51" s="27"/>
      <c r="Q51" s="23">
        <v>7</v>
      </c>
      <c r="R51" s="25">
        <v>45800</v>
      </c>
      <c r="S51" s="25">
        <v>45803</v>
      </c>
      <c r="T51" s="25"/>
      <c r="U51" s="25"/>
      <c r="V51" s="25">
        <v>45803</v>
      </c>
      <c r="W51" s="23" t="s">
        <v>52</v>
      </c>
      <c r="X51" s="32" t="str">
        <f>IF(Tabela2[[#This Row],[sigla]]="","",VLOOKUP(Tabela2[[#This Row],[sigla]],Tabela14[[#All],[Sigla Arte]:[Crédito]],2,0))</f>
        <v>LUCIANE MORI/ARQUIVO DA EDITORA</v>
      </c>
      <c r="Y51" s="24" t="s">
        <v>53</v>
      </c>
      <c r="Z51" s="24" t="str">
        <f>Tabela2[[#This Row],[ilustrador]]</f>
        <v>LUCIANE MORI/ARQUIVO DA EDITORA</v>
      </c>
      <c r="AA51" s="23">
        <v>13</v>
      </c>
      <c r="AB51" s="21" t="s">
        <v>54</v>
      </c>
      <c r="AC51" s="21" t="s">
        <v>31</v>
      </c>
      <c r="AD51" s="4" t="str">
        <f t="shared" si="0"/>
        <v>Pitanguá</v>
      </c>
      <c r="AE51" s="14" t="str">
        <f t="shared" si="1"/>
        <v>Ciências</v>
      </c>
    </row>
    <row r="52" spans="1:31" s="14" customFormat="1" ht="60" customHeight="1" x14ac:dyDescent="0.3">
      <c r="A52" s="24" t="s">
        <v>134</v>
      </c>
      <c r="B52" s="21" t="s">
        <v>63</v>
      </c>
      <c r="C52" s="21" t="s">
        <v>135</v>
      </c>
      <c r="D52" s="21" t="s">
        <v>8</v>
      </c>
      <c r="E52" s="23">
        <v>91</v>
      </c>
      <c r="F52" s="23">
        <f>_xlfn.NUMBERVALUE(MID(TRIM(Tabela2[[#This Row],[retranca]]), FIND("_", TRIM(Tabela2[[#This Row],[retranca]])) + 1, 1), ",", ".")</f>
        <v>3</v>
      </c>
      <c r="G52" s="23">
        <v>3</v>
      </c>
      <c r="H52" s="23"/>
      <c r="I52" s="24" t="s">
        <v>9</v>
      </c>
      <c r="J52" s="24"/>
      <c r="K52" s="23"/>
      <c r="L52" s="23"/>
      <c r="M52" s="24"/>
      <c r="N52" s="24"/>
      <c r="O52" s="27" t="s">
        <v>136</v>
      </c>
      <c r="P52" s="27"/>
      <c r="Q52" s="23">
        <v>1</v>
      </c>
      <c r="R52" s="25">
        <v>45723</v>
      </c>
      <c r="S52" s="25">
        <v>45723</v>
      </c>
      <c r="T52" s="25"/>
      <c r="U52" s="25"/>
      <c r="V52" s="25">
        <v>45735</v>
      </c>
      <c r="W52" s="23" t="s">
        <v>137</v>
      </c>
      <c r="X52" s="32" t="str">
        <f>IF(Tabela2[[#This Row],[sigla]]="","",VLOOKUP(Tabela2[[#This Row],[sigla]],Tabela14[[#All],[Sigla Arte]:[Crédito]],2,0))</f>
        <v>INGRIDHI BORGES/ARQUIVO DA EDITORA</v>
      </c>
      <c r="Y52" s="24"/>
      <c r="Z52" s="24" t="str">
        <f>Tabela2[[#This Row],[ilustrador]]</f>
        <v>INGRIDHI BORGES/ARQUIVO DA EDITORA</v>
      </c>
      <c r="AA52" s="23">
        <v>12</v>
      </c>
      <c r="AB52" s="21" t="s">
        <v>138</v>
      </c>
      <c r="AC52" s="21" t="s">
        <v>31</v>
      </c>
      <c r="AD52" s="4" t="str">
        <f t="shared" si="0"/>
        <v>Pitanguá</v>
      </c>
      <c r="AE52" s="14" t="str">
        <f t="shared" si="1"/>
        <v>Ciências</v>
      </c>
    </row>
    <row r="53" spans="1:31" s="14" customFormat="1" ht="60" customHeight="1" x14ac:dyDescent="0.3">
      <c r="A53" s="24" t="s">
        <v>139</v>
      </c>
      <c r="B53" s="21" t="s">
        <v>6</v>
      </c>
      <c r="C53" s="21" t="s">
        <v>135</v>
      </c>
      <c r="D53" s="21" t="s">
        <v>140</v>
      </c>
      <c r="E53" s="23">
        <v>95</v>
      </c>
      <c r="F53" s="23">
        <f>_xlfn.NUMBERVALUE(MID(TRIM(Tabela2[[#This Row],[retranca]]), FIND("_", TRIM(Tabela2[[#This Row],[retranca]])) + 1, 1), ",", ".")</f>
        <v>3</v>
      </c>
      <c r="G53" s="23">
        <v>3</v>
      </c>
      <c r="H53" s="23"/>
      <c r="I53" s="24" t="s">
        <v>9</v>
      </c>
      <c r="J53" s="24"/>
      <c r="K53" s="23"/>
      <c r="L53" s="23"/>
      <c r="M53" s="24"/>
      <c r="N53" s="24"/>
      <c r="O53" s="27" t="s">
        <v>141</v>
      </c>
      <c r="P53" s="27"/>
      <c r="Q53" s="23">
        <v>1</v>
      </c>
      <c r="R53" s="25">
        <v>45723</v>
      </c>
      <c r="S53" s="25">
        <v>45723</v>
      </c>
      <c r="T53" s="25"/>
      <c r="U53" s="25"/>
      <c r="V53" s="25">
        <v>45735</v>
      </c>
      <c r="W53" s="23" t="s">
        <v>137</v>
      </c>
      <c r="X53" s="32" t="str">
        <f>IF(Tabela2[[#This Row],[sigla]]="","",VLOOKUP(Tabela2[[#This Row],[sigla]],Tabela14[[#All],[Sigla Arte]:[Crédito]],2,0))</f>
        <v>INGRIDHI BORGES/ARQUIVO DA EDITORA</v>
      </c>
      <c r="Y53" s="24"/>
      <c r="Z53" s="24" t="str">
        <f>Tabela2[[#This Row],[ilustrador]]</f>
        <v>INGRIDHI BORGES/ARQUIVO DA EDITORA</v>
      </c>
      <c r="AA53" s="23">
        <v>12</v>
      </c>
      <c r="AB53" s="21" t="s">
        <v>138</v>
      </c>
      <c r="AC53" s="21" t="s">
        <v>31</v>
      </c>
      <c r="AD53" s="4" t="str">
        <f t="shared" si="0"/>
        <v>Pitanguá</v>
      </c>
      <c r="AE53" s="14" t="str">
        <f t="shared" si="1"/>
        <v>Ciências</v>
      </c>
    </row>
    <row r="54" spans="1:31" s="14" customFormat="1" ht="60" customHeight="1" x14ac:dyDescent="0.3">
      <c r="A54" s="24" t="s">
        <v>142</v>
      </c>
      <c r="B54" s="21" t="s">
        <v>6</v>
      </c>
      <c r="C54" s="21" t="s">
        <v>7</v>
      </c>
      <c r="D54" s="21" t="s">
        <v>8</v>
      </c>
      <c r="E54" s="23">
        <v>92</v>
      </c>
      <c r="F54" s="23">
        <f>_xlfn.NUMBERVALUE(MID(TRIM(Tabela2[[#This Row],[retranca]]), FIND("_", TRIM(Tabela2[[#This Row],[retranca]])) + 1, 1), ",", ".")</f>
        <v>3</v>
      </c>
      <c r="G54" s="23">
        <v>3</v>
      </c>
      <c r="H54" s="23"/>
      <c r="I54" s="24" t="s">
        <v>28</v>
      </c>
      <c r="J54" s="24"/>
      <c r="K54" s="23"/>
      <c r="L54" s="23"/>
      <c r="M54" s="24"/>
      <c r="N54" s="24"/>
      <c r="O54" s="27" t="s">
        <v>143</v>
      </c>
      <c r="P54" s="27"/>
      <c r="Q54" s="23">
        <v>1</v>
      </c>
      <c r="R54" s="25">
        <v>45723</v>
      </c>
      <c r="S54" s="25">
        <v>45723</v>
      </c>
      <c r="T54" s="25"/>
      <c r="U54" s="25"/>
      <c r="V54" s="25">
        <v>45735</v>
      </c>
      <c r="W54" s="23" t="s">
        <v>26</v>
      </c>
      <c r="X54" s="32" t="str">
        <f>IF(Tabela2[[#This Row],[sigla]]="","",VLOOKUP(Tabela2[[#This Row],[sigla]],Tabela14[[#All],[Sigla Arte]:[Crédito]],2,0))</f>
        <v>SAULO NUNES/ARQUIVO DA EDITORA</v>
      </c>
      <c r="Y54" s="24" t="s">
        <v>53</v>
      </c>
      <c r="Z54" s="24" t="str">
        <f>Tabela2[[#This Row],[ilustrador]]</f>
        <v>SAULO NUNES/ARQUIVO DA EDITORA</v>
      </c>
      <c r="AA54" s="23">
        <v>14</v>
      </c>
      <c r="AB54" s="21" t="s">
        <v>105</v>
      </c>
      <c r="AC54" s="21" t="s">
        <v>31</v>
      </c>
      <c r="AD54" s="4" t="str">
        <f t="shared" si="0"/>
        <v>Pitanguá</v>
      </c>
      <c r="AE54" s="14" t="str">
        <f t="shared" si="1"/>
        <v>Ciências</v>
      </c>
    </row>
    <row r="55" spans="1:31" s="14" customFormat="1" ht="75" customHeight="1" x14ac:dyDescent="0.3">
      <c r="A55" s="24" t="s">
        <v>144</v>
      </c>
      <c r="B55" s="21" t="s">
        <v>6</v>
      </c>
      <c r="C55" s="21" t="s">
        <v>7</v>
      </c>
      <c r="D55" s="21" t="s">
        <v>8</v>
      </c>
      <c r="E55" s="23">
        <v>92</v>
      </c>
      <c r="F55" s="23">
        <f>_xlfn.NUMBERVALUE(MID(TRIM(Tabela2[[#This Row],[retranca]]), FIND("_", TRIM(Tabela2[[#This Row],[retranca]])) + 1, 1), ",", ".")</f>
        <v>3</v>
      </c>
      <c r="G55" s="23">
        <v>3</v>
      </c>
      <c r="H55" s="23"/>
      <c r="I55" s="24" t="s">
        <v>28</v>
      </c>
      <c r="J55" s="24"/>
      <c r="K55" s="23"/>
      <c r="L55" s="23"/>
      <c r="M55" s="24"/>
      <c r="N55" s="24"/>
      <c r="O55" s="27" t="s">
        <v>145</v>
      </c>
      <c r="P55" s="27"/>
      <c r="Q55" s="23">
        <v>1</v>
      </c>
      <c r="R55" s="25">
        <v>45723</v>
      </c>
      <c r="S55" s="25">
        <v>45723</v>
      </c>
      <c r="T55" s="25"/>
      <c r="U55" s="25"/>
      <c r="V55" s="25">
        <v>45735</v>
      </c>
      <c r="W55" s="23" t="s">
        <v>26</v>
      </c>
      <c r="X55" s="32" t="str">
        <f>IF(Tabela2[[#This Row],[sigla]]="","",VLOOKUP(Tabela2[[#This Row],[sigla]],Tabela14[[#All],[Sigla Arte]:[Crédito]],2,0))</f>
        <v>SAULO NUNES/ARQUIVO DA EDITORA</v>
      </c>
      <c r="Y55" s="24" t="s">
        <v>53</v>
      </c>
      <c r="Z55" s="24" t="str">
        <f>Tabela2[[#This Row],[ilustrador]]</f>
        <v>SAULO NUNES/ARQUIVO DA EDITORA</v>
      </c>
      <c r="AA55" s="23">
        <v>14</v>
      </c>
      <c r="AB55" s="21" t="s">
        <v>105</v>
      </c>
      <c r="AC55" s="21" t="s">
        <v>31</v>
      </c>
      <c r="AD55" s="4" t="str">
        <f t="shared" si="0"/>
        <v>Pitanguá</v>
      </c>
      <c r="AE55" s="14" t="str">
        <f t="shared" si="1"/>
        <v>Ciências</v>
      </c>
    </row>
    <row r="56" spans="1:31" s="14" customFormat="1" ht="75" customHeight="1" x14ac:dyDescent="0.3">
      <c r="A56" s="24" t="s">
        <v>146</v>
      </c>
      <c r="B56" s="21" t="s">
        <v>6</v>
      </c>
      <c r="C56" s="21" t="s">
        <v>7</v>
      </c>
      <c r="D56" s="21" t="s">
        <v>8</v>
      </c>
      <c r="E56" s="23">
        <v>92</v>
      </c>
      <c r="F56" s="23">
        <f>_xlfn.NUMBERVALUE(MID(TRIM(Tabela2[[#This Row],[retranca]]), FIND("_", TRIM(Tabela2[[#This Row],[retranca]])) + 1, 1), ",", ".")</f>
        <v>3</v>
      </c>
      <c r="G56" s="23">
        <v>3</v>
      </c>
      <c r="H56" s="23"/>
      <c r="I56" s="24" t="s">
        <v>28</v>
      </c>
      <c r="J56" s="24"/>
      <c r="K56" s="23"/>
      <c r="L56" s="23"/>
      <c r="M56" s="24"/>
      <c r="N56" s="24"/>
      <c r="O56" s="27" t="s">
        <v>147</v>
      </c>
      <c r="P56" s="27"/>
      <c r="Q56" s="23">
        <v>1</v>
      </c>
      <c r="R56" s="25">
        <v>45723</v>
      </c>
      <c r="S56" s="25">
        <v>45723</v>
      </c>
      <c r="T56" s="25"/>
      <c r="U56" s="25"/>
      <c r="V56" s="25">
        <v>45735</v>
      </c>
      <c r="W56" s="23" t="s">
        <v>26</v>
      </c>
      <c r="X56" s="32" t="str">
        <f>IF(Tabela2[[#This Row],[sigla]]="","",VLOOKUP(Tabela2[[#This Row],[sigla]],Tabela14[[#All],[Sigla Arte]:[Crédito]],2,0))</f>
        <v>SAULO NUNES/ARQUIVO DA EDITORA</v>
      </c>
      <c r="Y56" s="24" t="s">
        <v>53</v>
      </c>
      <c r="Z56" s="24" t="str">
        <f>Tabela2[[#This Row],[ilustrador]]</f>
        <v>SAULO NUNES/ARQUIVO DA EDITORA</v>
      </c>
      <c r="AA56" s="23">
        <v>14</v>
      </c>
      <c r="AB56" s="21" t="s">
        <v>105</v>
      </c>
      <c r="AC56" s="21" t="s">
        <v>31</v>
      </c>
      <c r="AD56" s="4" t="str">
        <f t="shared" si="0"/>
        <v>Pitanguá</v>
      </c>
      <c r="AE56" s="14" t="str">
        <f t="shared" si="1"/>
        <v>Ciências</v>
      </c>
    </row>
    <row r="57" spans="1:31" s="14" customFormat="1" ht="90" customHeight="1" x14ac:dyDescent="0.3">
      <c r="A57" s="24" t="s">
        <v>148</v>
      </c>
      <c r="B57" s="21" t="s">
        <v>6</v>
      </c>
      <c r="C57" s="21" t="s">
        <v>7</v>
      </c>
      <c r="D57" s="21" t="s">
        <v>8</v>
      </c>
      <c r="E57" s="23">
        <v>92</v>
      </c>
      <c r="F57" s="23">
        <f>_xlfn.NUMBERVALUE(MID(TRIM(Tabela2[[#This Row],[retranca]]), FIND("_", TRIM(Tabela2[[#This Row],[retranca]])) + 1, 1), ",", ".")</f>
        <v>3</v>
      </c>
      <c r="G57" s="23">
        <v>3</v>
      </c>
      <c r="H57" s="23"/>
      <c r="I57" s="24" t="s">
        <v>28</v>
      </c>
      <c r="J57" s="24"/>
      <c r="K57" s="23"/>
      <c r="L57" s="23"/>
      <c r="M57" s="24"/>
      <c r="N57" s="24"/>
      <c r="O57" s="27" t="s">
        <v>149</v>
      </c>
      <c r="P57" s="27"/>
      <c r="Q57" s="23">
        <v>1</v>
      </c>
      <c r="R57" s="25">
        <v>45723</v>
      </c>
      <c r="S57" s="25">
        <v>45723</v>
      </c>
      <c r="T57" s="25"/>
      <c r="U57" s="25"/>
      <c r="V57" s="25">
        <v>45735</v>
      </c>
      <c r="W57" s="23" t="s">
        <v>26</v>
      </c>
      <c r="X57" s="32" t="str">
        <f>IF(Tabela2[[#This Row],[sigla]]="","",VLOOKUP(Tabela2[[#This Row],[sigla]],Tabela14[[#All],[Sigla Arte]:[Crédito]],2,0))</f>
        <v>SAULO NUNES/ARQUIVO DA EDITORA</v>
      </c>
      <c r="Y57" s="24" t="s">
        <v>53</v>
      </c>
      <c r="Z57" s="24" t="str">
        <f>Tabela2[[#This Row],[ilustrador]]</f>
        <v>SAULO NUNES/ARQUIVO DA EDITORA</v>
      </c>
      <c r="AA57" s="23">
        <v>14</v>
      </c>
      <c r="AB57" s="21" t="s">
        <v>105</v>
      </c>
      <c r="AC57" s="21" t="s">
        <v>31</v>
      </c>
      <c r="AD57" s="4" t="str">
        <f t="shared" si="0"/>
        <v>Pitanguá</v>
      </c>
      <c r="AE57" s="14" t="str">
        <f t="shared" si="1"/>
        <v>Ciências</v>
      </c>
    </row>
    <row r="58" spans="1:31" s="14" customFormat="1" ht="60" customHeight="1" x14ac:dyDescent="0.3">
      <c r="A58" s="24" t="s">
        <v>150</v>
      </c>
      <c r="B58" s="21" t="s">
        <v>6</v>
      </c>
      <c r="C58" s="21" t="s">
        <v>7</v>
      </c>
      <c r="D58" s="21" t="s">
        <v>8</v>
      </c>
      <c r="E58" s="23">
        <v>94</v>
      </c>
      <c r="F58" s="23">
        <f>_xlfn.NUMBERVALUE(MID(TRIM(Tabela2[[#This Row],[retranca]]), FIND("_", TRIM(Tabela2[[#This Row],[retranca]])) + 1, 1), ",", ".")</f>
        <v>3</v>
      </c>
      <c r="G58" s="23">
        <v>3</v>
      </c>
      <c r="H58" s="23"/>
      <c r="I58" s="24" t="s">
        <v>28</v>
      </c>
      <c r="J58" s="24"/>
      <c r="K58" s="23"/>
      <c r="L58" s="23"/>
      <c r="M58" s="24"/>
      <c r="N58" s="24"/>
      <c r="O58" s="27" t="s">
        <v>151</v>
      </c>
      <c r="P58" s="27"/>
      <c r="Q58" s="23">
        <v>1</v>
      </c>
      <c r="R58" s="25">
        <v>45723</v>
      </c>
      <c r="S58" s="25">
        <v>45723</v>
      </c>
      <c r="T58" s="25"/>
      <c r="U58" s="25"/>
      <c r="V58" s="25">
        <v>45735</v>
      </c>
      <c r="W58" s="23" t="s">
        <v>52</v>
      </c>
      <c r="X58" s="32" t="str">
        <f>IF(Tabela2[[#This Row],[sigla]]="","",VLOOKUP(Tabela2[[#This Row],[sigla]],Tabela14[[#All],[Sigla Arte]:[Crédito]],2,0))</f>
        <v>LUCIANE MORI/ARQUIVO DA EDITORA</v>
      </c>
      <c r="Y58" s="24" t="s">
        <v>53</v>
      </c>
      <c r="Z58" s="24" t="str">
        <f>Tabela2[[#This Row],[ilustrador]]</f>
        <v>LUCIANE MORI/ARQUIVO DA EDITORA</v>
      </c>
      <c r="AA58" s="23">
        <v>14</v>
      </c>
      <c r="AB58" s="21" t="s">
        <v>105</v>
      </c>
      <c r="AC58" s="21" t="s">
        <v>31</v>
      </c>
      <c r="AD58" s="4" t="str">
        <f t="shared" si="0"/>
        <v>Pitanguá</v>
      </c>
      <c r="AE58" s="14" t="str">
        <f t="shared" si="1"/>
        <v>Ciências</v>
      </c>
    </row>
    <row r="59" spans="1:31" s="14" customFormat="1" ht="60" customHeight="1" x14ac:dyDescent="0.3">
      <c r="A59" s="24" t="s">
        <v>152</v>
      </c>
      <c r="B59" s="21" t="s">
        <v>6</v>
      </c>
      <c r="C59" s="21" t="s">
        <v>7</v>
      </c>
      <c r="D59" s="21" t="s">
        <v>8</v>
      </c>
      <c r="E59" s="23">
        <v>95</v>
      </c>
      <c r="F59" s="23">
        <f>_xlfn.NUMBERVALUE(MID(TRIM(Tabela2[[#This Row],[retranca]]), FIND("_", TRIM(Tabela2[[#This Row],[retranca]])) + 1, 1), ",", ".")</f>
        <v>3</v>
      </c>
      <c r="G59" s="23">
        <v>3</v>
      </c>
      <c r="H59" s="23"/>
      <c r="I59" s="24" t="s">
        <v>15</v>
      </c>
      <c r="J59" s="24"/>
      <c r="K59" s="23"/>
      <c r="L59" s="23"/>
      <c r="M59" s="24"/>
      <c r="N59" s="24"/>
      <c r="O59" s="27" t="s">
        <v>153</v>
      </c>
      <c r="P59" s="27"/>
      <c r="Q59" s="23"/>
      <c r="R59" s="25"/>
      <c r="S59" s="25"/>
      <c r="T59" s="25"/>
      <c r="U59" s="25"/>
      <c r="V59" s="25"/>
      <c r="W59" s="23" t="s">
        <v>89</v>
      </c>
      <c r="X59" s="32" t="str">
        <f>IF(Tabela2[[#This Row],[sigla]]="","",VLOOKUP(Tabela2[[#This Row],[sigla]],Tabela14[[#All],[Sigla Arte]:[Crédito]],2,0))</f>
        <v>LISLLEY GOMES FEIGE/ARQUIVO DA EDITORA</v>
      </c>
      <c r="Y59" s="24"/>
      <c r="Z59" s="24" t="str">
        <f>Tabela2[[#This Row],[ilustrador]]</f>
        <v>LISLLEY GOMES FEIGE/ARQUIVO DA EDITORA</v>
      </c>
      <c r="AA59" s="23"/>
      <c r="AB59" s="21"/>
      <c r="AC59" s="21"/>
      <c r="AD59" s="4" t="str">
        <f t="shared" si="0"/>
        <v>Pitanguá</v>
      </c>
      <c r="AE59" s="14" t="str">
        <f t="shared" si="1"/>
        <v>Ciências</v>
      </c>
    </row>
    <row r="60" spans="1:31" s="14" customFormat="1" ht="45" customHeight="1" x14ac:dyDescent="0.3">
      <c r="A60" s="24" t="s">
        <v>154</v>
      </c>
      <c r="B60" s="21" t="s">
        <v>6</v>
      </c>
      <c r="C60" s="21" t="s">
        <v>7</v>
      </c>
      <c r="D60" s="21" t="s">
        <v>8</v>
      </c>
      <c r="E60" s="23">
        <v>96</v>
      </c>
      <c r="F60" s="23">
        <f>_xlfn.NUMBERVALUE(MID(TRIM(Tabela2[[#This Row],[retranca]]), FIND("_", TRIM(Tabela2[[#This Row],[retranca]])) + 1, 1), ",", ".")</f>
        <v>3</v>
      </c>
      <c r="G60" s="23">
        <v>3</v>
      </c>
      <c r="H60" s="23"/>
      <c r="I60" s="24" t="s">
        <v>15</v>
      </c>
      <c r="J60" s="24"/>
      <c r="K60" s="23"/>
      <c r="L60" s="23"/>
      <c r="M60" s="24"/>
      <c r="N60" s="24"/>
      <c r="O60" s="27" t="s">
        <v>155</v>
      </c>
      <c r="P60" s="27"/>
      <c r="Q60" s="23"/>
      <c r="R60" s="25"/>
      <c r="S60" s="25"/>
      <c r="T60" s="25"/>
      <c r="U60" s="25"/>
      <c r="V60" s="25"/>
      <c r="W60" s="23" t="s">
        <v>78</v>
      </c>
      <c r="X60" s="32" t="str">
        <f>IF(Tabela2[[#This Row],[sigla]]="","",VLOOKUP(Tabela2[[#This Row],[sigla]],Tabela14[[#All],[Sigla Arte]:[Crédito]],2,0))</f>
        <v>HELOÍSA PINTARELLI/ARQUIVO DA EDITORA</v>
      </c>
      <c r="Y60" s="24"/>
      <c r="Z60" s="24" t="str">
        <f>Tabela2[[#This Row],[ilustrador]]</f>
        <v>HELOÍSA PINTARELLI/ARQUIVO DA EDITORA</v>
      </c>
      <c r="AA60" s="23"/>
      <c r="AB60" s="21"/>
      <c r="AC60" s="21"/>
      <c r="AD60" s="4" t="str">
        <f t="shared" si="0"/>
        <v>Pitanguá</v>
      </c>
      <c r="AE60" s="14" t="str">
        <f t="shared" si="1"/>
        <v>Ciências</v>
      </c>
    </row>
    <row r="61" spans="1:31" s="14" customFormat="1" ht="45" customHeight="1" x14ac:dyDescent="0.3">
      <c r="A61" s="24" t="s">
        <v>156</v>
      </c>
      <c r="B61" s="21" t="s">
        <v>6</v>
      </c>
      <c r="C61" s="21" t="s">
        <v>7</v>
      </c>
      <c r="D61" s="21" t="s">
        <v>8</v>
      </c>
      <c r="E61" s="23">
        <v>96</v>
      </c>
      <c r="F61" s="23">
        <f>_xlfn.NUMBERVALUE(MID(TRIM(Tabela2[[#This Row],[retranca]]), FIND("_", TRIM(Tabela2[[#This Row],[retranca]])) + 1, 1), ",", ".")</f>
        <v>3</v>
      </c>
      <c r="G61" s="23">
        <v>3</v>
      </c>
      <c r="H61" s="23"/>
      <c r="I61" s="24" t="s">
        <v>15</v>
      </c>
      <c r="J61" s="24"/>
      <c r="K61" s="23"/>
      <c r="L61" s="23"/>
      <c r="M61" s="24"/>
      <c r="N61" s="24"/>
      <c r="O61" s="27" t="s">
        <v>157</v>
      </c>
      <c r="P61" s="27"/>
      <c r="Q61" s="23"/>
      <c r="R61" s="25"/>
      <c r="S61" s="25"/>
      <c r="T61" s="25"/>
      <c r="U61" s="25"/>
      <c r="V61" s="25"/>
      <c r="W61" s="23" t="s">
        <v>78</v>
      </c>
      <c r="X61" s="32" t="str">
        <f>IF(Tabela2[[#This Row],[sigla]]="","",VLOOKUP(Tabela2[[#This Row],[sigla]],Tabela14[[#All],[Sigla Arte]:[Crédito]],2,0))</f>
        <v>HELOÍSA PINTARELLI/ARQUIVO DA EDITORA</v>
      </c>
      <c r="Y61" s="24"/>
      <c r="Z61" s="24" t="str">
        <f>Tabela2[[#This Row],[ilustrador]]</f>
        <v>HELOÍSA PINTARELLI/ARQUIVO DA EDITORA</v>
      </c>
      <c r="AA61" s="23"/>
      <c r="AB61" s="21"/>
      <c r="AC61" s="21"/>
      <c r="AD61" s="4" t="str">
        <f t="shared" si="0"/>
        <v>Pitanguá</v>
      </c>
      <c r="AE61" s="14" t="str">
        <f t="shared" si="1"/>
        <v>Ciências</v>
      </c>
    </row>
    <row r="62" spans="1:31" s="14" customFormat="1" ht="75" customHeight="1" x14ac:dyDescent="0.3">
      <c r="A62" s="24" t="s">
        <v>158</v>
      </c>
      <c r="B62" s="21" t="s">
        <v>6</v>
      </c>
      <c r="C62" s="21" t="s">
        <v>7</v>
      </c>
      <c r="D62" s="21" t="s">
        <v>8</v>
      </c>
      <c r="E62" s="23">
        <v>96</v>
      </c>
      <c r="F62" s="23">
        <f>_xlfn.NUMBERVALUE(MID(TRIM(Tabela2[[#This Row],[retranca]]), FIND("_", TRIM(Tabela2[[#This Row],[retranca]])) + 1, 1), ",", ".")</f>
        <v>3</v>
      </c>
      <c r="G62" s="23">
        <v>3</v>
      </c>
      <c r="H62" s="23"/>
      <c r="I62" s="24" t="s">
        <v>28</v>
      </c>
      <c r="J62" s="24"/>
      <c r="K62" s="23"/>
      <c r="L62" s="23"/>
      <c r="M62" s="24"/>
      <c r="N62" s="24"/>
      <c r="O62" s="27" t="s">
        <v>159</v>
      </c>
      <c r="P62" s="27"/>
      <c r="Q62" s="23">
        <v>1</v>
      </c>
      <c r="R62" s="25">
        <v>45723</v>
      </c>
      <c r="S62" s="25">
        <v>45723</v>
      </c>
      <c r="T62" s="25"/>
      <c r="U62" s="25"/>
      <c r="V62" s="25">
        <v>45735</v>
      </c>
      <c r="W62" s="23" t="s">
        <v>78</v>
      </c>
      <c r="X62" s="32" t="str">
        <f>IF(Tabela2[[#This Row],[sigla]]="","",VLOOKUP(Tabela2[[#This Row],[sigla]],Tabela14[[#All],[Sigla Arte]:[Crédito]],2,0))</f>
        <v>HELOÍSA PINTARELLI/ARQUIVO DA EDITORA</v>
      </c>
      <c r="Y62" s="24" t="s">
        <v>53</v>
      </c>
      <c r="Z62" s="24" t="str">
        <f>Tabela2[[#This Row],[ilustrador]]</f>
        <v>HELOÍSA PINTARELLI/ARQUIVO DA EDITORA</v>
      </c>
      <c r="AA62" s="23">
        <v>14</v>
      </c>
      <c r="AB62" s="21" t="s">
        <v>105</v>
      </c>
      <c r="AC62" s="21" t="s">
        <v>31</v>
      </c>
      <c r="AD62" s="4" t="str">
        <f t="shared" si="0"/>
        <v>Pitanguá</v>
      </c>
      <c r="AE62" s="14" t="str">
        <f t="shared" si="1"/>
        <v>Ciências</v>
      </c>
    </row>
    <row r="63" spans="1:31" s="14" customFormat="1" ht="45" customHeight="1" x14ac:dyDescent="0.3">
      <c r="A63" s="24" t="s">
        <v>160</v>
      </c>
      <c r="B63" s="21" t="s">
        <v>6</v>
      </c>
      <c r="C63" s="21" t="s">
        <v>7</v>
      </c>
      <c r="D63" s="21" t="s">
        <v>8</v>
      </c>
      <c r="E63" s="23">
        <v>96</v>
      </c>
      <c r="F63" s="23">
        <f>_xlfn.NUMBERVALUE(MID(TRIM(Tabela2[[#This Row],[retranca]]), FIND("_", TRIM(Tabela2[[#This Row],[retranca]])) + 1, 1), ",", ".")</f>
        <v>3</v>
      </c>
      <c r="G63" s="23">
        <v>3</v>
      </c>
      <c r="H63" s="23"/>
      <c r="I63" s="24" t="s">
        <v>15</v>
      </c>
      <c r="J63" s="24"/>
      <c r="K63" s="23"/>
      <c r="L63" s="23"/>
      <c r="M63" s="24"/>
      <c r="N63" s="24"/>
      <c r="O63" s="27" t="s">
        <v>161</v>
      </c>
      <c r="P63" s="27"/>
      <c r="Q63" s="23"/>
      <c r="R63" s="25"/>
      <c r="S63" s="25"/>
      <c r="T63" s="25"/>
      <c r="U63" s="25"/>
      <c r="V63" s="25"/>
      <c r="W63" s="23" t="s">
        <v>78</v>
      </c>
      <c r="X63" s="32" t="str">
        <f>IF(Tabela2[[#This Row],[sigla]]="","",VLOOKUP(Tabela2[[#This Row],[sigla]],Tabela14[[#All],[Sigla Arte]:[Crédito]],2,0))</f>
        <v>HELOÍSA PINTARELLI/ARQUIVO DA EDITORA</v>
      </c>
      <c r="Y63" s="24"/>
      <c r="Z63" s="24" t="str">
        <f>Tabela2[[#This Row],[ilustrador]]</f>
        <v>HELOÍSA PINTARELLI/ARQUIVO DA EDITORA</v>
      </c>
      <c r="AA63" s="23"/>
      <c r="AB63" s="21"/>
      <c r="AC63" s="21"/>
      <c r="AD63" s="4" t="str">
        <f t="shared" si="0"/>
        <v>Pitanguá</v>
      </c>
      <c r="AE63" s="14" t="str">
        <f t="shared" si="1"/>
        <v>Ciências</v>
      </c>
    </row>
    <row r="64" spans="1:31" s="14" customFormat="1" ht="60" customHeight="1" x14ac:dyDescent="0.3">
      <c r="A64" s="24" t="s">
        <v>162</v>
      </c>
      <c r="B64" s="21" t="s">
        <v>6</v>
      </c>
      <c r="C64" s="21" t="s">
        <v>7</v>
      </c>
      <c r="D64" s="21" t="s">
        <v>8</v>
      </c>
      <c r="E64" s="23">
        <v>99</v>
      </c>
      <c r="F64" s="23">
        <f>_xlfn.NUMBERVALUE(MID(TRIM(Tabela2[[#This Row],[retranca]]), FIND("_", TRIM(Tabela2[[#This Row],[retranca]])) + 1, 1), ",", ".")</f>
        <v>3</v>
      </c>
      <c r="G64" s="23">
        <v>3</v>
      </c>
      <c r="H64" s="23"/>
      <c r="I64" s="24" t="s">
        <v>15</v>
      </c>
      <c r="J64" s="24"/>
      <c r="K64" s="23"/>
      <c r="L64" s="23"/>
      <c r="M64" s="24"/>
      <c r="N64" s="24"/>
      <c r="O64" s="27" t="s">
        <v>163</v>
      </c>
      <c r="P64" s="27"/>
      <c r="Q64" s="23"/>
      <c r="R64" s="25"/>
      <c r="S64" s="25"/>
      <c r="T64" s="25"/>
      <c r="U64" s="25"/>
      <c r="V64" s="25"/>
      <c r="W64" s="23" t="s">
        <v>52</v>
      </c>
      <c r="X64" s="32" t="str">
        <f>IF(Tabela2[[#This Row],[sigla]]="","",VLOOKUP(Tabela2[[#This Row],[sigla]],Tabela14[[#All],[Sigla Arte]:[Crédito]],2,0))</f>
        <v>LUCIANE MORI/ARQUIVO DA EDITORA</v>
      </c>
      <c r="Y64" s="24"/>
      <c r="Z64" s="24" t="str">
        <f>Tabela2[[#This Row],[ilustrador]]</f>
        <v>LUCIANE MORI/ARQUIVO DA EDITORA</v>
      </c>
      <c r="AA64" s="23"/>
      <c r="AB64" s="21"/>
      <c r="AC64" s="21"/>
      <c r="AD64" s="4" t="str">
        <f t="shared" si="0"/>
        <v>Pitanguá</v>
      </c>
      <c r="AE64" s="14" t="str">
        <f t="shared" si="1"/>
        <v>Ciências</v>
      </c>
    </row>
    <row r="65" spans="1:31" s="14" customFormat="1" ht="60" customHeight="1" x14ac:dyDescent="0.3">
      <c r="A65" s="24" t="s">
        <v>164</v>
      </c>
      <c r="B65" s="21" t="s">
        <v>6</v>
      </c>
      <c r="C65" s="21" t="s">
        <v>7</v>
      </c>
      <c r="D65" s="21" t="s">
        <v>8</v>
      </c>
      <c r="E65" s="23">
        <v>99</v>
      </c>
      <c r="F65" s="23">
        <f>_xlfn.NUMBERVALUE(MID(TRIM(Tabela2[[#This Row],[retranca]]), FIND("_", TRIM(Tabela2[[#This Row],[retranca]])) + 1, 1), ",", ".")</f>
        <v>3</v>
      </c>
      <c r="G65" s="23">
        <v>3</v>
      </c>
      <c r="H65" s="23"/>
      <c r="I65" s="24" t="s">
        <v>28</v>
      </c>
      <c r="J65" s="24"/>
      <c r="K65" s="23"/>
      <c r="L65" s="23"/>
      <c r="M65" s="24"/>
      <c r="N65" s="24"/>
      <c r="O65" s="27" t="s">
        <v>165</v>
      </c>
      <c r="P65" s="27"/>
      <c r="Q65" s="23">
        <v>1</v>
      </c>
      <c r="R65" s="25">
        <v>45723</v>
      </c>
      <c r="S65" s="25">
        <v>45723</v>
      </c>
      <c r="T65" s="25"/>
      <c r="U65" s="25"/>
      <c r="V65" s="25">
        <v>45735</v>
      </c>
      <c r="W65" s="23" t="s">
        <v>52</v>
      </c>
      <c r="X65" s="32" t="str">
        <f>IF(Tabela2[[#This Row],[sigla]]="","",VLOOKUP(Tabela2[[#This Row],[sigla]],Tabela14[[#All],[Sigla Arte]:[Crédito]],2,0))</f>
        <v>LUCIANE MORI/ARQUIVO DA EDITORA</v>
      </c>
      <c r="Y65" s="24" t="s">
        <v>53</v>
      </c>
      <c r="Z65" s="24" t="str">
        <f>Tabela2[[#This Row],[ilustrador]]</f>
        <v>LUCIANE MORI/ARQUIVO DA EDITORA</v>
      </c>
      <c r="AA65" s="23">
        <v>14</v>
      </c>
      <c r="AB65" s="21" t="s">
        <v>105</v>
      </c>
      <c r="AC65" s="21" t="s">
        <v>31</v>
      </c>
      <c r="AD65" s="4" t="str">
        <f t="shared" si="0"/>
        <v>Pitanguá</v>
      </c>
      <c r="AE65" s="14" t="str">
        <f t="shared" si="1"/>
        <v>Ciências</v>
      </c>
    </row>
    <row r="66" spans="1:31" s="14" customFormat="1" x14ac:dyDescent="0.3">
      <c r="A66" s="24" t="s">
        <v>166</v>
      </c>
      <c r="B66" s="21" t="s">
        <v>6</v>
      </c>
      <c r="C66" s="21" t="s">
        <v>7</v>
      </c>
      <c r="D66" s="21" t="s">
        <v>8</v>
      </c>
      <c r="E66" s="23">
        <v>100</v>
      </c>
      <c r="F66" s="23">
        <f>_xlfn.NUMBERVALUE(MID(TRIM(Tabela2[[#This Row],[retranca]]), FIND("_", TRIM(Tabela2[[#This Row],[retranca]])) + 1, 1), ",", ".")</f>
        <v>3</v>
      </c>
      <c r="G66" s="23">
        <v>3</v>
      </c>
      <c r="H66" s="23"/>
      <c r="I66" s="24" t="s">
        <v>9</v>
      </c>
      <c r="J66" s="24"/>
      <c r="K66" s="23"/>
      <c r="L66" s="23"/>
      <c r="M66" s="24"/>
      <c r="N66" s="24"/>
      <c r="O66" s="27" t="s">
        <v>167</v>
      </c>
      <c r="P66" s="27"/>
      <c r="Q66" s="23">
        <v>1</v>
      </c>
      <c r="R66" s="25">
        <v>45723</v>
      </c>
      <c r="S66" s="25">
        <v>45723</v>
      </c>
      <c r="T66" s="25"/>
      <c r="U66" s="25"/>
      <c r="V66" s="25">
        <v>45735</v>
      </c>
      <c r="W66" s="23" t="s">
        <v>52</v>
      </c>
      <c r="X66" s="32" t="str">
        <f>IF(Tabela2[[#This Row],[sigla]]="","",VLOOKUP(Tabela2[[#This Row],[sigla]],Tabela14[[#All],[Sigla Arte]:[Crédito]],2,0))</f>
        <v>LUCIANE MORI/ARQUIVO DA EDITORA</v>
      </c>
      <c r="Y66" s="24" t="s">
        <v>138</v>
      </c>
      <c r="Z66" s="24" t="str">
        <f>Tabela2[[#This Row],[ilustrador]]</f>
        <v>LUCIANE MORI/ARQUIVO DA EDITORA</v>
      </c>
      <c r="AA66" s="23">
        <v>14</v>
      </c>
      <c r="AB66" s="21" t="s">
        <v>105</v>
      </c>
      <c r="AC66" s="21" t="s">
        <v>31</v>
      </c>
      <c r="AD66" s="4" t="str">
        <f t="shared" ref="AD66:AD129" si="2">"Pitanguá"</f>
        <v>Pitanguá</v>
      </c>
      <c r="AE66" s="14" t="str">
        <f t="shared" ref="AE66:AE129" si="3">"Ciências"</f>
        <v>Ciências</v>
      </c>
    </row>
    <row r="67" spans="1:31" s="14" customFormat="1" x14ac:dyDescent="0.3">
      <c r="A67" s="24" t="s">
        <v>168</v>
      </c>
      <c r="B67" s="21" t="s">
        <v>63</v>
      </c>
      <c r="C67" s="21" t="s">
        <v>7</v>
      </c>
      <c r="D67" s="21" t="s">
        <v>8</v>
      </c>
      <c r="E67" s="23">
        <v>100</v>
      </c>
      <c r="F67" s="23">
        <f>_xlfn.NUMBERVALUE(MID(TRIM(Tabela2[[#This Row],[retranca]]), FIND("_", TRIM(Tabela2[[#This Row],[retranca]])) + 1, 1), ",", ".")</f>
        <v>3</v>
      </c>
      <c r="G67" s="23">
        <v>3</v>
      </c>
      <c r="H67" s="23"/>
      <c r="I67" s="24" t="s">
        <v>9</v>
      </c>
      <c r="J67" s="24"/>
      <c r="K67" s="23"/>
      <c r="L67" s="23"/>
      <c r="M67" s="24"/>
      <c r="N67" s="24"/>
      <c r="O67" s="27" t="s">
        <v>169</v>
      </c>
      <c r="P67" s="27"/>
      <c r="Q67" s="23">
        <v>1</v>
      </c>
      <c r="R67" s="25">
        <v>45723</v>
      </c>
      <c r="S67" s="25">
        <v>45723</v>
      </c>
      <c r="T67" s="25"/>
      <c r="U67" s="25"/>
      <c r="V67" s="25">
        <v>45735</v>
      </c>
      <c r="W67" s="23" t="s">
        <v>52</v>
      </c>
      <c r="X67" s="32" t="str">
        <f>IF(Tabela2[[#This Row],[sigla]]="","",VLOOKUP(Tabela2[[#This Row],[sigla]],Tabela14[[#All],[Sigla Arte]:[Crédito]],2,0))</f>
        <v>LUCIANE MORI/ARQUIVO DA EDITORA</v>
      </c>
      <c r="Y67" s="24" t="s">
        <v>138</v>
      </c>
      <c r="Z67" s="24" t="str">
        <f>Tabela2[[#This Row],[ilustrador]]</f>
        <v>LUCIANE MORI/ARQUIVO DA EDITORA</v>
      </c>
      <c r="AA67" s="23">
        <v>14</v>
      </c>
      <c r="AB67" s="21" t="s">
        <v>105</v>
      </c>
      <c r="AC67" s="21" t="s">
        <v>31</v>
      </c>
      <c r="AD67" s="4" t="str">
        <f t="shared" si="2"/>
        <v>Pitanguá</v>
      </c>
      <c r="AE67" s="14" t="str">
        <f t="shared" si="3"/>
        <v>Ciências</v>
      </c>
    </row>
    <row r="68" spans="1:31" s="14" customFormat="1" x14ac:dyDescent="0.3">
      <c r="A68" s="24" t="s">
        <v>170</v>
      </c>
      <c r="B68" s="21" t="s">
        <v>6</v>
      </c>
      <c r="C68" s="21" t="s">
        <v>7</v>
      </c>
      <c r="D68" s="21" t="s">
        <v>8</v>
      </c>
      <c r="E68" s="23">
        <v>100</v>
      </c>
      <c r="F68" s="23">
        <f>_xlfn.NUMBERVALUE(MID(TRIM(Tabela2[[#This Row],[retranca]]), FIND("_", TRIM(Tabela2[[#This Row],[retranca]])) + 1, 1), ",", ".")</f>
        <v>3</v>
      </c>
      <c r="G68" s="23">
        <v>3</v>
      </c>
      <c r="H68" s="23"/>
      <c r="I68" s="24" t="s">
        <v>9</v>
      </c>
      <c r="J68" s="24"/>
      <c r="K68" s="23"/>
      <c r="L68" s="23"/>
      <c r="M68" s="24"/>
      <c r="N68" s="24"/>
      <c r="O68" s="27" t="s">
        <v>171</v>
      </c>
      <c r="P68" s="27"/>
      <c r="Q68" s="23">
        <v>1</v>
      </c>
      <c r="R68" s="25">
        <v>45723</v>
      </c>
      <c r="S68" s="25">
        <v>45723</v>
      </c>
      <c r="T68" s="25"/>
      <c r="U68" s="25"/>
      <c r="V68" s="25">
        <v>45735</v>
      </c>
      <c r="W68" s="23" t="s">
        <v>52</v>
      </c>
      <c r="X68" s="32" t="str">
        <f>IF(Tabela2[[#This Row],[sigla]]="","",VLOOKUP(Tabela2[[#This Row],[sigla]],Tabela14[[#All],[Sigla Arte]:[Crédito]],2,0))</f>
        <v>LUCIANE MORI/ARQUIVO DA EDITORA</v>
      </c>
      <c r="Y68" s="24" t="s">
        <v>138</v>
      </c>
      <c r="Z68" s="24" t="str">
        <f>Tabela2[[#This Row],[ilustrador]]</f>
        <v>LUCIANE MORI/ARQUIVO DA EDITORA</v>
      </c>
      <c r="AA68" s="23">
        <v>14</v>
      </c>
      <c r="AB68" s="21" t="s">
        <v>105</v>
      </c>
      <c r="AC68" s="21" t="s">
        <v>31</v>
      </c>
      <c r="AD68" s="4" t="str">
        <f t="shared" si="2"/>
        <v>Pitanguá</v>
      </c>
      <c r="AE68" s="14" t="str">
        <f t="shared" si="3"/>
        <v>Ciências</v>
      </c>
    </row>
    <row r="69" spans="1:31" s="14" customFormat="1" x14ac:dyDescent="0.3">
      <c r="A69" s="24" t="s">
        <v>172</v>
      </c>
      <c r="B69" s="21" t="s">
        <v>6</v>
      </c>
      <c r="C69" s="21" t="s">
        <v>7</v>
      </c>
      <c r="D69" s="21" t="s">
        <v>8</v>
      </c>
      <c r="E69" s="23">
        <v>100</v>
      </c>
      <c r="F69" s="23">
        <f>_xlfn.NUMBERVALUE(MID(TRIM(Tabela2[[#This Row],[retranca]]), FIND("_", TRIM(Tabela2[[#This Row],[retranca]])) + 1, 1), ",", ".")</f>
        <v>3</v>
      </c>
      <c r="G69" s="23">
        <v>3</v>
      </c>
      <c r="H69" s="23"/>
      <c r="I69" s="24" t="s">
        <v>9</v>
      </c>
      <c r="J69" s="24"/>
      <c r="K69" s="23"/>
      <c r="L69" s="23"/>
      <c r="M69" s="24"/>
      <c r="N69" s="24"/>
      <c r="O69" s="27" t="s">
        <v>173</v>
      </c>
      <c r="P69" s="27"/>
      <c r="Q69" s="23">
        <v>1</v>
      </c>
      <c r="R69" s="25">
        <v>45723</v>
      </c>
      <c r="S69" s="25">
        <v>45723</v>
      </c>
      <c r="T69" s="25"/>
      <c r="U69" s="25"/>
      <c r="V69" s="25">
        <v>45735</v>
      </c>
      <c r="W69" s="23" t="s">
        <v>52</v>
      </c>
      <c r="X69" s="32" t="str">
        <f>IF(Tabela2[[#This Row],[sigla]]="","",VLOOKUP(Tabela2[[#This Row],[sigla]],Tabela14[[#All],[Sigla Arte]:[Crédito]],2,0))</f>
        <v>LUCIANE MORI/ARQUIVO DA EDITORA</v>
      </c>
      <c r="Y69" s="24" t="s">
        <v>138</v>
      </c>
      <c r="Z69" s="24" t="str">
        <f>Tabela2[[#This Row],[ilustrador]]</f>
        <v>LUCIANE MORI/ARQUIVO DA EDITORA</v>
      </c>
      <c r="AA69" s="23">
        <v>14</v>
      </c>
      <c r="AB69" s="21" t="s">
        <v>105</v>
      </c>
      <c r="AC69" s="21" t="s">
        <v>31</v>
      </c>
      <c r="AD69" s="4" t="str">
        <f t="shared" si="2"/>
        <v>Pitanguá</v>
      </c>
      <c r="AE69" s="14" t="str">
        <f t="shared" si="3"/>
        <v>Ciências</v>
      </c>
    </row>
    <row r="70" spans="1:31" s="14" customFormat="1" x14ac:dyDescent="0.3">
      <c r="A70" s="24" t="s">
        <v>174</v>
      </c>
      <c r="B70" s="21" t="s">
        <v>6</v>
      </c>
      <c r="C70" s="21" t="s">
        <v>7</v>
      </c>
      <c r="D70" s="21" t="s">
        <v>8</v>
      </c>
      <c r="E70" s="23">
        <v>100</v>
      </c>
      <c r="F70" s="23">
        <f>_xlfn.NUMBERVALUE(MID(TRIM(Tabela2[[#This Row],[retranca]]), FIND("_", TRIM(Tabela2[[#This Row],[retranca]])) + 1, 1), ",", ".")</f>
        <v>3</v>
      </c>
      <c r="G70" s="23">
        <v>3</v>
      </c>
      <c r="H70" s="23"/>
      <c r="I70" s="24" t="s">
        <v>9</v>
      </c>
      <c r="J70" s="24"/>
      <c r="K70" s="23"/>
      <c r="L70" s="23"/>
      <c r="M70" s="24"/>
      <c r="N70" s="24"/>
      <c r="O70" s="27" t="s">
        <v>175</v>
      </c>
      <c r="P70" s="27"/>
      <c r="Q70" s="23">
        <v>1</v>
      </c>
      <c r="R70" s="25">
        <v>45723</v>
      </c>
      <c r="S70" s="25">
        <v>45723</v>
      </c>
      <c r="T70" s="25"/>
      <c r="U70" s="25"/>
      <c r="V70" s="25">
        <v>45735</v>
      </c>
      <c r="W70" s="23" t="s">
        <v>52</v>
      </c>
      <c r="X70" s="32" t="str">
        <f>IF(Tabela2[[#This Row],[sigla]]="","",VLOOKUP(Tabela2[[#This Row],[sigla]],Tabela14[[#All],[Sigla Arte]:[Crédito]],2,0))</f>
        <v>LUCIANE MORI/ARQUIVO DA EDITORA</v>
      </c>
      <c r="Y70" s="24" t="s">
        <v>138</v>
      </c>
      <c r="Z70" s="24" t="str">
        <f>Tabela2[[#This Row],[ilustrador]]</f>
        <v>LUCIANE MORI/ARQUIVO DA EDITORA</v>
      </c>
      <c r="AA70" s="23">
        <v>14</v>
      </c>
      <c r="AB70" s="21" t="s">
        <v>105</v>
      </c>
      <c r="AC70" s="21" t="s">
        <v>31</v>
      </c>
      <c r="AD70" s="4" t="str">
        <f t="shared" si="2"/>
        <v>Pitanguá</v>
      </c>
      <c r="AE70" s="14" t="str">
        <f t="shared" si="3"/>
        <v>Ciências</v>
      </c>
    </row>
    <row r="71" spans="1:31" s="14" customFormat="1" x14ac:dyDescent="0.3">
      <c r="A71" s="24" t="s">
        <v>176</v>
      </c>
      <c r="B71" s="21" t="s">
        <v>6</v>
      </c>
      <c r="C71" s="21" t="s">
        <v>7</v>
      </c>
      <c r="D71" s="21" t="s">
        <v>8</v>
      </c>
      <c r="E71" s="23">
        <v>100</v>
      </c>
      <c r="F71" s="23">
        <f>_xlfn.NUMBERVALUE(MID(TRIM(Tabela2[[#This Row],[retranca]]), FIND("_", TRIM(Tabela2[[#This Row],[retranca]])) + 1, 1), ",", ".")</f>
        <v>3</v>
      </c>
      <c r="G71" s="23">
        <v>3</v>
      </c>
      <c r="H71" s="23"/>
      <c r="I71" s="24" t="s">
        <v>9</v>
      </c>
      <c r="J71" s="24"/>
      <c r="K71" s="23"/>
      <c r="L71" s="23"/>
      <c r="M71" s="24"/>
      <c r="N71" s="24"/>
      <c r="O71" s="27" t="s">
        <v>177</v>
      </c>
      <c r="P71" s="27"/>
      <c r="Q71" s="23">
        <v>1</v>
      </c>
      <c r="R71" s="25">
        <v>45723</v>
      </c>
      <c r="S71" s="25">
        <v>45723</v>
      </c>
      <c r="T71" s="25"/>
      <c r="U71" s="25"/>
      <c r="V71" s="25">
        <v>45735</v>
      </c>
      <c r="W71" s="23" t="s">
        <v>52</v>
      </c>
      <c r="X71" s="32" t="str">
        <f>IF(Tabela2[[#This Row],[sigla]]="","",VLOOKUP(Tabela2[[#This Row],[sigla]],Tabela14[[#All],[Sigla Arte]:[Crédito]],2,0))</f>
        <v>LUCIANE MORI/ARQUIVO DA EDITORA</v>
      </c>
      <c r="Y71" s="24" t="s">
        <v>138</v>
      </c>
      <c r="Z71" s="24" t="str">
        <f>Tabela2[[#This Row],[ilustrador]]</f>
        <v>LUCIANE MORI/ARQUIVO DA EDITORA</v>
      </c>
      <c r="AA71" s="23">
        <v>14</v>
      </c>
      <c r="AB71" s="21" t="s">
        <v>105</v>
      </c>
      <c r="AC71" s="21" t="s">
        <v>31</v>
      </c>
      <c r="AD71" s="4" t="str">
        <f t="shared" si="2"/>
        <v>Pitanguá</v>
      </c>
      <c r="AE71" s="14" t="str">
        <f t="shared" si="3"/>
        <v>Ciências</v>
      </c>
    </row>
    <row r="72" spans="1:31" s="14" customFormat="1" ht="30" customHeight="1" x14ac:dyDescent="0.3">
      <c r="A72" s="24" t="s">
        <v>178</v>
      </c>
      <c r="B72" s="21" t="s">
        <v>6</v>
      </c>
      <c r="C72" s="21" t="s">
        <v>7</v>
      </c>
      <c r="D72" s="21" t="s">
        <v>8</v>
      </c>
      <c r="E72" s="23">
        <v>100</v>
      </c>
      <c r="F72" s="23">
        <f>_xlfn.NUMBERVALUE(MID(TRIM(Tabela2[[#This Row],[retranca]]), FIND("_", TRIM(Tabela2[[#This Row],[retranca]])) + 1, 1), ",", ".")</f>
        <v>3</v>
      </c>
      <c r="G72" s="23">
        <v>3</v>
      </c>
      <c r="H72" s="23"/>
      <c r="I72" s="24" t="s">
        <v>9</v>
      </c>
      <c r="J72" s="24"/>
      <c r="K72" s="23"/>
      <c r="L72" s="23"/>
      <c r="M72" s="24"/>
      <c r="N72" s="24"/>
      <c r="O72" s="27" t="s">
        <v>179</v>
      </c>
      <c r="P72" s="27"/>
      <c r="Q72" s="23">
        <v>1</v>
      </c>
      <c r="R72" s="25">
        <v>45723</v>
      </c>
      <c r="S72" s="25">
        <v>45727</v>
      </c>
      <c r="T72" s="25"/>
      <c r="U72" s="25"/>
      <c r="V72" s="25">
        <v>45729</v>
      </c>
      <c r="W72" s="23" t="s">
        <v>52</v>
      </c>
      <c r="X72" s="32" t="str">
        <f>IF(Tabela2[[#This Row],[sigla]]="","",VLOOKUP(Tabela2[[#This Row],[sigla]],Tabela14[[#All],[Sigla Arte]:[Crédito]],2,0))</f>
        <v>LUCIANE MORI/ARQUIVO DA EDITORA</v>
      </c>
      <c r="Y72" s="24" t="s">
        <v>138</v>
      </c>
      <c r="Z72" s="24" t="str">
        <f>Tabela2[[#This Row],[ilustrador]]</f>
        <v>LUCIANE MORI/ARQUIVO DA EDITORA</v>
      </c>
      <c r="AA72" s="23">
        <v>14</v>
      </c>
      <c r="AB72" s="21" t="s">
        <v>105</v>
      </c>
      <c r="AC72" s="21" t="s">
        <v>31</v>
      </c>
      <c r="AD72" s="4" t="str">
        <f t="shared" si="2"/>
        <v>Pitanguá</v>
      </c>
      <c r="AE72" s="14" t="str">
        <f t="shared" si="3"/>
        <v>Ciências</v>
      </c>
    </row>
    <row r="73" spans="1:31" s="14" customFormat="1" x14ac:dyDescent="0.3">
      <c r="A73" s="24" t="s">
        <v>180</v>
      </c>
      <c r="B73" s="21" t="s">
        <v>6</v>
      </c>
      <c r="C73" s="21" t="s">
        <v>7</v>
      </c>
      <c r="D73" s="21" t="s">
        <v>8</v>
      </c>
      <c r="E73" s="23">
        <v>100</v>
      </c>
      <c r="F73" s="23">
        <f>_xlfn.NUMBERVALUE(MID(TRIM(Tabela2[[#This Row],[retranca]]), FIND("_", TRIM(Tabela2[[#This Row],[retranca]])) + 1, 1), ",", ".")</f>
        <v>3</v>
      </c>
      <c r="G73" s="23">
        <v>3</v>
      </c>
      <c r="H73" s="23"/>
      <c r="I73" s="24" t="s">
        <v>9</v>
      </c>
      <c r="J73" s="24"/>
      <c r="K73" s="23"/>
      <c r="L73" s="23"/>
      <c r="M73" s="24"/>
      <c r="N73" s="24"/>
      <c r="O73" s="27" t="s">
        <v>181</v>
      </c>
      <c r="P73" s="27"/>
      <c r="Q73" s="23">
        <v>1</v>
      </c>
      <c r="R73" s="25">
        <v>45723</v>
      </c>
      <c r="S73" s="25">
        <v>45727</v>
      </c>
      <c r="T73" s="25"/>
      <c r="U73" s="25"/>
      <c r="V73" s="25">
        <v>45729</v>
      </c>
      <c r="W73" s="23" t="s">
        <v>52</v>
      </c>
      <c r="X73" s="32" t="str">
        <f>IF(Tabela2[[#This Row],[sigla]]="","",VLOOKUP(Tabela2[[#This Row],[sigla]],Tabela14[[#All],[Sigla Arte]:[Crédito]],2,0))</f>
        <v>LUCIANE MORI/ARQUIVO DA EDITORA</v>
      </c>
      <c r="Y73" s="24" t="s">
        <v>138</v>
      </c>
      <c r="Z73" s="24" t="str">
        <f>Tabela2[[#This Row],[ilustrador]]</f>
        <v>LUCIANE MORI/ARQUIVO DA EDITORA</v>
      </c>
      <c r="AA73" s="23">
        <v>14</v>
      </c>
      <c r="AB73" s="21" t="s">
        <v>105</v>
      </c>
      <c r="AC73" s="21" t="s">
        <v>31</v>
      </c>
      <c r="AD73" s="4" t="str">
        <f t="shared" si="2"/>
        <v>Pitanguá</v>
      </c>
      <c r="AE73" s="14" t="str">
        <f t="shared" si="3"/>
        <v>Ciências</v>
      </c>
    </row>
    <row r="74" spans="1:31" s="14" customFormat="1" x14ac:dyDescent="0.3">
      <c r="A74" s="24" t="s">
        <v>182</v>
      </c>
      <c r="B74" s="21" t="s">
        <v>63</v>
      </c>
      <c r="C74" s="21" t="s">
        <v>7</v>
      </c>
      <c r="D74" s="21" t="s">
        <v>8</v>
      </c>
      <c r="E74" s="23">
        <v>100</v>
      </c>
      <c r="F74" s="23">
        <f>_xlfn.NUMBERVALUE(MID(TRIM(Tabela2[[#This Row],[retranca]]), FIND("_", TRIM(Tabela2[[#This Row],[retranca]])) + 1, 1), ",", ".")</f>
        <v>3</v>
      </c>
      <c r="G74" s="23">
        <v>3</v>
      </c>
      <c r="H74" s="23"/>
      <c r="I74" s="24" t="s">
        <v>9</v>
      </c>
      <c r="J74" s="24"/>
      <c r="K74" s="23"/>
      <c r="L74" s="23"/>
      <c r="M74" s="24"/>
      <c r="N74" s="24"/>
      <c r="O74" s="27" t="s">
        <v>183</v>
      </c>
      <c r="P74" s="27"/>
      <c r="Q74" s="23">
        <v>1</v>
      </c>
      <c r="R74" s="25">
        <v>45723</v>
      </c>
      <c r="S74" s="25">
        <v>45727</v>
      </c>
      <c r="T74" s="25"/>
      <c r="U74" s="25"/>
      <c r="V74" s="25">
        <v>45729</v>
      </c>
      <c r="W74" s="23" t="s">
        <v>52</v>
      </c>
      <c r="X74" s="32" t="str">
        <f>IF(Tabela2[[#This Row],[sigla]]="","",VLOOKUP(Tabela2[[#This Row],[sigla]],Tabela14[[#All],[Sigla Arte]:[Crédito]],2,0))</f>
        <v>LUCIANE MORI/ARQUIVO DA EDITORA</v>
      </c>
      <c r="Y74" s="24" t="s">
        <v>138</v>
      </c>
      <c r="Z74" s="24" t="str">
        <f>Tabela2[[#This Row],[ilustrador]]</f>
        <v>LUCIANE MORI/ARQUIVO DA EDITORA</v>
      </c>
      <c r="AA74" s="23">
        <v>14</v>
      </c>
      <c r="AB74" s="21" t="s">
        <v>105</v>
      </c>
      <c r="AC74" s="21" t="s">
        <v>31</v>
      </c>
      <c r="AD74" s="4" t="str">
        <f t="shared" si="2"/>
        <v>Pitanguá</v>
      </c>
      <c r="AE74" s="14" t="str">
        <f t="shared" si="3"/>
        <v>Ciências</v>
      </c>
    </row>
    <row r="75" spans="1:31" s="14" customFormat="1" x14ac:dyDescent="0.3">
      <c r="A75" s="24" t="s">
        <v>184</v>
      </c>
      <c r="B75" s="21" t="s">
        <v>6</v>
      </c>
      <c r="C75" s="21" t="s">
        <v>7</v>
      </c>
      <c r="D75" s="21" t="s">
        <v>8</v>
      </c>
      <c r="E75" s="23">
        <v>100</v>
      </c>
      <c r="F75" s="23">
        <f>_xlfn.NUMBERVALUE(MID(TRIM(Tabela2[[#This Row],[retranca]]), FIND("_", TRIM(Tabela2[[#This Row],[retranca]])) + 1, 1), ",", ".")</f>
        <v>3</v>
      </c>
      <c r="G75" s="23">
        <v>3</v>
      </c>
      <c r="H75" s="23"/>
      <c r="I75" s="24" t="s">
        <v>9</v>
      </c>
      <c r="J75" s="24"/>
      <c r="K75" s="23"/>
      <c r="L75" s="23"/>
      <c r="M75" s="24"/>
      <c r="N75" s="24"/>
      <c r="O75" s="27" t="s">
        <v>185</v>
      </c>
      <c r="P75" s="27"/>
      <c r="Q75" s="23">
        <v>1</v>
      </c>
      <c r="R75" s="25">
        <v>45723</v>
      </c>
      <c r="S75" s="25">
        <v>45727</v>
      </c>
      <c r="T75" s="25"/>
      <c r="U75" s="25"/>
      <c r="V75" s="25">
        <v>45729</v>
      </c>
      <c r="W75" s="23" t="s">
        <v>52</v>
      </c>
      <c r="X75" s="32" t="str">
        <f>IF(Tabela2[[#This Row],[sigla]]="","",VLOOKUP(Tabela2[[#This Row],[sigla]],Tabela14[[#All],[Sigla Arte]:[Crédito]],2,0))</f>
        <v>LUCIANE MORI/ARQUIVO DA EDITORA</v>
      </c>
      <c r="Y75" s="24" t="s">
        <v>138</v>
      </c>
      <c r="Z75" s="24" t="str">
        <f>Tabela2[[#This Row],[ilustrador]]</f>
        <v>LUCIANE MORI/ARQUIVO DA EDITORA</v>
      </c>
      <c r="AA75" s="23">
        <v>14</v>
      </c>
      <c r="AB75" s="21" t="s">
        <v>105</v>
      </c>
      <c r="AC75" s="21" t="s">
        <v>31</v>
      </c>
      <c r="AD75" s="4" t="str">
        <f t="shared" si="2"/>
        <v>Pitanguá</v>
      </c>
      <c r="AE75" s="14" t="str">
        <f t="shared" si="3"/>
        <v>Ciências</v>
      </c>
    </row>
    <row r="76" spans="1:31" s="14" customFormat="1" ht="75" customHeight="1" x14ac:dyDescent="0.3">
      <c r="A76" s="24" t="s">
        <v>186</v>
      </c>
      <c r="B76" s="21" t="s">
        <v>6</v>
      </c>
      <c r="C76" s="21" t="s">
        <v>7</v>
      </c>
      <c r="D76" s="21" t="s">
        <v>8</v>
      </c>
      <c r="E76" s="23">
        <v>106</v>
      </c>
      <c r="F76" s="23">
        <f>_xlfn.NUMBERVALUE(MID(TRIM(Tabela2[[#This Row],[retranca]]), FIND("_", TRIM(Tabela2[[#This Row],[retranca]])) + 1, 1), ",", ".")</f>
        <v>3</v>
      </c>
      <c r="G76" s="23">
        <v>3</v>
      </c>
      <c r="H76" s="23"/>
      <c r="I76" s="24" t="s">
        <v>15</v>
      </c>
      <c r="J76" s="24"/>
      <c r="K76" s="23"/>
      <c r="L76" s="23"/>
      <c r="M76" s="24"/>
      <c r="N76" s="24"/>
      <c r="O76" s="27" t="s">
        <v>187</v>
      </c>
      <c r="P76" s="27"/>
      <c r="Q76" s="23"/>
      <c r="R76" s="25"/>
      <c r="S76" s="25"/>
      <c r="T76" s="25"/>
      <c r="U76" s="25"/>
      <c r="V76" s="25"/>
      <c r="W76" s="23" t="s">
        <v>17</v>
      </c>
      <c r="X76" s="32" t="str">
        <f>IF(Tabela2[[#This Row],[sigla]]="","",VLOOKUP(Tabela2[[#This Row],[sigla]],Tabela14[[#All],[Sigla Arte]:[Crédito]],2,0))</f>
        <v>MÁRCIO GUERRA/ARQUIVO DA EDITORA</v>
      </c>
      <c r="Y76" s="24"/>
      <c r="Z76" s="24" t="str">
        <f>Tabela2[[#This Row],[ilustrador]]</f>
        <v>MÁRCIO GUERRA/ARQUIVO DA EDITORA</v>
      </c>
      <c r="AA76" s="23"/>
      <c r="AB76" s="21"/>
      <c r="AC76" s="21"/>
      <c r="AD76" s="4" t="str">
        <f t="shared" si="2"/>
        <v>Pitanguá</v>
      </c>
      <c r="AE76" s="14" t="str">
        <f t="shared" si="3"/>
        <v>Ciências</v>
      </c>
    </row>
    <row r="77" spans="1:31" s="14" customFormat="1" ht="75" customHeight="1" x14ac:dyDescent="0.3">
      <c r="A77" s="24" t="s">
        <v>188</v>
      </c>
      <c r="B77" s="21" t="s">
        <v>6</v>
      </c>
      <c r="C77" s="21" t="s">
        <v>7</v>
      </c>
      <c r="D77" s="21" t="s">
        <v>8</v>
      </c>
      <c r="E77" s="23">
        <v>108</v>
      </c>
      <c r="F77" s="23">
        <f>_xlfn.NUMBERVALUE(MID(TRIM(Tabela2[[#This Row],[retranca]]), FIND("_", TRIM(Tabela2[[#This Row],[retranca]])) + 1, 1), ",", ".")</f>
        <v>3</v>
      </c>
      <c r="G77" s="23">
        <v>3</v>
      </c>
      <c r="H77" s="23"/>
      <c r="I77" s="24" t="s">
        <v>28</v>
      </c>
      <c r="J77" s="24"/>
      <c r="K77" s="23"/>
      <c r="L77" s="23"/>
      <c r="M77" s="24"/>
      <c r="N77" s="24"/>
      <c r="O77" s="27" t="s">
        <v>189</v>
      </c>
      <c r="P77" s="27"/>
      <c r="Q77" s="23">
        <v>1</v>
      </c>
      <c r="R77" s="25">
        <v>45723</v>
      </c>
      <c r="S77" s="25">
        <v>45723</v>
      </c>
      <c r="T77" s="25"/>
      <c r="U77" s="25"/>
      <c r="V77" s="25">
        <v>45735</v>
      </c>
      <c r="W77" s="23" t="s">
        <v>36</v>
      </c>
      <c r="X77" s="32" t="str">
        <f>IF(Tabela2[[#This Row],[sigla]]="","",VLOOKUP(Tabela2[[#This Row],[sigla]],Tabela14[[#All],[Sigla Arte]:[Crédito]],2,0))</f>
        <v>WERLLEN HOLANDA/ARQUIVO DA EDITORA</v>
      </c>
      <c r="Y77" s="24" t="s">
        <v>53</v>
      </c>
      <c r="Z77" s="24" t="str">
        <f>Tabela2[[#This Row],[ilustrador]]</f>
        <v>WERLLEN HOLANDA/ARQUIVO DA EDITORA</v>
      </c>
      <c r="AA77" s="23">
        <v>14</v>
      </c>
      <c r="AB77" s="21" t="s">
        <v>105</v>
      </c>
      <c r="AC77" s="21" t="s">
        <v>31</v>
      </c>
      <c r="AD77" s="4" t="str">
        <f t="shared" si="2"/>
        <v>Pitanguá</v>
      </c>
      <c r="AE77" s="14" t="str">
        <f t="shared" si="3"/>
        <v>Ciências</v>
      </c>
    </row>
    <row r="78" spans="1:31" s="14" customFormat="1" ht="75" customHeight="1" x14ac:dyDescent="0.3">
      <c r="A78" s="24" t="s">
        <v>190</v>
      </c>
      <c r="B78" s="21" t="s">
        <v>6</v>
      </c>
      <c r="C78" s="21" t="s">
        <v>191</v>
      </c>
      <c r="D78" s="21" t="s">
        <v>8</v>
      </c>
      <c r="E78" s="23">
        <v>126</v>
      </c>
      <c r="F78" s="23">
        <f>_xlfn.NUMBERVALUE(MID(TRIM(Tabela2[[#This Row],[retranca]]), FIND("_", TRIM(Tabela2[[#This Row],[retranca]])) + 1, 1), ",", ".")</f>
        <v>3</v>
      </c>
      <c r="G78" s="23">
        <v>4</v>
      </c>
      <c r="H78" s="23"/>
      <c r="I78" s="24" t="s">
        <v>28</v>
      </c>
      <c r="J78" s="24"/>
      <c r="K78" s="23"/>
      <c r="L78" s="23"/>
      <c r="M78" s="24"/>
      <c r="N78" s="24"/>
      <c r="O78" s="27" t="s">
        <v>192</v>
      </c>
      <c r="P78" s="27"/>
      <c r="Q78" s="23">
        <v>1</v>
      </c>
      <c r="R78" s="25">
        <v>45723</v>
      </c>
      <c r="S78" s="25"/>
      <c r="T78" s="25"/>
      <c r="U78" s="25"/>
      <c r="V78" s="25">
        <v>45728</v>
      </c>
      <c r="W78" s="23" t="s">
        <v>193</v>
      </c>
      <c r="X78" s="32" t="str">
        <f>IF(Tabela2[[#This Row],[sigla]]="","",VLOOKUP(Tabela2[[#This Row],[sigla]],Tabela14[[#All],[Sigla Arte]:[Crédito]],2,0))</f>
        <v>EDSON BELLUSCI/ARQUIVO DA EDITORA</v>
      </c>
      <c r="Y78" s="24" t="s">
        <v>194</v>
      </c>
      <c r="Z78" s="24" t="str">
        <f>Tabela2[[#This Row],[ilustrador]]</f>
        <v>EDSON BELLUSCI/ARQUIVO DA EDITORA</v>
      </c>
      <c r="AA78" s="23">
        <v>13</v>
      </c>
      <c r="AB78" s="21" t="s">
        <v>195</v>
      </c>
      <c r="AC78" s="21" t="s">
        <v>31</v>
      </c>
      <c r="AD78" s="4" t="str">
        <f t="shared" si="2"/>
        <v>Pitanguá</v>
      </c>
      <c r="AE78" s="14" t="str">
        <f t="shared" si="3"/>
        <v>Ciências</v>
      </c>
    </row>
    <row r="79" spans="1:31" s="14" customFormat="1" ht="45" customHeight="1" x14ac:dyDescent="0.3">
      <c r="A79" s="24" t="s">
        <v>196</v>
      </c>
      <c r="B79" s="21" t="s">
        <v>6</v>
      </c>
      <c r="C79" s="21" t="s">
        <v>7</v>
      </c>
      <c r="D79" s="21" t="s">
        <v>8</v>
      </c>
      <c r="E79" s="23">
        <v>134</v>
      </c>
      <c r="F79" s="23">
        <f>_xlfn.NUMBERVALUE(MID(TRIM(Tabela2[[#This Row],[retranca]]), FIND("_", TRIM(Tabela2[[#This Row],[retranca]])) + 1, 1), ",", ".")</f>
        <v>3</v>
      </c>
      <c r="G79" s="23">
        <v>4</v>
      </c>
      <c r="H79" s="23"/>
      <c r="I79" s="24" t="s">
        <v>15</v>
      </c>
      <c r="J79" s="24"/>
      <c r="K79" s="23"/>
      <c r="L79" s="23"/>
      <c r="M79" s="24"/>
      <c r="N79" s="24"/>
      <c r="O79" s="27" t="s">
        <v>197</v>
      </c>
      <c r="P79" s="27"/>
      <c r="Q79" s="23"/>
      <c r="R79" s="25"/>
      <c r="S79" s="25"/>
      <c r="T79" s="25"/>
      <c r="U79" s="25"/>
      <c r="V79" s="25"/>
      <c r="W79" s="23" t="s">
        <v>78</v>
      </c>
      <c r="X79" s="32" t="str">
        <f>IF(Tabela2[[#This Row],[sigla]]="","",VLOOKUP(Tabela2[[#This Row],[sigla]],Tabela14[[#All],[Sigla Arte]:[Crédito]],2,0))</f>
        <v>HELOÍSA PINTARELLI/ARQUIVO DA EDITORA</v>
      </c>
      <c r="Y79" s="24"/>
      <c r="Z79" s="24" t="str">
        <f>Tabela2[[#This Row],[ilustrador]]</f>
        <v>HELOÍSA PINTARELLI/ARQUIVO DA EDITORA</v>
      </c>
      <c r="AA79" s="23"/>
      <c r="AB79" s="21"/>
      <c r="AC79" s="21"/>
      <c r="AD79" s="4" t="str">
        <f t="shared" si="2"/>
        <v>Pitanguá</v>
      </c>
      <c r="AE79" s="14" t="str">
        <f t="shared" si="3"/>
        <v>Ciências</v>
      </c>
    </row>
    <row r="80" spans="1:31" s="14" customFormat="1" ht="120" customHeight="1" x14ac:dyDescent="0.3">
      <c r="A80" s="24" t="s">
        <v>198</v>
      </c>
      <c r="B80" s="21" t="s">
        <v>6</v>
      </c>
      <c r="C80" s="21" t="s">
        <v>7</v>
      </c>
      <c r="D80" s="21" t="s">
        <v>8</v>
      </c>
      <c r="E80" s="23">
        <v>135</v>
      </c>
      <c r="F80" s="23">
        <f>_xlfn.NUMBERVALUE(MID(TRIM(Tabela2[[#This Row],[retranca]]), FIND("_", TRIM(Tabela2[[#This Row],[retranca]])) + 1, 1), ",", ".")</f>
        <v>3</v>
      </c>
      <c r="G80" s="23">
        <v>4</v>
      </c>
      <c r="H80" s="23"/>
      <c r="I80" s="24" t="s">
        <v>28</v>
      </c>
      <c r="J80" s="24"/>
      <c r="K80" s="23"/>
      <c r="L80" s="23"/>
      <c r="M80" s="24"/>
      <c r="N80" s="24"/>
      <c r="O80" s="27" t="s">
        <v>199</v>
      </c>
      <c r="P80" s="27"/>
      <c r="Q80" s="23">
        <v>1</v>
      </c>
      <c r="R80" s="25">
        <v>45723</v>
      </c>
      <c r="S80" s="25"/>
      <c r="T80" s="25"/>
      <c r="U80" s="25"/>
      <c r="V80" s="25">
        <v>45728</v>
      </c>
      <c r="W80" s="23" t="s">
        <v>78</v>
      </c>
      <c r="X80" s="32" t="str">
        <f>IF(Tabela2[[#This Row],[sigla]]="","",VLOOKUP(Tabela2[[#This Row],[sigla]],Tabela14[[#All],[Sigla Arte]:[Crédito]],2,0))</f>
        <v>HELOÍSA PINTARELLI/ARQUIVO DA EDITORA</v>
      </c>
      <c r="Y80" s="24" t="s">
        <v>194</v>
      </c>
      <c r="Z80" s="24" t="str">
        <f>Tabela2[[#This Row],[ilustrador]]</f>
        <v>HELOÍSA PINTARELLI/ARQUIVO DA EDITORA</v>
      </c>
      <c r="AA80" s="23">
        <v>13</v>
      </c>
      <c r="AB80" s="21" t="s">
        <v>195</v>
      </c>
      <c r="AC80" s="21" t="s">
        <v>31</v>
      </c>
      <c r="AD80" s="4" t="str">
        <f t="shared" si="2"/>
        <v>Pitanguá</v>
      </c>
      <c r="AE80" s="14" t="str">
        <f t="shared" si="3"/>
        <v>Ciências</v>
      </c>
    </row>
    <row r="81" spans="1:31" s="14" customFormat="1" ht="105" customHeight="1" x14ac:dyDescent="0.3">
      <c r="A81" s="24" t="s">
        <v>200</v>
      </c>
      <c r="B81" s="21" t="s">
        <v>6</v>
      </c>
      <c r="C81" s="21" t="s">
        <v>7</v>
      </c>
      <c r="D81" s="21" t="s">
        <v>8</v>
      </c>
      <c r="E81" s="23">
        <v>136</v>
      </c>
      <c r="F81" s="23">
        <f>_xlfn.NUMBERVALUE(MID(TRIM(Tabela2[[#This Row],[retranca]]), FIND("_", TRIM(Tabela2[[#This Row],[retranca]])) + 1, 1), ",", ".")</f>
        <v>3</v>
      </c>
      <c r="G81" s="23">
        <v>4</v>
      </c>
      <c r="H81" s="23"/>
      <c r="I81" s="24" t="s">
        <v>28</v>
      </c>
      <c r="J81" s="24"/>
      <c r="K81" s="23"/>
      <c r="L81" s="23"/>
      <c r="M81" s="24"/>
      <c r="N81" s="24"/>
      <c r="O81" s="27" t="s">
        <v>201</v>
      </c>
      <c r="P81" s="27"/>
      <c r="Q81" s="23">
        <v>1</v>
      </c>
      <c r="R81" s="25">
        <v>45723</v>
      </c>
      <c r="S81" s="25"/>
      <c r="T81" s="25"/>
      <c r="U81" s="25"/>
      <c r="V81" s="25">
        <v>45728</v>
      </c>
      <c r="W81" s="23" t="s">
        <v>89</v>
      </c>
      <c r="X81" s="32" t="str">
        <f>IF(Tabela2[[#This Row],[sigla]]="","",VLOOKUP(Tabela2[[#This Row],[sigla]],Tabela14[[#All],[Sigla Arte]:[Crédito]],2,0))</f>
        <v>LISLLEY GOMES FEIGE/ARQUIVO DA EDITORA</v>
      </c>
      <c r="Y81" s="24" t="s">
        <v>194</v>
      </c>
      <c r="Z81" s="24" t="str">
        <f>Tabela2[[#This Row],[ilustrador]]</f>
        <v>LISLLEY GOMES FEIGE/ARQUIVO DA EDITORA</v>
      </c>
      <c r="AA81" s="23">
        <v>13</v>
      </c>
      <c r="AB81" s="21" t="s">
        <v>195</v>
      </c>
      <c r="AC81" s="21" t="s">
        <v>31</v>
      </c>
      <c r="AD81" s="4" t="str">
        <f t="shared" si="2"/>
        <v>Pitanguá</v>
      </c>
      <c r="AE81" s="14" t="str">
        <f t="shared" si="3"/>
        <v>Ciências</v>
      </c>
    </row>
    <row r="82" spans="1:31" s="14" customFormat="1" ht="90" customHeight="1" x14ac:dyDescent="0.3">
      <c r="A82" s="24" t="s">
        <v>202</v>
      </c>
      <c r="B82" s="21" t="s">
        <v>6</v>
      </c>
      <c r="C82" s="21" t="s">
        <v>7</v>
      </c>
      <c r="D82" s="21" t="s">
        <v>8</v>
      </c>
      <c r="E82" s="23">
        <v>138</v>
      </c>
      <c r="F82" s="23">
        <f>_xlfn.NUMBERVALUE(MID(TRIM(Tabela2[[#This Row],[retranca]]), FIND("_", TRIM(Tabela2[[#This Row],[retranca]])) + 1, 1), ",", ".")</f>
        <v>3</v>
      </c>
      <c r="G82" s="23">
        <v>4</v>
      </c>
      <c r="H82" s="23"/>
      <c r="I82" s="24" t="s">
        <v>28</v>
      </c>
      <c r="J82" s="24"/>
      <c r="K82" s="23"/>
      <c r="L82" s="23"/>
      <c r="M82" s="24"/>
      <c r="N82" s="24"/>
      <c r="O82" s="27" t="s">
        <v>203</v>
      </c>
      <c r="P82" s="27"/>
      <c r="Q82" s="23">
        <v>1</v>
      </c>
      <c r="R82" s="25">
        <v>45723</v>
      </c>
      <c r="S82" s="25"/>
      <c r="T82" s="25"/>
      <c r="U82" s="25"/>
      <c r="V82" s="25">
        <v>45728</v>
      </c>
      <c r="W82" s="23" t="s">
        <v>193</v>
      </c>
      <c r="X82" s="32" t="str">
        <f>IF(Tabela2[[#This Row],[sigla]]="","",VLOOKUP(Tabela2[[#This Row],[sigla]],Tabela14[[#All],[Sigla Arte]:[Crédito]],2,0))</f>
        <v>EDSON BELLUSCI/ARQUIVO DA EDITORA</v>
      </c>
      <c r="Y82" s="24" t="s">
        <v>194</v>
      </c>
      <c r="Z82" s="24" t="str">
        <f>Tabela2[[#This Row],[ilustrador]]</f>
        <v>EDSON BELLUSCI/ARQUIVO DA EDITORA</v>
      </c>
      <c r="AA82" s="23">
        <v>13</v>
      </c>
      <c r="AB82" s="21" t="s">
        <v>105</v>
      </c>
      <c r="AC82" s="21" t="s">
        <v>31</v>
      </c>
      <c r="AD82" s="4" t="str">
        <f t="shared" si="2"/>
        <v>Pitanguá</v>
      </c>
      <c r="AE82" s="14" t="str">
        <f t="shared" si="3"/>
        <v>Ciências</v>
      </c>
    </row>
    <row r="83" spans="1:31" s="14" customFormat="1" ht="60" customHeight="1" x14ac:dyDescent="0.3">
      <c r="A83" s="24" t="s">
        <v>204</v>
      </c>
      <c r="B83" s="21" t="s">
        <v>6</v>
      </c>
      <c r="C83" s="21" t="s">
        <v>7</v>
      </c>
      <c r="D83" s="21" t="s">
        <v>8</v>
      </c>
      <c r="E83" s="23">
        <v>48</v>
      </c>
      <c r="F83" s="23">
        <f>_xlfn.NUMBERVALUE(MID(TRIM(Tabela2[[#This Row],[retranca]]), FIND("_", TRIM(Tabela2[[#This Row],[retranca]])) + 1, 1), ",", ".")</f>
        <v>4</v>
      </c>
      <c r="G83" s="23">
        <v>2</v>
      </c>
      <c r="H83" s="23"/>
      <c r="I83" s="24" t="s">
        <v>28</v>
      </c>
      <c r="J83" s="24"/>
      <c r="K83" s="23"/>
      <c r="L83" s="23"/>
      <c r="M83" s="24"/>
      <c r="N83" s="24"/>
      <c r="O83" s="27" t="s">
        <v>205</v>
      </c>
      <c r="P83" s="27"/>
      <c r="Q83" s="23">
        <v>3</v>
      </c>
      <c r="R83" s="25">
        <v>45751</v>
      </c>
      <c r="S83" s="25">
        <v>45754</v>
      </c>
      <c r="T83" s="25"/>
      <c r="U83" s="25"/>
      <c r="V83" s="25">
        <v>45754</v>
      </c>
      <c r="W83" s="23" t="s">
        <v>26</v>
      </c>
      <c r="X83" s="32" t="str">
        <f>IF(Tabela2[[#This Row],[sigla]]="","",VLOOKUP(Tabela2[[#This Row],[sigla]],Tabela14[[#All],[Sigla Arte]:[Crédito]],2,0))</f>
        <v>SAULO NUNES/ARQUIVO DA EDITORA</v>
      </c>
      <c r="Y83" s="24" t="s">
        <v>53</v>
      </c>
      <c r="Z83" s="24" t="str">
        <f>Tabela2[[#This Row],[ilustrador]]</f>
        <v>SAULO NUNES/ARQUIVO DA EDITORA</v>
      </c>
      <c r="AA83" s="23">
        <v>13</v>
      </c>
      <c r="AB83" s="21" t="s">
        <v>54</v>
      </c>
      <c r="AC83" s="21" t="s">
        <v>31</v>
      </c>
      <c r="AD83" s="4" t="str">
        <f t="shared" si="2"/>
        <v>Pitanguá</v>
      </c>
      <c r="AE83" s="14" t="str">
        <f t="shared" si="3"/>
        <v>Ciências</v>
      </c>
    </row>
    <row r="84" spans="1:31" s="14" customFormat="1" ht="45" customHeight="1" x14ac:dyDescent="0.3">
      <c r="A84" s="24" t="s">
        <v>206</v>
      </c>
      <c r="B84" s="21" t="s">
        <v>6</v>
      </c>
      <c r="C84" s="21" t="s">
        <v>7</v>
      </c>
      <c r="D84" s="21" t="s">
        <v>8</v>
      </c>
      <c r="E84" s="23">
        <v>48</v>
      </c>
      <c r="F84" s="23">
        <f>_xlfn.NUMBERVALUE(MID(TRIM(Tabela2[[#This Row],[retranca]]), FIND("_", TRIM(Tabela2[[#This Row],[retranca]])) + 1, 1), ",", ".")</f>
        <v>4</v>
      </c>
      <c r="G84" s="23">
        <v>2</v>
      </c>
      <c r="H84" s="23"/>
      <c r="I84" s="24" t="s">
        <v>15</v>
      </c>
      <c r="J84" s="24"/>
      <c r="K84" s="23"/>
      <c r="L84" s="23"/>
      <c r="M84" s="24"/>
      <c r="N84" s="24"/>
      <c r="O84" s="27" t="s">
        <v>207</v>
      </c>
      <c r="P84" s="27"/>
      <c r="Q84" s="23"/>
      <c r="R84" s="25"/>
      <c r="S84" s="25"/>
      <c r="T84" s="25"/>
      <c r="U84" s="25"/>
      <c r="V84" s="25"/>
      <c r="W84" s="23" t="s">
        <v>26</v>
      </c>
      <c r="X84" s="32" t="str">
        <f>IF(Tabela2[[#This Row],[sigla]]="","",VLOOKUP(Tabela2[[#This Row],[sigla]],Tabela14[[#All],[Sigla Arte]:[Crédito]],2,0))</f>
        <v>SAULO NUNES/ARQUIVO DA EDITORA</v>
      </c>
      <c r="Y84" s="24"/>
      <c r="Z84" s="24" t="str">
        <f>Tabela2[[#This Row],[ilustrador]]</f>
        <v>SAULO NUNES/ARQUIVO DA EDITORA</v>
      </c>
      <c r="AA84" s="23"/>
      <c r="AB84" s="21"/>
      <c r="AC84" s="21"/>
      <c r="AD84" s="4" t="str">
        <f t="shared" si="2"/>
        <v>Pitanguá</v>
      </c>
      <c r="AE84" s="14" t="str">
        <f t="shared" si="3"/>
        <v>Ciências</v>
      </c>
    </row>
    <row r="85" spans="1:31" s="14" customFormat="1" ht="45" customHeight="1" x14ac:dyDescent="0.3">
      <c r="A85" s="24" t="s">
        <v>208</v>
      </c>
      <c r="B85" s="21" t="s">
        <v>6</v>
      </c>
      <c r="C85" s="21" t="s">
        <v>7</v>
      </c>
      <c r="D85" s="21" t="s">
        <v>8</v>
      </c>
      <c r="E85" s="23">
        <v>50</v>
      </c>
      <c r="F85" s="23">
        <f>_xlfn.NUMBERVALUE(MID(TRIM(Tabela2[[#This Row],[retranca]]), FIND("_", TRIM(Tabela2[[#This Row],[retranca]])) + 1, 1), ",", ".")</f>
        <v>4</v>
      </c>
      <c r="G85" s="23">
        <v>2</v>
      </c>
      <c r="H85" s="23"/>
      <c r="I85" s="24" t="s">
        <v>15</v>
      </c>
      <c r="J85" s="24"/>
      <c r="K85" s="23"/>
      <c r="L85" s="23"/>
      <c r="M85" s="24"/>
      <c r="N85" s="24"/>
      <c r="O85" s="27" t="s">
        <v>209</v>
      </c>
      <c r="P85" s="27"/>
      <c r="Q85" s="23"/>
      <c r="R85" s="25"/>
      <c r="S85" s="25"/>
      <c r="T85" s="25"/>
      <c r="U85" s="25"/>
      <c r="V85" s="25"/>
      <c r="W85" s="23" t="s">
        <v>36</v>
      </c>
      <c r="X85" s="32" t="str">
        <f>IF(Tabela2[[#This Row],[sigla]]="","",VLOOKUP(Tabela2[[#This Row],[sigla]],Tabela14[[#All],[Sigla Arte]:[Crédito]],2,0))</f>
        <v>WERLLEN HOLANDA/ARQUIVO DA EDITORA</v>
      </c>
      <c r="Y85" s="24"/>
      <c r="Z85" s="24" t="str">
        <f>Tabela2[[#This Row],[ilustrador]]</f>
        <v>WERLLEN HOLANDA/ARQUIVO DA EDITORA</v>
      </c>
      <c r="AA85" s="23"/>
      <c r="AB85" s="21"/>
      <c r="AC85" s="21"/>
      <c r="AD85" s="4" t="str">
        <f t="shared" si="2"/>
        <v>Pitanguá</v>
      </c>
      <c r="AE85" s="14" t="str">
        <f t="shared" si="3"/>
        <v>Ciências</v>
      </c>
    </row>
    <row r="86" spans="1:31" s="14" customFormat="1" ht="75" customHeight="1" x14ac:dyDescent="0.3">
      <c r="A86" s="24" t="s">
        <v>210</v>
      </c>
      <c r="B86" s="21" t="s">
        <v>6</v>
      </c>
      <c r="C86" s="21" t="s">
        <v>7</v>
      </c>
      <c r="D86" s="21" t="s">
        <v>8</v>
      </c>
      <c r="E86" s="23">
        <v>60</v>
      </c>
      <c r="F86" s="23">
        <f>_xlfn.NUMBERVALUE(MID(TRIM(Tabela2[[#This Row],[retranca]]), FIND("_", TRIM(Tabela2[[#This Row],[retranca]])) + 1, 1), ",", ".")</f>
        <v>4</v>
      </c>
      <c r="G86" s="23">
        <v>2</v>
      </c>
      <c r="H86" s="23"/>
      <c r="I86" s="24" t="s">
        <v>28</v>
      </c>
      <c r="J86" s="24"/>
      <c r="K86" s="23"/>
      <c r="L86" s="23"/>
      <c r="M86" s="24"/>
      <c r="N86" s="24"/>
      <c r="O86" s="27" t="s">
        <v>211</v>
      </c>
      <c r="P86" s="27"/>
      <c r="Q86" s="23">
        <v>1</v>
      </c>
      <c r="R86" s="25">
        <v>45733</v>
      </c>
      <c r="S86" s="25">
        <v>45734</v>
      </c>
      <c r="T86" s="25"/>
      <c r="U86" s="25"/>
      <c r="V86" s="25">
        <v>45734</v>
      </c>
      <c r="W86" s="23" t="s">
        <v>11</v>
      </c>
      <c r="X86" s="32" t="str">
        <f>IF(Tabela2[[#This Row],[sigla]]="","",VLOOKUP(Tabela2[[#This Row],[sigla]],Tabela14[[#All],[Sigla Arte]:[Crédito]],2,0))</f>
        <v>LEONARDO DE MOURA AMARAL/ARQUIVO DA EDITORA</v>
      </c>
      <c r="Y86" s="24" t="s">
        <v>53</v>
      </c>
      <c r="Z86" s="24" t="str">
        <f>Tabela2[[#This Row],[ilustrador]]</f>
        <v>LEONARDO DE MOURA AMARAL/ARQUIVO DA EDITORA</v>
      </c>
      <c r="AA86" s="23">
        <v>14</v>
      </c>
      <c r="AB86" s="21" t="s">
        <v>105</v>
      </c>
      <c r="AC86" s="21" t="s">
        <v>31</v>
      </c>
      <c r="AD86" s="4" t="str">
        <f t="shared" si="2"/>
        <v>Pitanguá</v>
      </c>
      <c r="AE86" s="14" t="str">
        <f t="shared" si="3"/>
        <v>Ciências</v>
      </c>
    </row>
    <row r="87" spans="1:31" s="14" customFormat="1" ht="45" customHeight="1" x14ac:dyDescent="0.3">
      <c r="A87" s="24" t="s">
        <v>212</v>
      </c>
      <c r="B87" s="21" t="s">
        <v>6</v>
      </c>
      <c r="C87" s="21" t="s">
        <v>7</v>
      </c>
      <c r="D87" s="21" t="s">
        <v>8</v>
      </c>
      <c r="E87" s="23">
        <v>60</v>
      </c>
      <c r="F87" s="23">
        <f>_xlfn.NUMBERVALUE(MID(TRIM(Tabela2[[#This Row],[retranca]]), FIND("_", TRIM(Tabela2[[#This Row],[retranca]])) + 1, 1), ",", ".")</f>
        <v>4</v>
      </c>
      <c r="G87" s="23">
        <v>2</v>
      </c>
      <c r="H87" s="23"/>
      <c r="I87" s="24" t="s">
        <v>15</v>
      </c>
      <c r="J87" s="24"/>
      <c r="K87" s="23"/>
      <c r="L87" s="23"/>
      <c r="M87" s="24"/>
      <c r="N87" s="24"/>
      <c r="O87" s="27" t="s">
        <v>213</v>
      </c>
      <c r="P87" s="27"/>
      <c r="Q87" s="23"/>
      <c r="R87" s="25"/>
      <c r="S87" s="25"/>
      <c r="T87" s="25"/>
      <c r="U87" s="25"/>
      <c r="V87" s="25"/>
      <c r="W87" s="23" t="s">
        <v>11</v>
      </c>
      <c r="X87" s="32" t="str">
        <f>IF(Tabela2[[#This Row],[sigla]]="","",VLOOKUP(Tabela2[[#This Row],[sigla]],Tabela14[[#All],[Sigla Arte]:[Crédito]],2,0))</f>
        <v>LEONARDO DE MOURA AMARAL/ARQUIVO DA EDITORA</v>
      </c>
      <c r="Y87" s="24"/>
      <c r="Z87" s="24" t="str">
        <f>Tabela2[[#This Row],[ilustrador]]</f>
        <v>LEONARDO DE MOURA AMARAL/ARQUIVO DA EDITORA</v>
      </c>
      <c r="AA87" s="23"/>
      <c r="AB87" s="21"/>
      <c r="AC87" s="21"/>
      <c r="AD87" s="4" t="str">
        <f t="shared" si="2"/>
        <v>Pitanguá</v>
      </c>
      <c r="AE87" s="14" t="str">
        <f t="shared" si="3"/>
        <v>Ciências</v>
      </c>
    </row>
    <row r="88" spans="1:31" s="14" customFormat="1" ht="45" customHeight="1" x14ac:dyDescent="0.3">
      <c r="A88" s="24" t="s">
        <v>214</v>
      </c>
      <c r="B88" s="21" t="s">
        <v>6</v>
      </c>
      <c r="C88" s="21" t="s">
        <v>7</v>
      </c>
      <c r="D88" s="21" t="s">
        <v>8</v>
      </c>
      <c r="E88" s="23">
        <v>60</v>
      </c>
      <c r="F88" s="23">
        <f>_xlfn.NUMBERVALUE(MID(TRIM(Tabela2[[#This Row],[retranca]]), FIND("_", TRIM(Tabela2[[#This Row],[retranca]])) + 1, 1), ",", ".")</f>
        <v>4</v>
      </c>
      <c r="G88" s="23">
        <v>2</v>
      </c>
      <c r="H88" s="23"/>
      <c r="I88" s="24" t="s">
        <v>9</v>
      </c>
      <c r="J88" s="24"/>
      <c r="K88" s="23"/>
      <c r="L88" s="23"/>
      <c r="M88" s="24"/>
      <c r="N88" s="24"/>
      <c r="O88" s="27" t="s">
        <v>215</v>
      </c>
      <c r="P88" s="27"/>
      <c r="Q88" s="23">
        <v>1</v>
      </c>
      <c r="R88" s="25">
        <v>45733</v>
      </c>
      <c r="S88" s="25">
        <v>45734</v>
      </c>
      <c r="T88" s="25"/>
      <c r="U88" s="25"/>
      <c r="V88" s="25">
        <v>45734</v>
      </c>
      <c r="W88" s="23" t="s">
        <v>11</v>
      </c>
      <c r="X88" s="32" t="str">
        <f>IF(Tabela2[[#This Row],[sigla]]="","",VLOOKUP(Tabela2[[#This Row],[sigla]],Tabela14[[#All],[Sigla Arte]:[Crédito]],2,0))</f>
        <v>LEONARDO DE MOURA AMARAL/ARQUIVO DA EDITORA</v>
      </c>
      <c r="Y88" s="24" t="s">
        <v>53</v>
      </c>
      <c r="Z88" s="24" t="str">
        <f>Tabela2[[#This Row],[ilustrador]]</f>
        <v>LEONARDO DE MOURA AMARAL/ARQUIVO DA EDITORA</v>
      </c>
      <c r="AA88" s="23">
        <v>14</v>
      </c>
      <c r="AB88" s="21" t="s">
        <v>105</v>
      </c>
      <c r="AC88" s="21" t="s">
        <v>31</v>
      </c>
      <c r="AD88" s="4" t="str">
        <f t="shared" si="2"/>
        <v>Pitanguá</v>
      </c>
      <c r="AE88" s="14" t="str">
        <f t="shared" si="3"/>
        <v>Ciências</v>
      </c>
    </row>
    <row r="89" spans="1:31" s="14" customFormat="1" ht="45" customHeight="1" x14ac:dyDescent="0.3">
      <c r="A89" s="24" t="s">
        <v>216</v>
      </c>
      <c r="B89" s="21" t="s">
        <v>6</v>
      </c>
      <c r="C89" s="21" t="s">
        <v>7</v>
      </c>
      <c r="D89" s="21" t="s">
        <v>8</v>
      </c>
      <c r="E89" s="23">
        <v>61</v>
      </c>
      <c r="F89" s="23">
        <f>_xlfn.NUMBERVALUE(MID(TRIM(Tabela2[[#This Row],[retranca]]), FIND("_", TRIM(Tabela2[[#This Row],[retranca]])) + 1, 1), ",", ".")</f>
        <v>4</v>
      </c>
      <c r="G89" s="23">
        <v>2</v>
      </c>
      <c r="H89" s="23"/>
      <c r="I89" s="24" t="s">
        <v>15</v>
      </c>
      <c r="J89" s="24"/>
      <c r="K89" s="23"/>
      <c r="L89" s="23"/>
      <c r="M89" s="24"/>
      <c r="N89" s="24"/>
      <c r="O89" s="27" t="s">
        <v>217</v>
      </c>
      <c r="P89" s="27"/>
      <c r="Q89" s="23"/>
      <c r="R89" s="25"/>
      <c r="S89" s="25"/>
      <c r="T89" s="25"/>
      <c r="U89" s="25"/>
      <c r="V89" s="25"/>
      <c r="W89" s="23" t="s">
        <v>11</v>
      </c>
      <c r="X89" s="32" t="str">
        <f>IF(Tabela2[[#This Row],[sigla]]="","",VLOOKUP(Tabela2[[#This Row],[sigla]],Tabela14[[#All],[Sigla Arte]:[Crédito]],2,0))</f>
        <v>LEONARDO DE MOURA AMARAL/ARQUIVO DA EDITORA</v>
      </c>
      <c r="Y89" s="24"/>
      <c r="Z89" s="24" t="str">
        <f>Tabela2[[#This Row],[ilustrador]]</f>
        <v>LEONARDO DE MOURA AMARAL/ARQUIVO DA EDITORA</v>
      </c>
      <c r="AA89" s="23"/>
      <c r="AB89" s="21"/>
      <c r="AC89" s="21"/>
      <c r="AD89" s="4" t="str">
        <f t="shared" si="2"/>
        <v>Pitanguá</v>
      </c>
      <c r="AE89" s="14" t="str">
        <f t="shared" si="3"/>
        <v>Ciências</v>
      </c>
    </row>
    <row r="90" spans="1:31" s="14" customFormat="1" ht="45" customHeight="1" x14ac:dyDescent="0.3">
      <c r="A90" s="24" t="s">
        <v>218</v>
      </c>
      <c r="B90" s="21" t="s">
        <v>6</v>
      </c>
      <c r="C90" s="21" t="s">
        <v>7</v>
      </c>
      <c r="D90" s="21" t="s">
        <v>8</v>
      </c>
      <c r="E90" s="23">
        <v>61</v>
      </c>
      <c r="F90" s="23">
        <f>_xlfn.NUMBERVALUE(MID(TRIM(Tabela2[[#This Row],[retranca]]), FIND("_", TRIM(Tabela2[[#This Row],[retranca]])) + 1, 1), ",", ".")</f>
        <v>4</v>
      </c>
      <c r="G90" s="23">
        <v>2</v>
      </c>
      <c r="H90" s="23"/>
      <c r="I90" s="24" t="s">
        <v>15</v>
      </c>
      <c r="J90" s="24"/>
      <c r="K90" s="23"/>
      <c r="L90" s="23"/>
      <c r="M90" s="24"/>
      <c r="N90" s="24"/>
      <c r="O90" s="27" t="s">
        <v>219</v>
      </c>
      <c r="P90" s="27"/>
      <c r="Q90" s="23"/>
      <c r="R90" s="25"/>
      <c r="S90" s="25"/>
      <c r="T90" s="25"/>
      <c r="U90" s="25"/>
      <c r="V90" s="25"/>
      <c r="W90" s="23" t="s">
        <v>11</v>
      </c>
      <c r="X90" s="32" t="str">
        <f>IF(Tabela2[[#This Row],[sigla]]="","",VLOOKUP(Tabela2[[#This Row],[sigla]],Tabela14[[#All],[Sigla Arte]:[Crédito]],2,0))</f>
        <v>LEONARDO DE MOURA AMARAL/ARQUIVO DA EDITORA</v>
      </c>
      <c r="Y90" s="24"/>
      <c r="Z90" s="24" t="str">
        <f>Tabela2[[#This Row],[ilustrador]]</f>
        <v>LEONARDO DE MOURA AMARAL/ARQUIVO DA EDITORA</v>
      </c>
      <c r="AA90" s="23"/>
      <c r="AB90" s="21"/>
      <c r="AC90" s="21"/>
      <c r="AD90" s="4" t="str">
        <f t="shared" si="2"/>
        <v>Pitanguá</v>
      </c>
      <c r="AE90" s="14" t="str">
        <f t="shared" si="3"/>
        <v>Ciências</v>
      </c>
    </row>
    <row r="91" spans="1:31" s="14" customFormat="1" ht="75" customHeight="1" x14ac:dyDescent="0.3">
      <c r="A91" s="24" t="s">
        <v>220</v>
      </c>
      <c r="B91" s="21" t="s">
        <v>6</v>
      </c>
      <c r="C91" s="21" t="s">
        <v>7</v>
      </c>
      <c r="D91" s="21" t="s">
        <v>8</v>
      </c>
      <c r="E91" s="23">
        <v>67</v>
      </c>
      <c r="F91" s="23">
        <f>_xlfn.NUMBERVALUE(MID(TRIM(Tabela2[[#This Row],[retranca]]), FIND("_", TRIM(Tabela2[[#This Row],[retranca]])) + 1, 1), ",", ".")</f>
        <v>4</v>
      </c>
      <c r="G91" s="23">
        <v>2</v>
      </c>
      <c r="H91" s="23"/>
      <c r="I91" s="24" t="s">
        <v>28</v>
      </c>
      <c r="J91" s="24"/>
      <c r="K91" s="23"/>
      <c r="L91" s="23"/>
      <c r="M91" s="24"/>
      <c r="N91" s="24"/>
      <c r="O91" s="27" t="s">
        <v>221</v>
      </c>
      <c r="P91" s="27"/>
      <c r="Q91" s="23">
        <v>1</v>
      </c>
      <c r="R91" s="25">
        <v>45733</v>
      </c>
      <c r="S91" s="25">
        <v>45734</v>
      </c>
      <c r="T91" s="25"/>
      <c r="U91" s="25"/>
      <c r="V91" s="25">
        <v>45734</v>
      </c>
      <c r="W91" s="23" t="s">
        <v>36</v>
      </c>
      <c r="X91" s="32" t="str">
        <f>IF(Tabela2[[#This Row],[sigla]]="","",VLOOKUP(Tabela2[[#This Row],[sigla]],Tabela14[[#All],[Sigla Arte]:[Crédito]],2,0))</f>
        <v>WERLLEN HOLANDA/ARQUIVO DA EDITORA</v>
      </c>
      <c r="Y91" s="24" t="s">
        <v>53</v>
      </c>
      <c r="Z91" s="24" t="str">
        <f>Tabela2[[#This Row],[ilustrador]]</f>
        <v>WERLLEN HOLANDA/ARQUIVO DA EDITORA</v>
      </c>
      <c r="AA91" s="23">
        <v>14</v>
      </c>
      <c r="AB91" s="21" t="s">
        <v>105</v>
      </c>
      <c r="AC91" s="21" t="s">
        <v>31</v>
      </c>
      <c r="AD91" s="4" t="str">
        <f t="shared" si="2"/>
        <v>Pitanguá</v>
      </c>
      <c r="AE91" s="14" t="str">
        <f t="shared" si="3"/>
        <v>Ciências</v>
      </c>
    </row>
    <row r="92" spans="1:31" s="14" customFormat="1" ht="75" customHeight="1" x14ac:dyDescent="0.3">
      <c r="A92" s="24" t="s">
        <v>222</v>
      </c>
      <c r="B92" s="21" t="s">
        <v>6</v>
      </c>
      <c r="C92" s="21" t="s">
        <v>7</v>
      </c>
      <c r="D92" s="21" t="s">
        <v>8</v>
      </c>
      <c r="E92" s="23">
        <v>67</v>
      </c>
      <c r="F92" s="23">
        <f>_xlfn.NUMBERVALUE(MID(TRIM(Tabela2[[#This Row],[retranca]]), FIND("_", TRIM(Tabela2[[#This Row],[retranca]])) + 1, 1), ",", ".")</f>
        <v>4</v>
      </c>
      <c r="G92" s="23">
        <v>2</v>
      </c>
      <c r="H92" s="23"/>
      <c r="I92" s="24" t="s">
        <v>9</v>
      </c>
      <c r="J92" s="24"/>
      <c r="K92" s="23"/>
      <c r="L92" s="23"/>
      <c r="M92" s="24"/>
      <c r="N92" s="24"/>
      <c r="O92" s="27" t="s">
        <v>223</v>
      </c>
      <c r="P92" s="27"/>
      <c r="Q92" s="23">
        <v>1</v>
      </c>
      <c r="R92" s="25">
        <v>45733</v>
      </c>
      <c r="S92" s="25">
        <v>45734</v>
      </c>
      <c r="T92" s="25"/>
      <c r="U92" s="25"/>
      <c r="V92" s="25">
        <v>45734</v>
      </c>
      <c r="W92" s="23" t="s">
        <v>36</v>
      </c>
      <c r="X92" s="32" t="str">
        <f>IF(Tabela2[[#This Row],[sigla]]="","",VLOOKUP(Tabela2[[#This Row],[sigla]],Tabela14[[#All],[Sigla Arte]:[Crédito]],2,0))</f>
        <v>WERLLEN HOLANDA/ARQUIVO DA EDITORA</v>
      </c>
      <c r="Y92" s="24" t="s">
        <v>53</v>
      </c>
      <c r="Z92" s="24" t="str">
        <f>Tabela2[[#This Row],[ilustrador]]</f>
        <v>WERLLEN HOLANDA/ARQUIVO DA EDITORA</v>
      </c>
      <c r="AA92" s="23">
        <v>14</v>
      </c>
      <c r="AB92" s="21" t="s">
        <v>105</v>
      </c>
      <c r="AC92" s="21" t="s">
        <v>31</v>
      </c>
      <c r="AD92" s="4" t="str">
        <f t="shared" si="2"/>
        <v>Pitanguá</v>
      </c>
      <c r="AE92" s="14" t="str">
        <f t="shared" si="3"/>
        <v>Ciências</v>
      </c>
    </row>
    <row r="93" spans="1:31" s="14" customFormat="1" ht="60" customHeight="1" x14ac:dyDescent="0.3">
      <c r="A93" s="24" t="s">
        <v>224</v>
      </c>
      <c r="B93" s="21" t="s">
        <v>6</v>
      </c>
      <c r="C93" s="21" t="s">
        <v>7</v>
      </c>
      <c r="D93" s="21" t="s">
        <v>8</v>
      </c>
      <c r="E93" s="23">
        <v>68</v>
      </c>
      <c r="F93" s="23">
        <f>_xlfn.NUMBERVALUE(MID(TRIM(Tabela2[[#This Row],[retranca]]), FIND("_", TRIM(Tabela2[[#This Row],[retranca]])) + 1, 1), ",", ".")</f>
        <v>4</v>
      </c>
      <c r="G93" s="23">
        <v>2</v>
      </c>
      <c r="H93" s="23"/>
      <c r="I93" s="24" t="s">
        <v>9</v>
      </c>
      <c r="J93" s="24"/>
      <c r="K93" s="23"/>
      <c r="L93" s="23"/>
      <c r="M93" s="24"/>
      <c r="N93" s="24"/>
      <c r="O93" s="27" t="s">
        <v>225</v>
      </c>
      <c r="P93" s="27"/>
      <c r="Q93" s="23">
        <v>1</v>
      </c>
      <c r="R93" s="25">
        <v>45733</v>
      </c>
      <c r="S93" s="25">
        <v>45734</v>
      </c>
      <c r="T93" s="25"/>
      <c r="U93" s="25"/>
      <c r="V93" s="25">
        <v>45734</v>
      </c>
      <c r="W93" s="23" t="s">
        <v>36</v>
      </c>
      <c r="X93" s="32" t="str">
        <f>IF(Tabela2[[#This Row],[sigla]]="","",VLOOKUP(Tabela2[[#This Row],[sigla]],Tabela14[[#All],[Sigla Arte]:[Crédito]],2,0))</f>
        <v>WERLLEN HOLANDA/ARQUIVO DA EDITORA</v>
      </c>
      <c r="Y93" s="24" t="s">
        <v>53</v>
      </c>
      <c r="Z93" s="24" t="str">
        <f>Tabela2[[#This Row],[ilustrador]]</f>
        <v>WERLLEN HOLANDA/ARQUIVO DA EDITORA</v>
      </c>
      <c r="AA93" s="23">
        <v>14</v>
      </c>
      <c r="AB93" s="21" t="s">
        <v>105</v>
      </c>
      <c r="AC93" s="21" t="s">
        <v>31</v>
      </c>
      <c r="AD93" s="4" t="str">
        <f t="shared" si="2"/>
        <v>Pitanguá</v>
      </c>
      <c r="AE93" s="14" t="str">
        <f t="shared" si="3"/>
        <v>Ciências</v>
      </c>
    </row>
    <row r="94" spans="1:31" s="14" customFormat="1" ht="75" customHeight="1" x14ac:dyDescent="0.3">
      <c r="A94" s="24" t="s">
        <v>226</v>
      </c>
      <c r="B94" s="21" t="s">
        <v>6</v>
      </c>
      <c r="C94" s="21" t="s">
        <v>7</v>
      </c>
      <c r="D94" s="21" t="s">
        <v>8</v>
      </c>
      <c r="E94" s="23">
        <v>68</v>
      </c>
      <c r="F94" s="23">
        <f>_xlfn.NUMBERVALUE(MID(TRIM(Tabela2[[#This Row],[retranca]]), FIND("_", TRIM(Tabela2[[#This Row],[retranca]])) + 1, 1), ",", ".")</f>
        <v>4</v>
      </c>
      <c r="G94" s="23">
        <v>2</v>
      </c>
      <c r="H94" s="23"/>
      <c r="I94" s="24" t="s">
        <v>9</v>
      </c>
      <c r="J94" s="24"/>
      <c r="K94" s="23"/>
      <c r="L94" s="23"/>
      <c r="M94" s="24"/>
      <c r="N94" s="24"/>
      <c r="O94" s="27" t="s">
        <v>227</v>
      </c>
      <c r="P94" s="27"/>
      <c r="Q94" s="23">
        <v>1</v>
      </c>
      <c r="R94" s="25">
        <v>45733</v>
      </c>
      <c r="S94" s="25">
        <v>45734</v>
      </c>
      <c r="T94" s="25"/>
      <c r="U94" s="25"/>
      <c r="V94" s="25">
        <v>45734</v>
      </c>
      <c r="W94" s="23" t="s">
        <v>36</v>
      </c>
      <c r="X94" s="32" t="str">
        <f>IF(Tabela2[[#This Row],[sigla]]="","",VLOOKUP(Tabela2[[#This Row],[sigla]],Tabela14[[#All],[Sigla Arte]:[Crédito]],2,0))</f>
        <v>WERLLEN HOLANDA/ARQUIVO DA EDITORA</v>
      </c>
      <c r="Y94" s="24" t="s">
        <v>53</v>
      </c>
      <c r="Z94" s="24" t="str">
        <f>Tabela2[[#This Row],[ilustrador]]</f>
        <v>WERLLEN HOLANDA/ARQUIVO DA EDITORA</v>
      </c>
      <c r="AA94" s="23">
        <v>14</v>
      </c>
      <c r="AB94" s="21" t="s">
        <v>105</v>
      </c>
      <c r="AC94" s="21" t="s">
        <v>31</v>
      </c>
      <c r="AD94" s="4" t="str">
        <f t="shared" si="2"/>
        <v>Pitanguá</v>
      </c>
      <c r="AE94" s="14" t="str">
        <f t="shared" si="3"/>
        <v>Ciências</v>
      </c>
    </row>
    <row r="95" spans="1:31" s="14" customFormat="1" ht="60" customHeight="1" x14ac:dyDescent="0.3">
      <c r="A95" s="24" t="s">
        <v>228</v>
      </c>
      <c r="B95" s="21" t="s">
        <v>6</v>
      </c>
      <c r="C95" s="21" t="s">
        <v>7</v>
      </c>
      <c r="D95" s="21" t="s">
        <v>8</v>
      </c>
      <c r="E95" s="23">
        <v>68</v>
      </c>
      <c r="F95" s="23">
        <f>_xlfn.NUMBERVALUE(MID(TRIM(Tabela2[[#This Row],[retranca]]), FIND("_", TRIM(Tabela2[[#This Row],[retranca]])) + 1, 1), ",", ".")</f>
        <v>4</v>
      </c>
      <c r="G95" s="23">
        <v>2</v>
      </c>
      <c r="H95" s="23"/>
      <c r="I95" s="24" t="s">
        <v>9</v>
      </c>
      <c r="J95" s="24"/>
      <c r="K95" s="23"/>
      <c r="L95" s="23"/>
      <c r="M95" s="24"/>
      <c r="N95" s="24"/>
      <c r="O95" s="27" t="s">
        <v>229</v>
      </c>
      <c r="P95" s="27"/>
      <c r="Q95" s="23">
        <v>1</v>
      </c>
      <c r="R95" s="25">
        <v>45733</v>
      </c>
      <c r="S95" s="25">
        <v>45734</v>
      </c>
      <c r="T95" s="25"/>
      <c r="U95" s="25"/>
      <c r="V95" s="25">
        <v>45734</v>
      </c>
      <c r="W95" s="23" t="s">
        <v>36</v>
      </c>
      <c r="X95" s="32" t="str">
        <f>IF(Tabela2[[#This Row],[sigla]]="","",VLOOKUP(Tabela2[[#This Row],[sigla]],Tabela14[[#All],[Sigla Arte]:[Crédito]],2,0))</f>
        <v>WERLLEN HOLANDA/ARQUIVO DA EDITORA</v>
      </c>
      <c r="Y95" s="24" t="s">
        <v>53</v>
      </c>
      <c r="Z95" s="24" t="str">
        <f>Tabela2[[#This Row],[ilustrador]]</f>
        <v>WERLLEN HOLANDA/ARQUIVO DA EDITORA</v>
      </c>
      <c r="AA95" s="23">
        <v>14</v>
      </c>
      <c r="AB95" s="21" t="s">
        <v>105</v>
      </c>
      <c r="AC95" s="21" t="s">
        <v>31</v>
      </c>
      <c r="AD95" s="4" t="str">
        <f t="shared" si="2"/>
        <v>Pitanguá</v>
      </c>
      <c r="AE95" s="14" t="str">
        <f t="shared" si="3"/>
        <v>Ciências</v>
      </c>
    </row>
    <row r="96" spans="1:31" s="14" customFormat="1" ht="45" customHeight="1" x14ac:dyDescent="0.3">
      <c r="A96" s="24" t="s">
        <v>230</v>
      </c>
      <c r="B96" s="21" t="s">
        <v>231</v>
      </c>
      <c r="C96" s="21" t="s">
        <v>7</v>
      </c>
      <c r="D96" s="21" t="s">
        <v>8</v>
      </c>
      <c r="E96" s="23">
        <v>70</v>
      </c>
      <c r="F96" s="23">
        <f>_xlfn.NUMBERVALUE(MID(TRIM(Tabela2[[#This Row],[retranca]]), FIND("_", TRIM(Tabela2[[#This Row],[retranca]])) + 1, 1), ",", ".")</f>
        <v>4</v>
      </c>
      <c r="G96" s="23">
        <v>2</v>
      </c>
      <c r="H96" s="23"/>
      <c r="I96" s="24" t="s">
        <v>15</v>
      </c>
      <c r="J96" s="24"/>
      <c r="K96" s="23"/>
      <c r="L96" s="23"/>
      <c r="M96" s="24"/>
      <c r="N96" s="24"/>
      <c r="O96" s="27" t="s">
        <v>232</v>
      </c>
      <c r="P96" s="27"/>
      <c r="Q96" s="23">
        <v>11</v>
      </c>
      <c r="R96" s="25">
        <v>45877</v>
      </c>
      <c r="S96" s="25">
        <v>45880</v>
      </c>
      <c r="T96" s="25"/>
      <c r="U96" s="25"/>
      <c r="V96" s="25">
        <v>45880</v>
      </c>
      <c r="W96" s="23" t="s">
        <v>78</v>
      </c>
      <c r="X96" s="32" t="str">
        <f>IF(Tabela2[[#This Row],[sigla]]="","",VLOOKUP(Tabela2[[#This Row],[sigla]],Tabela14[[#All],[Sigla Arte]:[Crédito]],2,0))</f>
        <v>HELOÍSA PINTARELLI/ARQUIVO DA EDITORA</v>
      </c>
      <c r="Y96" s="24" t="s">
        <v>233</v>
      </c>
      <c r="Z96" s="24" t="str">
        <f>Tabela2[[#This Row],[ilustrador]]</f>
        <v>HELOÍSA PINTARELLI/ARQUIVO DA EDITORA</v>
      </c>
      <c r="AA96" s="23">
        <v>13</v>
      </c>
      <c r="AB96" s="21" t="s">
        <v>234</v>
      </c>
      <c r="AC96" s="21" t="s">
        <v>31</v>
      </c>
      <c r="AD96" s="4" t="str">
        <f t="shared" si="2"/>
        <v>Pitanguá</v>
      </c>
      <c r="AE96" s="14" t="str">
        <f t="shared" si="3"/>
        <v>Ciências</v>
      </c>
    </row>
    <row r="97" spans="1:31" s="14" customFormat="1" ht="75" customHeight="1" x14ac:dyDescent="0.3">
      <c r="A97" s="24" t="s">
        <v>235</v>
      </c>
      <c r="B97" s="21" t="s">
        <v>6</v>
      </c>
      <c r="C97" s="21" t="s">
        <v>7</v>
      </c>
      <c r="D97" s="21" t="s">
        <v>8</v>
      </c>
      <c r="E97" s="23">
        <v>76</v>
      </c>
      <c r="F97" s="23">
        <f>_xlfn.NUMBERVALUE(MID(TRIM(Tabela2[[#This Row],[retranca]]), FIND("_", TRIM(Tabela2[[#This Row],[retranca]])) + 1, 1), ",", ".")</f>
        <v>4</v>
      </c>
      <c r="G97" s="23">
        <v>2</v>
      </c>
      <c r="H97" s="23"/>
      <c r="I97" s="24" t="s">
        <v>15</v>
      </c>
      <c r="J97" s="24"/>
      <c r="K97" s="23"/>
      <c r="L97" s="23"/>
      <c r="M97" s="24"/>
      <c r="N97" s="24"/>
      <c r="O97" s="27" t="s">
        <v>236</v>
      </c>
      <c r="P97" s="27"/>
      <c r="Q97" s="23"/>
      <c r="R97" s="25"/>
      <c r="S97" s="25"/>
      <c r="T97" s="25"/>
      <c r="U97" s="25"/>
      <c r="V97" s="25"/>
      <c r="W97" s="23" t="s">
        <v>36</v>
      </c>
      <c r="X97" s="32" t="str">
        <f>IF(Tabela2[[#This Row],[sigla]]="","",VLOOKUP(Tabela2[[#This Row],[sigla]],Tabela14[[#All],[Sigla Arte]:[Crédito]],2,0))</f>
        <v>WERLLEN HOLANDA/ARQUIVO DA EDITORA</v>
      </c>
      <c r="Y97" s="24"/>
      <c r="Z97" s="24" t="str">
        <f>Tabela2[[#This Row],[ilustrador]]</f>
        <v>WERLLEN HOLANDA/ARQUIVO DA EDITORA</v>
      </c>
      <c r="AA97" s="23"/>
      <c r="AB97" s="21"/>
      <c r="AC97" s="21"/>
      <c r="AD97" s="4" t="str">
        <f t="shared" si="2"/>
        <v>Pitanguá</v>
      </c>
      <c r="AE97" s="14" t="str">
        <f t="shared" si="3"/>
        <v>Ciências</v>
      </c>
    </row>
    <row r="98" spans="1:31" s="14" customFormat="1" ht="105" customHeight="1" x14ac:dyDescent="0.3">
      <c r="A98" s="24" t="s">
        <v>237</v>
      </c>
      <c r="B98" s="21" t="s">
        <v>6</v>
      </c>
      <c r="C98" s="21" t="s">
        <v>7</v>
      </c>
      <c r="D98" s="21" t="s">
        <v>8</v>
      </c>
      <c r="E98" s="23">
        <v>76</v>
      </c>
      <c r="F98" s="23">
        <f>_xlfn.NUMBERVALUE(MID(TRIM(Tabela2[[#This Row],[retranca]]), FIND("_", TRIM(Tabela2[[#This Row],[retranca]])) + 1, 1), ",", ".")</f>
        <v>4</v>
      </c>
      <c r="G98" s="23">
        <v>2</v>
      </c>
      <c r="H98" s="23"/>
      <c r="I98" s="24" t="s">
        <v>28</v>
      </c>
      <c r="J98" s="24"/>
      <c r="K98" s="23"/>
      <c r="L98" s="23"/>
      <c r="M98" s="24"/>
      <c r="N98" s="24"/>
      <c r="O98" s="27" t="s">
        <v>238</v>
      </c>
      <c r="P98" s="27"/>
      <c r="Q98" s="23">
        <v>1</v>
      </c>
      <c r="R98" s="25">
        <v>45733</v>
      </c>
      <c r="S98" s="25">
        <v>45734</v>
      </c>
      <c r="T98" s="25"/>
      <c r="U98" s="25"/>
      <c r="V98" s="25">
        <v>45734</v>
      </c>
      <c r="W98" s="23" t="s">
        <v>36</v>
      </c>
      <c r="X98" s="32" t="str">
        <f>IF(Tabela2[[#This Row],[sigla]]="","",VLOOKUP(Tabela2[[#This Row],[sigla]],Tabela14[[#All],[Sigla Arte]:[Crédito]],2,0))</f>
        <v>WERLLEN HOLANDA/ARQUIVO DA EDITORA</v>
      </c>
      <c r="Y98" s="24" t="s">
        <v>53</v>
      </c>
      <c r="Z98" s="24" t="str">
        <f>Tabela2[[#This Row],[ilustrador]]</f>
        <v>WERLLEN HOLANDA/ARQUIVO DA EDITORA</v>
      </c>
      <c r="AA98" s="23">
        <v>14</v>
      </c>
      <c r="AB98" s="21" t="s">
        <v>105</v>
      </c>
      <c r="AC98" s="21" t="s">
        <v>31</v>
      </c>
      <c r="AD98" s="4" t="str">
        <f t="shared" si="2"/>
        <v>Pitanguá</v>
      </c>
      <c r="AE98" s="14" t="str">
        <f t="shared" si="3"/>
        <v>Ciências</v>
      </c>
    </row>
    <row r="99" spans="1:31" s="14" customFormat="1" ht="45" customHeight="1" x14ac:dyDescent="0.3">
      <c r="A99" s="24" t="s">
        <v>239</v>
      </c>
      <c r="B99" s="21" t="s">
        <v>6</v>
      </c>
      <c r="C99" s="21" t="s">
        <v>7</v>
      </c>
      <c r="D99" s="21" t="s">
        <v>8</v>
      </c>
      <c r="E99" s="23">
        <v>76</v>
      </c>
      <c r="F99" s="23">
        <f>_xlfn.NUMBERVALUE(MID(TRIM(Tabela2[[#This Row],[retranca]]), FIND("_", TRIM(Tabela2[[#This Row],[retranca]])) + 1, 1), ",", ".")</f>
        <v>4</v>
      </c>
      <c r="G99" s="23">
        <v>2</v>
      </c>
      <c r="H99" s="23"/>
      <c r="I99" s="24" t="s">
        <v>15</v>
      </c>
      <c r="J99" s="24"/>
      <c r="K99" s="23"/>
      <c r="L99" s="23"/>
      <c r="M99" s="24"/>
      <c r="N99" s="24"/>
      <c r="O99" s="27" t="s">
        <v>240</v>
      </c>
      <c r="P99" s="27"/>
      <c r="Q99" s="23"/>
      <c r="R99" s="25"/>
      <c r="S99" s="25"/>
      <c r="T99" s="25"/>
      <c r="U99" s="25"/>
      <c r="V99" s="25"/>
      <c r="W99" s="23" t="s">
        <v>26</v>
      </c>
      <c r="X99" s="32" t="str">
        <f>IF(Tabela2[[#This Row],[sigla]]="","",VLOOKUP(Tabela2[[#This Row],[sigla]],Tabela14[[#All],[Sigla Arte]:[Crédito]],2,0))</f>
        <v>SAULO NUNES/ARQUIVO DA EDITORA</v>
      </c>
      <c r="Y99" s="24"/>
      <c r="Z99" s="24" t="str">
        <f>Tabela2[[#This Row],[ilustrador]]</f>
        <v>SAULO NUNES/ARQUIVO DA EDITORA</v>
      </c>
      <c r="AA99" s="23"/>
      <c r="AB99" s="21"/>
      <c r="AC99" s="21"/>
      <c r="AD99" s="4" t="str">
        <f t="shared" si="2"/>
        <v>Pitanguá</v>
      </c>
      <c r="AE99" s="14" t="str">
        <f t="shared" si="3"/>
        <v>Ciências</v>
      </c>
    </row>
    <row r="100" spans="1:31" s="14" customFormat="1" ht="45" customHeight="1" x14ac:dyDescent="0.3">
      <c r="A100" s="24" t="s">
        <v>241</v>
      </c>
      <c r="B100" s="21" t="s">
        <v>6</v>
      </c>
      <c r="C100" s="21" t="s">
        <v>7</v>
      </c>
      <c r="D100" s="21" t="s">
        <v>8</v>
      </c>
      <c r="E100" s="23">
        <v>76</v>
      </c>
      <c r="F100" s="23">
        <f>_xlfn.NUMBERVALUE(MID(TRIM(Tabela2[[#This Row],[retranca]]), FIND("_", TRIM(Tabela2[[#This Row],[retranca]])) + 1, 1), ",", ".")</f>
        <v>4</v>
      </c>
      <c r="G100" s="23">
        <v>2</v>
      </c>
      <c r="H100" s="23"/>
      <c r="I100" s="24" t="s">
        <v>15</v>
      </c>
      <c r="J100" s="24"/>
      <c r="K100" s="23"/>
      <c r="L100" s="23"/>
      <c r="M100" s="24"/>
      <c r="N100" s="24"/>
      <c r="O100" s="27" t="s">
        <v>242</v>
      </c>
      <c r="P100" s="27"/>
      <c r="Q100" s="23"/>
      <c r="R100" s="25"/>
      <c r="S100" s="25"/>
      <c r="T100" s="25"/>
      <c r="U100" s="25"/>
      <c r="V100" s="25"/>
      <c r="W100" s="23" t="s">
        <v>26</v>
      </c>
      <c r="X100" s="32" t="str">
        <f>IF(Tabela2[[#This Row],[sigla]]="","",VLOOKUP(Tabela2[[#This Row],[sigla]],Tabela14[[#All],[Sigla Arte]:[Crédito]],2,0))</f>
        <v>SAULO NUNES/ARQUIVO DA EDITORA</v>
      </c>
      <c r="Y100" s="24"/>
      <c r="Z100" s="24" t="str">
        <f>Tabela2[[#This Row],[ilustrador]]</f>
        <v>SAULO NUNES/ARQUIVO DA EDITORA</v>
      </c>
      <c r="AA100" s="23"/>
      <c r="AB100" s="21"/>
      <c r="AC100" s="21"/>
      <c r="AD100" s="4" t="str">
        <f t="shared" si="2"/>
        <v>Pitanguá</v>
      </c>
      <c r="AE100" s="14" t="str">
        <f t="shared" si="3"/>
        <v>Ciências</v>
      </c>
    </row>
    <row r="101" spans="1:31" s="14" customFormat="1" ht="60" customHeight="1" x14ac:dyDescent="0.3">
      <c r="A101" s="24" t="s">
        <v>243</v>
      </c>
      <c r="B101" s="21" t="s">
        <v>6</v>
      </c>
      <c r="C101" s="21" t="s">
        <v>7</v>
      </c>
      <c r="D101" s="21" t="s">
        <v>8</v>
      </c>
      <c r="E101" s="23">
        <v>76</v>
      </c>
      <c r="F101" s="23">
        <f>_xlfn.NUMBERVALUE(MID(TRIM(Tabela2[[#This Row],[retranca]]), FIND("_", TRIM(Tabela2[[#This Row],[retranca]])) + 1, 1), ",", ".")</f>
        <v>4</v>
      </c>
      <c r="G101" s="23">
        <v>2</v>
      </c>
      <c r="H101" s="23"/>
      <c r="I101" s="24" t="s">
        <v>15</v>
      </c>
      <c r="J101" s="24"/>
      <c r="K101" s="23"/>
      <c r="L101" s="23"/>
      <c r="M101" s="24"/>
      <c r="N101" s="24"/>
      <c r="O101" s="27" t="s">
        <v>244</v>
      </c>
      <c r="P101" s="27"/>
      <c r="Q101" s="23"/>
      <c r="R101" s="25"/>
      <c r="S101" s="25"/>
      <c r="T101" s="25"/>
      <c r="U101" s="25"/>
      <c r="V101" s="25"/>
      <c r="W101" s="23" t="s">
        <v>26</v>
      </c>
      <c r="X101" s="32" t="str">
        <f>IF(Tabela2[[#This Row],[sigla]]="","",VLOOKUP(Tabela2[[#This Row],[sigla]],Tabela14[[#All],[Sigla Arte]:[Crédito]],2,0))</f>
        <v>SAULO NUNES/ARQUIVO DA EDITORA</v>
      </c>
      <c r="Y101" s="24"/>
      <c r="Z101" s="24" t="str">
        <f>Tabela2[[#This Row],[ilustrador]]</f>
        <v>SAULO NUNES/ARQUIVO DA EDITORA</v>
      </c>
      <c r="AA101" s="23"/>
      <c r="AB101" s="21"/>
      <c r="AC101" s="21"/>
      <c r="AD101" s="4" t="str">
        <f t="shared" si="2"/>
        <v>Pitanguá</v>
      </c>
      <c r="AE101" s="14" t="str">
        <f t="shared" si="3"/>
        <v>Ciências</v>
      </c>
    </row>
    <row r="102" spans="1:31" s="14" customFormat="1" ht="60" customHeight="1" x14ac:dyDescent="0.3">
      <c r="A102" s="24" t="s">
        <v>245</v>
      </c>
      <c r="B102" s="21" t="s">
        <v>6</v>
      </c>
      <c r="C102" s="21" t="s">
        <v>7</v>
      </c>
      <c r="D102" s="21" t="s">
        <v>8</v>
      </c>
      <c r="E102" s="23">
        <v>77</v>
      </c>
      <c r="F102" s="23">
        <f>_xlfn.NUMBERVALUE(MID(TRIM(Tabela2[[#This Row],[retranca]]), FIND("_", TRIM(Tabela2[[#This Row],[retranca]])) + 1, 1), ",", ".")</f>
        <v>4</v>
      </c>
      <c r="G102" s="23">
        <v>2</v>
      </c>
      <c r="H102" s="23"/>
      <c r="I102" s="24" t="s">
        <v>28</v>
      </c>
      <c r="J102" s="24"/>
      <c r="K102" s="23"/>
      <c r="L102" s="23"/>
      <c r="M102" s="24"/>
      <c r="N102" s="24"/>
      <c r="O102" s="27" t="s">
        <v>246</v>
      </c>
      <c r="P102" s="27"/>
      <c r="Q102" s="23">
        <v>1</v>
      </c>
      <c r="R102" s="25">
        <v>45733</v>
      </c>
      <c r="S102" s="25">
        <v>45734</v>
      </c>
      <c r="T102" s="25"/>
      <c r="U102" s="25"/>
      <c r="V102" s="25">
        <v>45734</v>
      </c>
      <c r="W102" s="23" t="s">
        <v>36</v>
      </c>
      <c r="X102" s="32" t="str">
        <f>IF(Tabela2[[#This Row],[sigla]]="","",VLOOKUP(Tabela2[[#This Row],[sigla]],Tabela14[[#All],[Sigla Arte]:[Crédito]],2,0))</f>
        <v>WERLLEN HOLANDA/ARQUIVO DA EDITORA</v>
      </c>
      <c r="Y102" s="24" t="s">
        <v>53</v>
      </c>
      <c r="Z102" s="24" t="str">
        <f>Tabela2[[#This Row],[ilustrador]]</f>
        <v>WERLLEN HOLANDA/ARQUIVO DA EDITORA</v>
      </c>
      <c r="AA102" s="23">
        <v>14</v>
      </c>
      <c r="AB102" s="21" t="s">
        <v>105</v>
      </c>
      <c r="AC102" s="21" t="s">
        <v>31</v>
      </c>
      <c r="AD102" s="4" t="str">
        <f t="shared" si="2"/>
        <v>Pitanguá</v>
      </c>
      <c r="AE102" s="14" t="str">
        <f t="shared" si="3"/>
        <v>Ciências</v>
      </c>
    </row>
    <row r="103" spans="1:31" s="14" customFormat="1" ht="195" customHeight="1" x14ac:dyDescent="0.3">
      <c r="A103" s="24" t="s">
        <v>247</v>
      </c>
      <c r="B103" s="21" t="s">
        <v>6</v>
      </c>
      <c r="C103" s="21" t="s">
        <v>7</v>
      </c>
      <c r="D103" s="21" t="s">
        <v>8</v>
      </c>
      <c r="E103" s="23">
        <v>77</v>
      </c>
      <c r="F103" s="23">
        <f>_xlfn.NUMBERVALUE(MID(TRIM(Tabela2[[#This Row],[retranca]]), FIND("_", TRIM(Tabela2[[#This Row],[retranca]])) + 1, 1), ",", ".")</f>
        <v>4</v>
      </c>
      <c r="G103" s="23">
        <v>2</v>
      </c>
      <c r="H103" s="23"/>
      <c r="I103" s="24" t="s">
        <v>28</v>
      </c>
      <c r="J103" s="24"/>
      <c r="K103" s="23"/>
      <c r="L103" s="23"/>
      <c r="M103" s="24"/>
      <c r="N103" s="24"/>
      <c r="O103" s="27" t="s">
        <v>248</v>
      </c>
      <c r="P103" s="27"/>
      <c r="Q103" s="23">
        <v>1</v>
      </c>
      <c r="R103" s="25">
        <v>45733</v>
      </c>
      <c r="S103" s="25">
        <v>45734</v>
      </c>
      <c r="T103" s="25"/>
      <c r="U103" s="25"/>
      <c r="V103" s="25">
        <v>45734</v>
      </c>
      <c r="W103" s="23" t="s">
        <v>36</v>
      </c>
      <c r="X103" s="32" t="str">
        <f>IF(Tabela2[[#This Row],[sigla]]="","",VLOOKUP(Tabela2[[#This Row],[sigla]],Tabela14[[#All],[Sigla Arte]:[Crédito]],2,0))</f>
        <v>WERLLEN HOLANDA/ARQUIVO DA EDITORA</v>
      </c>
      <c r="Y103" s="24" t="s">
        <v>53</v>
      </c>
      <c r="Z103" s="24" t="str">
        <f>Tabela2[[#This Row],[ilustrador]]</f>
        <v>WERLLEN HOLANDA/ARQUIVO DA EDITORA</v>
      </c>
      <c r="AA103" s="23">
        <v>14</v>
      </c>
      <c r="AB103" s="21" t="s">
        <v>105</v>
      </c>
      <c r="AC103" s="21" t="s">
        <v>31</v>
      </c>
      <c r="AD103" s="4" t="str">
        <f t="shared" si="2"/>
        <v>Pitanguá</v>
      </c>
      <c r="AE103" s="14" t="str">
        <f t="shared" si="3"/>
        <v>Ciências</v>
      </c>
    </row>
    <row r="104" spans="1:31" s="14" customFormat="1" ht="45" customHeight="1" x14ac:dyDescent="0.3">
      <c r="A104" s="24" t="s">
        <v>249</v>
      </c>
      <c r="B104" s="21" t="s">
        <v>231</v>
      </c>
      <c r="C104" s="21" t="s">
        <v>7</v>
      </c>
      <c r="D104" s="21" t="s">
        <v>8</v>
      </c>
      <c r="E104" s="23">
        <v>79</v>
      </c>
      <c r="F104" s="23">
        <f>_xlfn.NUMBERVALUE(MID(TRIM(Tabela2[[#This Row],[retranca]]), FIND("_", TRIM(Tabela2[[#This Row],[retranca]])) + 1, 1), ",", ".")</f>
        <v>4</v>
      </c>
      <c r="G104" s="23">
        <v>2</v>
      </c>
      <c r="H104" s="23"/>
      <c r="I104" s="24" t="s">
        <v>15</v>
      </c>
      <c r="J104" s="24"/>
      <c r="K104" s="23"/>
      <c r="L104" s="23"/>
      <c r="M104" s="24"/>
      <c r="N104" s="24"/>
      <c r="O104" s="27" t="s">
        <v>250</v>
      </c>
      <c r="P104" s="27"/>
      <c r="Q104" s="23">
        <v>11</v>
      </c>
      <c r="R104" s="25">
        <v>45877</v>
      </c>
      <c r="S104" s="25">
        <v>45880</v>
      </c>
      <c r="T104" s="25"/>
      <c r="U104" s="25"/>
      <c r="V104" s="25">
        <v>45880</v>
      </c>
      <c r="W104" s="23" t="s">
        <v>78</v>
      </c>
      <c r="X104" s="32" t="str">
        <f>IF(Tabela2[[#This Row],[sigla]]="","",VLOOKUP(Tabela2[[#This Row],[sigla]],Tabela14[[#All],[Sigla Arte]:[Crédito]],2,0))</f>
        <v>HELOÍSA PINTARELLI/ARQUIVO DA EDITORA</v>
      </c>
      <c r="Y104" s="24" t="s">
        <v>233</v>
      </c>
      <c r="Z104" s="24" t="str">
        <f>Tabela2[[#This Row],[ilustrador]]</f>
        <v>HELOÍSA PINTARELLI/ARQUIVO DA EDITORA</v>
      </c>
      <c r="AA104" s="23">
        <v>13</v>
      </c>
      <c r="AB104" s="21" t="s">
        <v>234</v>
      </c>
      <c r="AC104" s="21" t="s">
        <v>31</v>
      </c>
      <c r="AD104" s="4" t="str">
        <f t="shared" si="2"/>
        <v>Pitanguá</v>
      </c>
      <c r="AE104" s="14" t="str">
        <f t="shared" si="3"/>
        <v>Ciências</v>
      </c>
    </row>
    <row r="105" spans="1:31" s="14" customFormat="1" ht="75" customHeight="1" x14ac:dyDescent="0.3">
      <c r="A105" s="24" t="s">
        <v>251</v>
      </c>
      <c r="B105" s="21" t="s">
        <v>6</v>
      </c>
      <c r="C105" s="21" t="s">
        <v>252</v>
      </c>
      <c r="D105" s="21" t="s">
        <v>8</v>
      </c>
      <c r="E105" s="23">
        <v>64</v>
      </c>
      <c r="F105" s="23">
        <f>_xlfn.NUMBERVALUE(MID(TRIM(Tabela2[[#This Row],[retranca]]), FIND("_", TRIM(Tabela2[[#This Row],[retranca]])) + 1, 1), ",", ".")</f>
        <v>4</v>
      </c>
      <c r="G105" s="23">
        <v>2</v>
      </c>
      <c r="H105" s="23"/>
      <c r="I105" s="24" t="s">
        <v>15</v>
      </c>
      <c r="J105" s="24"/>
      <c r="K105" s="23"/>
      <c r="L105" s="23"/>
      <c r="M105" s="24"/>
      <c r="N105" s="24"/>
      <c r="O105" s="27" t="s">
        <v>253</v>
      </c>
      <c r="P105" s="27"/>
      <c r="Q105" s="23"/>
      <c r="R105" s="25"/>
      <c r="S105" s="25"/>
      <c r="T105" s="25"/>
      <c r="U105" s="25"/>
      <c r="V105" s="25"/>
      <c r="W105" s="23" t="s">
        <v>95</v>
      </c>
      <c r="X105" s="32" t="str">
        <f>IF(Tabela2[[#This Row],[sigla]]="","",VLOOKUP(Tabela2[[#This Row],[sigla]],Tabela14[[#All],[Sigla Arte]:[Crédito]],2,0))</f>
        <v>VER DOCUMENTO DE ILS. TÉCNICAS</v>
      </c>
      <c r="Y105" s="24"/>
      <c r="Z105" s="24" t="str">
        <f>Tabela2[[#This Row],[ilustrador]]</f>
        <v>VER DOCUMENTO DE ILS. TÉCNICAS</v>
      </c>
      <c r="AA105" s="23"/>
      <c r="AB105" s="21"/>
      <c r="AC105" s="21"/>
      <c r="AD105" s="4" t="str">
        <f t="shared" si="2"/>
        <v>Pitanguá</v>
      </c>
      <c r="AE105" s="14" t="str">
        <f t="shared" si="3"/>
        <v>Ciências</v>
      </c>
    </row>
    <row r="106" spans="1:31" s="14" customFormat="1" ht="45" customHeight="1" x14ac:dyDescent="0.3">
      <c r="A106" s="24" t="s">
        <v>254</v>
      </c>
      <c r="B106" s="21" t="s">
        <v>6</v>
      </c>
      <c r="C106" s="21" t="s">
        <v>7</v>
      </c>
      <c r="D106" s="21" t="s">
        <v>8</v>
      </c>
      <c r="E106" s="23">
        <v>14</v>
      </c>
      <c r="F106" s="23">
        <f>_xlfn.NUMBERVALUE(MID(TRIM(Tabela2[[#This Row],[retranca]]), FIND("_", TRIM(Tabela2[[#This Row],[retranca]])) + 1, 1), ",", ".")</f>
        <v>4</v>
      </c>
      <c r="G106" s="23">
        <v>1</v>
      </c>
      <c r="H106" s="23"/>
      <c r="I106" s="24" t="s">
        <v>15</v>
      </c>
      <c r="J106" s="24"/>
      <c r="K106" s="23"/>
      <c r="L106" s="23"/>
      <c r="M106" s="24"/>
      <c r="N106" s="24"/>
      <c r="O106" s="27" t="s">
        <v>255</v>
      </c>
      <c r="P106" s="27"/>
      <c r="Q106" s="23"/>
      <c r="R106" s="25"/>
      <c r="S106" s="25"/>
      <c r="T106" s="25"/>
      <c r="U106" s="25"/>
      <c r="V106" s="25"/>
      <c r="W106" s="23" t="s">
        <v>89</v>
      </c>
      <c r="X106" s="32" t="str">
        <f>IF(Tabela2[[#This Row],[sigla]]="","",VLOOKUP(Tabela2[[#This Row],[sigla]],Tabela14[[#All],[Sigla Arte]:[Crédito]],2,0))</f>
        <v>LISLLEY GOMES FEIGE/ARQUIVO DA EDITORA</v>
      </c>
      <c r="Y106" s="24"/>
      <c r="Z106" s="24" t="str">
        <f>Tabela2[[#This Row],[ilustrador]]</f>
        <v>LISLLEY GOMES FEIGE/ARQUIVO DA EDITORA</v>
      </c>
      <c r="AA106" s="23"/>
      <c r="AB106" s="21"/>
      <c r="AC106" s="21"/>
      <c r="AD106" s="4" t="str">
        <f t="shared" si="2"/>
        <v>Pitanguá</v>
      </c>
      <c r="AE106" s="14" t="str">
        <f t="shared" si="3"/>
        <v>Ciências</v>
      </c>
    </row>
    <row r="107" spans="1:31" s="14" customFormat="1" ht="45" customHeight="1" x14ac:dyDescent="0.3">
      <c r="A107" s="24" t="s">
        <v>256</v>
      </c>
      <c r="B107" s="21" t="s">
        <v>6</v>
      </c>
      <c r="C107" s="21" t="s">
        <v>7</v>
      </c>
      <c r="D107" s="21" t="s">
        <v>8</v>
      </c>
      <c r="E107" s="23">
        <v>14</v>
      </c>
      <c r="F107" s="23">
        <f>_xlfn.NUMBERVALUE(MID(TRIM(Tabela2[[#This Row],[retranca]]), FIND("_", TRIM(Tabela2[[#This Row],[retranca]])) + 1, 1), ",", ".")</f>
        <v>4</v>
      </c>
      <c r="G107" s="23">
        <v>1</v>
      </c>
      <c r="H107" s="23"/>
      <c r="I107" s="24" t="s">
        <v>15</v>
      </c>
      <c r="J107" s="24"/>
      <c r="K107" s="23"/>
      <c r="L107" s="23"/>
      <c r="M107" s="24"/>
      <c r="N107" s="24"/>
      <c r="O107" s="27" t="s">
        <v>257</v>
      </c>
      <c r="P107" s="27"/>
      <c r="Q107" s="23"/>
      <c r="R107" s="25"/>
      <c r="S107" s="25"/>
      <c r="T107" s="25"/>
      <c r="U107" s="25"/>
      <c r="V107" s="25"/>
      <c r="W107" s="23" t="s">
        <v>89</v>
      </c>
      <c r="X107" s="32" t="str">
        <f>IF(Tabela2[[#This Row],[sigla]]="","",VLOOKUP(Tabela2[[#This Row],[sigla]],Tabela14[[#All],[Sigla Arte]:[Crédito]],2,0))</f>
        <v>LISLLEY GOMES FEIGE/ARQUIVO DA EDITORA</v>
      </c>
      <c r="Y107" s="24"/>
      <c r="Z107" s="24" t="str">
        <f>Tabela2[[#This Row],[ilustrador]]</f>
        <v>LISLLEY GOMES FEIGE/ARQUIVO DA EDITORA</v>
      </c>
      <c r="AA107" s="23"/>
      <c r="AB107" s="21"/>
      <c r="AC107" s="21"/>
      <c r="AD107" s="4" t="str">
        <f t="shared" si="2"/>
        <v>Pitanguá</v>
      </c>
      <c r="AE107" s="14" t="str">
        <f t="shared" si="3"/>
        <v>Ciências</v>
      </c>
    </row>
    <row r="108" spans="1:31" s="14" customFormat="1" ht="105" customHeight="1" x14ac:dyDescent="0.3">
      <c r="A108" s="24" t="s">
        <v>258</v>
      </c>
      <c r="B108" s="21" t="s">
        <v>6</v>
      </c>
      <c r="C108" s="21" t="s">
        <v>7</v>
      </c>
      <c r="D108" s="21" t="s">
        <v>8</v>
      </c>
      <c r="E108" s="23">
        <v>16</v>
      </c>
      <c r="F108" s="23">
        <f>_xlfn.NUMBERVALUE(MID(TRIM(Tabela2[[#This Row],[retranca]]), FIND("_", TRIM(Tabela2[[#This Row],[retranca]])) + 1, 1), ",", ".")</f>
        <v>4</v>
      </c>
      <c r="G108" s="23">
        <v>1</v>
      </c>
      <c r="H108" s="23"/>
      <c r="I108" s="24" t="s">
        <v>28</v>
      </c>
      <c r="J108" s="24"/>
      <c r="K108" s="23"/>
      <c r="L108" s="23"/>
      <c r="M108" s="24"/>
      <c r="N108" s="24"/>
      <c r="O108" s="27" t="s">
        <v>259</v>
      </c>
      <c r="P108" s="27"/>
      <c r="Q108" s="23">
        <v>2</v>
      </c>
      <c r="R108" s="25">
        <v>45751</v>
      </c>
      <c r="S108" s="25">
        <v>45754</v>
      </c>
      <c r="T108" s="25"/>
      <c r="U108" s="25"/>
      <c r="V108" s="25">
        <v>45761</v>
      </c>
      <c r="W108" s="23" t="s">
        <v>11</v>
      </c>
      <c r="X108" s="32" t="str">
        <f>IF(Tabela2[[#This Row],[sigla]]="","",VLOOKUP(Tabela2[[#This Row],[sigla]],Tabela14[[#All],[Sigla Arte]:[Crédito]],2,0))</f>
        <v>LEONARDO DE MOURA AMARAL/ARQUIVO DA EDITORA</v>
      </c>
      <c r="Y108" s="24" t="s">
        <v>194</v>
      </c>
      <c r="Z108" s="24" t="str">
        <f>Tabela2[[#This Row],[ilustrador]]</f>
        <v>LEONARDO DE MOURA AMARAL/ARQUIVO DA EDITORA</v>
      </c>
      <c r="AA108" s="23">
        <v>13</v>
      </c>
      <c r="AB108" s="21" t="s">
        <v>260</v>
      </c>
      <c r="AC108" s="21" t="s">
        <v>31</v>
      </c>
      <c r="AD108" s="4" t="str">
        <f t="shared" si="2"/>
        <v>Pitanguá</v>
      </c>
      <c r="AE108" s="14" t="str">
        <f t="shared" si="3"/>
        <v>Ciências</v>
      </c>
    </row>
    <row r="109" spans="1:31" s="14" customFormat="1" ht="135" customHeight="1" x14ac:dyDescent="0.3">
      <c r="A109" s="24" t="s">
        <v>261</v>
      </c>
      <c r="B109" s="21" t="s">
        <v>6</v>
      </c>
      <c r="C109" s="21" t="s">
        <v>7</v>
      </c>
      <c r="D109" s="21" t="s">
        <v>8</v>
      </c>
      <c r="E109" s="23">
        <v>18</v>
      </c>
      <c r="F109" s="23">
        <f>_xlfn.NUMBERVALUE(MID(TRIM(Tabela2[[#This Row],[retranca]]), FIND("_", TRIM(Tabela2[[#This Row],[retranca]])) + 1, 1), ",", ".")</f>
        <v>4</v>
      </c>
      <c r="G109" s="23">
        <v>1</v>
      </c>
      <c r="H109" s="23"/>
      <c r="I109" s="24" t="s">
        <v>28</v>
      </c>
      <c r="J109" s="24"/>
      <c r="K109" s="23"/>
      <c r="L109" s="23"/>
      <c r="M109" s="24"/>
      <c r="N109" s="24"/>
      <c r="O109" s="27" t="s">
        <v>262</v>
      </c>
      <c r="P109" s="27"/>
      <c r="Q109" s="23">
        <v>2</v>
      </c>
      <c r="R109" s="25">
        <v>45751</v>
      </c>
      <c r="S109" s="25">
        <v>45754</v>
      </c>
      <c r="T109" s="25"/>
      <c r="U109" s="25"/>
      <c r="V109" s="25">
        <v>45761</v>
      </c>
      <c r="W109" s="23" t="s">
        <v>17</v>
      </c>
      <c r="X109" s="32" t="str">
        <f>IF(Tabela2[[#This Row],[sigla]]="","",VLOOKUP(Tabela2[[#This Row],[sigla]],Tabela14[[#All],[Sigla Arte]:[Crédito]],2,0))</f>
        <v>MÁRCIO GUERRA/ARQUIVO DA EDITORA</v>
      </c>
      <c r="Y109" s="24" t="s">
        <v>194</v>
      </c>
      <c r="Z109" s="24" t="str">
        <f>Tabela2[[#This Row],[ilustrador]]</f>
        <v>MÁRCIO GUERRA/ARQUIVO DA EDITORA</v>
      </c>
      <c r="AA109" s="23">
        <v>13</v>
      </c>
      <c r="AB109" s="21" t="s">
        <v>105</v>
      </c>
      <c r="AC109" s="21" t="s">
        <v>31</v>
      </c>
      <c r="AD109" s="4" t="str">
        <f t="shared" si="2"/>
        <v>Pitanguá</v>
      </c>
      <c r="AE109" s="14" t="str">
        <f t="shared" si="3"/>
        <v>Ciências</v>
      </c>
    </row>
    <row r="110" spans="1:31" s="14" customFormat="1" ht="60" customHeight="1" x14ac:dyDescent="0.3">
      <c r="A110" s="24" t="s">
        <v>263</v>
      </c>
      <c r="B110" s="21" t="s">
        <v>6</v>
      </c>
      <c r="C110" s="21" t="s">
        <v>7</v>
      </c>
      <c r="D110" s="21" t="s">
        <v>8</v>
      </c>
      <c r="E110" s="23">
        <v>26</v>
      </c>
      <c r="F110" s="23">
        <f>_xlfn.NUMBERVALUE(MID(TRIM(Tabela2[[#This Row],[retranca]]), FIND("_", TRIM(Tabela2[[#This Row],[retranca]])) + 1, 1), ",", ".")</f>
        <v>4</v>
      </c>
      <c r="G110" s="23">
        <v>1</v>
      </c>
      <c r="H110" s="23"/>
      <c r="I110" s="24" t="s">
        <v>15</v>
      </c>
      <c r="J110" s="24"/>
      <c r="K110" s="23"/>
      <c r="L110" s="23"/>
      <c r="M110" s="24"/>
      <c r="N110" s="24"/>
      <c r="O110" s="27" t="s">
        <v>264</v>
      </c>
      <c r="P110" s="27"/>
      <c r="Q110" s="23"/>
      <c r="R110" s="25"/>
      <c r="S110" s="25"/>
      <c r="T110" s="25"/>
      <c r="U110" s="25"/>
      <c r="V110" s="25"/>
      <c r="W110" s="23" t="s">
        <v>17</v>
      </c>
      <c r="X110" s="32" t="str">
        <f>IF(Tabela2[[#This Row],[sigla]]="","",VLOOKUP(Tabela2[[#This Row],[sigla]],Tabela14[[#All],[Sigla Arte]:[Crédito]],2,0))</f>
        <v>MÁRCIO GUERRA/ARQUIVO DA EDITORA</v>
      </c>
      <c r="Y110" s="24"/>
      <c r="Z110" s="24" t="str">
        <f>Tabela2[[#This Row],[ilustrador]]</f>
        <v>MÁRCIO GUERRA/ARQUIVO DA EDITORA</v>
      </c>
      <c r="AA110" s="23"/>
      <c r="AB110" s="21"/>
      <c r="AC110" s="21"/>
      <c r="AD110" s="4" t="str">
        <f t="shared" si="2"/>
        <v>Pitanguá</v>
      </c>
      <c r="AE110" s="14" t="str">
        <f t="shared" si="3"/>
        <v>Ciências</v>
      </c>
    </row>
    <row r="111" spans="1:31" s="14" customFormat="1" ht="45" customHeight="1" x14ac:dyDescent="0.3">
      <c r="A111" s="24" t="s">
        <v>265</v>
      </c>
      <c r="B111" s="21" t="s">
        <v>6</v>
      </c>
      <c r="C111" s="21" t="s">
        <v>7</v>
      </c>
      <c r="D111" s="21" t="s">
        <v>8</v>
      </c>
      <c r="E111" s="23">
        <v>26</v>
      </c>
      <c r="F111" s="23">
        <f>_xlfn.NUMBERVALUE(MID(TRIM(Tabela2[[#This Row],[retranca]]), FIND("_", TRIM(Tabela2[[#This Row],[retranca]])) + 1, 1), ",", ".")</f>
        <v>4</v>
      </c>
      <c r="G111" s="23">
        <v>1</v>
      </c>
      <c r="H111" s="23"/>
      <c r="I111" s="24" t="s">
        <v>15</v>
      </c>
      <c r="J111" s="24"/>
      <c r="K111" s="23"/>
      <c r="L111" s="23"/>
      <c r="M111" s="24"/>
      <c r="N111" s="24"/>
      <c r="O111" s="27" t="s">
        <v>266</v>
      </c>
      <c r="P111" s="27"/>
      <c r="Q111" s="23"/>
      <c r="R111" s="25"/>
      <c r="S111" s="25"/>
      <c r="T111" s="25"/>
      <c r="U111" s="25"/>
      <c r="V111" s="25"/>
      <c r="W111" s="23" t="s">
        <v>17</v>
      </c>
      <c r="X111" s="32" t="str">
        <f>IF(Tabela2[[#This Row],[sigla]]="","",VLOOKUP(Tabela2[[#This Row],[sigla]],Tabela14[[#All],[Sigla Arte]:[Crédito]],2,0))</f>
        <v>MÁRCIO GUERRA/ARQUIVO DA EDITORA</v>
      </c>
      <c r="Y111" s="24"/>
      <c r="Z111" s="24" t="str">
        <f>Tabela2[[#This Row],[ilustrador]]</f>
        <v>MÁRCIO GUERRA/ARQUIVO DA EDITORA</v>
      </c>
      <c r="AA111" s="23"/>
      <c r="AB111" s="21"/>
      <c r="AC111" s="21"/>
      <c r="AD111" s="4" t="str">
        <f t="shared" si="2"/>
        <v>Pitanguá</v>
      </c>
      <c r="AE111" s="14" t="str">
        <f t="shared" si="3"/>
        <v>Ciências</v>
      </c>
    </row>
    <row r="112" spans="1:31" s="14" customFormat="1" ht="45" customHeight="1" x14ac:dyDescent="0.3">
      <c r="A112" s="24" t="s">
        <v>267</v>
      </c>
      <c r="B112" s="21" t="s">
        <v>6</v>
      </c>
      <c r="C112" s="21" t="s">
        <v>7</v>
      </c>
      <c r="D112" s="21" t="s">
        <v>8</v>
      </c>
      <c r="E112" s="23">
        <v>26</v>
      </c>
      <c r="F112" s="23">
        <f>_xlfn.NUMBERVALUE(MID(TRIM(Tabela2[[#This Row],[retranca]]), FIND("_", TRIM(Tabela2[[#This Row],[retranca]])) + 1, 1), ",", ".")</f>
        <v>4</v>
      </c>
      <c r="G112" s="23">
        <v>1</v>
      </c>
      <c r="H112" s="23"/>
      <c r="I112" s="24" t="s">
        <v>15</v>
      </c>
      <c r="J112" s="24"/>
      <c r="K112" s="23"/>
      <c r="L112" s="23"/>
      <c r="M112" s="24"/>
      <c r="N112" s="24"/>
      <c r="O112" s="27" t="s">
        <v>268</v>
      </c>
      <c r="P112" s="27"/>
      <c r="Q112" s="23"/>
      <c r="R112" s="25"/>
      <c r="S112" s="25"/>
      <c r="T112" s="25"/>
      <c r="U112" s="25"/>
      <c r="V112" s="25"/>
      <c r="W112" s="23" t="s">
        <v>17</v>
      </c>
      <c r="X112" s="32" t="str">
        <f>IF(Tabela2[[#This Row],[sigla]]="","",VLOOKUP(Tabela2[[#This Row],[sigla]],Tabela14[[#All],[Sigla Arte]:[Crédito]],2,0))</f>
        <v>MÁRCIO GUERRA/ARQUIVO DA EDITORA</v>
      </c>
      <c r="Y112" s="24"/>
      <c r="Z112" s="24" t="str">
        <f>Tabela2[[#This Row],[ilustrador]]</f>
        <v>MÁRCIO GUERRA/ARQUIVO DA EDITORA</v>
      </c>
      <c r="AA112" s="23"/>
      <c r="AB112" s="21"/>
      <c r="AC112" s="21"/>
      <c r="AD112" s="4" t="str">
        <f t="shared" si="2"/>
        <v>Pitanguá</v>
      </c>
      <c r="AE112" s="14" t="str">
        <f t="shared" si="3"/>
        <v>Ciências</v>
      </c>
    </row>
    <row r="113" spans="1:31" s="14" customFormat="1" ht="45" customHeight="1" x14ac:dyDescent="0.3">
      <c r="A113" s="24" t="s">
        <v>269</v>
      </c>
      <c r="B113" s="21" t="s">
        <v>6</v>
      </c>
      <c r="C113" s="21" t="s">
        <v>7</v>
      </c>
      <c r="D113" s="21" t="s">
        <v>8</v>
      </c>
      <c r="E113" s="23">
        <v>26</v>
      </c>
      <c r="F113" s="23">
        <f>_xlfn.NUMBERVALUE(MID(TRIM(Tabela2[[#This Row],[retranca]]), FIND("_", TRIM(Tabela2[[#This Row],[retranca]])) + 1, 1), ",", ".")</f>
        <v>4</v>
      </c>
      <c r="G113" s="23">
        <v>1</v>
      </c>
      <c r="H113" s="23"/>
      <c r="I113" s="24" t="s">
        <v>15</v>
      </c>
      <c r="J113" s="24"/>
      <c r="K113" s="23"/>
      <c r="L113" s="23"/>
      <c r="M113" s="24"/>
      <c r="N113" s="24"/>
      <c r="O113" s="27" t="s">
        <v>270</v>
      </c>
      <c r="P113" s="27"/>
      <c r="Q113" s="23"/>
      <c r="R113" s="25"/>
      <c r="S113" s="25"/>
      <c r="T113" s="25"/>
      <c r="U113" s="25"/>
      <c r="V113" s="25"/>
      <c r="W113" s="23" t="s">
        <v>17</v>
      </c>
      <c r="X113" s="32" t="str">
        <f>IF(Tabela2[[#This Row],[sigla]]="","",VLOOKUP(Tabela2[[#This Row],[sigla]],Tabela14[[#All],[Sigla Arte]:[Crédito]],2,0))</f>
        <v>MÁRCIO GUERRA/ARQUIVO DA EDITORA</v>
      </c>
      <c r="Y113" s="24"/>
      <c r="Z113" s="24" t="str">
        <f>Tabela2[[#This Row],[ilustrador]]</f>
        <v>MÁRCIO GUERRA/ARQUIVO DA EDITORA</v>
      </c>
      <c r="AA113" s="23"/>
      <c r="AB113" s="21"/>
      <c r="AC113" s="21"/>
      <c r="AD113" s="4" t="str">
        <f t="shared" si="2"/>
        <v>Pitanguá</v>
      </c>
      <c r="AE113" s="14" t="str">
        <f t="shared" si="3"/>
        <v>Ciências</v>
      </c>
    </row>
    <row r="114" spans="1:31" s="14" customFormat="1" ht="75" customHeight="1" x14ac:dyDescent="0.3">
      <c r="A114" s="24" t="s">
        <v>271</v>
      </c>
      <c r="B114" s="21" t="s">
        <v>231</v>
      </c>
      <c r="C114" s="21" t="s">
        <v>135</v>
      </c>
      <c r="D114" s="21" t="s">
        <v>8</v>
      </c>
      <c r="E114" s="23">
        <v>33</v>
      </c>
      <c r="F114" s="23">
        <f>_xlfn.NUMBERVALUE(MID(TRIM(Tabela2[[#This Row],[retranca]]), FIND("_", TRIM(Tabela2[[#This Row],[retranca]])) + 1, 1), ",", ".")</f>
        <v>4</v>
      </c>
      <c r="G114" s="23">
        <v>1</v>
      </c>
      <c r="H114" s="23"/>
      <c r="I114" s="24" t="s">
        <v>9</v>
      </c>
      <c r="J114" s="24"/>
      <c r="K114" s="23"/>
      <c r="L114" s="23"/>
      <c r="M114" s="24"/>
      <c r="N114" s="24"/>
      <c r="O114" s="27" t="s">
        <v>272</v>
      </c>
      <c r="P114" s="27"/>
      <c r="Q114" s="23">
        <v>2</v>
      </c>
      <c r="R114" s="25">
        <v>45751</v>
      </c>
      <c r="S114" s="25">
        <v>45754</v>
      </c>
      <c r="T114" s="25"/>
      <c r="U114" s="25"/>
      <c r="V114" s="25">
        <v>45761</v>
      </c>
      <c r="W114" s="23" t="s">
        <v>273</v>
      </c>
      <c r="X114" s="32" t="str">
        <f>IF(Tabela2[[#This Row],[sigla]]="","",VLOOKUP(Tabela2[[#This Row],[sigla]],Tabela14[[#All],[Sigla Arte]:[Crédito]],2,0))</f>
        <v>MARYANE VIOTO SILVA/ARQUIVO DA EDITORA</v>
      </c>
      <c r="Y114" s="24" t="s">
        <v>138</v>
      </c>
      <c r="Z114" s="24" t="str">
        <f>Tabela2[[#This Row],[ilustrador]]</f>
        <v>MARYANE VIOTO SILVA/ARQUIVO DA EDITORA</v>
      </c>
      <c r="AA114" s="23">
        <v>12</v>
      </c>
      <c r="AB114" s="21" t="s">
        <v>138</v>
      </c>
      <c r="AC114" s="21" t="s">
        <v>31</v>
      </c>
      <c r="AD114" s="4" t="str">
        <f t="shared" si="2"/>
        <v>Pitanguá</v>
      </c>
      <c r="AE114" s="14" t="str">
        <f t="shared" si="3"/>
        <v>Ciências</v>
      </c>
    </row>
    <row r="115" spans="1:31" s="14" customFormat="1" ht="75" customHeight="1" x14ac:dyDescent="0.3">
      <c r="A115" s="24" t="s">
        <v>274</v>
      </c>
      <c r="B115" s="21" t="s">
        <v>6</v>
      </c>
      <c r="C115" s="21" t="s">
        <v>7</v>
      </c>
      <c r="D115" s="21" t="s">
        <v>8</v>
      </c>
      <c r="E115" s="23">
        <v>34</v>
      </c>
      <c r="F115" s="23">
        <f>_xlfn.NUMBERVALUE(MID(TRIM(Tabela2[[#This Row],[retranca]]), FIND("_", TRIM(Tabela2[[#This Row],[retranca]])) + 1, 1), ",", ".")</f>
        <v>4</v>
      </c>
      <c r="G115" s="23">
        <v>1</v>
      </c>
      <c r="H115" s="23"/>
      <c r="I115" s="24" t="s">
        <v>28</v>
      </c>
      <c r="J115" s="24"/>
      <c r="K115" s="23"/>
      <c r="L115" s="23"/>
      <c r="M115" s="24"/>
      <c r="N115" s="24"/>
      <c r="O115" s="27" t="s">
        <v>275</v>
      </c>
      <c r="P115" s="27"/>
      <c r="Q115" s="23">
        <v>2</v>
      </c>
      <c r="R115" s="25">
        <v>45751</v>
      </c>
      <c r="S115" s="25">
        <v>45754</v>
      </c>
      <c r="T115" s="25"/>
      <c r="U115" s="25"/>
      <c r="V115" s="25">
        <v>45761</v>
      </c>
      <c r="W115" s="23" t="s">
        <v>17</v>
      </c>
      <c r="X115" s="32" t="str">
        <f>IF(Tabela2[[#This Row],[sigla]]="","",VLOOKUP(Tabela2[[#This Row],[sigla]],Tabela14[[#All],[Sigla Arte]:[Crédito]],2,0))</f>
        <v>MÁRCIO GUERRA/ARQUIVO DA EDITORA</v>
      </c>
      <c r="Y115" s="24" t="s">
        <v>194</v>
      </c>
      <c r="Z115" s="24" t="str">
        <f>Tabela2[[#This Row],[ilustrador]]</f>
        <v>MÁRCIO GUERRA/ARQUIVO DA EDITORA</v>
      </c>
      <c r="AA115" s="23">
        <v>13</v>
      </c>
      <c r="AB115" s="21" t="s">
        <v>105</v>
      </c>
      <c r="AC115" s="21" t="s">
        <v>31</v>
      </c>
      <c r="AD115" s="4" t="str">
        <f t="shared" si="2"/>
        <v>Pitanguá</v>
      </c>
      <c r="AE115" s="14" t="str">
        <f t="shared" si="3"/>
        <v>Ciências</v>
      </c>
    </row>
    <row r="116" spans="1:31" s="14" customFormat="1" ht="75" customHeight="1" x14ac:dyDescent="0.3">
      <c r="A116" s="24" t="s">
        <v>276</v>
      </c>
      <c r="B116" s="21" t="s">
        <v>6</v>
      </c>
      <c r="C116" s="21" t="s">
        <v>7</v>
      </c>
      <c r="D116" s="21" t="s">
        <v>8</v>
      </c>
      <c r="E116" s="23">
        <v>34</v>
      </c>
      <c r="F116" s="23">
        <f>_xlfn.NUMBERVALUE(MID(TRIM(Tabela2[[#This Row],[retranca]]), FIND("_", TRIM(Tabela2[[#This Row],[retranca]])) + 1, 1), ",", ".")</f>
        <v>4</v>
      </c>
      <c r="G116" s="23">
        <v>1</v>
      </c>
      <c r="H116" s="23"/>
      <c r="I116" s="24" t="s">
        <v>28</v>
      </c>
      <c r="J116" s="24"/>
      <c r="K116" s="23"/>
      <c r="L116" s="23"/>
      <c r="M116" s="24"/>
      <c r="N116" s="24"/>
      <c r="O116" s="27" t="s">
        <v>277</v>
      </c>
      <c r="P116" s="27"/>
      <c r="Q116" s="23">
        <v>2</v>
      </c>
      <c r="R116" s="25">
        <v>45751</v>
      </c>
      <c r="S116" s="25">
        <v>45754</v>
      </c>
      <c r="T116" s="25"/>
      <c r="U116" s="25"/>
      <c r="V116" s="25">
        <v>45761</v>
      </c>
      <c r="W116" s="23" t="s">
        <v>17</v>
      </c>
      <c r="X116" s="32" t="str">
        <f>IF(Tabela2[[#This Row],[sigla]]="","",VLOOKUP(Tabela2[[#This Row],[sigla]],Tabela14[[#All],[Sigla Arte]:[Crédito]],2,0))</f>
        <v>MÁRCIO GUERRA/ARQUIVO DA EDITORA</v>
      </c>
      <c r="Y116" s="24" t="s">
        <v>194</v>
      </c>
      <c r="Z116" s="24" t="str">
        <f>Tabela2[[#This Row],[ilustrador]]</f>
        <v>MÁRCIO GUERRA/ARQUIVO DA EDITORA</v>
      </c>
      <c r="AA116" s="23">
        <v>13</v>
      </c>
      <c r="AB116" s="21" t="s">
        <v>105</v>
      </c>
      <c r="AC116" s="21" t="s">
        <v>31</v>
      </c>
      <c r="AD116" s="4" t="str">
        <f t="shared" si="2"/>
        <v>Pitanguá</v>
      </c>
      <c r="AE116" s="14" t="str">
        <f t="shared" si="3"/>
        <v>Ciências</v>
      </c>
    </row>
    <row r="117" spans="1:31" s="14" customFormat="1" ht="75" customHeight="1" x14ac:dyDescent="0.3">
      <c r="A117" s="24" t="s">
        <v>278</v>
      </c>
      <c r="B117" s="21" t="s">
        <v>231</v>
      </c>
      <c r="C117" s="21" t="s">
        <v>7</v>
      </c>
      <c r="D117" s="21" t="s">
        <v>8</v>
      </c>
      <c r="E117" s="23">
        <v>35</v>
      </c>
      <c r="F117" s="23">
        <f>_xlfn.NUMBERVALUE(MID(TRIM(Tabela2[[#This Row],[retranca]]), FIND("_", TRIM(Tabela2[[#This Row],[retranca]])) + 1, 1), ",", ".")</f>
        <v>4</v>
      </c>
      <c r="G117" s="23">
        <v>1</v>
      </c>
      <c r="H117" s="23"/>
      <c r="I117" s="24" t="s">
        <v>28</v>
      </c>
      <c r="J117" s="24"/>
      <c r="K117" s="23"/>
      <c r="L117" s="23"/>
      <c r="M117" s="24"/>
      <c r="N117" s="24"/>
      <c r="O117" s="27" t="s">
        <v>279</v>
      </c>
      <c r="P117" s="27"/>
      <c r="Q117" s="23">
        <v>2</v>
      </c>
      <c r="R117" s="25">
        <v>45751</v>
      </c>
      <c r="S117" s="25">
        <v>45876</v>
      </c>
      <c r="T117" s="25"/>
      <c r="U117" s="25"/>
      <c r="V117" s="25">
        <v>45877</v>
      </c>
      <c r="W117" s="23" t="s">
        <v>17</v>
      </c>
      <c r="X117" s="32" t="str">
        <f>IF(Tabela2[[#This Row],[sigla]]="","",VLOOKUP(Tabela2[[#This Row],[sigla]],Tabela14[[#All],[Sigla Arte]:[Crédito]],2,0))</f>
        <v>MÁRCIO GUERRA/ARQUIVO DA EDITORA</v>
      </c>
      <c r="Y117" s="24" t="s">
        <v>280</v>
      </c>
      <c r="Z117" s="24" t="str">
        <f>Tabela2[[#This Row],[ilustrador]]</f>
        <v>MÁRCIO GUERRA/ARQUIVO DA EDITORA</v>
      </c>
      <c r="AA117" s="23">
        <v>13</v>
      </c>
      <c r="AB117" s="21" t="s">
        <v>105</v>
      </c>
      <c r="AC117" s="21" t="s">
        <v>31</v>
      </c>
      <c r="AD117" s="4" t="str">
        <f t="shared" si="2"/>
        <v>Pitanguá</v>
      </c>
      <c r="AE117" s="14" t="str">
        <f t="shared" si="3"/>
        <v>Ciências</v>
      </c>
    </row>
    <row r="118" spans="1:31" s="14" customFormat="1" ht="60" customHeight="1" x14ac:dyDescent="0.3">
      <c r="A118" s="24" t="s">
        <v>281</v>
      </c>
      <c r="B118" s="21" t="s">
        <v>6</v>
      </c>
      <c r="C118" s="21" t="s">
        <v>7</v>
      </c>
      <c r="D118" s="21" t="s">
        <v>8</v>
      </c>
      <c r="E118" s="23">
        <v>36</v>
      </c>
      <c r="F118" s="23">
        <f>_xlfn.NUMBERVALUE(MID(TRIM(Tabela2[[#This Row],[retranca]]), FIND("_", TRIM(Tabela2[[#This Row],[retranca]])) + 1, 1), ",", ".")</f>
        <v>4</v>
      </c>
      <c r="G118" s="23">
        <v>1</v>
      </c>
      <c r="H118" s="23"/>
      <c r="I118" s="24" t="s">
        <v>28</v>
      </c>
      <c r="J118" s="24"/>
      <c r="K118" s="23"/>
      <c r="L118" s="23"/>
      <c r="M118" s="24"/>
      <c r="N118" s="24"/>
      <c r="O118" s="27" t="s">
        <v>282</v>
      </c>
      <c r="P118" s="27"/>
      <c r="Q118" s="23">
        <v>2</v>
      </c>
      <c r="R118" s="25">
        <v>45751</v>
      </c>
      <c r="S118" s="25">
        <v>45754</v>
      </c>
      <c r="T118" s="25"/>
      <c r="U118" s="25"/>
      <c r="V118" s="25">
        <v>45761</v>
      </c>
      <c r="W118" s="23" t="s">
        <v>52</v>
      </c>
      <c r="X118" s="32" t="str">
        <f>IF(Tabela2[[#This Row],[sigla]]="","",VLOOKUP(Tabela2[[#This Row],[sigla]],Tabela14[[#All],[Sigla Arte]:[Crédito]],2,0))</f>
        <v>LUCIANE MORI/ARQUIVO DA EDITORA</v>
      </c>
      <c r="Y118" s="24" t="s">
        <v>194</v>
      </c>
      <c r="Z118" s="24" t="str">
        <f>Tabela2[[#This Row],[ilustrador]]</f>
        <v>LUCIANE MORI/ARQUIVO DA EDITORA</v>
      </c>
      <c r="AA118" s="23">
        <v>13</v>
      </c>
      <c r="AB118" s="21" t="s">
        <v>105</v>
      </c>
      <c r="AC118" s="21" t="s">
        <v>31</v>
      </c>
      <c r="AD118" s="4" t="str">
        <f t="shared" si="2"/>
        <v>Pitanguá</v>
      </c>
      <c r="AE118" s="14" t="str">
        <f t="shared" si="3"/>
        <v>Ciências</v>
      </c>
    </row>
    <row r="119" spans="1:31" s="14" customFormat="1" ht="150" customHeight="1" x14ac:dyDescent="0.3">
      <c r="A119" s="24" t="s">
        <v>283</v>
      </c>
      <c r="B119" s="21" t="s">
        <v>6</v>
      </c>
      <c r="C119" s="21" t="s">
        <v>7</v>
      </c>
      <c r="D119" s="21" t="s">
        <v>8</v>
      </c>
      <c r="E119" s="23">
        <v>37</v>
      </c>
      <c r="F119" s="23">
        <f>_xlfn.NUMBERVALUE(MID(TRIM(Tabela2[[#This Row],[retranca]]), FIND("_", TRIM(Tabela2[[#This Row],[retranca]])) + 1, 1), ",", ".")</f>
        <v>4</v>
      </c>
      <c r="G119" s="23">
        <v>1</v>
      </c>
      <c r="H119" s="23"/>
      <c r="I119" s="24" t="s">
        <v>28</v>
      </c>
      <c r="J119" s="24"/>
      <c r="K119" s="23"/>
      <c r="L119" s="23"/>
      <c r="M119" s="24"/>
      <c r="N119" s="24"/>
      <c r="O119" s="27" t="s">
        <v>284</v>
      </c>
      <c r="P119" s="27"/>
      <c r="Q119" s="23">
        <v>2</v>
      </c>
      <c r="R119" s="25">
        <v>45751</v>
      </c>
      <c r="S119" s="25">
        <v>45754</v>
      </c>
      <c r="T119" s="25"/>
      <c r="U119" s="25"/>
      <c r="V119" s="25">
        <v>45761</v>
      </c>
      <c r="W119" s="23" t="s">
        <v>78</v>
      </c>
      <c r="X119" s="32" t="str">
        <f>IF(Tabela2[[#This Row],[sigla]]="","",VLOOKUP(Tabela2[[#This Row],[sigla]],Tabela14[[#All],[Sigla Arte]:[Crédito]],2,0))</f>
        <v>HELOÍSA PINTARELLI/ARQUIVO DA EDITORA</v>
      </c>
      <c r="Y119" s="24" t="s">
        <v>194</v>
      </c>
      <c r="Z119" s="24" t="str">
        <f>Tabela2[[#This Row],[ilustrador]]</f>
        <v>HELOÍSA PINTARELLI/ARQUIVO DA EDITORA</v>
      </c>
      <c r="AA119" s="23">
        <v>13</v>
      </c>
      <c r="AB119" s="21" t="s">
        <v>105</v>
      </c>
      <c r="AC119" s="21" t="s">
        <v>31</v>
      </c>
      <c r="AD119" s="4" t="str">
        <f t="shared" si="2"/>
        <v>Pitanguá</v>
      </c>
      <c r="AE119" s="14" t="str">
        <f t="shared" si="3"/>
        <v>Ciências</v>
      </c>
    </row>
    <row r="120" spans="1:31" s="14" customFormat="1" ht="165" customHeight="1" x14ac:dyDescent="0.3">
      <c r="A120" s="24" t="s">
        <v>285</v>
      </c>
      <c r="B120" s="21" t="s">
        <v>6</v>
      </c>
      <c r="C120" s="21" t="s">
        <v>7</v>
      </c>
      <c r="D120" s="21" t="s">
        <v>8</v>
      </c>
      <c r="E120" s="23">
        <v>38</v>
      </c>
      <c r="F120" s="23">
        <f>_xlfn.NUMBERVALUE(MID(TRIM(Tabela2[[#This Row],[retranca]]), FIND("_", TRIM(Tabela2[[#This Row],[retranca]])) + 1, 1), ",", ".")</f>
        <v>4</v>
      </c>
      <c r="G120" s="23">
        <v>1</v>
      </c>
      <c r="H120" s="23"/>
      <c r="I120" s="24" t="s">
        <v>28</v>
      </c>
      <c r="J120" s="24"/>
      <c r="K120" s="23"/>
      <c r="L120" s="23"/>
      <c r="M120" s="24"/>
      <c r="N120" s="24"/>
      <c r="O120" s="27" t="s">
        <v>286</v>
      </c>
      <c r="P120" s="27"/>
      <c r="Q120" s="23">
        <v>2</v>
      </c>
      <c r="R120" s="25">
        <v>45751</v>
      </c>
      <c r="S120" s="25">
        <v>45754</v>
      </c>
      <c r="T120" s="25"/>
      <c r="U120" s="25"/>
      <c r="V120" s="25">
        <v>45761</v>
      </c>
      <c r="W120" s="23" t="s">
        <v>78</v>
      </c>
      <c r="X120" s="32" t="str">
        <f>IF(Tabela2[[#This Row],[sigla]]="","",VLOOKUP(Tabela2[[#This Row],[sigla]],Tabela14[[#All],[Sigla Arte]:[Crédito]],2,0))</f>
        <v>HELOÍSA PINTARELLI/ARQUIVO DA EDITORA</v>
      </c>
      <c r="Y120" s="24" t="s">
        <v>194</v>
      </c>
      <c r="Z120" s="24" t="str">
        <f>Tabela2[[#This Row],[ilustrador]]</f>
        <v>HELOÍSA PINTARELLI/ARQUIVO DA EDITORA</v>
      </c>
      <c r="AA120" s="23">
        <v>13</v>
      </c>
      <c r="AB120" s="21" t="s">
        <v>105</v>
      </c>
      <c r="AC120" s="21" t="s">
        <v>31</v>
      </c>
      <c r="AD120" s="4" t="str">
        <f t="shared" si="2"/>
        <v>Pitanguá</v>
      </c>
      <c r="AE120" s="14" t="str">
        <f t="shared" si="3"/>
        <v>Ciências</v>
      </c>
    </row>
    <row r="121" spans="1:31" s="14" customFormat="1" ht="105" customHeight="1" x14ac:dyDescent="0.3">
      <c r="A121" s="24" t="s">
        <v>287</v>
      </c>
      <c r="B121" s="21" t="s">
        <v>6</v>
      </c>
      <c r="C121" s="21" t="s">
        <v>7</v>
      </c>
      <c r="D121" s="21" t="s">
        <v>8</v>
      </c>
      <c r="E121" s="23">
        <v>39</v>
      </c>
      <c r="F121" s="23">
        <f>_xlfn.NUMBERVALUE(MID(TRIM(Tabela2[[#This Row],[retranca]]), FIND("_", TRIM(Tabela2[[#This Row],[retranca]])) + 1, 1), ",", ".")</f>
        <v>4</v>
      </c>
      <c r="G121" s="23">
        <v>1</v>
      </c>
      <c r="H121" s="23"/>
      <c r="I121" s="24" t="s">
        <v>28</v>
      </c>
      <c r="J121" s="24"/>
      <c r="K121" s="23"/>
      <c r="L121" s="23"/>
      <c r="M121" s="24"/>
      <c r="N121" s="24"/>
      <c r="O121" s="27" t="s">
        <v>288</v>
      </c>
      <c r="P121" s="27"/>
      <c r="Q121" s="23">
        <v>2</v>
      </c>
      <c r="R121" s="25">
        <v>45751</v>
      </c>
      <c r="S121" s="25">
        <v>45754</v>
      </c>
      <c r="T121" s="25"/>
      <c r="U121" s="25"/>
      <c r="V121" s="25">
        <v>45761</v>
      </c>
      <c r="W121" s="23" t="s">
        <v>78</v>
      </c>
      <c r="X121" s="32" t="str">
        <f>IF(Tabela2[[#This Row],[sigla]]="","",VLOOKUP(Tabela2[[#This Row],[sigla]],Tabela14[[#All],[Sigla Arte]:[Crédito]],2,0))</f>
        <v>HELOÍSA PINTARELLI/ARQUIVO DA EDITORA</v>
      </c>
      <c r="Y121" s="24" t="s">
        <v>194</v>
      </c>
      <c r="Z121" s="24" t="str">
        <f>Tabela2[[#This Row],[ilustrador]]</f>
        <v>HELOÍSA PINTARELLI/ARQUIVO DA EDITORA</v>
      </c>
      <c r="AA121" s="23">
        <v>13</v>
      </c>
      <c r="AB121" s="21" t="s">
        <v>105</v>
      </c>
      <c r="AC121" s="21" t="s">
        <v>31</v>
      </c>
      <c r="AD121" s="4" t="str">
        <f t="shared" si="2"/>
        <v>Pitanguá</v>
      </c>
      <c r="AE121" s="14" t="str">
        <f t="shared" si="3"/>
        <v>Ciências</v>
      </c>
    </row>
    <row r="122" spans="1:31" s="14" customFormat="1" ht="45" customHeight="1" x14ac:dyDescent="0.3">
      <c r="A122" s="24" t="s">
        <v>289</v>
      </c>
      <c r="B122" s="21" t="s">
        <v>6</v>
      </c>
      <c r="C122" s="21" t="s">
        <v>7</v>
      </c>
      <c r="D122" s="21" t="s">
        <v>8</v>
      </c>
      <c r="E122" s="23">
        <v>40</v>
      </c>
      <c r="F122" s="23">
        <f>_xlfn.NUMBERVALUE(MID(TRIM(Tabela2[[#This Row],[retranca]]), FIND("_", TRIM(Tabela2[[#This Row],[retranca]])) + 1, 1), ",", ".")</f>
        <v>4</v>
      </c>
      <c r="G122" s="23">
        <v>1</v>
      </c>
      <c r="H122" s="23"/>
      <c r="I122" s="24" t="s">
        <v>28</v>
      </c>
      <c r="J122" s="24"/>
      <c r="K122" s="23"/>
      <c r="L122" s="23"/>
      <c r="M122" s="24"/>
      <c r="N122" s="24"/>
      <c r="O122" s="27" t="s">
        <v>290</v>
      </c>
      <c r="P122" s="27"/>
      <c r="Q122" s="23">
        <v>2</v>
      </c>
      <c r="R122" s="25">
        <v>45751</v>
      </c>
      <c r="S122" s="25">
        <v>45754</v>
      </c>
      <c r="T122" s="25"/>
      <c r="U122" s="25"/>
      <c r="V122" s="25">
        <v>45761</v>
      </c>
      <c r="W122" s="23" t="s">
        <v>78</v>
      </c>
      <c r="X122" s="32" t="str">
        <f>IF(Tabela2[[#This Row],[sigla]]="","",VLOOKUP(Tabela2[[#This Row],[sigla]],Tabela14[[#All],[Sigla Arte]:[Crédito]],2,0))</f>
        <v>HELOÍSA PINTARELLI/ARQUIVO DA EDITORA</v>
      </c>
      <c r="Y122" s="24" t="s">
        <v>194</v>
      </c>
      <c r="Z122" s="24" t="str">
        <f>Tabela2[[#This Row],[ilustrador]]</f>
        <v>HELOÍSA PINTARELLI/ARQUIVO DA EDITORA</v>
      </c>
      <c r="AA122" s="23">
        <v>13</v>
      </c>
      <c r="AB122" s="21" t="s">
        <v>105</v>
      </c>
      <c r="AC122" s="21" t="s">
        <v>31</v>
      </c>
      <c r="AD122" s="4" t="str">
        <f t="shared" si="2"/>
        <v>Pitanguá</v>
      </c>
      <c r="AE122" s="14" t="str">
        <f t="shared" si="3"/>
        <v>Ciências</v>
      </c>
    </row>
    <row r="123" spans="1:31" s="14" customFormat="1" ht="45" customHeight="1" x14ac:dyDescent="0.3">
      <c r="A123" s="24" t="s">
        <v>291</v>
      </c>
      <c r="B123" s="21" t="s">
        <v>6</v>
      </c>
      <c r="C123" s="21" t="s">
        <v>7</v>
      </c>
      <c r="D123" s="21" t="s">
        <v>8</v>
      </c>
      <c r="E123" s="23">
        <v>40</v>
      </c>
      <c r="F123" s="23">
        <f>_xlfn.NUMBERVALUE(MID(TRIM(Tabela2[[#This Row],[retranca]]), FIND("_", TRIM(Tabela2[[#This Row],[retranca]])) + 1, 1), ",", ".")</f>
        <v>4</v>
      </c>
      <c r="G123" s="23">
        <v>1</v>
      </c>
      <c r="H123" s="23"/>
      <c r="I123" s="24" t="s">
        <v>28</v>
      </c>
      <c r="J123" s="24"/>
      <c r="K123" s="23"/>
      <c r="L123" s="23"/>
      <c r="M123" s="24"/>
      <c r="N123" s="24"/>
      <c r="O123" s="27" t="s">
        <v>292</v>
      </c>
      <c r="P123" s="27"/>
      <c r="Q123" s="23">
        <v>2</v>
      </c>
      <c r="R123" s="25">
        <v>45751</v>
      </c>
      <c r="S123" s="25">
        <v>45754</v>
      </c>
      <c r="T123" s="25"/>
      <c r="U123" s="25"/>
      <c r="V123" s="25">
        <v>45761</v>
      </c>
      <c r="W123" s="23" t="s">
        <v>78</v>
      </c>
      <c r="X123" s="32" t="str">
        <f>IF(Tabela2[[#This Row],[sigla]]="","",VLOOKUP(Tabela2[[#This Row],[sigla]],Tabela14[[#All],[Sigla Arte]:[Crédito]],2,0))</f>
        <v>HELOÍSA PINTARELLI/ARQUIVO DA EDITORA</v>
      </c>
      <c r="Y123" s="24" t="s">
        <v>194</v>
      </c>
      <c r="Z123" s="24" t="str">
        <f>Tabela2[[#This Row],[ilustrador]]</f>
        <v>HELOÍSA PINTARELLI/ARQUIVO DA EDITORA</v>
      </c>
      <c r="AA123" s="23">
        <v>13</v>
      </c>
      <c r="AB123" s="21" t="s">
        <v>105</v>
      </c>
      <c r="AC123" s="21" t="s">
        <v>31</v>
      </c>
      <c r="AD123" s="4" t="str">
        <f t="shared" si="2"/>
        <v>Pitanguá</v>
      </c>
      <c r="AE123" s="14" t="str">
        <f t="shared" si="3"/>
        <v>Ciências</v>
      </c>
    </row>
    <row r="124" spans="1:31" s="14" customFormat="1" ht="75" customHeight="1" x14ac:dyDescent="0.3">
      <c r="A124" s="24" t="s">
        <v>293</v>
      </c>
      <c r="B124" s="21" t="s">
        <v>231</v>
      </c>
      <c r="C124" s="21" t="s">
        <v>7</v>
      </c>
      <c r="D124" s="21" t="s">
        <v>8</v>
      </c>
      <c r="E124" s="23">
        <v>42</v>
      </c>
      <c r="F124" s="23">
        <f>_xlfn.NUMBERVALUE(MID(TRIM(Tabela2[[#This Row],[retranca]]), FIND("_", TRIM(Tabela2[[#This Row],[retranca]])) + 1, 1), ",", ".")</f>
        <v>4</v>
      </c>
      <c r="G124" s="23">
        <v>1</v>
      </c>
      <c r="H124" s="23"/>
      <c r="I124" s="24" t="s">
        <v>28</v>
      </c>
      <c r="J124" s="24"/>
      <c r="K124" s="23"/>
      <c r="L124" s="23"/>
      <c r="M124" s="24"/>
      <c r="N124" s="24"/>
      <c r="O124" s="27" t="s">
        <v>294</v>
      </c>
      <c r="P124" s="27"/>
      <c r="Q124" s="23">
        <v>2</v>
      </c>
      <c r="R124" s="25">
        <v>45751</v>
      </c>
      <c r="S124" s="25">
        <v>45876</v>
      </c>
      <c r="T124" s="25"/>
      <c r="U124" s="25"/>
      <c r="V124" s="25">
        <v>45877</v>
      </c>
      <c r="W124" s="23" t="s">
        <v>78</v>
      </c>
      <c r="X124" s="32" t="str">
        <f>IF(Tabela2[[#This Row],[sigla]]="","",VLOOKUP(Tabela2[[#This Row],[sigla]],Tabela14[[#All],[Sigla Arte]:[Crédito]],2,0))</f>
        <v>HELOÍSA PINTARELLI/ARQUIVO DA EDITORA</v>
      </c>
      <c r="Y124" s="24" t="s">
        <v>280</v>
      </c>
      <c r="Z124" s="24" t="str">
        <f>Tabela2[[#This Row],[ilustrador]]</f>
        <v>HELOÍSA PINTARELLI/ARQUIVO DA EDITORA</v>
      </c>
      <c r="AA124" s="23">
        <v>13</v>
      </c>
      <c r="AB124" s="21" t="s">
        <v>105</v>
      </c>
      <c r="AC124" s="21" t="s">
        <v>31</v>
      </c>
      <c r="AD124" s="4" t="str">
        <f t="shared" si="2"/>
        <v>Pitanguá</v>
      </c>
      <c r="AE124" s="14" t="str">
        <f t="shared" si="3"/>
        <v>Ciências</v>
      </c>
    </row>
    <row r="125" spans="1:31" s="14" customFormat="1" ht="45" customHeight="1" x14ac:dyDescent="0.3">
      <c r="A125" s="24" t="s">
        <v>295</v>
      </c>
      <c r="B125" s="21" t="s">
        <v>231</v>
      </c>
      <c r="C125" s="21" t="s">
        <v>7</v>
      </c>
      <c r="D125" s="21" t="s">
        <v>8</v>
      </c>
      <c r="E125" s="23">
        <v>43</v>
      </c>
      <c r="F125" s="23">
        <f>_xlfn.NUMBERVALUE(MID(TRIM(Tabela2[[#This Row],[retranca]]), FIND("_", TRIM(Tabela2[[#This Row],[retranca]])) + 1, 1), ",", ".")</f>
        <v>4</v>
      </c>
      <c r="G125" s="23">
        <v>1</v>
      </c>
      <c r="H125" s="23"/>
      <c r="I125" s="24" t="s">
        <v>15</v>
      </c>
      <c r="J125" s="24"/>
      <c r="K125" s="23"/>
      <c r="L125" s="23"/>
      <c r="M125" s="24"/>
      <c r="N125" s="24"/>
      <c r="O125" s="27" t="s">
        <v>296</v>
      </c>
      <c r="P125" s="27"/>
      <c r="Q125" s="23"/>
      <c r="R125" s="25"/>
      <c r="S125" s="25">
        <v>45876</v>
      </c>
      <c r="T125" s="25"/>
      <c r="U125" s="25"/>
      <c r="V125" s="25">
        <v>45877</v>
      </c>
      <c r="W125" s="23" t="s">
        <v>78</v>
      </c>
      <c r="X125" s="32" t="str">
        <f>IF(Tabela2[[#This Row],[sigla]]="","",VLOOKUP(Tabela2[[#This Row],[sigla]],Tabela14[[#All],[Sigla Arte]:[Crédito]],2,0))</f>
        <v>HELOÍSA PINTARELLI/ARQUIVO DA EDITORA</v>
      </c>
      <c r="Y125" s="24" t="s">
        <v>280</v>
      </c>
      <c r="Z125" s="24" t="str">
        <f>Tabela2[[#This Row],[ilustrador]]</f>
        <v>HELOÍSA PINTARELLI/ARQUIVO DA EDITORA</v>
      </c>
      <c r="AA125" s="23">
        <v>13</v>
      </c>
      <c r="AB125" s="21" t="s">
        <v>105</v>
      </c>
      <c r="AC125" s="21" t="s">
        <v>31</v>
      </c>
      <c r="AD125" s="4" t="str">
        <f t="shared" si="2"/>
        <v>Pitanguá</v>
      </c>
      <c r="AE125" s="14" t="str">
        <f t="shared" si="3"/>
        <v>Ciências</v>
      </c>
    </row>
    <row r="126" spans="1:31" s="14" customFormat="1" ht="45" customHeight="1" x14ac:dyDescent="0.3">
      <c r="A126" s="24" t="s">
        <v>297</v>
      </c>
      <c r="B126" s="21" t="s">
        <v>6</v>
      </c>
      <c r="C126" s="21" t="s">
        <v>7</v>
      </c>
      <c r="D126" s="21" t="s">
        <v>8</v>
      </c>
      <c r="E126" s="23">
        <v>44</v>
      </c>
      <c r="F126" s="23">
        <f>_xlfn.NUMBERVALUE(MID(TRIM(Tabela2[[#This Row],[retranca]]), FIND("_", TRIM(Tabela2[[#This Row],[retranca]])) + 1, 1), ",", ".")</f>
        <v>4</v>
      </c>
      <c r="G126" s="23">
        <v>1</v>
      </c>
      <c r="H126" s="23"/>
      <c r="I126" s="24" t="s">
        <v>15</v>
      </c>
      <c r="J126" s="24"/>
      <c r="K126" s="23"/>
      <c r="L126" s="23"/>
      <c r="M126" s="24"/>
      <c r="N126" s="24"/>
      <c r="O126" s="27" t="s">
        <v>298</v>
      </c>
      <c r="P126" s="27"/>
      <c r="Q126" s="23"/>
      <c r="R126" s="25"/>
      <c r="S126" s="25"/>
      <c r="T126" s="25"/>
      <c r="U126" s="25"/>
      <c r="V126" s="25"/>
      <c r="W126" s="23" t="s">
        <v>17</v>
      </c>
      <c r="X126" s="32" t="str">
        <f>IF(Tabela2[[#This Row],[sigla]]="","",VLOOKUP(Tabela2[[#This Row],[sigla]],Tabela14[[#All],[Sigla Arte]:[Crédito]],2,0))</f>
        <v>MÁRCIO GUERRA/ARQUIVO DA EDITORA</v>
      </c>
      <c r="Y126" s="24"/>
      <c r="Z126" s="24" t="str">
        <f>Tabela2[[#This Row],[ilustrador]]</f>
        <v>MÁRCIO GUERRA/ARQUIVO DA EDITORA</v>
      </c>
      <c r="AA126" s="23"/>
      <c r="AB126" s="21"/>
      <c r="AC126" s="21"/>
      <c r="AD126" s="4" t="str">
        <f t="shared" si="2"/>
        <v>Pitanguá</v>
      </c>
      <c r="AE126" s="14" t="str">
        <f t="shared" si="3"/>
        <v>Ciências</v>
      </c>
    </row>
    <row r="127" spans="1:31" s="14" customFormat="1" ht="45" customHeight="1" x14ac:dyDescent="0.3">
      <c r="A127" s="24" t="s">
        <v>299</v>
      </c>
      <c r="B127" s="21" t="s">
        <v>6</v>
      </c>
      <c r="C127" s="21" t="s">
        <v>7</v>
      </c>
      <c r="D127" s="21" t="s">
        <v>8</v>
      </c>
      <c r="E127" s="23">
        <v>58</v>
      </c>
      <c r="F127" s="23">
        <f>_xlfn.NUMBERVALUE(MID(TRIM(Tabela2[[#This Row],[retranca]]), FIND("_", TRIM(Tabela2[[#This Row],[retranca]])) + 1, 1), ",", ".")</f>
        <v>4</v>
      </c>
      <c r="G127" s="23">
        <v>2</v>
      </c>
      <c r="H127" s="23"/>
      <c r="I127" s="24" t="s">
        <v>15</v>
      </c>
      <c r="J127" s="24"/>
      <c r="K127" s="23"/>
      <c r="L127" s="23"/>
      <c r="M127" s="24"/>
      <c r="N127" s="24"/>
      <c r="O127" s="27" t="s">
        <v>300</v>
      </c>
      <c r="P127" s="27"/>
      <c r="Q127" s="23"/>
      <c r="R127" s="25"/>
      <c r="S127" s="25"/>
      <c r="T127" s="25"/>
      <c r="U127" s="25"/>
      <c r="V127" s="25"/>
      <c r="W127" s="23" t="s">
        <v>26</v>
      </c>
      <c r="X127" s="32" t="str">
        <f>IF(Tabela2[[#This Row],[sigla]]="","",VLOOKUP(Tabela2[[#This Row],[sigla]],Tabela14[[#All],[Sigla Arte]:[Crédito]],2,0))</f>
        <v>SAULO NUNES/ARQUIVO DA EDITORA</v>
      </c>
      <c r="Y127" s="24"/>
      <c r="Z127" s="24" t="str">
        <f>Tabela2[[#This Row],[ilustrador]]</f>
        <v>SAULO NUNES/ARQUIVO DA EDITORA</v>
      </c>
      <c r="AA127" s="23"/>
      <c r="AB127" s="21"/>
      <c r="AC127" s="21"/>
      <c r="AD127" s="4" t="str">
        <f t="shared" si="2"/>
        <v>Pitanguá</v>
      </c>
      <c r="AE127" s="14" t="str">
        <f t="shared" si="3"/>
        <v>Ciências</v>
      </c>
    </row>
    <row r="128" spans="1:31" s="14" customFormat="1" ht="45" customHeight="1" x14ac:dyDescent="0.3">
      <c r="A128" s="24" t="s">
        <v>301</v>
      </c>
      <c r="B128" s="21" t="s">
        <v>6</v>
      </c>
      <c r="C128" s="21" t="s">
        <v>7</v>
      </c>
      <c r="D128" s="21" t="s">
        <v>8</v>
      </c>
      <c r="E128" s="23">
        <v>10</v>
      </c>
      <c r="F128" s="23">
        <f>_xlfn.NUMBERVALUE(MID(TRIM(Tabela2[[#This Row],[retranca]]), FIND("_", TRIM(Tabela2[[#This Row],[retranca]])) + 1, 1), ",", ".")</f>
        <v>4</v>
      </c>
      <c r="G128" s="23" t="s">
        <v>302</v>
      </c>
      <c r="H128" s="23" t="s">
        <v>302</v>
      </c>
      <c r="I128" s="24" t="s">
        <v>15</v>
      </c>
      <c r="J128" s="24"/>
      <c r="K128" s="23"/>
      <c r="L128" s="23"/>
      <c r="M128" s="24"/>
      <c r="N128" s="24"/>
      <c r="O128" s="27" t="s">
        <v>303</v>
      </c>
      <c r="P128" s="27"/>
      <c r="Q128" s="23"/>
      <c r="R128" s="25"/>
      <c r="S128" s="25"/>
      <c r="T128" s="25"/>
      <c r="U128" s="25"/>
      <c r="V128" s="25"/>
      <c r="W128" s="23" t="s">
        <v>26</v>
      </c>
      <c r="X128" s="32" t="str">
        <f>IF(Tabela2[[#This Row],[sigla]]="","",VLOOKUP(Tabela2[[#This Row],[sigla]],Tabela14[[#All],[Sigla Arte]:[Crédito]],2,0))</f>
        <v>SAULO NUNES/ARQUIVO DA EDITORA</v>
      </c>
      <c r="Y128" s="24"/>
      <c r="Z128" s="24" t="str">
        <f>Tabela2[[#This Row],[ilustrador]]</f>
        <v>SAULO NUNES/ARQUIVO DA EDITORA</v>
      </c>
      <c r="AA128" s="23"/>
      <c r="AB128" s="21"/>
      <c r="AC128" s="21"/>
      <c r="AD128" s="4" t="str">
        <f t="shared" si="2"/>
        <v>Pitanguá</v>
      </c>
      <c r="AE128" s="14" t="str">
        <f t="shared" si="3"/>
        <v>Ciências</v>
      </c>
    </row>
    <row r="129" spans="1:31" s="14" customFormat="1" ht="45" customHeight="1" x14ac:dyDescent="0.3">
      <c r="A129" s="24" t="s">
        <v>304</v>
      </c>
      <c r="B129" s="21" t="s">
        <v>6</v>
      </c>
      <c r="C129" s="21" t="s">
        <v>7</v>
      </c>
      <c r="D129" s="21" t="s">
        <v>8</v>
      </c>
      <c r="E129" s="23">
        <v>10</v>
      </c>
      <c r="F129" s="23">
        <f>_xlfn.NUMBERVALUE(MID(TRIM(Tabela2[[#This Row],[retranca]]), FIND("_", TRIM(Tabela2[[#This Row],[retranca]])) + 1, 1), ",", ".")</f>
        <v>4</v>
      </c>
      <c r="G129" s="23" t="s">
        <v>302</v>
      </c>
      <c r="H129" s="23" t="s">
        <v>302</v>
      </c>
      <c r="I129" s="24" t="s">
        <v>15</v>
      </c>
      <c r="J129" s="24"/>
      <c r="K129" s="23"/>
      <c r="L129" s="23"/>
      <c r="M129" s="24"/>
      <c r="N129" s="24"/>
      <c r="O129" s="27" t="s">
        <v>305</v>
      </c>
      <c r="P129" s="27"/>
      <c r="Q129" s="23"/>
      <c r="R129" s="25"/>
      <c r="S129" s="25"/>
      <c r="T129" s="25"/>
      <c r="U129" s="25"/>
      <c r="V129" s="25"/>
      <c r="W129" s="23" t="s">
        <v>26</v>
      </c>
      <c r="X129" s="32" t="str">
        <f>IF(Tabela2[[#This Row],[sigla]]="","",VLOOKUP(Tabela2[[#This Row],[sigla]],Tabela14[[#All],[Sigla Arte]:[Crédito]],2,0))</f>
        <v>SAULO NUNES/ARQUIVO DA EDITORA</v>
      </c>
      <c r="Y129" s="24"/>
      <c r="Z129" s="24" t="str">
        <f>Tabela2[[#This Row],[ilustrador]]</f>
        <v>SAULO NUNES/ARQUIVO DA EDITORA</v>
      </c>
      <c r="AA129" s="23"/>
      <c r="AB129" s="21"/>
      <c r="AC129" s="21"/>
      <c r="AD129" s="4" t="str">
        <f t="shared" si="2"/>
        <v>Pitanguá</v>
      </c>
      <c r="AE129" s="14" t="str">
        <f t="shared" si="3"/>
        <v>Ciências</v>
      </c>
    </row>
    <row r="130" spans="1:31" s="14" customFormat="1" ht="45" customHeight="1" x14ac:dyDescent="0.3">
      <c r="A130" s="24" t="s">
        <v>306</v>
      </c>
      <c r="B130" s="21" t="s">
        <v>6</v>
      </c>
      <c r="C130" s="21" t="s">
        <v>7</v>
      </c>
      <c r="D130" s="21" t="s">
        <v>8</v>
      </c>
      <c r="E130" s="23">
        <v>11</v>
      </c>
      <c r="F130" s="23">
        <f>_xlfn.NUMBERVALUE(MID(TRIM(Tabela2[[#This Row],[retranca]]), FIND("_", TRIM(Tabela2[[#This Row],[retranca]])) + 1, 1), ",", ".")</f>
        <v>4</v>
      </c>
      <c r="G130" s="23" t="s">
        <v>302</v>
      </c>
      <c r="H130" s="23" t="s">
        <v>302</v>
      </c>
      <c r="I130" s="24" t="s">
        <v>15</v>
      </c>
      <c r="J130" s="24"/>
      <c r="K130" s="23"/>
      <c r="L130" s="23"/>
      <c r="M130" s="24"/>
      <c r="N130" s="24"/>
      <c r="O130" s="27" t="s">
        <v>307</v>
      </c>
      <c r="P130" s="27"/>
      <c r="Q130" s="23"/>
      <c r="R130" s="25"/>
      <c r="S130" s="25"/>
      <c r="T130" s="25"/>
      <c r="U130" s="25"/>
      <c r="V130" s="25"/>
      <c r="W130" s="23" t="s">
        <v>26</v>
      </c>
      <c r="X130" s="32" t="str">
        <f>IF(Tabela2[[#This Row],[sigla]]="","",VLOOKUP(Tabela2[[#This Row],[sigla]],Tabela14[[#All],[Sigla Arte]:[Crédito]],2,0))</f>
        <v>SAULO NUNES/ARQUIVO DA EDITORA</v>
      </c>
      <c r="Y130" s="24"/>
      <c r="Z130" s="24" t="str">
        <f>Tabela2[[#This Row],[ilustrador]]</f>
        <v>SAULO NUNES/ARQUIVO DA EDITORA</v>
      </c>
      <c r="AA130" s="23"/>
      <c r="AB130" s="21"/>
      <c r="AC130" s="21"/>
      <c r="AD130" s="4" t="str">
        <f t="shared" ref="AD130:AD193" si="4">"Pitanguá"</f>
        <v>Pitanguá</v>
      </c>
      <c r="AE130" s="14" t="str">
        <f t="shared" ref="AE130:AE193" si="5">"Ciências"</f>
        <v>Ciências</v>
      </c>
    </row>
    <row r="131" spans="1:31" s="14" customFormat="1" ht="45" customHeight="1" x14ac:dyDescent="0.3">
      <c r="A131" s="24" t="s">
        <v>308</v>
      </c>
      <c r="B131" s="21" t="s">
        <v>6</v>
      </c>
      <c r="C131" s="21" t="s">
        <v>7</v>
      </c>
      <c r="D131" s="21" t="s">
        <v>8</v>
      </c>
      <c r="E131" s="23">
        <v>11</v>
      </c>
      <c r="F131" s="23">
        <f>_xlfn.NUMBERVALUE(MID(TRIM(Tabela2[[#This Row],[retranca]]), FIND("_", TRIM(Tabela2[[#This Row],[retranca]])) + 1, 1), ",", ".")</f>
        <v>4</v>
      </c>
      <c r="G131" s="23" t="s">
        <v>302</v>
      </c>
      <c r="H131" s="23" t="s">
        <v>302</v>
      </c>
      <c r="I131" s="24" t="s">
        <v>15</v>
      </c>
      <c r="J131" s="24"/>
      <c r="K131" s="23"/>
      <c r="L131" s="23"/>
      <c r="M131" s="24"/>
      <c r="N131" s="24"/>
      <c r="O131" s="27" t="s">
        <v>309</v>
      </c>
      <c r="P131" s="27"/>
      <c r="Q131" s="23"/>
      <c r="R131" s="25"/>
      <c r="S131" s="25"/>
      <c r="T131" s="25"/>
      <c r="U131" s="25"/>
      <c r="V131" s="25"/>
      <c r="W131" s="23" t="s">
        <v>26</v>
      </c>
      <c r="X131" s="32" t="str">
        <f>IF(Tabela2[[#This Row],[sigla]]="","",VLOOKUP(Tabela2[[#This Row],[sigla]],Tabela14[[#All],[Sigla Arte]:[Crédito]],2,0))</f>
        <v>SAULO NUNES/ARQUIVO DA EDITORA</v>
      </c>
      <c r="Y131" s="24"/>
      <c r="Z131" s="24" t="str">
        <f>Tabela2[[#This Row],[ilustrador]]</f>
        <v>SAULO NUNES/ARQUIVO DA EDITORA</v>
      </c>
      <c r="AA131" s="23"/>
      <c r="AB131" s="21"/>
      <c r="AC131" s="21"/>
      <c r="AD131" s="4" t="str">
        <f t="shared" si="4"/>
        <v>Pitanguá</v>
      </c>
      <c r="AE131" s="14" t="str">
        <f t="shared" si="5"/>
        <v>Ciências</v>
      </c>
    </row>
    <row r="132" spans="1:31" s="14" customFormat="1" ht="30" customHeight="1" x14ac:dyDescent="0.3">
      <c r="A132" s="24" t="s">
        <v>310</v>
      </c>
      <c r="B132" s="21" t="s">
        <v>6</v>
      </c>
      <c r="C132" s="21" t="s">
        <v>7</v>
      </c>
      <c r="D132" s="21" t="s">
        <v>8</v>
      </c>
      <c r="E132" s="23">
        <v>54</v>
      </c>
      <c r="F132" s="23">
        <f>_xlfn.NUMBERVALUE(MID(TRIM(Tabela2[[#This Row],[retranca]]), FIND("_", TRIM(Tabela2[[#This Row],[retranca]])) + 1, 1), ",", ".")</f>
        <v>4</v>
      </c>
      <c r="G132" s="23">
        <v>2</v>
      </c>
      <c r="H132" s="23"/>
      <c r="I132" s="24" t="s">
        <v>15</v>
      </c>
      <c r="J132" s="24"/>
      <c r="K132" s="23"/>
      <c r="L132" s="23"/>
      <c r="M132" s="24"/>
      <c r="N132" s="24"/>
      <c r="O132" s="27" t="s">
        <v>311</v>
      </c>
      <c r="P132" s="27"/>
      <c r="Q132" s="23"/>
      <c r="R132" s="25"/>
      <c r="S132" s="25"/>
      <c r="T132" s="25"/>
      <c r="U132" s="25"/>
      <c r="V132" s="25"/>
      <c r="W132" s="23" t="s">
        <v>89</v>
      </c>
      <c r="X132" s="32" t="str">
        <f>IF(Tabela2[[#This Row],[sigla]]="","",VLOOKUP(Tabela2[[#This Row],[sigla]],Tabela14[[#All],[Sigla Arte]:[Crédito]],2,0))</f>
        <v>LISLLEY GOMES FEIGE/ARQUIVO DA EDITORA</v>
      </c>
      <c r="Y132" s="24"/>
      <c r="Z132" s="24" t="str">
        <f>Tabela2[[#This Row],[ilustrador]]</f>
        <v>LISLLEY GOMES FEIGE/ARQUIVO DA EDITORA</v>
      </c>
      <c r="AA132" s="23"/>
      <c r="AB132" s="21"/>
      <c r="AC132" s="21"/>
      <c r="AD132" s="4" t="str">
        <f t="shared" si="4"/>
        <v>Pitanguá</v>
      </c>
      <c r="AE132" s="14" t="str">
        <f t="shared" si="5"/>
        <v>Ciências</v>
      </c>
    </row>
    <row r="133" spans="1:31" s="14" customFormat="1" ht="135" customHeight="1" x14ac:dyDescent="0.3">
      <c r="A133" s="24" t="s">
        <v>312</v>
      </c>
      <c r="B133" s="21" t="s">
        <v>6</v>
      </c>
      <c r="C133" s="21" t="s">
        <v>7</v>
      </c>
      <c r="D133" s="21" t="s">
        <v>8</v>
      </c>
      <c r="E133" s="23">
        <v>91</v>
      </c>
      <c r="F133" s="23">
        <f>_xlfn.NUMBERVALUE(MID(TRIM(Tabela2[[#This Row],[retranca]]), FIND("_", TRIM(Tabela2[[#This Row],[retranca]])) + 1, 1), ",", ".")</f>
        <v>4</v>
      </c>
      <c r="G133" s="23">
        <v>3</v>
      </c>
      <c r="H133" s="23"/>
      <c r="I133" s="24" t="s">
        <v>28</v>
      </c>
      <c r="J133" s="24"/>
      <c r="K133" s="23"/>
      <c r="L133" s="23"/>
      <c r="M133" s="24"/>
      <c r="N133" s="24"/>
      <c r="O133" s="27" t="s">
        <v>313</v>
      </c>
      <c r="P133" s="27"/>
      <c r="Q133" s="23">
        <v>4</v>
      </c>
      <c r="R133" s="25">
        <v>45754</v>
      </c>
      <c r="S133" s="25">
        <v>45754</v>
      </c>
      <c r="T133" s="25"/>
      <c r="U133" s="25"/>
      <c r="V133" s="25">
        <v>45754</v>
      </c>
      <c r="W133" s="23" t="s">
        <v>36</v>
      </c>
      <c r="X133" s="32" t="str">
        <f>IF(Tabela2[[#This Row],[sigla]]="","",VLOOKUP(Tabela2[[#This Row],[sigla]],Tabela14[[#All],[Sigla Arte]:[Crédito]],2,0))</f>
        <v>WERLLEN HOLANDA/ARQUIVO DA EDITORA</v>
      </c>
      <c r="Y133" s="24" t="s">
        <v>314</v>
      </c>
      <c r="Z133" s="24" t="str">
        <f>Tabela2[[#This Row],[ilustrador]]</f>
        <v>WERLLEN HOLANDA/ARQUIVO DA EDITORA</v>
      </c>
      <c r="AA133" s="23">
        <v>14</v>
      </c>
      <c r="AB133" s="21" t="s">
        <v>315</v>
      </c>
      <c r="AC133" s="21" t="s">
        <v>31</v>
      </c>
      <c r="AD133" s="4" t="str">
        <f t="shared" si="4"/>
        <v>Pitanguá</v>
      </c>
      <c r="AE133" s="14" t="str">
        <f t="shared" si="5"/>
        <v>Ciências</v>
      </c>
    </row>
    <row r="134" spans="1:31" s="14" customFormat="1" ht="105" customHeight="1" x14ac:dyDescent="0.3">
      <c r="A134" s="24" t="s">
        <v>316</v>
      </c>
      <c r="B134" s="21" t="s">
        <v>6</v>
      </c>
      <c r="C134" s="21" t="s">
        <v>7</v>
      </c>
      <c r="D134" s="21" t="s">
        <v>8</v>
      </c>
      <c r="E134" s="23">
        <v>92</v>
      </c>
      <c r="F134" s="23">
        <f>_xlfn.NUMBERVALUE(MID(TRIM(Tabela2[[#This Row],[retranca]]), FIND("_", TRIM(Tabela2[[#This Row],[retranca]])) + 1, 1), ",", ".")</f>
        <v>4</v>
      </c>
      <c r="G134" s="23">
        <v>3</v>
      </c>
      <c r="H134" s="23"/>
      <c r="I134" s="24" t="s">
        <v>28</v>
      </c>
      <c r="J134" s="24"/>
      <c r="K134" s="23"/>
      <c r="L134" s="23"/>
      <c r="M134" s="24"/>
      <c r="N134" s="24"/>
      <c r="O134" s="27" t="s">
        <v>317</v>
      </c>
      <c r="P134" s="27"/>
      <c r="Q134" s="23">
        <v>4</v>
      </c>
      <c r="R134" s="25">
        <v>45754</v>
      </c>
      <c r="S134" s="25">
        <v>45754</v>
      </c>
      <c r="T134" s="25"/>
      <c r="U134" s="25"/>
      <c r="V134" s="25">
        <v>45754</v>
      </c>
      <c r="W134" s="23" t="s">
        <v>36</v>
      </c>
      <c r="X134" s="32" t="str">
        <f>IF(Tabela2[[#This Row],[sigla]]="","",VLOOKUP(Tabela2[[#This Row],[sigla]],Tabela14[[#All],[Sigla Arte]:[Crédito]],2,0))</f>
        <v>WERLLEN HOLANDA/ARQUIVO DA EDITORA</v>
      </c>
      <c r="Y134" s="24" t="s">
        <v>314</v>
      </c>
      <c r="Z134" s="24" t="str">
        <f>Tabela2[[#This Row],[ilustrador]]</f>
        <v>WERLLEN HOLANDA/ARQUIVO DA EDITORA</v>
      </c>
      <c r="AA134" s="23">
        <v>14</v>
      </c>
      <c r="AB134" s="21" t="s">
        <v>315</v>
      </c>
      <c r="AC134" s="21" t="s">
        <v>31</v>
      </c>
      <c r="AD134" s="4" t="str">
        <f t="shared" si="4"/>
        <v>Pitanguá</v>
      </c>
      <c r="AE134" s="14" t="str">
        <f t="shared" si="5"/>
        <v>Ciências</v>
      </c>
    </row>
    <row r="135" spans="1:31" s="14" customFormat="1" ht="30" customHeight="1" x14ac:dyDescent="0.3">
      <c r="A135" s="24" t="s">
        <v>318</v>
      </c>
      <c r="B135" s="21" t="s">
        <v>6</v>
      </c>
      <c r="C135" s="21" t="s">
        <v>7</v>
      </c>
      <c r="D135" s="21" t="s">
        <v>8</v>
      </c>
      <c r="E135" s="23">
        <v>92</v>
      </c>
      <c r="F135" s="23">
        <f>_xlfn.NUMBERVALUE(MID(TRIM(Tabela2[[#This Row],[retranca]]), FIND("_", TRIM(Tabela2[[#This Row],[retranca]])) + 1, 1), ",", ".")</f>
        <v>4</v>
      </c>
      <c r="G135" s="23">
        <v>3</v>
      </c>
      <c r="H135" s="23"/>
      <c r="I135" s="24" t="s">
        <v>28</v>
      </c>
      <c r="J135" s="24"/>
      <c r="K135" s="23"/>
      <c r="L135" s="23"/>
      <c r="M135" s="24"/>
      <c r="N135" s="24"/>
      <c r="O135" s="27" t="s">
        <v>319</v>
      </c>
      <c r="P135" s="27"/>
      <c r="Q135" s="23">
        <v>4</v>
      </c>
      <c r="R135" s="25">
        <v>45754</v>
      </c>
      <c r="S135" s="25">
        <v>45754</v>
      </c>
      <c r="T135" s="25"/>
      <c r="U135" s="25"/>
      <c r="V135" s="25">
        <v>45754</v>
      </c>
      <c r="W135" s="23" t="s">
        <v>36</v>
      </c>
      <c r="X135" s="32" t="str">
        <f>IF(Tabela2[[#This Row],[sigla]]="","",VLOOKUP(Tabela2[[#This Row],[sigla]],Tabela14[[#All],[Sigla Arte]:[Crédito]],2,0))</f>
        <v>WERLLEN HOLANDA/ARQUIVO DA EDITORA</v>
      </c>
      <c r="Y135" s="24" t="s">
        <v>314</v>
      </c>
      <c r="Z135" s="24" t="str">
        <f>Tabela2[[#This Row],[ilustrador]]</f>
        <v>WERLLEN HOLANDA/ARQUIVO DA EDITORA</v>
      </c>
      <c r="AA135" s="23">
        <v>14</v>
      </c>
      <c r="AB135" s="21" t="s">
        <v>315</v>
      </c>
      <c r="AC135" s="21" t="s">
        <v>31</v>
      </c>
      <c r="AD135" s="4" t="str">
        <f t="shared" si="4"/>
        <v>Pitanguá</v>
      </c>
      <c r="AE135" s="14" t="str">
        <f t="shared" si="5"/>
        <v>Ciências</v>
      </c>
    </row>
    <row r="136" spans="1:31" s="14" customFormat="1" ht="60" customHeight="1" x14ac:dyDescent="0.3">
      <c r="A136" s="24" t="s">
        <v>320</v>
      </c>
      <c r="B136" s="21" t="s">
        <v>6</v>
      </c>
      <c r="C136" s="21" t="s">
        <v>7</v>
      </c>
      <c r="D136" s="21" t="s">
        <v>8</v>
      </c>
      <c r="E136" s="23">
        <v>92</v>
      </c>
      <c r="F136" s="23">
        <f>_xlfn.NUMBERVALUE(MID(TRIM(Tabela2[[#This Row],[retranca]]), FIND("_", TRIM(Tabela2[[#This Row],[retranca]])) + 1, 1), ",", ".")</f>
        <v>4</v>
      </c>
      <c r="G136" s="23">
        <v>3</v>
      </c>
      <c r="H136" s="23"/>
      <c r="I136" s="24" t="s">
        <v>28</v>
      </c>
      <c r="J136" s="24"/>
      <c r="K136" s="23"/>
      <c r="L136" s="23"/>
      <c r="M136" s="24"/>
      <c r="N136" s="24"/>
      <c r="O136" s="27" t="s">
        <v>321</v>
      </c>
      <c r="P136" s="27"/>
      <c r="Q136" s="23">
        <v>4</v>
      </c>
      <c r="R136" s="25">
        <v>45754</v>
      </c>
      <c r="S136" s="25">
        <v>45754</v>
      </c>
      <c r="T136" s="25"/>
      <c r="U136" s="25"/>
      <c r="V136" s="25">
        <v>45754</v>
      </c>
      <c r="W136" s="23" t="s">
        <v>36</v>
      </c>
      <c r="X136" s="32" t="str">
        <f>IF(Tabela2[[#This Row],[sigla]]="","",VLOOKUP(Tabela2[[#This Row],[sigla]],Tabela14[[#All],[Sigla Arte]:[Crédito]],2,0))</f>
        <v>WERLLEN HOLANDA/ARQUIVO DA EDITORA</v>
      </c>
      <c r="Y136" s="24" t="s">
        <v>314</v>
      </c>
      <c r="Z136" s="24" t="str">
        <f>Tabela2[[#This Row],[ilustrador]]</f>
        <v>WERLLEN HOLANDA/ARQUIVO DA EDITORA</v>
      </c>
      <c r="AA136" s="23">
        <v>14</v>
      </c>
      <c r="AB136" s="21" t="s">
        <v>315</v>
      </c>
      <c r="AC136" s="21" t="s">
        <v>31</v>
      </c>
      <c r="AD136" s="4" t="str">
        <f t="shared" si="4"/>
        <v>Pitanguá</v>
      </c>
      <c r="AE136" s="14" t="str">
        <f t="shared" si="5"/>
        <v>Ciências</v>
      </c>
    </row>
    <row r="137" spans="1:31" s="14" customFormat="1" ht="45" customHeight="1" x14ac:dyDescent="0.3">
      <c r="A137" s="24" t="s">
        <v>322</v>
      </c>
      <c r="B137" s="21" t="s">
        <v>6</v>
      </c>
      <c r="C137" s="21" t="s">
        <v>7</v>
      </c>
      <c r="D137" s="21" t="s">
        <v>8</v>
      </c>
      <c r="E137" s="23">
        <v>92</v>
      </c>
      <c r="F137" s="23">
        <f>_xlfn.NUMBERVALUE(MID(TRIM(Tabela2[[#This Row],[retranca]]), FIND("_", TRIM(Tabela2[[#This Row],[retranca]])) + 1, 1), ",", ".")</f>
        <v>4</v>
      </c>
      <c r="G137" s="23">
        <v>3</v>
      </c>
      <c r="H137" s="23"/>
      <c r="I137" s="24" t="s">
        <v>15</v>
      </c>
      <c r="J137" s="24"/>
      <c r="K137" s="23"/>
      <c r="L137" s="23"/>
      <c r="M137" s="24"/>
      <c r="N137" s="24"/>
      <c r="O137" s="27" t="s">
        <v>323</v>
      </c>
      <c r="P137" s="27"/>
      <c r="Q137" s="23"/>
      <c r="R137" s="25"/>
      <c r="S137" s="25">
        <v>45754</v>
      </c>
      <c r="T137" s="25"/>
      <c r="U137" s="25"/>
      <c r="V137" s="25">
        <v>45754</v>
      </c>
      <c r="W137" s="23" t="s">
        <v>36</v>
      </c>
      <c r="X137" s="32" t="str">
        <f>IF(Tabela2[[#This Row],[sigla]]="","",VLOOKUP(Tabela2[[#This Row],[sigla]],Tabela14[[#All],[Sigla Arte]:[Crédito]],2,0))</f>
        <v>WERLLEN HOLANDA/ARQUIVO DA EDITORA</v>
      </c>
      <c r="Y137" s="24" t="s">
        <v>314</v>
      </c>
      <c r="Z137" s="24" t="str">
        <f>Tabela2[[#This Row],[ilustrador]]</f>
        <v>WERLLEN HOLANDA/ARQUIVO DA EDITORA</v>
      </c>
      <c r="AA137" s="23">
        <v>14</v>
      </c>
      <c r="AB137" s="21" t="s">
        <v>315</v>
      </c>
      <c r="AC137" s="21"/>
      <c r="AD137" s="4" t="str">
        <f t="shared" si="4"/>
        <v>Pitanguá</v>
      </c>
      <c r="AE137" s="14" t="str">
        <f t="shared" si="5"/>
        <v>Ciências</v>
      </c>
    </row>
    <row r="138" spans="1:31" s="14" customFormat="1" ht="90" customHeight="1" x14ac:dyDescent="0.3">
      <c r="A138" s="24" t="s">
        <v>324</v>
      </c>
      <c r="B138" s="21" t="s">
        <v>6</v>
      </c>
      <c r="C138" s="21" t="s">
        <v>7</v>
      </c>
      <c r="D138" s="21" t="s">
        <v>8</v>
      </c>
      <c r="E138" s="23">
        <v>93</v>
      </c>
      <c r="F138" s="23">
        <f>_xlfn.NUMBERVALUE(MID(TRIM(Tabela2[[#This Row],[retranca]]), FIND("_", TRIM(Tabela2[[#This Row],[retranca]])) + 1, 1), ",", ".")</f>
        <v>4</v>
      </c>
      <c r="G138" s="23">
        <v>3</v>
      </c>
      <c r="H138" s="23"/>
      <c r="I138" s="24" t="s">
        <v>28</v>
      </c>
      <c r="J138" s="24"/>
      <c r="K138" s="23"/>
      <c r="L138" s="23"/>
      <c r="M138" s="24"/>
      <c r="N138" s="24"/>
      <c r="O138" s="27" t="s">
        <v>325</v>
      </c>
      <c r="P138" s="27"/>
      <c r="Q138" s="23">
        <v>4</v>
      </c>
      <c r="R138" s="25">
        <v>45754</v>
      </c>
      <c r="S138" s="25">
        <v>45754</v>
      </c>
      <c r="T138" s="25"/>
      <c r="U138" s="25"/>
      <c r="V138" s="25">
        <v>45754</v>
      </c>
      <c r="W138" s="23" t="s">
        <v>89</v>
      </c>
      <c r="X138" s="32" t="str">
        <f>IF(Tabela2[[#This Row],[sigla]]="","",VLOOKUP(Tabela2[[#This Row],[sigla]],Tabela14[[#All],[Sigla Arte]:[Crédito]],2,0))</f>
        <v>LISLLEY GOMES FEIGE/ARQUIVO DA EDITORA</v>
      </c>
      <c r="Y138" s="24" t="s">
        <v>314</v>
      </c>
      <c r="Z138" s="24" t="str">
        <f>Tabela2[[#This Row],[ilustrador]]</f>
        <v>LISLLEY GOMES FEIGE/ARQUIVO DA EDITORA</v>
      </c>
      <c r="AA138" s="23">
        <v>14</v>
      </c>
      <c r="AB138" s="21" t="s">
        <v>315</v>
      </c>
      <c r="AC138" s="21" t="s">
        <v>31</v>
      </c>
      <c r="AD138" s="4" t="str">
        <f t="shared" si="4"/>
        <v>Pitanguá</v>
      </c>
      <c r="AE138" s="14" t="str">
        <f t="shared" si="5"/>
        <v>Ciências</v>
      </c>
    </row>
    <row r="139" spans="1:31" s="14" customFormat="1" ht="45" customHeight="1" x14ac:dyDescent="0.3">
      <c r="A139" s="24" t="s">
        <v>326</v>
      </c>
      <c r="B139" s="21" t="s">
        <v>63</v>
      </c>
      <c r="C139" s="21" t="s">
        <v>7</v>
      </c>
      <c r="D139" s="21" t="s">
        <v>8</v>
      </c>
      <c r="E139" s="23">
        <v>103</v>
      </c>
      <c r="F139" s="23">
        <f>_xlfn.NUMBERVALUE(MID(TRIM(Tabela2[[#This Row],[retranca]]), FIND("_", TRIM(Tabela2[[#This Row],[retranca]])) + 1, 1), ",", ".")</f>
        <v>4</v>
      </c>
      <c r="G139" s="23">
        <v>3</v>
      </c>
      <c r="H139" s="23"/>
      <c r="I139" s="24" t="s">
        <v>15</v>
      </c>
      <c r="J139" s="24"/>
      <c r="K139" s="23"/>
      <c r="L139" s="23"/>
      <c r="M139" s="24"/>
      <c r="N139" s="24"/>
      <c r="O139" s="27" t="s">
        <v>327</v>
      </c>
      <c r="P139" s="27"/>
      <c r="Q139" s="23"/>
      <c r="R139" s="25"/>
      <c r="S139" s="25"/>
      <c r="T139" s="25"/>
      <c r="U139" s="25"/>
      <c r="V139" s="25"/>
      <c r="W139" s="23" t="s">
        <v>95</v>
      </c>
      <c r="X139" s="32" t="str">
        <f>IF(Tabela2[[#This Row],[sigla]]="","",VLOOKUP(Tabela2[[#This Row],[sigla]],Tabela14[[#All],[Sigla Arte]:[Crédito]],2,0))</f>
        <v>VER DOCUMENTO DE ILS. TÉCNICAS</v>
      </c>
      <c r="Y139" s="24"/>
      <c r="Z139" s="24" t="str">
        <f>Tabela2[[#This Row],[ilustrador]]</f>
        <v>VER DOCUMENTO DE ILS. TÉCNICAS</v>
      </c>
      <c r="AA139" s="23"/>
      <c r="AB139" s="21"/>
      <c r="AC139" s="21"/>
      <c r="AD139" s="4" t="str">
        <f t="shared" si="4"/>
        <v>Pitanguá</v>
      </c>
      <c r="AE139" s="14" t="str">
        <f t="shared" si="5"/>
        <v>Ciências</v>
      </c>
    </row>
    <row r="140" spans="1:31" s="14" customFormat="1" ht="45" customHeight="1" x14ac:dyDescent="0.3">
      <c r="A140" s="24" t="s">
        <v>328</v>
      </c>
      <c r="B140" s="21" t="s">
        <v>6</v>
      </c>
      <c r="C140" s="21" t="s">
        <v>7</v>
      </c>
      <c r="D140" s="21" t="s">
        <v>8</v>
      </c>
      <c r="E140" s="23">
        <v>107</v>
      </c>
      <c r="F140" s="23">
        <f>_xlfn.NUMBERVALUE(MID(TRIM(Tabela2[[#This Row],[retranca]]), FIND("_", TRIM(Tabela2[[#This Row],[retranca]])) + 1, 1), ",", ".")</f>
        <v>4</v>
      </c>
      <c r="G140" s="23">
        <v>4</v>
      </c>
      <c r="H140" s="23"/>
      <c r="I140" s="24" t="s">
        <v>28</v>
      </c>
      <c r="J140" s="24"/>
      <c r="K140" s="23"/>
      <c r="L140" s="23"/>
      <c r="M140" s="24"/>
      <c r="N140" s="24"/>
      <c r="O140" s="27" t="s">
        <v>329</v>
      </c>
      <c r="P140" s="27"/>
      <c r="Q140" s="23">
        <v>6</v>
      </c>
      <c r="R140" s="25">
        <v>45832</v>
      </c>
      <c r="S140" s="25">
        <v>45832</v>
      </c>
      <c r="T140" s="25"/>
      <c r="U140" s="25"/>
      <c r="V140" s="25">
        <v>45834</v>
      </c>
      <c r="W140" s="23" t="s">
        <v>61</v>
      </c>
      <c r="X140" s="32" t="str">
        <f>IF(Tabela2[[#This Row],[sigla]]="","",VLOOKUP(Tabela2[[#This Row],[sigla]],Tabela14[[#All],[Sigla Arte]:[Crédito]],2,0))</f>
        <v>THAMIRES PAREDES/ARQUIVO DA EDITORA</v>
      </c>
      <c r="Y140" s="24" t="s">
        <v>330</v>
      </c>
      <c r="Z140" s="24" t="str">
        <f>Tabela2[[#This Row],[ilustrador]]</f>
        <v>THAMIRES PAREDES/ARQUIVO DA EDITORA</v>
      </c>
      <c r="AA140" s="23">
        <v>13</v>
      </c>
      <c r="AB140" s="21" t="s">
        <v>105</v>
      </c>
      <c r="AC140" s="21" t="s">
        <v>31</v>
      </c>
      <c r="AD140" s="4" t="str">
        <f t="shared" si="4"/>
        <v>Pitanguá</v>
      </c>
      <c r="AE140" s="14" t="str">
        <f t="shared" si="5"/>
        <v>Ciências</v>
      </c>
    </row>
    <row r="141" spans="1:31" s="14" customFormat="1" ht="45" customHeight="1" x14ac:dyDescent="0.3">
      <c r="A141" s="24" t="s">
        <v>331</v>
      </c>
      <c r="B141" s="21" t="s">
        <v>6</v>
      </c>
      <c r="C141" s="21" t="s">
        <v>7</v>
      </c>
      <c r="D141" s="21" t="s">
        <v>8</v>
      </c>
      <c r="E141" s="23">
        <v>109</v>
      </c>
      <c r="F141" s="23">
        <f>_xlfn.NUMBERVALUE(MID(TRIM(Tabela2[[#This Row],[retranca]]), FIND("_", TRIM(Tabela2[[#This Row],[retranca]])) + 1, 1), ",", ".")</f>
        <v>4</v>
      </c>
      <c r="G141" s="23">
        <v>4</v>
      </c>
      <c r="H141" s="23"/>
      <c r="I141" s="24" t="s">
        <v>15</v>
      </c>
      <c r="J141" s="24"/>
      <c r="K141" s="23"/>
      <c r="L141" s="23"/>
      <c r="M141" s="24"/>
      <c r="N141" s="24"/>
      <c r="O141" s="27" t="s">
        <v>332</v>
      </c>
      <c r="P141" s="27"/>
      <c r="Q141" s="23"/>
      <c r="R141" s="25"/>
      <c r="S141" s="25"/>
      <c r="T141" s="25"/>
      <c r="U141" s="25"/>
      <c r="V141" s="25"/>
      <c r="W141" s="23" t="s">
        <v>61</v>
      </c>
      <c r="X141" s="32" t="str">
        <f>IF(Tabela2[[#This Row],[sigla]]="","",VLOOKUP(Tabela2[[#This Row],[sigla]],Tabela14[[#All],[Sigla Arte]:[Crédito]],2,0))</f>
        <v>THAMIRES PAREDES/ARQUIVO DA EDITORA</v>
      </c>
      <c r="Y141" s="24"/>
      <c r="Z141" s="24" t="str">
        <f>Tabela2[[#This Row],[ilustrador]]</f>
        <v>THAMIRES PAREDES/ARQUIVO DA EDITORA</v>
      </c>
      <c r="AA141" s="23"/>
      <c r="AB141" s="21"/>
      <c r="AC141" s="21"/>
      <c r="AD141" s="4" t="str">
        <f t="shared" si="4"/>
        <v>Pitanguá</v>
      </c>
      <c r="AE141" s="14" t="str">
        <f t="shared" si="5"/>
        <v>Ciências</v>
      </c>
    </row>
    <row r="142" spans="1:31" s="14" customFormat="1" ht="105" customHeight="1" x14ac:dyDescent="0.3">
      <c r="A142" s="24" t="s">
        <v>333</v>
      </c>
      <c r="B142" s="21" t="s">
        <v>6</v>
      </c>
      <c r="C142" s="21" t="s">
        <v>7</v>
      </c>
      <c r="D142" s="21" t="s">
        <v>8</v>
      </c>
      <c r="E142" s="23">
        <v>110</v>
      </c>
      <c r="F142" s="23">
        <f>_xlfn.NUMBERVALUE(MID(TRIM(Tabela2[[#This Row],[retranca]]), FIND("_", TRIM(Tabela2[[#This Row],[retranca]])) + 1, 1), ",", ".")</f>
        <v>4</v>
      </c>
      <c r="G142" s="23">
        <v>4</v>
      </c>
      <c r="H142" s="23"/>
      <c r="I142" s="24" t="s">
        <v>28</v>
      </c>
      <c r="J142" s="24"/>
      <c r="K142" s="23"/>
      <c r="L142" s="23"/>
      <c r="M142" s="24"/>
      <c r="N142" s="24"/>
      <c r="O142" s="27" t="s">
        <v>334</v>
      </c>
      <c r="P142" s="27"/>
      <c r="Q142" s="23">
        <v>5</v>
      </c>
      <c r="R142" s="25">
        <v>45755</v>
      </c>
      <c r="S142" s="25">
        <v>45757</v>
      </c>
      <c r="T142" s="25"/>
      <c r="U142" s="25"/>
      <c r="V142" s="25">
        <v>45758</v>
      </c>
      <c r="W142" s="23" t="s">
        <v>61</v>
      </c>
      <c r="X142" s="32" t="str">
        <f>IF(Tabela2[[#This Row],[sigla]]="","",VLOOKUP(Tabela2[[#This Row],[sigla]],Tabela14[[#All],[Sigla Arte]:[Crédito]],2,0))</f>
        <v>THAMIRES PAREDES/ARQUIVO DA EDITORA</v>
      </c>
      <c r="Y142" s="24" t="s">
        <v>53</v>
      </c>
      <c r="Z142" s="24" t="str">
        <f>Tabela2[[#This Row],[ilustrador]]</f>
        <v>THAMIRES PAREDES/ARQUIVO DA EDITORA</v>
      </c>
      <c r="AA142" s="23">
        <v>13</v>
      </c>
      <c r="AB142" s="21" t="s">
        <v>105</v>
      </c>
      <c r="AC142" s="21" t="s">
        <v>31</v>
      </c>
      <c r="AD142" s="4" t="str">
        <f t="shared" si="4"/>
        <v>Pitanguá</v>
      </c>
      <c r="AE142" s="14" t="str">
        <f t="shared" si="5"/>
        <v>Ciências</v>
      </c>
    </row>
    <row r="143" spans="1:31" s="14" customFormat="1" ht="90" customHeight="1" x14ac:dyDescent="0.3">
      <c r="A143" s="24" t="s">
        <v>335</v>
      </c>
      <c r="B143" s="21" t="s">
        <v>6</v>
      </c>
      <c r="C143" s="21" t="s">
        <v>7</v>
      </c>
      <c r="D143" s="21" t="s">
        <v>8</v>
      </c>
      <c r="E143" s="23">
        <v>110</v>
      </c>
      <c r="F143" s="23">
        <f>_xlfn.NUMBERVALUE(MID(TRIM(Tabela2[[#This Row],[retranca]]), FIND("_", TRIM(Tabela2[[#This Row],[retranca]])) + 1, 1), ",", ".")</f>
        <v>4</v>
      </c>
      <c r="G143" s="23">
        <v>4</v>
      </c>
      <c r="H143" s="23"/>
      <c r="I143" s="24" t="s">
        <v>28</v>
      </c>
      <c r="J143" s="24"/>
      <c r="K143" s="23"/>
      <c r="L143" s="23"/>
      <c r="M143" s="24"/>
      <c r="N143" s="24"/>
      <c r="O143" s="27" t="s">
        <v>336</v>
      </c>
      <c r="P143" s="27"/>
      <c r="Q143" s="23">
        <v>5</v>
      </c>
      <c r="R143" s="25">
        <v>45755</v>
      </c>
      <c r="S143" s="25">
        <v>45757</v>
      </c>
      <c r="T143" s="25"/>
      <c r="U143" s="25"/>
      <c r="V143" s="25">
        <v>45758</v>
      </c>
      <c r="W143" s="23" t="s">
        <v>61</v>
      </c>
      <c r="X143" s="32" t="str">
        <f>IF(Tabela2[[#This Row],[sigla]]="","",VLOOKUP(Tabela2[[#This Row],[sigla]],Tabela14[[#All],[Sigla Arte]:[Crédito]],2,0))</f>
        <v>THAMIRES PAREDES/ARQUIVO DA EDITORA</v>
      </c>
      <c r="Y143" s="24" t="s">
        <v>53</v>
      </c>
      <c r="Z143" s="24" t="str">
        <f>Tabela2[[#This Row],[ilustrador]]</f>
        <v>THAMIRES PAREDES/ARQUIVO DA EDITORA</v>
      </c>
      <c r="AA143" s="23">
        <v>13</v>
      </c>
      <c r="AB143" s="21" t="s">
        <v>105</v>
      </c>
      <c r="AC143" s="21" t="s">
        <v>31</v>
      </c>
      <c r="AD143" s="4" t="str">
        <f t="shared" si="4"/>
        <v>Pitanguá</v>
      </c>
      <c r="AE143" s="14" t="str">
        <f t="shared" si="5"/>
        <v>Ciências</v>
      </c>
    </row>
    <row r="144" spans="1:31" s="14" customFormat="1" ht="75" customHeight="1" x14ac:dyDescent="0.3">
      <c r="A144" s="24" t="s">
        <v>337</v>
      </c>
      <c r="B144" s="21" t="s">
        <v>338</v>
      </c>
      <c r="C144" s="21" t="s">
        <v>7</v>
      </c>
      <c r="D144" s="21" t="s">
        <v>8</v>
      </c>
      <c r="E144" s="23">
        <v>111</v>
      </c>
      <c r="F144" s="23">
        <f>_xlfn.NUMBERVALUE(MID(TRIM(Tabela2[[#This Row],[retranca]]), FIND("_", TRIM(Tabela2[[#This Row],[retranca]])) + 1, 1), ",", ".")</f>
        <v>4</v>
      </c>
      <c r="G144" s="23">
        <v>4</v>
      </c>
      <c r="H144" s="23"/>
      <c r="I144" s="24" t="s">
        <v>28</v>
      </c>
      <c r="J144" s="24"/>
      <c r="K144" s="23"/>
      <c r="L144" s="23"/>
      <c r="M144" s="24"/>
      <c r="N144" s="24"/>
      <c r="O144" s="27" t="s">
        <v>339</v>
      </c>
      <c r="P144" s="27"/>
      <c r="Q144" s="23">
        <v>5</v>
      </c>
      <c r="R144" s="25">
        <v>45755</v>
      </c>
      <c r="S144" s="25">
        <v>45887</v>
      </c>
      <c r="T144" s="25"/>
      <c r="U144" s="25"/>
      <c r="V144" s="25">
        <v>45887</v>
      </c>
      <c r="W144" s="23" t="s">
        <v>61</v>
      </c>
      <c r="X144" s="32" t="str">
        <f>IF(Tabela2[[#This Row],[sigla]]="","",VLOOKUP(Tabela2[[#This Row],[sigla]],Tabela14[[#All],[Sigla Arte]:[Crédito]],2,0))</f>
        <v>THAMIRES PAREDES/ARQUIVO DA EDITORA</v>
      </c>
      <c r="Y144" s="24" t="s">
        <v>340</v>
      </c>
      <c r="Z144" s="24" t="str">
        <f>Tabela2[[#This Row],[ilustrador]]</f>
        <v>THAMIRES PAREDES/ARQUIVO DA EDITORA</v>
      </c>
      <c r="AA144" s="23">
        <v>13</v>
      </c>
      <c r="AB144" s="21" t="s">
        <v>105</v>
      </c>
      <c r="AC144" s="21" t="s">
        <v>31</v>
      </c>
      <c r="AD144" s="4" t="str">
        <f t="shared" si="4"/>
        <v>Pitanguá</v>
      </c>
      <c r="AE144" s="14" t="str">
        <f t="shared" si="5"/>
        <v>Ciências</v>
      </c>
    </row>
    <row r="145" spans="1:31" s="14" customFormat="1" ht="45" customHeight="1" x14ac:dyDescent="0.3">
      <c r="A145" s="24" t="s">
        <v>341</v>
      </c>
      <c r="B145" s="21" t="s">
        <v>6</v>
      </c>
      <c r="C145" s="21" t="s">
        <v>7</v>
      </c>
      <c r="D145" s="21" t="s">
        <v>8</v>
      </c>
      <c r="E145" s="23">
        <v>111</v>
      </c>
      <c r="F145" s="23">
        <f>_xlfn.NUMBERVALUE(MID(TRIM(Tabela2[[#This Row],[retranca]]), FIND("_", TRIM(Tabela2[[#This Row],[retranca]])) + 1, 1), ",", ".")</f>
        <v>4</v>
      </c>
      <c r="G145" s="23">
        <v>4</v>
      </c>
      <c r="H145" s="23"/>
      <c r="I145" s="24" t="s">
        <v>15</v>
      </c>
      <c r="J145" s="24"/>
      <c r="K145" s="23"/>
      <c r="L145" s="23"/>
      <c r="M145" s="24"/>
      <c r="N145" s="24"/>
      <c r="O145" s="27" t="s">
        <v>342</v>
      </c>
      <c r="P145" s="27"/>
      <c r="Q145" s="23"/>
      <c r="R145" s="25"/>
      <c r="S145" s="25"/>
      <c r="T145" s="25"/>
      <c r="U145" s="25"/>
      <c r="V145" s="25"/>
      <c r="W145" s="23" t="s">
        <v>78</v>
      </c>
      <c r="X145" s="32" t="str">
        <f>IF(Tabela2[[#This Row],[sigla]]="","",VLOOKUP(Tabela2[[#This Row],[sigla]],Tabela14[[#All],[Sigla Arte]:[Crédito]],2,0))</f>
        <v>HELOÍSA PINTARELLI/ARQUIVO DA EDITORA</v>
      </c>
      <c r="Y145" s="24"/>
      <c r="Z145" s="24" t="str">
        <f>Tabela2[[#This Row],[ilustrador]]</f>
        <v>HELOÍSA PINTARELLI/ARQUIVO DA EDITORA</v>
      </c>
      <c r="AA145" s="23"/>
      <c r="AB145" s="21"/>
      <c r="AC145" s="21"/>
      <c r="AD145" s="4" t="str">
        <f t="shared" si="4"/>
        <v>Pitanguá</v>
      </c>
      <c r="AE145" s="14" t="str">
        <f t="shared" si="5"/>
        <v>Ciências</v>
      </c>
    </row>
    <row r="146" spans="1:31" s="14" customFormat="1" ht="60" customHeight="1" x14ac:dyDescent="0.3">
      <c r="A146" s="24" t="s">
        <v>343</v>
      </c>
      <c r="B146" s="21" t="s">
        <v>6</v>
      </c>
      <c r="C146" s="21" t="s">
        <v>7</v>
      </c>
      <c r="D146" s="21" t="s">
        <v>8</v>
      </c>
      <c r="E146" s="23">
        <v>114</v>
      </c>
      <c r="F146" s="23">
        <f>_xlfn.NUMBERVALUE(MID(TRIM(Tabela2[[#This Row],[retranca]]), FIND("_", TRIM(Tabela2[[#This Row],[retranca]])) + 1, 1), ",", ".")</f>
        <v>4</v>
      </c>
      <c r="G146" s="23">
        <v>4</v>
      </c>
      <c r="H146" s="23"/>
      <c r="I146" s="24" t="s">
        <v>28</v>
      </c>
      <c r="J146" s="24"/>
      <c r="K146" s="23"/>
      <c r="L146" s="23"/>
      <c r="M146" s="24"/>
      <c r="N146" s="24"/>
      <c r="O146" s="27" t="s">
        <v>344</v>
      </c>
      <c r="P146" s="27"/>
      <c r="Q146" s="23">
        <v>5</v>
      </c>
      <c r="R146" s="25">
        <v>45755</v>
      </c>
      <c r="S146" s="25">
        <v>45757</v>
      </c>
      <c r="T146" s="25"/>
      <c r="U146" s="25"/>
      <c r="V146" s="25">
        <v>45758</v>
      </c>
      <c r="W146" s="23" t="s">
        <v>17</v>
      </c>
      <c r="X146" s="32" t="str">
        <f>IF(Tabela2[[#This Row],[sigla]]="","",VLOOKUP(Tabela2[[#This Row],[sigla]],Tabela14[[#All],[Sigla Arte]:[Crédito]],2,0))</f>
        <v>MÁRCIO GUERRA/ARQUIVO DA EDITORA</v>
      </c>
      <c r="Y146" s="24" t="s">
        <v>53</v>
      </c>
      <c r="Z146" s="24" t="str">
        <f>Tabela2[[#This Row],[ilustrador]]</f>
        <v>MÁRCIO GUERRA/ARQUIVO DA EDITORA</v>
      </c>
      <c r="AA146" s="23">
        <v>14</v>
      </c>
      <c r="AB146" s="21" t="s">
        <v>105</v>
      </c>
      <c r="AC146" s="21" t="s">
        <v>31</v>
      </c>
      <c r="AD146" s="4" t="str">
        <f t="shared" si="4"/>
        <v>Pitanguá</v>
      </c>
      <c r="AE146" s="14" t="str">
        <f t="shared" si="5"/>
        <v>Ciências</v>
      </c>
    </row>
    <row r="147" spans="1:31" s="14" customFormat="1" ht="45" customHeight="1" x14ac:dyDescent="0.3">
      <c r="A147" s="24" t="s">
        <v>345</v>
      </c>
      <c r="B147" s="21" t="s">
        <v>6</v>
      </c>
      <c r="C147" s="21" t="s">
        <v>7</v>
      </c>
      <c r="D147" s="21" t="s">
        <v>8</v>
      </c>
      <c r="E147" s="23">
        <v>115</v>
      </c>
      <c r="F147" s="23">
        <f>_xlfn.NUMBERVALUE(MID(TRIM(Tabela2[[#This Row],[retranca]]), FIND("_", TRIM(Tabela2[[#This Row],[retranca]])) + 1, 1), ",", ".")</f>
        <v>4</v>
      </c>
      <c r="G147" s="23">
        <v>4</v>
      </c>
      <c r="H147" s="23"/>
      <c r="I147" s="24" t="s">
        <v>15</v>
      </c>
      <c r="J147" s="24"/>
      <c r="K147" s="23"/>
      <c r="L147" s="23"/>
      <c r="M147" s="24"/>
      <c r="N147" s="24"/>
      <c r="O147" s="27" t="s">
        <v>346</v>
      </c>
      <c r="P147" s="27"/>
      <c r="Q147" s="23"/>
      <c r="R147" s="25"/>
      <c r="S147" s="25"/>
      <c r="T147" s="25"/>
      <c r="U147" s="25"/>
      <c r="V147" s="25"/>
      <c r="W147" s="23" t="s">
        <v>17</v>
      </c>
      <c r="X147" s="32" t="str">
        <f>IF(Tabela2[[#This Row],[sigla]]="","",VLOOKUP(Tabela2[[#This Row],[sigla]],Tabela14[[#All],[Sigla Arte]:[Crédito]],2,0))</f>
        <v>MÁRCIO GUERRA/ARQUIVO DA EDITORA</v>
      </c>
      <c r="Y147" s="24"/>
      <c r="Z147" s="24" t="str">
        <f>Tabela2[[#This Row],[ilustrador]]</f>
        <v>MÁRCIO GUERRA/ARQUIVO DA EDITORA</v>
      </c>
      <c r="AA147" s="23"/>
      <c r="AB147" s="21"/>
      <c r="AC147" s="21"/>
      <c r="AD147" s="4" t="str">
        <f t="shared" si="4"/>
        <v>Pitanguá</v>
      </c>
      <c r="AE147" s="14" t="str">
        <f t="shared" si="5"/>
        <v>Ciências</v>
      </c>
    </row>
    <row r="148" spans="1:31" s="14" customFormat="1" ht="105" customHeight="1" x14ac:dyDescent="0.3">
      <c r="A148" s="24" t="s">
        <v>347</v>
      </c>
      <c r="B148" s="21" t="s">
        <v>6</v>
      </c>
      <c r="C148" s="21" t="s">
        <v>7</v>
      </c>
      <c r="D148" s="21" t="s">
        <v>8</v>
      </c>
      <c r="E148" s="23">
        <v>117</v>
      </c>
      <c r="F148" s="23">
        <f>_xlfn.NUMBERVALUE(MID(TRIM(Tabela2[[#This Row],[retranca]]), FIND("_", TRIM(Tabela2[[#This Row],[retranca]])) + 1, 1), ",", ".")</f>
        <v>4</v>
      </c>
      <c r="G148" s="23">
        <v>4</v>
      </c>
      <c r="H148" s="23"/>
      <c r="I148" s="24" t="s">
        <v>28</v>
      </c>
      <c r="J148" s="24"/>
      <c r="K148" s="23"/>
      <c r="L148" s="23"/>
      <c r="M148" s="24"/>
      <c r="N148" s="24"/>
      <c r="O148" s="27" t="s">
        <v>348</v>
      </c>
      <c r="P148" s="27"/>
      <c r="Q148" s="23">
        <v>5</v>
      </c>
      <c r="R148" s="25">
        <v>45755</v>
      </c>
      <c r="S148" s="25">
        <v>45757</v>
      </c>
      <c r="T148" s="25"/>
      <c r="U148" s="25"/>
      <c r="V148" s="25">
        <v>45758</v>
      </c>
      <c r="W148" s="23" t="s">
        <v>61</v>
      </c>
      <c r="X148" s="32" t="str">
        <f>IF(Tabela2[[#This Row],[sigla]]="","",VLOOKUP(Tabela2[[#This Row],[sigla]],Tabela14[[#All],[Sigla Arte]:[Crédito]],2,0))</f>
        <v>THAMIRES PAREDES/ARQUIVO DA EDITORA</v>
      </c>
      <c r="Y148" s="24" t="s">
        <v>53</v>
      </c>
      <c r="Z148" s="24" t="str">
        <f>Tabela2[[#This Row],[ilustrador]]</f>
        <v>THAMIRES PAREDES/ARQUIVO DA EDITORA</v>
      </c>
      <c r="AA148" s="23">
        <v>13</v>
      </c>
      <c r="AB148" s="21" t="s">
        <v>105</v>
      </c>
      <c r="AC148" s="21" t="s">
        <v>31</v>
      </c>
      <c r="AD148" s="4" t="str">
        <f t="shared" si="4"/>
        <v>Pitanguá</v>
      </c>
      <c r="AE148" s="14" t="str">
        <f t="shared" si="5"/>
        <v>Ciências</v>
      </c>
    </row>
    <row r="149" spans="1:31" s="14" customFormat="1" ht="180" customHeight="1" x14ac:dyDescent="0.3">
      <c r="A149" s="24" t="s">
        <v>349</v>
      </c>
      <c r="B149" s="21" t="s">
        <v>6</v>
      </c>
      <c r="C149" s="21" t="s">
        <v>7</v>
      </c>
      <c r="D149" s="21" t="s">
        <v>8</v>
      </c>
      <c r="E149" s="23">
        <v>118</v>
      </c>
      <c r="F149" s="23">
        <f>_xlfn.NUMBERVALUE(MID(TRIM(Tabela2[[#This Row],[retranca]]), FIND("_", TRIM(Tabela2[[#This Row],[retranca]])) + 1, 1), ",", ".")</f>
        <v>4</v>
      </c>
      <c r="G149" s="23">
        <v>4</v>
      </c>
      <c r="H149" s="23"/>
      <c r="I149" s="24" t="s">
        <v>28</v>
      </c>
      <c r="J149" s="24"/>
      <c r="K149" s="23"/>
      <c r="L149" s="23"/>
      <c r="M149" s="24"/>
      <c r="N149" s="24"/>
      <c r="O149" s="27" t="s">
        <v>350</v>
      </c>
      <c r="P149" s="27"/>
      <c r="Q149" s="23">
        <v>5</v>
      </c>
      <c r="R149" s="25">
        <v>45755</v>
      </c>
      <c r="S149" s="25">
        <v>45757</v>
      </c>
      <c r="T149" s="25"/>
      <c r="U149" s="25"/>
      <c r="V149" s="25">
        <v>45758</v>
      </c>
      <c r="W149" s="23" t="s">
        <v>89</v>
      </c>
      <c r="X149" s="32" t="str">
        <f>IF(Tabela2[[#This Row],[sigla]]="","",VLOOKUP(Tabela2[[#This Row],[sigla]],Tabela14[[#All],[Sigla Arte]:[Crédito]],2,0))</f>
        <v>LISLLEY GOMES FEIGE/ARQUIVO DA EDITORA</v>
      </c>
      <c r="Y149" s="24" t="s">
        <v>53</v>
      </c>
      <c r="Z149" s="24" t="str">
        <f>Tabela2[[#This Row],[ilustrador]]</f>
        <v>LISLLEY GOMES FEIGE/ARQUIVO DA EDITORA</v>
      </c>
      <c r="AA149" s="23">
        <v>14</v>
      </c>
      <c r="AB149" s="21" t="s">
        <v>105</v>
      </c>
      <c r="AC149" s="21" t="s">
        <v>31</v>
      </c>
      <c r="AD149" s="4" t="str">
        <f t="shared" si="4"/>
        <v>Pitanguá</v>
      </c>
      <c r="AE149" s="14" t="str">
        <f t="shared" si="5"/>
        <v>Ciências</v>
      </c>
    </row>
    <row r="150" spans="1:31" s="14" customFormat="1" ht="30" customHeight="1" x14ac:dyDescent="0.3">
      <c r="A150" s="24" t="s">
        <v>351</v>
      </c>
      <c r="B150" s="21" t="s">
        <v>6</v>
      </c>
      <c r="C150" s="21" t="s">
        <v>7</v>
      </c>
      <c r="D150" s="21" t="s">
        <v>8</v>
      </c>
      <c r="E150" s="23">
        <v>119</v>
      </c>
      <c r="F150" s="23">
        <f>_xlfn.NUMBERVALUE(MID(TRIM(Tabela2[[#This Row],[retranca]]), FIND("_", TRIM(Tabela2[[#This Row],[retranca]])) + 1, 1), ",", ".")</f>
        <v>4</v>
      </c>
      <c r="G150" s="23">
        <v>4</v>
      </c>
      <c r="H150" s="23"/>
      <c r="I150" s="24" t="s">
        <v>15</v>
      </c>
      <c r="J150" s="24"/>
      <c r="K150" s="23"/>
      <c r="L150" s="23"/>
      <c r="M150" s="24"/>
      <c r="N150" s="24"/>
      <c r="O150" s="27" t="s">
        <v>352</v>
      </c>
      <c r="P150" s="27"/>
      <c r="Q150" s="23"/>
      <c r="R150" s="25"/>
      <c r="S150" s="25"/>
      <c r="T150" s="25"/>
      <c r="U150" s="25"/>
      <c r="V150" s="25"/>
      <c r="W150" s="23" t="s">
        <v>353</v>
      </c>
      <c r="X150" s="32" t="str">
        <f>IF(Tabela2[[#This Row],[sigla]]="","",VLOOKUP(Tabela2[[#This Row],[sigla]],Tabela14[[#All],[Sigla Arte]:[Crédito]],2,0))</f>
        <v>KEITHY MOSTACHI/ARQUIVO DA EDITORA</v>
      </c>
      <c r="Y150" s="24"/>
      <c r="Z150" s="24" t="str">
        <f>Tabela2[[#This Row],[ilustrador]]</f>
        <v>KEITHY MOSTACHI/ARQUIVO DA EDITORA</v>
      </c>
      <c r="AA150" s="23"/>
      <c r="AB150" s="21"/>
      <c r="AC150" s="21"/>
      <c r="AD150" s="4" t="str">
        <f t="shared" si="4"/>
        <v>Pitanguá</v>
      </c>
      <c r="AE150" s="14" t="str">
        <f t="shared" si="5"/>
        <v>Ciências</v>
      </c>
    </row>
    <row r="151" spans="1:31" s="14" customFormat="1" ht="45" customHeight="1" x14ac:dyDescent="0.3">
      <c r="A151" s="24" t="s">
        <v>354</v>
      </c>
      <c r="B151" s="21" t="s">
        <v>6</v>
      </c>
      <c r="C151" s="21" t="s">
        <v>7</v>
      </c>
      <c r="D151" s="21" t="s">
        <v>8</v>
      </c>
      <c r="E151" s="23">
        <v>122</v>
      </c>
      <c r="F151" s="23">
        <f>_xlfn.NUMBERVALUE(MID(TRIM(Tabela2[[#This Row],[retranca]]), FIND("_", TRIM(Tabela2[[#This Row],[retranca]])) + 1, 1), ",", ".")</f>
        <v>4</v>
      </c>
      <c r="G151" s="23">
        <v>4</v>
      </c>
      <c r="H151" s="23"/>
      <c r="I151" s="24" t="s">
        <v>28</v>
      </c>
      <c r="J151" s="24"/>
      <c r="K151" s="23"/>
      <c r="L151" s="23"/>
      <c r="M151" s="24"/>
      <c r="N151" s="24"/>
      <c r="O151" s="27" t="s">
        <v>355</v>
      </c>
      <c r="P151" s="27"/>
      <c r="Q151" s="23">
        <v>5</v>
      </c>
      <c r="R151" s="25">
        <v>45755</v>
      </c>
      <c r="S151" s="25">
        <v>45757</v>
      </c>
      <c r="T151" s="25"/>
      <c r="U151" s="25"/>
      <c r="V151" s="25">
        <v>45758</v>
      </c>
      <c r="W151" s="23" t="s">
        <v>89</v>
      </c>
      <c r="X151" s="32" t="str">
        <f>IF(Tabela2[[#This Row],[sigla]]="","",VLOOKUP(Tabela2[[#This Row],[sigla]],Tabela14[[#All],[Sigla Arte]:[Crédito]],2,0))</f>
        <v>LISLLEY GOMES FEIGE/ARQUIVO DA EDITORA</v>
      </c>
      <c r="Y151" s="24" t="s">
        <v>53</v>
      </c>
      <c r="Z151" s="24" t="str">
        <f>Tabela2[[#This Row],[ilustrador]]</f>
        <v>LISLLEY GOMES FEIGE/ARQUIVO DA EDITORA</v>
      </c>
      <c r="AA151" s="23">
        <v>14</v>
      </c>
      <c r="AB151" s="21" t="s">
        <v>105</v>
      </c>
      <c r="AC151" s="21" t="s">
        <v>31</v>
      </c>
      <c r="AD151" s="4" t="str">
        <f t="shared" si="4"/>
        <v>Pitanguá</v>
      </c>
      <c r="AE151" s="14" t="str">
        <f t="shared" si="5"/>
        <v>Ciências</v>
      </c>
    </row>
    <row r="152" spans="1:31" s="14" customFormat="1" ht="45" customHeight="1" x14ac:dyDescent="0.3">
      <c r="A152" s="24" t="s">
        <v>356</v>
      </c>
      <c r="B152" s="21" t="s">
        <v>6</v>
      </c>
      <c r="C152" s="21" t="s">
        <v>7</v>
      </c>
      <c r="D152" s="21" t="s">
        <v>8</v>
      </c>
      <c r="E152" s="23">
        <v>123</v>
      </c>
      <c r="F152" s="23">
        <f>_xlfn.NUMBERVALUE(MID(TRIM(Tabela2[[#This Row],[retranca]]), FIND("_", TRIM(Tabela2[[#This Row],[retranca]])) + 1, 1), ",", ".")</f>
        <v>4</v>
      </c>
      <c r="G152" s="23">
        <v>4</v>
      </c>
      <c r="H152" s="23"/>
      <c r="I152" s="24" t="s">
        <v>15</v>
      </c>
      <c r="J152" s="24"/>
      <c r="K152" s="23"/>
      <c r="L152" s="23"/>
      <c r="M152" s="24"/>
      <c r="N152" s="24"/>
      <c r="O152" s="27" t="s">
        <v>357</v>
      </c>
      <c r="P152" s="27"/>
      <c r="Q152" s="23"/>
      <c r="R152" s="25"/>
      <c r="S152" s="25"/>
      <c r="T152" s="25"/>
      <c r="U152" s="25"/>
      <c r="V152" s="25"/>
      <c r="W152" s="23" t="s">
        <v>89</v>
      </c>
      <c r="X152" s="32" t="str">
        <f>IF(Tabela2[[#This Row],[sigla]]="","",VLOOKUP(Tabela2[[#This Row],[sigla]],Tabela14[[#All],[Sigla Arte]:[Crédito]],2,0))</f>
        <v>LISLLEY GOMES FEIGE/ARQUIVO DA EDITORA</v>
      </c>
      <c r="Y152" s="24"/>
      <c r="Z152" s="24" t="str">
        <f>Tabela2[[#This Row],[ilustrador]]</f>
        <v>LISLLEY GOMES FEIGE/ARQUIVO DA EDITORA</v>
      </c>
      <c r="AA152" s="23"/>
      <c r="AB152" s="21"/>
      <c r="AC152" s="21"/>
      <c r="AD152" s="4" t="str">
        <f t="shared" si="4"/>
        <v>Pitanguá</v>
      </c>
      <c r="AE152" s="14" t="str">
        <f t="shared" si="5"/>
        <v>Ciências</v>
      </c>
    </row>
    <row r="153" spans="1:31" s="14" customFormat="1" ht="45" customHeight="1" x14ac:dyDescent="0.3">
      <c r="A153" s="24" t="s">
        <v>358</v>
      </c>
      <c r="B153" s="21" t="s">
        <v>63</v>
      </c>
      <c r="C153" s="21" t="s">
        <v>7</v>
      </c>
      <c r="D153" s="21" t="s">
        <v>8</v>
      </c>
      <c r="E153" s="23">
        <v>123</v>
      </c>
      <c r="F153" s="23">
        <f>_xlfn.NUMBERVALUE(MID(TRIM(Tabela2[[#This Row],[retranca]]), FIND("_", TRIM(Tabela2[[#This Row],[retranca]])) + 1, 1), ",", ".")</f>
        <v>4</v>
      </c>
      <c r="G153" s="23">
        <v>4</v>
      </c>
      <c r="H153" s="23"/>
      <c r="I153" s="24" t="s">
        <v>15</v>
      </c>
      <c r="J153" s="24"/>
      <c r="K153" s="23"/>
      <c r="L153" s="23"/>
      <c r="M153" s="24"/>
      <c r="N153" s="24"/>
      <c r="O153" s="27" t="s">
        <v>359</v>
      </c>
      <c r="P153" s="27" t="s">
        <v>360</v>
      </c>
      <c r="Q153" s="23"/>
      <c r="R153" s="25"/>
      <c r="S153" s="25"/>
      <c r="T153" s="25"/>
      <c r="U153" s="25"/>
      <c r="V153" s="25"/>
      <c r="W153" s="23" t="s">
        <v>26</v>
      </c>
      <c r="X153" s="32" t="str">
        <f>IF(Tabela2[[#This Row],[sigla]]="","",VLOOKUP(Tabela2[[#This Row],[sigla]],Tabela14[[#All],[Sigla Arte]:[Crédito]],2,0))</f>
        <v>SAULO NUNES/ARQUIVO DA EDITORA</v>
      </c>
      <c r="Y153" s="24"/>
      <c r="Z153" s="24" t="str">
        <f>Tabela2[[#This Row],[ilustrador]]</f>
        <v>SAULO NUNES/ARQUIVO DA EDITORA</v>
      </c>
      <c r="AA153" s="23"/>
      <c r="AB153" s="21"/>
      <c r="AC153" s="21"/>
      <c r="AD153" s="4" t="str">
        <f t="shared" si="4"/>
        <v>Pitanguá</v>
      </c>
      <c r="AE153" s="14" t="str">
        <f t="shared" si="5"/>
        <v>Ciências</v>
      </c>
    </row>
    <row r="154" spans="1:31" s="14" customFormat="1" ht="45" customHeight="1" x14ac:dyDescent="0.3">
      <c r="A154" s="24" t="s">
        <v>361</v>
      </c>
      <c r="B154" s="21" t="s">
        <v>63</v>
      </c>
      <c r="C154" s="21" t="s">
        <v>7</v>
      </c>
      <c r="D154" s="21" t="s">
        <v>8</v>
      </c>
      <c r="E154" s="23">
        <v>123</v>
      </c>
      <c r="F154" s="23">
        <f>_xlfn.NUMBERVALUE(MID(TRIM(Tabela2[[#This Row],[retranca]]), FIND("_", TRIM(Tabela2[[#This Row],[retranca]])) + 1, 1), ",", ".")</f>
        <v>4</v>
      </c>
      <c r="G154" s="23">
        <v>4</v>
      </c>
      <c r="H154" s="23"/>
      <c r="I154" s="24" t="s">
        <v>15</v>
      </c>
      <c r="J154" s="24"/>
      <c r="K154" s="23"/>
      <c r="L154" s="23"/>
      <c r="M154" s="24"/>
      <c r="N154" s="24"/>
      <c r="O154" s="27" t="s">
        <v>362</v>
      </c>
      <c r="P154" s="27" t="s">
        <v>360</v>
      </c>
      <c r="Q154" s="23"/>
      <c r="R154" s="25"/>
      <c r="S154" s="25"/>
      <c r="T154" s="25"/>
      <c r="U154" s="25"/>
      <c r="V154" s="25"/>
      <c r="W154" s="23" t="s">
        <v>26</v>
      </c>
      <c r="X154" s="32" t="str">
        <f>IF(Tabela2[[#This Row],[sigla]]="","",VLOOKUP(Tabela2[[#This Row],[sigla]],Tabela14[[#All],[Sigla Arte]:[Crédito]],2,0))</f>
        <v>SAULO NUNES/ARQUIVO DA EDITORA</v>
      </c>
      <c r="Y154" s="24"/>
      <c r="Z154" s="24" t="str">
        <f>Tabela2[[#This Row],[ilustrador]]</f>
        <v>SAULO NUNES/ARQUIVO DA EDITORA</v>
      </c>
      <c r="AA154" s="23"/>
      <c r="AB154" s="21"/>
      <c r="AC154" s="21"/>
      <c r="AD154" s="4" t="str">
        <f t="shared" si="4"/>
        <v>Pitanguá</v>
      </c>
      <c r="AE154" s="14" t="str">
        <f t="shared" si="5"/>
        <v>Ciências</v>
      </c>
    </row>
    <row r="155" spans="1:31" s="14" customFormat="1" ht="45" customHeight="1" x14ac:dyDescent="0.3">
      <c r="A155" s="24" t="s">
        <v>363</v>
      </c>
      <c r="B155" s="21" t="s">
        <v>63</v>
      </c>
      <c r="C155" s="21" t="s">
        <v>7</v>
      </c>
      <c r="D155" s="21" t="s">
        <v>8</v>
      </c>
      <c r="E155" s="23">
        <v>127</v>
      </c>
      <c r="F155" s="23">
        <f>_xlfn.NUMBERVALUE(MID(TRIM(Tabela2[[#This Row],[retranca]]), FIND("_", TRIM(Tabela2[[#This Row],[retranca]])) + 1, 1), ",", ".")</f>
        <v>4</v>
      </c>
      <c r="G155" s="23">
        <v>4</v>
      </c>
      <c r="H155" s="23"/>
      <c r="I155" s="24" t="s">
        <v>15</v>
      </c>
      <c r="J155" s="24"/>
      <c r="K155" s="23"/>
      <c r="L155" s="23"/>
      <c r="M155" s="24"/>
      <c r="N155" s="24"/>
      <c r="O155" s="27" t="s">
        <v>364</v>
      </c>
      <c r="P155" s="27" t="s">
        <v>360</v>
      </c>
      <c r="Q155" s="23"/>
      <c r="R155" s="25"/>
      <c r="S155" s="25"/>
      <c r="T155" s="25"/>
      <c r="U155" s="25"/>
      <c r="V155" s="25"/>
      <c r="W155" s="23" t="s">
        <v>353</v>
      </c>
      <c r="X155" s="32" t="str">
        <f>IF(Tabela2[[#This Row],[sigla]]="","",VLOOKUP(Tabela2[[#This Row],[sigla]],Tabela14[[#All],[Sigla Arte]:[Crédito]],2,0))</f>
        <v>KEITHY MOSTACHI/ARQUIVO DA EDITORA</v>
      </c>
      <c r="Y155" s="24"/>
      <c r="Z155" s="24" t="str">
        <f>Tabela2[[#This Row],[ilustrador]]</f>
        <v>KEITHY MOSTACHI/ARQUIVO DA EDITORA</v>
      </c>
      <c r="AA155" s="23"/>
      <c r="AB155" s="21"/>
      <c r="AC155" s="21"/>
      <c r="AD155" s="4" t="str">
        <f t="shared" si="4"/>
        <v>Pitanguá</v>
      </c>
      <c r="AE155" s="14" t="str">
        <f t="shared" si="5"/>
        <v>Ciências</v>
      </c>
    </row>
    <row r="156" spans="1:31" s="14" customFormat="1" ht="45" customHeight="1" x14ac:dyDescent="0.3">
      <c r="A156" s="24" t="s">
        <v>365</v>
      </c>
      <c r="B156" s="21" t="s">
        <v>63</v>
      </c>
      <c r="C156" s="21" t="s">
        <v>7</v>
      </c>
      <c r="D156" s="21" t="s">
        <v>8</v>
      </c>
      <c r="E156" s="23">
        <v>127</v>
      </c>
      <c r="F156" s="23">
        <f>_xlfn.NUMBERVALUE(MID(TRIM(Tabela2[[#This Row],[retranca]]), FIND("_", TRIM(Tabela2[[#This Row],[retranca]])) + 1, 1), ",", ".")</f>
        <v>4</v>
      </c>
      <c r="G156" s="23">
        <v>4</v>
      </c>
      <c r="H156" s="23"/>
      <c r="I156" s="24" t="s">
        <v>15</v>
      </c>
      <c r="J156" s="24"/>
      <c r="K156" s="23"/>
      <c r="L156" s="23"/>
      <c r="M156" s="24"/>
      <c r="N156" s="24"/>
      <c r="O156" s="27" t="s">
        <v>366</v>
      </c>
      <c r="P156" s="27" t="s">
        <v>367</v>
      </c>
      <c r="Q156" s="23"/>
      <c r="R156" s="25"/>
      <c r="S156" s="25"/>
      <c r="T156" s="25"/>
      <c r="U156" s="25"/>
      <c r="V156" s="25"/>
      <c r="W156" s="23" t="s">
        <v>353</v>
      </c>
      <c r="X156" s="32" t="str">
        <f>IF(Tabela2[[#This Row],[sigla]]="","",VLOOKUP(Tabela2[[#This Row],[sigla]],Tabela14[[#All],[Sigla Arte]:[Crédito]],2,0))</f>
        <v>KEITHY MOSTACHI/ARQUIVO DA EDITORA</v>
      </c>
      <c r="Y156" s="24"/>
      <c r="Z156" s="24" t="str">
        <f>Tabela2[[#This Row],[ilustrador]]</f>
        <v>KEITHY MOSTACHI/ARQUIVO DA EDITORA</v>
      </c>
      <c r="AA156" s="23"/>
      <c r="AB156" s="21"/>
      <c r="AC156" s="21"/>
      <c r="AD156" s="4" t="str">
        <f t="shared" si="4"/>
        <v>Pitanguá</v>
      </c>
      <c r="AE156" s="14" t="str">
        <f t="shared" si="5"/>
        <v>Ciências</v>
      </c>
    </row>
    <row r="157" spans="1:31" s="14" customFormat="1" ht="45" customHeight="1" x14ac:dyDescent="0.3">
      <c r="A157" s="24" t="s">
        <v>368</v>
      </c>
      <c r="B157" s="21" t="s">
        <v>63</v>
      </c>
      <c r="C157" s="21" t="s">
        <v>7</v>
      </c>
      <c r="D157" s="21" t="s">
        <v>8</v>
      </c>
      <c r="E157" s="23">
        <v>127</v>
      </c>
      <c r="F157" s="23">
        <f>_xlfn.NUMBERVALUE(MID(TRIM(Tabela2[[#This Row],[retranca]]), FIND("_", TRIM(Tabela2[[#This Row],[retranca]])) + 1, 1), ",", ".")</f>
        <v>4</v>
      </c>
      <c r="G157" s="23">
        <v>4</v>
      </c>
      <c r="H157" s="23"/>
      <c r="I157" s="24" t="s">
        <v>15</v>
      </c>
      <c r="J157" s="24"/>
      <c r="K157" s="23"/>
      <c r="L157" s="23"/>
      <c r="M157" s="24"/>
      <c r="N157" s="24"/>
      <c r="O157" s="27" t="s">
        <v>369</v>
      </c>
      <c r="P157" s="27" t="s">
        <v>370</v>
      </c>
      <c r="Q157" s="23"/>
      <c r="R157" s="25"/>
      <c r="S157" s="25"/>
      <c r="T157" s="25"/>
      <c r="U157" s="25"/>
      <c r="V157" s="25"/>
      <c r="W157" s="23" t="s">
        <v>353</v>
      </c>
      <c r="X157" s="32" t="str">
        <f>IF(Tabela2[[#This Row],[sigla]]="","",VLOOKUP(Tabela2[[#This Row],[sigla]],Tabela14[[#All],[Sigla Arte]:[Crédito]],2,0))</f>
        <v>KEITHY MOSTACHI/ARQUIVO DA EDITORA</v>
      </c>
      <c r="Y157" s="24"/>
      <c r="Z157" s="24" t="str">
        <f>Tabela2[[#This Row],[ilustrador]]</f>
        <v>KEITHY MOSTACHI/ARQUIVO DA EDITORA</v>
      </c>
      <c r="AA157" s="23"/>
      <c r="AB157" s="21"/>
      <c r="AC157" s="21"/>
      <c r="AD157" s="4" t="str">
        <f t="shared" si="4"/>
        <v>Pitanguá</v>
      </c>
      <c r="AE157" s="14" t="str">
        <f t="shared" si="5"/>
        <v>Ciências</v>
      </c>
    </row>
    <row r="158" spans="1:31" s="14" customFormat="1" ht="60" customHeight="1" x14ac:dyDescent="0.3">
      <c r="A158" s="24" t="s">
        <v>371</v>
      </c>
      <c r="B158" s="21" t="s">
        <v>6</v>
      </c>
      <c r="C158" s="21" t="s">
        <v>7</v>
      </c>
      <c r="D158" s="21" t="s">
        <v>8</v>
      </c>
      <c r="E158" s="23">
        <v>129</v>
      </c>
      <c r="F158" s="23">
        <f>_xlfn.NUMBERVALUE(MID(TRIM(Tabela2[[#This Row],[retranca]]), FIND("_", TRIM(Tabela2[[#This Row],[retranca]])) + 1, 1), ",", ".")</f>
        <v>4</v>
      </c>
      <c r="G158" s="23">
        <v>4</v>
      </c>
      <c r="H158" s="23"/>
      <c r="I158" s="24" t="s">
        <v>15</v>
      </c>
      <c r="J158" s="24"/>
      <c r="K158" s="23"/>
      <c r="L158" s="23"/>
      <c r="M158" s="24"/>
      <c r="N158" s="24"/>
      <c r="O158" s="27" t="s">
        <v>372</v>
      </c>
      <c r="P158" s="27"/>
      <c r="Q158" s="23"/>
      <c r="R158" s="25"/>
      <c r="S158" s="25"/>
      <c r="T158" s="25"/>
      <c r="U158" s="25"/>
      <c r="V158" s="25"/>
      <c r="W158" s="23" t="s">
        <v>89</v>
      </c>
      <c r="X158" s="32" t="str">
        <f>IF(Tabela2[[#This Row],[sigla]]="","",VLOOKUP(Tabela2[[#This Row],[sigla]],Tabela14[[#All],[Sigla Arte]:[Crédito]],2,0))</f>
        <v>LISLLEY GOMES FEIGE/ARQUIVO DA EDITORA</v>
      </c>
      <c r="Y158" s="24"/>
      <c r="Z158" s="24" t="str">
        <f>Tabela2[[#This Row],[ilustrador]]</f>
        <v>LISLLEY GOMES FEIGE/ARQUIVO DA EDITORA</v>
      </c>
      <c r="AA158" s="23"/>
      <c r="AB158" s="21"/>
      <c r="AC158" s="21"/>
      <c r="AD158" s="4" t="str">
        <f t="shared" si="4"/>
        <v>Pitanguá</v>
      </c>
      <c r="AE158" s="14" t="str">
        <f t="shared" si="5"/>
        <v>Ciências</v>
      </c>
    </row>
    <row r="159" spans="1:31" s="14" customFormat="1" ht="60" customHeight="1" x14ac:dyDescent="0.3">
      <c r="A159" s="24" t="s">
        <v>373</v>
      </c>
      <c r="B159" s="21" t="s">
        <v>63</v>
      </c>
      <c r="C159" s="21" t="s">
        <v>7</v>
      </c>
      <c r="D159" s="21" t="s">
        <v>8</v>
      </c>
      <c r="E159" s="23">
        <v>133</v>
      </c>
      <c r="F159" s="23">
        <f>_xlfn.NUMBERVALUE(MID(TRIM(Tabela2[[#This Row],[retranca]]), FIND("_", TRIM(Tabela2[[#This Row],[retranca]])) + 1, 1), ",", ".")</f>
        <v>4</v>
      </c>
      <c r="G159" s="23">
        <v>4</v>
      </c>
      <c r="H159" s="23"/>
      <c r="I159" s="24" t="s">
        <v>15</v>
      </c>
      <c r="J159" s="24"/>
      <c r="K159" s="23"/>
      <c r="L159" s="23"/>
      <c r="M159" s="24"/>
      <c r="N159" s="24"/>
      <c r="O159" s="27" t="s">
        <v>374</v>
      </c>
      <c r="P159" s="27"/>
      <c r="Q159" s="23"/>
      <c r="R159" s="25"/>
      <c r="S159" s="25"/>
      <c r="T159" s="25"/>
      <c r="U159" s="25"/>
      <c r="V159" s="25"/>
      <c r="W159" s="23" t="s">
        <v>26</v>
      </c>
      <c r="X159" s="32" t="str">
        <f>IF(Tabela2[[#This Row],[sigla]]="","",VLOOKUP(Tabela2[[#This Row],[sigla]],Tabela14[[#All],[Sigla Arte]:[Crédito]],2,0))</f>
        <v>SAULO NUNES/ARQUIVO DA EDITORA</v>
      </c>
      <c r="Y159" s="24"/>
      <c r="Z159" s="24" t="str">
        <f>Tabela2[[#This Row],[ilustrador]]</f>
        <v>SAULO NUNES/ARQUIVO DA EDITORA</v>
      </c>
      <c r="AA159" s="23"/>
      <c r="AB159" s="21"/>
      <c r="AC159" s="21"/>
      <c r="AD159" s="4" t="str">
        <f t="shared" si="4"/>
        <v>Pitanguá</v>
      </c>
      <c r="AE159" s="14" t="str">
        <f t="shared" si="5"/>
        <v>Ciências</v>
      </c>
    </row>
    <row r="160" spans="1:31" s="14" customFormat="1" ht="60" customHeight="1" x14ac:dyDescent="0.3">
      <c r="A160" s="24" t="s">
        <v>375</v>
      </c>
      <c r="B160" s="21" t="s">
        <v>6</v>
      </c>
      <c r="C160" s="21" t="s">
        <v>7</v>
      </c>
      <c r="D160" s="21" t="s">
        <v>8</v>
      </c>
      <c r="E160" s="23">
        <v>134</v>
      </c>
      <c r="F160" s="23">
        <f>_xlfn.NUMBERVALUE(MID(TRIM(Tabela2[[#This Row],[retranca]]), FIND("_", TRIM(Tabela2[[#This Row],[retranca]])) + 1, 1), ",", ".")</f>
        <v>4</v>
      </c>
      <c r="G160" s="23">
        <v>4</v>
      </c>
      <c r="H160" s="23"/>
      <c r="I160" s="24" t="s">
        <v>15</v>
      </c>
      <c r="J160" s="24"/>
      <c r="K160" s="23"/>
      <c r="L160" s="23"/>
      <c r="M160" s="24"/>
      <c r="N160" s="24"/>
      <c r="O160" s="27" t="s">
        <v>376</v>
      </c>
      <c r="P160" s="27"/>
      <c r="Q160" s="23"/>
      <c r="R160" s="25"/>
      <c r="S160" s="25"/>
      <c r="T160" s="25"/>
      <c r="U160" s="25"/>
      <c r="V160" s="25"/>
      <c r="W160" s="23" t="s">
        <v>36</v>
      </c>
      <c r="X160" s="32" t="str">
        <f>IF(Tabela2[[#This Row],[sigla]]="","",VLOOKUP(Tabela2[[#This Row],[sigla]],Tabela14[[#All],[Sigla Arte]:[Crédito]],2,0))</f>
        <v>WERLLEN HOLANDA/ARQUIVO DA EDITORA</v>
      </c>
      <c r="Y160" s="24"/>
      <c r="Z160" s="24" t="str">
        <f>Tabela2[[#This Row],[ilustrador]]</f>
        <v>WERLLEN HOLANDA/ARQUIVO DA EDITORA</v>
      </c>
      <c r="AA160" s="23"/>
      <c r="AB160" s="21"/>
      <c r="AC160" s="21"/>
      <c r="AD160" s="4" t="str">
        <f t="shared" si="4"/>
        <v>Pitanguá</v>
      </c>
      <c r="AE160" s="14" t="str">
        <f t="shared" si="5"/>
        <v>Ciências</v>
      </c>
    </row>
    <row r="161" spans="1:31" s="14" customFormat="1" ht="45" customHeight="1" x14ac:dyDescent="0.3">
      <c r="A161" s="24" t="s">
        <v>377</v>
      </c>
      <c r="B161" s="21" t="s">
        <v>6</v>
      </c>
      <c r="C161" s="21" t="s">
        <v>7</v>
      </c>
      <c r="D161" s="21" t="s">
        <v>8</v>
      </c>
      <c r="E161" s="23">
        <v>135</v>
      </c>
      <c r="F161" s="23">
        <f>_xlfn.NUMBERVALUE(MID(TRIM(Tabela2[[#This Row],[retranca]]), FIND("_", TRIM(Tabela2[[#This Row],[retranca]])) + 1, 1), ",", ".")</f>
        <v>4</v>
      </c>
      <c r="G161" s="23">
        <v>4</v>
      </c>
      <c r="H161" s="23"/>
      <c r="I161" s="24" t="s">
        <v>15</v>
      </c>
      <c r="J161" s="24"/>
      <c r="K161" s="23"/>
      <c r="L161" s="23"/>
      <c r="M161" s="24"/>
      <c r="N161" s="24"/>
      <c r="O161" s="27" t="s">
        <v>378</v>
      </c>
      <c r="P161" s="27"/>
      <c r="Q161" s="23"/>
      <c r="R161" s="25"/>
      <c r="S161" s="25"/>
      <c r="T161" s="25"/>
      <c r="U161" s="25"/>
      <c r="V161" s="25"/>
      <c r="W161" s="23" t="s">
        <v>36</v>
      </c>
      <c r="X161" s="32" t="str">
        <f>IF(Tabela2[[#This Row],[sigla]]="","",VLOOKUP(Tabela2[[#This Row],[sigla]],Tabela14[[#All],[Sigla Arte]:[Crédito]],2,0))</f>
        <v>WERLLEN HOLANDA/ARQUIVO DA EDITORA</v>
      </c>
      <c r="Y161" s="24"/>
      <c r="Z161" s="24" t="str">
        <f>Tabela2[[#This Row],[ilustrador]]</f>
        <v>WERLLEN HOLANDA/ARQUIVO DA EDITORA</v>
      </c>
      <c r="AA161" s="23"/>
      <c r="AB161" s="21"/>
      <c r="AC161" s="21"/>
      <c r="AD161" s="4" t="str">
        <f t="shared" si="4"/>
        <v>Pitanguá</v>
      </c>
      <c r="AE161" s="14" t="str">
        <f t="shared" si="5"/>
        <v>Ciências</v>
      </c>
    </row>
    <row r="162" spans="1:31" s="14" customFormat="1" ht="120" customHeight="1" x14ac:dyDescent="0.3">
      <c r="A162" s="24" t="s">
        <v>379</v>
      </c>
      <c r="B162" s="21" t="s">
        <v>6</v>
      </c>
      <c r="C162" s="21" t="s">
        <v>7</v>
      </c>
      <c r="D162" s="21" t="s">
        <v>8</v>
      </c>
      <c r="E162" s="23"/>
      <c r="F162" s="23">
        <f>_xlfn.NUMBERVALUE(MID(TRIM(Tabela2[[#This Row],[retranca]]), FIND("_", TRIM(Tabela2[[#This Row],[retranca]])) + 1, 1), ",", ".")</f>
        <v>3</v>
      </c>
      <c r="G162" s="23">
        <v>3</v>
      </c>
      <c r="H162" s="23"/>
      <c r="I162" s="24" t="s">
        <v>28</v>
      </c>
      <c r="J162" s="24"/>
      <c r="K162" s="23"/>
      <c r="L162" s="23"/>
      <c r="M162" s="24"/>
      <c r="N162" s="24"/>
      <c r="O162" s="27" t="s">
        <v>380</v>
      </c>
      <c r="P162" s="27"/>
      <c r="Q162" s="23">
        <v>2</v>
      </c>
      <c r="R162" s="25">
        <v>45771</v>
      </c>
      <c r="S162" s="25">
        <v>45784</v>
      </c>
      <c r="T162" s="25">
        <v>45786</v>
      </c>
      <c r="U162" s="25">
        <v>45789</v>
      </c>
      <c r="V162" s="25">
        <v>45790</v>
      </c>
      <c r="W162" s="23" t="s">
        <v>26</v>
      </c>
      <c r="X162" s="32" t="str">
        <f>IF(Tabela2[[#This Row],[sigla]]="","",VLOOKUP(Tabela2[[#This Row],[sigla]],Tabela14[[#All],[Sigla Arte]:[Crédito]],2,0))</f>
        <v>SAULO NUNES/ARQUIVO DA EDITORA</v>
      </c>
      <c r="Y162" s="24"/>
      <c r="Z162" s="24" t="str">
        <f>Tabela2[[#This Row],[ilustrador]]</f>
        <v>SAULO NUNES/ARQUIVO DA EDITORA</v>
      </c>
      <c r="AA162" s="23">
        <v>6</v>
      </c>
      <c r="AB162" s="27" t="s">
        <v>381</v>
      </c>
      <c r="AC162" s="21" t="s">
        <v>13</v>
      </c>
      <c r="AD162" s="4" t="str">
        <f t="shared" si="4"/>
        <v>Pitanguá</v>
      </c>
      <c r="AE162" s="14" t="str">
        <f t="shared" si="5"/>
        <v>Ciências</v>
      </c>
    </row>
    <row r="163" spans="1:31" s="14" customFormat="1" x14ac:dyDescent="0.3">
      <c r="A163" s="24" t="s">
        <v>382</v>
      </c>
      <c r="B163" s="21" t="s">
        <v>6</v>
      </c>
      <c r="C163" s="21" t="s">
        <v>7</v>
      </c>
      <c r="D163" s="21" t="s">
        <v>8</v>
      </c>
      <c r="E163" s="23"/>
      <c r="F163" s="23">
        <f>_xlfn.NUMBERVALUE(MID(TRIM(Tabela2[[#This Row],[retranca]]), FIND("_", TRIM(Tabela2[[#This Row],[retranca]])) + 1, 1), ",", ".")</f>
        <v>3</v>
      </c>
      <c r="G163" s="23">
        <v>3</v>
      </c>
      <c r="H163" s="23"/>
      <c r="I163" s="24" t="s">
        <v>28</v>
      </c>
      <c r="J163" s="24"/>
      <c r="K163" s="23"/>
      <c r="L163" s="23"/>
      <c r="M163" s="24"/>
      <c r="N163" s="24"/>
      <c r="O163" s="27" t="s">
        <v>383</v>
      </c>
      <c r="P163" s="27"/>
      <c r="Q163" s="23">
        <v>2</v>
      </c>
      <c r="R163" s="25">
        <v>45771</v>
      </c>
      <c r="S163" s="25">
        <v>45784</v>
      </c>
      <c r="T163" s="25"/>
      <c r="U163" s="25"/>
      <c r="V163" s="25">
        <v>45784</v>
      </c>
      <c r="W163" s="23" t="s">
        <v>26</v>
      </c>
      <c r="X163" s="32" t="str">
        <f>IF(Tabela2[[#This Row],[sigla]]="","",VLOOKUP(Tabela2[[#This Row],[sigla]],Tabela14[[#All],[Sigla Arte]:[Crédito]],2,0))</f>
        <v>SAULO NUNES/ARQUIVO DA EDITORA</v>
      </c>
      <c r="Y163" s="24" t="s">
        <v>53</v>
      </c>
      <c r="Z163" s="24" t="str">
        <f>Tabela2[[#This Row],[ilustrador]]</f>
        <v>SAULO NUNES/ARQUIVO DA EDITORA</v>
      </c>
      <c r="AA163" s="23">
        <v>13</v>
      </c>
      <c r="AB163" s="21" t="s">
        <v>54</v>
      </c>
      <c r="AC163" s="21" t="s">
        <v>31</v>
      </c>
      <c r="AD163" s="4" t="str">
        <f t="shared" si="4"/>
        <v>Pitanguá</v>
      </c>
      <c r="AE163" s="14" t="str">
        <f t="shared" si="5"/>
        <v>Ciências</v>
      </c>
    </row>
    <row r="164" spans="1:31" s="14" customFormat="1" x14ac:dyDescent="0.3">
      <c r="A164" s="24" t="s">
        <v>384</v>
      </c>
      <c r="B164" s="21" t="s">
        <v>6</v>
      </c>
      <c r="C164" s="21" t="s">
        <v>7</v>
      </c>
      <c r="D164" s="21" t="s">
        <v>8</v>
      </c>
      <c r="E164" s="23"/>
      <c r="F164" s="23">
        <f>_xlfn.NUMBERVALUE(MID(TRIM(Tabela2[[#This Row],[retranca]]), FIND("_", TRIM(Tabela2[[#This Row],[retranca]])) + 1, 1), ",", ".")</f>
        <v>3</v>
      </c>
      <c r="G164" s="23">
        <v>3</v>
      </c>
      <c r="H164" s="23"/>
      <c r="I164" s="24" t="s">
        <v>28</v>
      </c>
      <c r="J164" s="24"/>
      <c r="K164" s="23"/>
      <c r="L164" s="23"/>
      <c r="M164" s="24"/>
      <c r="N164" s="24"/>
      <c r="O164" s="27" t="s">
        <v>385</v>
      </c>
      <c r="P164" s="27"/>
      <c r="Q164" s="23">
        <v>2</v>
      </c>
      <c r="R164" s="25">
        <v>45771</v>
      </c>
      <c r="S164" s="25">
        <v>45784</v>
      </c>
      <c r="T164" s="25"/>
      <c r="U164" s="25"/>
      <c r="V164" s="25">
        <v>45784</v>
      </c>
      <c r="W164" s="23" t="s">
        <v>26</v>
      </c>
      <c r="X164" s="32" t="str">
        <f>IF(Tabela2[[#This Row],[sigla]]="","",VLOOKUP(Tabela2[[#This Row],[sigla]],Tabela14[[#All],[Sigla Arte]:[Crédito]],2,0))</f>
        <v>SAULO NUNES/ARQUIVO DA EDITORA</v>
      </c>
      <c r="Y164" s="24" t="s">
        <v>53</v>
      </c>
      <c r="Z164" s="24" t="str">
        <f>Tabela2[[#This Row],[ilustrador]]</f>
        <v>SAULO NUNES/ARQUIVO DA EDITORA</v>
      </c>
      <c r="AA164" s="23">
        <v>13</v>
      </c>
      <c r="AB164" s="21" t="s">
        <v>54</v>
      </c>
      <c r="AC164" s="21" t="s">
        <v>31</v>
      </c>
      <c r="AD164" s="4" t="str">
        <f t="shared" si="4"/>
        <v>Pitanguá</v>
      </c>
      <c r="AE164" s="14" t="str">
        <f t="shared" si="5"/>
        <v>Ciências</v>
      </c>
    </row>
    <row r="165" spans="1:31" s="14" customFormat="1" x14ac:dyDescent="0.3">
      <c r="A165" s="24" t="s">
        <v>386</v>
      </c>
      <c r="B165" s="21" t="s">
        <v>6</v>
      </c>
      <c r="C165" s="21" t="s">
        <v>7</v>
      </c>
      <c r="D165" s="21" t="s">
        <v>8</v>
      </c>
      <c r="E165" s="23"/>
      <c r="F165" s="23">
        <f>_xlfn.NUMBERVALUE(MID(TRIM(Tabela2[[#This Row],[retranca]]), FIND("_", TRIM(Tabela2[[#This Row],[retranca]])) + 1, 1), ",", ".")</f>
        <v>3</v>
      </c>
      <c r="G165" s="23">
        <v>3</v>
      </c>
      <c r="H165" s="23"/>
      <c r="I165" s="24" t="s">
        <v>28</v>
      </c>
      <c r="J165" s="24"/>
      <c r="K165" s="23"/>
      <c r="L165" s="23"/>
      <c r="M165" s="24"/>
      <c r="N165" s="24"/>
      <c r="O165" s="27" t="s">
        <v>387</v>
      </c>
      <c r="P165" s="27"/>
      <c r="Q165" s="23">
        <v>2</v>
      </c>
      <c r="R165" s="25">
        <v>45771</v>
      </c>
      <c r="S165" s="25">
        <v>45784</v>
      </c>
      <c r="T165" s="25"/>
      <c r="U165" s="25"/>
      <c r="V165" s="25">
        <v>45784</v>
      </c>
      <c r="W165" s="23" t="s">
        <v>26</v>
      </c>
      <c r="X165" s="32" t="str">
        <f>IF(Tabela2[[#This Row],[sigla]]="","",VLOOKUP(Tabela2[[#This Row],[sigla]],Tabela14[[#All],[Sigla Arte]:[Crédito]],2,0))</f>
        <v>SAULO NUNES/ARQUIVO DA EDITORA</v>
      </c>
      <c r="Y165" s="24" t="s">
        <v>53</v>
      </c>
      <c r="Z165" s="24" t="str">
        <f>Tabela2[[#This Row],[ilustrador]]</f>
        <v>SAULO NUNES/ARQUIVO DA EDITORA</v>
      </c>
      <c r="AA165" s="23">
        <v>13</v>
      </c>
      <c r="AB165" s="21" t="s">
        <v>54</v>
      </c>
      <c r="AC165" s="21" t="s">
        <v>31</v>
      </c>
      <c r="AD165" s="4" t="str">
        <f t="shared" si="4"/>
        <v>Pitanguá</v>
      </c>
      <c r="AE165" s="14" t="str">
        <f t="shared" si="5"/>
        <v>Ciências</v>
      </c>
    </row>
    <row r="166" spans="1:31" s="14" customFormat="1" ht="30" customHeight="1" x14ac:dyDescent="0.3">
      <c r="A166" s="24" t="s">
        <v>388</v>
      </c>
      <c r="B166" s="21" t="s">
        <v>6</v>
      </c>
      <c r="C166" s="21" t="s">
        <v>7</v>
      </c>
      <c r="D166" s="21" t="s">
        <v>8</v>
      </c>
      <c r="E166" s="23"/>
      <c r="F166" s="23">
        <f>_xlfn.NUMBERVALUE(MID(TRIM(Tabela2[[#This Row],[retranca]]), FIND("_", TRIM(Tabela2[[#This Row],[retranca]])) + 1, 1), ",", ".")</f>
        <v>3</v>
      </c>
      <c r="G166" s="23">
        <v>3</v>
      </c>
      <c r="H166" s="23"/>
      <c r="I166" s="24" t="s">
        <v>28</v>
      </c>
      <c r="J166" s="24"/>
      <c r="K166" s="23"/>
      <c r="L166" s="23"/>
      <c r="M166" s="24"/>
      <c r="N166" s="24"/>
      <c r="O166" s="27" t="s">
        <v>389</v>
      </c>
      <c r="P166" s="27"/>
      <c r="Q166" s="23">
        <v>2</v>
      </c>
      <c r="R166" s="25">
        <v>45771</v>
      </c>
      <c r="S166" s="25">
        <v>45784</v>
      </c>
      <c r="T166" s="25"/>
      <c r="U166" s="25"/>
      <c r="V166" s="25">
        <v>45790</v>
      </c>
      <c r="W166" s="23" t="s">
        <v>26</v>
      </c>
      <c r="X166" s="32" t="str">
        <f>IF(Tabela2[[#This Row],[sigla]]="","",VLOOKUP(Tabela2[[#This Row],[sigla]],Tabela14[[#All],[Sigla Arte]:[Crédito]],2,0))</f>
        <v>SAULO NUNES/ARQUIVO DA EDITORA</v>
      </c>
      <c r="Y166" s="24" t="s">
        <v>53</v>
      </c>
      <c r="Z166" s="24" t="str">
        <f>Tabela2[[#This Row],[ilustrador]]</f>
        <v>SAULO NUNES/ARQUIVO DA EDITORA</v>
      </c>
      <c r="AA166" s="23">
        <v>13</v>
      </c>
      <c r="AB166" s="21" t="s">
        <v>54</v>
      </c>
      <c r="AC166" s="21" t="s">
        <v>31</v>
      </c>
      <c r="AD166" s="4" t="str">
        <f t="shared" si="4"/>
        <v>Pitanguá</v>
      </c>
      <c r="AE166" s="14" t="str">
        <f t="shared" si="5"/>
        <v>Ciências</v>
      </c>
    </row>
    <row r="167" spans="1:31" s="14" customFormat="1" ht="30" customHeight="1" x14ac:dyDescent="0.3">
      <c r="A167" s="24" t="s">
        <v>390</v>
      </c>
      <c r="B167" s="21" t="s">
        <v>6</v>
      </c>
      <c r="C167" s="21" t="s">
        <v>7</v>
      </c>
      <c r="D167" s="21" t="s">
        <v>8</v>
      </c>
      <c r="E167" s="23"/>
      <c r="F167" s="23">
        <f>_xlfn.NUMBERVALUE(MID(TRIM(Tabela2[[#This Row],[retranca]]), FIND("_", TRIM(Tabela2[[#This Row],[retranca]])) + 1, 1), ",", ".")</f>
        <v>3</v>
      </c>
      <c r="G167" s="23">
        <v>3</v>
      </c>
      <c r="H167" s="23"/>
      <c r="I167" s="24" t="s">
        <v>9</v>
      </c>
      <c r="J167" s="24"/>
      <c r="K167" s="23"/>
      <c r="L167" s="23"/>
      <c r="M167" s="24"/>
      <c r="N167" s="24"/>
      <c r="O167" s="27" t="s">
        <v>391</v>
      </c>
      <c r="P167" s="27"/>
      <c r="Q167" s="23">
        <v>2</v>
      </c>
      <c r="R167" s="25">
        <v>45771</v>
      </c>
      <c r="S167" s="25">
        <v>45783</v>
      </c>
      <c r="T167" s="25"/>
      <c r="U167" s="25"/>
      <c r="V167" s="25">
        <v>45783</v>
      </c>
      <c r="W167" s="23" t="s">
        <v>95</v>
      </c>
      <c r="X167" s="32" t="str">
        <f>IF(Tabela2[[#This Row],[sigla]]="","",VLOOKUP(Tabela2[[#This Row],[sigla]],Tabela14[[#All],[Sigla Arte]:[Crédito]],2,0))</f>
        <v>VER DOCUMENTO DE ILS. TÉCNICAS</v>
      </c>
      <c r="Y167" s="24" t="s">
        <v>53</v>
      </c>
      <c r="Z167" s="30" t="s">
        <v>96</v>
      </c>
      <c r="AA167" s="23">
        <v>13</v>
      </c>
      <c r="AB167" s="21" t="s">
        <v>54</v>
      </c>
      <c r="AC167" s="21" t="s">
        <v>31</v>
      </c>
      <c r="AD167" s="4" t="str">
        <f t="shared" si="4"/>
        <v>Pitanguá</v>
      </c>
      <c r="AE167" s="14" t="str">
        <f t="shared" si="5"/>
        <v>Ciências</v>
      </c>
    </row>
    <row r="168" spans="1:31" s="14" customFormat="1" ht="120" customHeight="1" x14ac:dyDescent="0.3">
      <c r="A168" s="24" t="s">
        <v>392</v>
      </c>
      <c r="B168" s="21" t="s">
        <v>6</v>
      </c>
      <c r="C168" s="21" t="s">
        <v>7</v>
      </c>
      <c r="D168" s="21" t="s">
        <v>8</v>
      </c>
      <c r="E168" s="23"/>
      <c r="F168" s="23">
        <f>_xlfn.NUMBERVALUE(MID(TRIM(Tabela2[[#This Row],[retranca]]), FIND("_", TRIM(Tabela2[[#This Row],[retranca]])) + 1, 1), ",", ".")</f>
        <v>3</v>
      </c>
      <c r="G168" s="23">
        <v>3</v>
      </c>
      <c r="H168" s="23"/>
      <c r="I168" s="24" t="s">
        <v>9</v>
      </c>
      <c r="J168" s="24"/>
      <c r="K168" s="23"/>
      <c r="L168" s="23"/>
      <c r="M168" s="24"/>
      <c r="N168" s="24"/>
      <c r="O168" s="27" t="s">
        <v>393</v>
      </c>
      <c r="P168" s="27"/>
      <c r="Q168" s="23">
        <v>2</v>
      </c>
      <c r="R168" s="25">
        <v>45771</v>
      </c>
      <c r="S168" s="25">
        <v>45783</v>
      </c>
      <c r="T168" s="25">
        <v>45786</v>
      </c>
      <c r="U168" s="25">
        <v>45789</v>
      </c>
      <c r="V168" s="25">
        <v>45796</v>
      </c>
      <c r="W168" s="23" t="s">
        <v>394</v>
      </c>
      <c r="X168" s="32" t="str">
        <f>IF(Tabela2[[#This Row],[sigla]]="","",VLOOKUP(Tabela2[[#This Row],[sigla]],Tabela14[[#All],[Sigla Arte]:[Crédito]],2,0))</f>
        <v>RIVALDO BARBOZA/ARQUIVO DA EDITORA</v>
      </c>
      <c r="Y168" s="24"/>
      <c r="Z168" s="24" t="str">
        <f>Tabela2[[#This Row],[ilustrador]]</f>
        <v>RIVALDO BARBOZA/ARQUIVO DA EDITORA</v>
      </c>
      <c r="AA168" s="23">
        <v>4</v>
      </c>
      <c r="AB168" s="27" t="s">
        <v>395</v>
      </c>
      <c r="AC168" s="21" t="s">
        <v>13</v>
      </c>
      <c r="AD168" s="4" t="str">
        <f t="shared" si="4"/>
        <v>Pitanguá</v>
      </c>
      <c r="AE168" s="14" t="str">
        <f t="shared" si="5"/>
        <v>Ciências</v>
      </c>
    </row>
    <row r="169" spans="1:31" s="14" customFormat="1" ht="75" customHeight="1" x14ac:dyDescent="0.3">
      <c r="A169" s="24" t="s">
        <v>396</v>
      </c>
      <c r="B169" s="21" t="s">
        <v>6</v>
      </c>
      <c r="C169" s="21" t="s">
        <v>7</v>
      </c>
      <c r="D169" s="21" t="s">
        <v>8</v>
      </c>
      <c r="E169" s="23"/>
      <c r="F169" s="23">
        <f>_xlfn.NUMBERVALUE(MID(TRIM(Tabela2[[#This Row],[retranca]]), FIND("_", TRIM(Tabela2[[#This Row],[retranca]])) + 1, 1), ",", ".")</f>
        <v>3</v>
      </c>
      <c r="G169" s="23">
        <v>3</v>
      </c>
      <c r="H169" s="23"/>
      <c r="I169" s="24" t="s">
        <v>28</v>
      </c>
      <c r="J169" s="24"/>
      <c r="K169" s="23"/>
      <c r="L169" s="23"/>
      <c r="M169" s="24"/>
      <c r="N169" s="24"/>
      <c r="O169" s="27" t="s">
        <v>397</v>
      </c>
      <c r="P169" s="27"/>
      <c r="Q169" s="23">
        <v>2</v>
      </c>
      <c r="R169" s="25">
        <v>45771</v>
      </c>
      <c r="S169" s="25">
        <v>45784</v>
      </c>
      <c r="T169" s="25"/>
      <c r="U169" s="25"/>
      <c r="V169" s="25">
        <v>45785</v>
      </c>
      <c r="W169" s="23" t="s">
        <v>11</v>
      </c>
      <c r="X169" s="32" t="str">
        <f>IF(Tabela2[[#This Row],[sigla]]="","",VLOOKUP(Tabela2[[#This Row],[sigla]],Tabela14[[#All],[Sigla Arte]:[Crédito]],2,0))</f>
        <v>LEONARDO DE MOURA AMARAL/ARQUIVO DA EDITORA</v>
      </c>
      <c r="Y169" s="24" t="s">
        <v>53</v>
      </c>
      <c r="Z169" s="24" t="str">
        <f>Tabela2[[#This Row],[ilustrador]]</f>
        <v>LEONARDO DE MOURA AMARAL/ARQUIVO DA EDITORA</v>
      </c>
      <c r="AA169" s="23">
        <v>13</v>
      </c>
      <c r="AB169" s="21" t="s">
        <v>54</v>
      </c>
      <c r="AC169" s="21" t="s">
        <v>31</v>
      </c>
      <c r="AD169" s="4" t="str">
        <f t="shared" si="4"/>
        <v>Pitanguá</v>
      </c>
      <c r="AE169" s="14" t="str">
        <f t="shared" si="5"/>
        <v>Ciências</v>
      </c>
    </row>
    <row r="170" spans="1:31" s="14" customFormat="1" ht="270" customHeight="1" x14ac:dyDescent="0.3">
      <c r="A170" s="24" t="s">
        <v>398</v>
      </c>
      <c r="B170" s="21" t="s">
        <v>6</v>
      </c>
      <c r="C170" s="21" t="s">
        <v>7</v>
      </c>
      <c r="D170" s="21" t="s">
        <v>8</v>
      </c>
      <c r="E170" s="23"/>
      <c r="F170" s="23">
        <f>_xlfn.NUMBERVALUE(MID(TRIM(Tabela2[[#This Row],[retranca]]), FIND("_", TRIM(Tabela2[[#This Row],[retranca]])) + 1, 1), ",", ".")</f>
        <v>3</v>
      </c>
      <c r="G170" s="23">
        <v>3</v>
      </c>
      <c r="H170" s="23"/>
      <c r="I170" s="24" t="s">
        <v>9</v>
      </c>
      <c r="J170" s="24"/>
      <c r="K170" s="23"/>
      <c r="L170" s="23"/>
      <c r="M170" s="24"/>
      <c r="N170" s="24"/>
      <c r="O170" s="27" t="s">
        <v>399</v>
      </c>
      <c r="P170" s="27"/>
      <c r="Q170" s="23">
        <v>2</v>
      </c>
      <c r="R170" s="25">
        <v>45771</v>
      </c>
      <c r="S170" s="25">
        <v>45784</v>
      </c>
      <c r="T170" s="25">
        <v>45785</v>
      </c>
      <c r="U170" s="25">
        <v>45786</v>
      </c>
      <c r="V170" s="25">
        <v>45789</v>
      </c>
      <c r="W170" s="23" t="s">
        <v>36</v>
      </c>
      <c r="X170" s="32" t="str">
        <f>IF(Tabela2[[#This Row],[sigla]]="","",VLOOKUP(Tabela2[[#This Row],[sigla]],Tabela14[[#All],[Sigla Arte]:[Crédito]],2,0))</f>
        <v>WERLLEN HOLANDA/ARQUIVO DA EDITORA</v>
      </c>
      <c r="Y170" s="24"/>
      <c r="Z170" s="24" t="str">
        <f>Tabela2[[#This Row],[ilustrador]]</f>
        <v>WERLLEN HOLANDA/ARQUIVO DA EDITORA</v>
      </c>
      <c r="AA170" s="23">
        <v>4</v>
      </c>
      <c r="AB170" s="27" t="s">
        <v>400</v>
      </c>
      <c r="AC170" s="21" t="s">
        <v>13</v>
      </c>
      <c r="AD170" s="4" t="str">
        <f t="shared" si="4"/>
        <v>Pitanguá</v>
      </c>
      <c r="AE170" s="14" t="str">
        <f t="shared" si="5"/>
        <v>Ciências</v>
      </c>
    </row>
    <row r="171" spans="1:31" s="14" customFormat="1" ht="90" customHeight="1" x14ac:dyDescent="0.3">
      <c r="A171" s="24" t="s">
        <v>401</v>
      </c>
      <c r="B171" s="21" t="s">
        <v>6</v>
      </c>
      <c r="C171" s="21" t="s">
        <v>7</v>
      </c>
      <c r="D171" s="21" t="s">
        <v>8</v>
      </c>
      <c r="E171" s="23">
        <v>15</v>
      </c>
      <c r="F171" s="23">
        <f>_xlfn.NUMBERVALUE(MID(TRIM(Tabela2[[#This Row],[retranca]]), FIND("_", TRIM(Tabela2[[#This Row],[retranca]])) + 1, 1), ",", ".")</f>
        <v>5</v>
      </c>
      <c r="G171" s="23">
        <v>1</v>
      </c>
      <c r="H171" s="23"/>
      <c r="I171" s="24" t="s">
        <v>28</v>
      </c>
      <c r="J171" s="24"/>
      <c r="K171" s="23"/>
      <c r="L171" s="23"/>
      <c r="M171" s="24"/>
      <c r="N171" s="24"/>
      <c r="O171" s="27" t="s">
        <v>402</v>
      </c>
      <c r="P171" s="27"/>
      <c r="Q171" s="23">
        <v>1</v>
      </c>
      <c r="R171" s="25">
        <v>45783</v>
      </c>
      <c r="S171" s="25">
        <v>45783</v>
      </c>
      <c r="T171" s="25"/>
      <c r="U171" s="25"/>
      <c r="V171" s="25">
        <v>45784</v>
      </c>
      <c r="W171" s="23" t="s">
        <v>95</v>
      </c>
      <c r="X171" s="32" t="str">
        <f>IF(Tabela2[[#This Row],[sigla]]="","",VLOOKUP(Tabela2[[#This Row],[sigla]],Tabela14[[#All],[Sigla Arte]:[Crédito]],2,0))</f>
        <v>VER DOCUMENTO DE ILS. TÉCNICAS</v>
      </c>
      <c r="Y171" s="24" t="s">
        <v>330</v>
      </c>
      <c r="Z171" s="24" t="s">
        <v>403</v>
      </c>
      <c r="AA171" s="23">
        <v>13</v>
      </c>
      <c r="AB171" s="21" t="s">
        <v>404</v>
      </c>
      <c r="AC171" s="21" t="s">
        <v>31</v>
      </c>
      <c r="AD171" s="4" t="str">
        <f t="shared" si="4"/>
        <v>Pitanguá</v>
      </c>
      <c r="AE171" s="14" t="str">
        <f t="shared" si="5"/>
        <v>Ciências</v>
      </c>
    </row>
    <row r="172" spans="1:31" s="14" customFormat="1" ht="45" customHeight="1" x14ac:dyDescent="0.3">
      <c r="A172" s="24" t="s">
        <v>405</v>
      </c>
      <c r="B172" s="21" t="s">
        <v>6</v>
      </c>
      <c r="C172" s="21" t="s">
        <v>7</v>
      </c>
      <c r="D172" s="21" t="s">
        <v>8</v>
      </c>
      <c r="E172" s="23">
        <v>15</v>
      </c>
      <c r="F172" s="23">
        <f>_xlfn.NUMBERVALUE(MID(TRIM(Tabela2[[#This Row],[retranca]]), FIND("_", TRIM(Tabela2[[#This Row],[retranca]])) + 1, 1), ",", ".")</f>
        <v>5</v>
      </c>
      <c r="G172" s="23">
        <v>1</v>
      </c>
      <c r="H172" s="23"/>
      <c r="I172" s="24" t="s">
        <v>15</v>
      </c>
      <c r="J172" s="24"/>
      <c r="K172" s="23"/>
      <c r="L172" s="23"/>
      <c r="M172" s="24"/>
      <c r="N172" s="24"/>
      <c r="O172" s="27" t="s">
        <v>406</v>
      </c>
      <c r="P172" s="27"/>
      <c r="Q172" s="23"/>
      <c r="R172" s="25"/>
      <c r="S172" s="25"/>
      <c r="T172" s="25"/>
      <c r="U172" s="25"/>
      <c r="V172" s="25"/>
      <c r="W172" s="23" t="s">
        <v>78</v>
      </c>
      <c r="X172" s="32" t="str">
        <f>IF(Tabela2[[#This Row],[sigla]]="","",VLOOKUP(Tabela2[[#This Row],[sigla]],Tabela14[[#All],[Sigla Arte]:[Crédito]],2,0))</f>
        <v>HELOÍSA PINTARELLI/ARQUIVO DA EDITORA</v>
      </c>
      <c r="Y172" s="24"/>
      <c r="Z172" s="24" t="str">
        <f>Tabela2[[#This Row],[ilustrador]]</f>
        <v>HELOÍSA PINTARELLI/ARQUIVO DA EDITORA</v>
      </c>
      <c r="AA172" s="23"/>
      <c r="AB172" s="21"/>
      <c r="AC172" s="21"/>
      <c r="AD172" s="4" t="str">
        <f t="shared" si="4"/>
        <v>Pitanguá</v>
      </c>
      <c r="AE172" s="14" t="str">
        <f t="shared" si="5"/>
        <v>Ciências</v>
      </c>
    </row>
    <row r="173" spans="1:31" s="14" customFormat="1" ht="45" customHeight="1" x14ac:dyDescent="0.3">
      <c r="A173" s="24" t="s">
        <v>407</v>
      </c>
      <c r="B173" s="21" t="s">
        <v>6</v>
      </c>
      <c r="C173" s="21" t="s">
        <v>7</v>
      </c>
      <c r="D173" s="21" t="s">
        <v>8</v>
      </c>
      <c r="E173" s="23">
        <v>15</v>
      </c>
      <c r="F173" s="23">
        <f>_xlfn.NUMBERVALUE(MID(TRIM(Tabela2[[#This Row],[retranca]]), FIND("_", TRIM(Tabela2[[#This Row],[retranca]])) + 1, 1), ",", ".")</f>
        <v>5</v>
      </c>
      <c r="G173" s="23">
        <v>1</v>
      </c>
      <c r="H173" s="23"/>
      <c r="I173" s="24" t="s">
        <v>15</v>
      </c>
      <c r="J173" s="24"/>
      <c r="K173" s="23"/>
      <c r="L173" s="23"/>
      <c r="M173" s="24"/>
      <c r="N173" s="24"/>
      <c r="O173" s="27" t="s">
        <v>408</v>
      </c>
      <c r="P173" s="27"/>
      <c r="Q173" s="23"/>
      <c r="R173" s="25"/>
      <c r="S173" s="25"/>
      <c r="T173" s="25"/>
      <c r="U173" s="25"/>
      <c r="V173" s="25"/>
      <c r="W173" s="23" t="s">
        <v>78</v>
      </c>
      <c r="X173" s="32" t="str">
        <f>IF(Tabela2[[#This Row],[sigla]]="","",VLOOKUP(Tabela2[[#This Row],[sigla]],Tabela14[[#All],[Sigla Arte]:[Crédito]],2,0))</f>
        <v>HELOÍSA PINTARELLI/ARQUIVO DA EDITORA</v>
      </c>
      <c r="Y173" s="24"/>
      <c r="Z173" s="24" t="str">
        <f>Tabela2[[#This Row],[ilustrador]]</f>
        <v>HELOÍSA PINTARELLI/ARQUIVO DA EDITORA</v>
      </c>
      <c r="AA173" s="23"/>
      <c r="AB173" s="21"/>
      <c r="AC173" s="21"/>
      <c r="AD173" s="4" t="str">
        <f t="shared" si="4"/>
        <v>Pitanguá</v>
      </c>
      <c r="AE173" s="14" t="str">
        <f t="shared" si="5"/>
        <v>Ciências</v>
      </c>
    </row>
    <row r="174" spans="1:31" s="14" customFormat="1" ht="60" customHeight="1" x14ac:dyDescent="0.3">
      <c r="A174" s="24" t="s">
        <v>409</v>
      </c>
      <c r="B174" s="21" t="s">
        <v>6</v>
      </c>
      <c r="C174" s="21" t="s">
        <v>7</v>
      </c>
      <c r="D174" s="21" t="s">
        <v>8</v>
      </c>
      <c r="E174" s="23">
        <v>16</v>
      </c>
      <c r="F174" s="23">
        <f>_xlfn.NUMBERVALUE(MID(TRIM(Tabela2[[#This Row],[retranca]]), FIND("_", TRIM(Tabela2[[#This Row],[retranca]])) + 1, 1), ",", ".")</f>
        <v>5</v>
      </c>
      <c r="G174" s="23">
        <v>1</v>
      </c>
      <c r="H174" s="23"/>
      <c r="I174" s="24" t="s">
        <v>15</v>
      </c>
      <c r="J174" s="24"/>
      <c r="K174" s="23"/>
      <c r="L174" s="23"/>
      <c r="M174" s="24"/>
      <c r="N174" s="24"/>
      <c r="O174" s="27" t="s">
        <v>410</v>
      </c>
      <c r="P174" s="27"/>
      <c r="Q174" s="23"/>
      <c r="R174" s="25"/>
      <c r="S174" s="25"/>
      <c r="T174" s="25"/>
      <c r="U174" s="25"/>
      <c r="V174" s="25"/>
      <c r="W174" s="23" t="s">
        <v>78</v>
      </c>
      <c r="X174" s="32" t="str">
        <f>IF(Tabela2[[#This Row],[sigla]]="","",VLOOKUP(Tabela2[[#This Row],[sigla]],Tabela14[[#All],[Sigla Arte]:[Crédito]],2,0))</f>
        <v>HELOÍSA PINTARELLI/ARQUIVO DA EDITORA</v>
      </c>
      <c r="Y174" s="24"/>
      <c r="Z174" s="24" t="str">
        <f>Tabela2[[#This Row],[ilustrador]]</f>
        <v>HELOÍSA PINTARELLI/ARQUIVO DA EDITORA</v>
      </c>
      <c r="AA174" s="23"/>
      <c r="AB174" s="21"/>
      <c r="AC174" s="21"/>
      <c r="AD174" s="4" t="str">
        <f t="shared" si="4"/>
        <v>Pitanguá</v>
      </c>
      <c r="AE174" s="14" t="str">
        <f t="shared" si="5"/>
        <v>Ciências</v>
      </c>
    </row>
    <row r="175" spans="1:31" s="14" customFormat="1" ht="45" customHeight="1" x14ac:dyDescent="0.3">
      <c r="A175" s="24" t="s">
        <v>411</v>
      </c>
      <c r="B175" s="21" t="s">
        <v>6</v>
      </c>
      <c r="C175" s="21" t="s">
        <v>7</v>
      </c>
      <c r="D175" s="21" t="s">
        <v>8</v>
      </c>
      <c r="E175" s="23">
        <v>16</v>
      </c>
      <c r="F175" s="23">
        <f>_xlfn.NUMBERVALUE(MID(TRIM(Tabela2[[#This Row],[retranca]]), FIND("_", TRIM(Tabela2[[#This Row],[retranca]])) + 1, 1), ",", ".")</f>
        <v>5</v>
      </c>
      <c r="G175" s="23">
        <v>1</v>
      </c>
      <c r="H175" s="23"/>
      <c r="I175" s="24" t="s">
        <v>15</v>
      </c>
      <c r="J175" s="24"/>
      <c r="K175" s="23"/>
      <c r="L175" s="23"/>
      <c r="M175" s="24"/>
      <c r="N175" s="24"/>
      <c r="O175" s="27" t="s">
        <v>412</v>
      </c>
      <c r="P175" s="27"/>
      <c r="Q175" s="23"/>
      <c r="R175" s="25"/>
      <c r="S175" s="25"/>
      <c r="T175" s="25"/>
      <c r="U175" s="25"/>
      <c r="V175" s="25"/>
      <c r="W175" s="23" t="s">
        <v>78</v>
      </c>
      <c r="X175" s="32" t="str">
        <f>IF(Tabela2[[#This Row],[sigla]]="","",VLOOKUP(Tabela2[[#This Row],[sigla]],Tabela14[[#All],[Sigla Arte]:[Crédito]],2,0))</f>
        <v>HELOÍSA PINTARELLI/ARQUIVO DA EDITORA</v>
      </c>
      <c r="Y175" s="24"/>
      <c r="Z175" s="24" t="str">
        <f>Tabela2[[#This Row],[ilustrador]]</f>
        <v>HELOÍSA PINTARELLI/ARQUIVO DA EDITORA</v>
      </c>
      <c r="AA175" s="23"/>
      <c r="AB175" s="21"/>
      <c r="AC175" s="21"/>
      <c r="AD175" s="4" t="str">
        <f t="shared" si="4"/>
        <v>Pitanguá</v>
      </c>
      <c r="AE175" s="14" t="str">
        <f t="shared" si="5"/>
        <v>Ciências</v>
      </c>
    </row>
    <row r="176" spans="1:31" s="14" customFormat="1" ht="45" customHeight="1" x14ac:dyDescent="0.3">
      <c r="A176" s="24" t="s">
        <v>413</v>
      </c>
      <c r="B176" s="21" t="s">
        <v>6</v>
      </c>
      <c r="C176" s="21" t="s">
        <v>7</v>
      </c>
      <c r="D176" s="21" t="s">
        <v>8</v>
      </c>
      <c r="E176" s="23">
        <v>17</v>
      </c>
      <c r="F176" s="23">
        <f>_xlfn.NUMBERVALUE(MID(TRIM(Tabela2[[#This Row],[retranca]]), FIND("_", TRIM(Tabela2[[#This Row],[retranca]])) + 1, 1), ",", ".")</f>
        <v>5</v>
      </c>
      <c r="G176" s="23">
        <v>1</v>
      </c>
      <c r="H176" s="23"/>
      <c r="I176" s="24" t="s">
        <v>15</v>
      </c>
      <c r="J176" s="24"/>
      <c r="K176" s="23"/>
      <c r="L176" s="23"/>
      <c r="M176" s="24"/>
      <c r="N176" s="24"/>
      <c r="O176" s="27" t="s">
        <v>414</v>
      </c>
      <c r="P176" s="27"/>
      <c r="Q176" s="23"/>
      <c r="R176" s="25"/>
      <c r="S176" s="25"/>
      <c r="T176" s="25"/>
      <c r="U176" s="25"/>
      <c r="V176" s="25"/>
      <c r="W176" s="23" t="s">
        <v>78</v>
      </c>
      <c r="X176" s="32" t="str">
        <f>IF(Tabela2[[#This Row],[sigla]]="","",VLOOKUP(Tabela2[[#This Row],[sigla]],Tabela14[[#All],[Sigla Arte]:[Crédito]],2,0))</f>
        <v>HELOÍSA PINTARELLI/ARQUIVO DA EDITORA</v>
      </c>
      <c r="Y176" s="24"/>
      <c r="Z176" s="24" t="str">
        <f>Tabela2[[#This Row],[ilustrador]]</f>
        <v>HELOÍSA PINTARELLI/ARQUIVO DA EDITORA</v>
      </c>
      <c r="AA176" s="23"/>
      <c r="AB176" s="21"/>
      <c r="AC176" s="21"/>
      <c r="AD176" s="4" t="str">
        <f t="shared" si="4"/>
        <v>Pitanguá</v>
      </c>
      <c r="AE176" s="14" t="str">
        <f t="shared" si="5"/>
        <v>Ciências</v>
      </c>
    </row>
    <row r="177" spans="1:31" s="14" customFormat="1" ht="45" customHeight="1" x14ac:dyDescent="0.3">
      <c r="A177" s="24" t="s">
        <v>415</v>
      </c>
      <c r="B177" s="21" t="s">
        <v>6</v>
      </c>
      <c r="C177" s="21" t="s">
        <v>7</v>
      </c>
      <c r="D177" s="21" t="s">
        <v>8</v>
      </c>
      <c r="E177" s="23">
        <v>17</v>
      </c>
      <c r="F177" s="23">
        <f>_xlfn.NUMBERVALUE(MID(TRIM(Tabela2[[#This Row],[retranca]]), FIND("_", TRIM(Tabela2[[#This Row],[retranca]])) + 1, 1), ",", ".")</f>
        <v>5</v>
      </c>
      <c r="G177" s="23">
        <v>1</v>
      </c>
      <c r="H177" s="23"/>
      <c r="I177" s="24" t="s">
        <v>28</v>
      </c>
      <c r="J177" s="24"/>
      <c r="K177" s="23"/>
      <c r="L177" s="23"/>
      <c r="M177" s="24"/>
      <c r="N177" s="24"/>
      <c r="O177" s="27" t="s">
        <v>416</v>
      </c>
      <c r="P177" s="27"/>
      <c r="Q177" s="23">
        <v>1</v>
      </c>
      <c r="R177" s="25">
        <v>45783</v>
      </c>
      <c r="S177" s="25">
        <v>45783</v>
      </c>
      <c r="T177" s="25"/>
      <c r="U177" s="25"/>
      <c r="V177" s="25">
        <v>45784</v>
      </c>
      <c r="W177" s="23" t="s">
        <v>95</v>
      </c>
      <c r="X177" s="32" t="str">
        <f>IF(Tabela2[[#This Row],[sigla]]="","",VLOOKUP(Tabela2[[#This Row],[sigla]],Tabela14[[#All],[Sigla Arte]:[Crédito]],2,0))</f>
        <v>VER DOCUMENTO DE ILS. TÉCNICAS</v>
      </c>
      <c r="Y177" s="24" t="s">
        <v>330</v>
      </c>
      <c r="Z177" s="24" t="s">
        <v>403</v>
      </c>
      <c r="AA177" s="23">
        <v>13</v>
      </c>
      <c r="AB177" s="21" t="s">
        <v>404</v>
      </c>
      <c r="AC177" s="21" t="s">
        <v>31</v>
      </c>
      <c r="AD177" s="4" t="str">
        <f t="shared" si="4"/>
        <v>Pitanguá</v>
      </c>
      <c r="AE177" s="14" t="str">
        <f t="shared" si="5"/>
        <v>Ciências</v>
      </c>
    </row>
    <row r="178" spans="1:31" s="14" customFormat="1" ht="45" customHeight="1" x14ac:dyDescent="0.3">
      <c r="A178" s="24" t="s">
        <v>417</v>
      </c>
      <c r="B178" s="21" t="s">
        <v>63</v>
      </c>
      <c r="C178" s="21" t="s">
        <v>7</v>
      </c>
      <c r="D178" s="21" t="s">
        <v>8</v>
      </c>
      <c r="E178" s="23">
        <v>17</v>
      </c>
      <c r="F178" s="23">
        <f>_xlfn.NUMBERVALUE(MID(TRIM(Tabela2[[#This Row],[retranca]]), FIND("_", TRIM(Tabela2[[#This Row],[retranca]])) + 1, 1), ",", ".")</f>
        <v>5</v>
      </c>
      <c r="G178" s="23">
        <v>1</v>
      </c>
      <c r="H178" s="23"/>
      <c r="I178" s="24" t="s">
        <v>28</v>
      </c>
      <c r="J178" s="24"/>
      <c r="K178" s="23"/>
      <c r="L178" s="23"/>
      <c r="M178" s="24"/>
      <c r="N178" s="24"/>
      <c r="O178" s="27" t="s">
        <v>418</v>
      </c>
      <c r="P178" s="27"/>
      <c r="Q178" s="23">
        <v>1</v>
      </c>
      <c r="R178" s="25">
        <v>45783</v>
      </c>
      <c r="S178" s="25">
        <v>45783</v>
      </c>
      <c r="T178" s="25"/>
      <c r="U178" s="25"/>
      <c r="V178" s="25">
        <v>45784</v>
      </c>
      <c r="W178" s="23" t="s">
        <v>95</v>
      </c>
      <c r="X178" s="32" t="str">
        <f>IF(Tabela2[[#This Row],[sigla]]="","",VLOOKUP(Tabela2[[#This Row],[sigla]],Tabela14[[#All],[Sigla Arte]:[Crédito]],2,0))</f>
        <v>VER DOCUMENTO DE ILS. TÉCNICAS</v>
      </c>
      <c r="Y178" s="24" t="s">
        <v>330</v>
      </c>
      <c r="Z178" s="24" t="s">
        <v>403</v>
      </c>
      <c r="AA178" s="23">
        <v>13</v>
      </c>
      <c r="AB178" s="21" t="s">
        <v>404</v>
      </c>
      <c r="AC178" s="21" t="s">
        <v>31</v>
      </c>
      <c r="AD178" s="4" t="str">
        <f t="shared" si="4"/>
        <v>Pitanguá</v>
      </c>
      <c r="AE178" s="14" t="str">
        <f t="shared" si="5"/>
        <v>Ciências</v>
      </c>
    </row>
    <row r="179" spans="1:31" s="14" customFormat="1" ht="30" customHeight="1" x14ac:dyDescent="0.3">
      <c r="A179" s="24" t="s">
        <v>419</v>
      </c>
      <c r="B179" s="21" t="s">
        <v>6</v>
      </c>
      <c r="C179" s="21" t="s">
        <v>7</v>
      </c>
      <c r="D179" s="21" t="s">
        <v>8</v>
      </c>
      <c r="E179" s="23">
        <v>23</v>
      </c>
      <c r="F179" s="23">
        <f>_xlfn.NUMBERVALUE(MID(TRIM(Tabela2[[#This Row],[retranca]]), FIND("_", TRIM(Tabela2[[#This Row],[retranca]])) + 1, 1), ",", ".")</f>
        <v>5</v>
      </c>
      <c r="G179" s="23">
        <v>1</v>
      </c>
      <c r="H179" s="23"/>
      <c r="I179" s="24" t="s">
        <v>15</v>
      </c>
      <c r="J179" s="24"/>
      <c r="K179" s="23"/>
      <c r="L179" s="23"/>
      <c r="M179" s="24"/>
      <c r="N179" s="24"/>
      <c r="O179" s="27" t="s">
        <v>420</v>
      </c>
      <c r="P179" s="27"/>
      <c r="Q179" s="23"/>
      <c r="R179" s="25"/>
      <c r="S179" s="25"/>
      <c r="T179" s="25"/>
      <c r="U179" s="25"/>
      <c r="V179" s="25"/>
      <c r="W179" s="23" t="s">
        <v>78</v>
      </c>
      <c r="X179" s="32" t="str">
        <f>IF(Tabela2[[#This Row],[sigla]]="","",VLOOKUP(Tabela2[[#This Row],[sigla]],Tabela14[[#All],[Sigla Arte]:[Crédito]],2,0))</f>
        <v>HELOÍSA PINTARELLI/ARQUIVO DA EDITORA</v>
      </c>
      <c r="Y179" s="24"/>
      <c r="Z179" s="24" t="str">
        <f>Tabela2[[#This Row],[ilustrador]]</f>
        <v>HELOÍSA PINTARELLI/ARQUIVO DA EDITORA</v>
      </c>
      <c r="AA179" s="23"/>
      <c r="AB179" s="21"/>
      <c r="AC179" s="21"/>
      <c r="AD179" s="4" t="str">
        <f t="shared" si="4"/>
        <v>Pitanguá</v>
      </c>
      <c r="AE179" s="14" t="str">
        <f t="shared" si="5"/>
        <v>Ciências</v>
      </c>
    </row>
    <row r="180" spans="1:31" s="14" customFormat="1" ht="30" customHeight="1" x14ac:dyDescent="0.3">
      <c r="A180" s="24" t="s">
        <v>421</v>
      </c>
      <c r="B180" s="21" t="s">
        <v>6</v>
      </c>
      <c r="C180" s="21" t="s">
        <v>7</v>
      </c>
      <c r="D180" s="21" t="s">
        <v>8</v>
      </c>
      <c r="E180" s="23">
        <v>26</v>
      </c>
      <c r="F180" s="23">
        <f>_xlfn.NUMBERVALUE(MID(TRIM(Tabela2[[#This Row],[retranca]]), FIND("_", TRIM(Tabela2[[#This Row],[retranca]])) + 1, 1), ",", ".")</f>
        <v>5</v>
      </c>
      <c r="G180" s="23">
        <v>1</v>
      </c>
      <c r="H180" s="23"/>
      <c r="I180" s="24" t="s">
        <v>15</v>
      </c>
      <c r="J180" s="24"/>
      <c r="K180" s="23"/>
      <c r="L180" s="23"/>
      <c r="M180" s="24"/>
      <c r="N180" s="24"/>
      <c r="O180" s="27" t="s">
        <v>422</v>
      </c>
      <c r="P180" s="27"/>
      <c r="Q180" s="23"/>
      <c r="R180" s="25"/>
      <c r="S180" s="25"/>
      <c r="T180" s="25"/>
      <c r="U180" s="25"/>
      <c r="V180" s="25"/>
      <c r="W180" s="23" t="s">
        <v>78</v>
      </c>
      <c r="X180" s="32" t="str">
        <f>IF(Tabela2[[#This Row],[sigla]]="","",VLOOKUP(Tabela2[[#This Row],[sigla]],Tabela14[[#All],[Sigla Arte]:[Crédito]],2,0))</f>
        <v>HELOÍSA PINTARELLI/ARQUIVO DA EDITORA</v>
      </c>
      <c r="Y180" s="24"/>
      <c r="Z180" s="24" t="str">
        <f>Tabela2[[#This Row],[ilustrador]]</f>
        <v>HELOÍSA PINTARELLI/ARQUIVO DA EDITORA</v>
      </c>
      <c r="AA180" s="23"/>
      <c r="AB180" s="21"/>
      <c r="AC180" s="21"/>
      <c r="AD180" s="4" t="str">
        <f t="shared" si="4"/>
        <v>Pitanguá</v>
      </c>
      <c r="AE180" s="14" t="str">
        <f t="shared" si="5"/>
        <v>Ciências</v>
      </c>
    </row>
    <row r="181" spans="1:31" s="14" customFormat="1" ht="22.5" customHeight="1" x14ac:dyDescent="0.3">
      <c r="A181" s="24" t="s">
        <v>423</v>
      </c>
      <c r="B181" s="21" t="s">
        <v>6</v>
      </c>
      <c r="C181" s="21" t="s">
        <v>7</v>
      </c>
      <c r="D181" s="21" t="s">
        <v>8</v>
      </c>
      <c r="E181" s="23">
        <v>26</v>
      </c>
      <c r="F181" s="23">
        <f>_xlfn.NUMBERVALUE(MID(TRIM(Tabela2[[#This Row],[retranca]]), FIND("_", TRIM(Tabela2[[#This Row],[retranca]])) + 1, 1), ",", ".")</f>
        <v>5</v>
      </c>
      <c r="G181" s="23">
        <v>1</v>
      </c>
      <c r="H181" s="23"/>
      <c r="I181" s="24" t="s">
        <v>15</v>
      </c>
      <c r="J181" s="24"/>
      <c r="K181" s="23"/>
      <c r="L181" s="23"/>
      <c r="M181" s="24"/>
      <c r="N181" s="24"/>
      <c r="O181" s="27" t="s">
        <v>424</v>
      </c>
      <c r="P181" s="27"/>
      <c r="Q181" s="23"/>
      <c r="R181" s="25"/>
      <c r="S181" s="25"/>
      <c r="T181" s="25"/>
      <c r="U181" s="25"/>
      <c r="V181" s="25"/>
      <c r="W181" s="23" t="s">
        <v>78</v>
      </c>
      <c r="X181" s="32" t="str">
        <f>IF(Tabela2[[#This Row],[sigla]]="","",VLOOKUP(Tabela2[[#This Row],[sigla]],Tabela14[[#All],[Sigla Arte]:[Crédito]],2,0))</f>
        <v>HELOÍSA PINTARELLI/ARQUIVO DA EDITORA</v>
      </c>
      <c r="Y181" s="24"/>
      <c r="Z181" s="24" t="str">
        <f>Tabela2[[#This Row],[ilustrador]]</f>
        <v>HELOÍSA PINTARELLI/ARQUIVO DA EDITORA</v>
      </c>
      <c r="AA181" s="23"/>
      <c r="AB181" s="21"/>
      <c r="AC181" s="21"/>
      <c r="AD181" s="4" t="str">
        <f t="shared" si="4"/>
        <v>Pitanguá</v>
      </c>
      <c r="AE181" s="14" t="str">
        <f t="shared" si="5"/>
        <v>Ciências</v>
      </c>
    </row>
    <row r="182" spans="1:31" s="14" customFormat="1" ht="45" customHeight="1" x14ac:dyDescent="0.3">
      <c r="A182" s="24" t="s">
        <v>425</v>
      </c>
      <c r="B182" s="21" t="s">
        <v>6</v>
      </c>
      <c r="C182" s="21" t="s">
        <v>7</v>
      </c>
      <c r="D182" s="21" t="s">
        <v>8</v>
      </c>
      <c r="E182" s="23">
        <v>27</v>
      </c>
      <c r="F182" s="23">
        <f>_xlfn.NUMBERVALUE(MID(TRIM(Tabela2[[#This Row],[retranca]]), FIND("_", TRIM(Tabela2[[#This Row],[retranca]])) + 1, 1), ",", ".")</f>
        <v>5</v>
      </c>
      <c r="G182" s="23">
        <v>1</v>
      </c>
      <c r="H182" s="23"/>
      <c r="I182" s="24" t="s">
        <v>28</v>
      </c>
      <c r="J182" s="24"/>
      <c r="K182" s="23"/>
      <c r="L182" s="23"/>
      <c r="M182" s="24"/>
      <c r="N182" s="24"/>
      <c r="O182" s="27" t="s">
        <v>426</v>
      </c>
      <c r="P182" s="27"/>
      <c r="Q182" s="23">
        <v>6</v>
      </c>
      <c r="R182" s="25">
        <v>45853</v>
      </c>
      <c r="S182" s="25">
        <v>45853</v>
      </c>
      <c r="T182" s="25"/>
      <c r="U182" s="25"/>
      <c r="V182" s="25">
        <v>45854</v>
      </c>
      <c r="W182" s="23" t="s">
        <v>78</v>
      </c>
      <c r="X182" s="32" t="str">
        <f>IF(Tabela2[[#This Row],[sigla]]="","",VLOOKUP(Tabela2[[#This Row],[sigla]],Tabela14[[#All],[Sigla Arte]:[Crédito]],2,0))</f>
        <v>HELOÍSA PINTARELLI/ARQUIVO DA EDITORA</v>
      </c>
      <c r="Y182" s="24" t="s">
        <v>54</v>
      </c>
      <c r="Z182" s="24" t="str">
        <f>Tabela2[[#This Row],[ilustrador]]</f>
        <v>HELOÍSA PINTARELLI/ARQUIVO DA EDITORA</v>
      </c>
      <c r="AA182" s="23">
        <v>13</v>
      </c>
      <c r="AB182" s="21" t="s">
        <v>427</v>
      </c>
      <c r="AC182" s="21" t="s">
        <v>31</v>
      </c>
      <c r="AD182" s="4" t="str">
        <f t="shared" si="4"/>
        <v>Pitanguá</v>
      </c>
      <c r="AE182" s="14" t="str">
        <f t="shared" si="5"/>
        <v>Ciências</v>
      </c>
    </row>
    <row r="183" spans="1:31" s="14" customFormat="1" ht="30" customHeight="1" x14ac:dyDescent="0.3">
      <c r="A183" s="24" t="s">
        <v>428</v>
      </c>
      <c r="B183" s="21" t="s">
        <v>63</v>
      </c>
      <c r="C183" s="21" t="s">
        <v>7</v>
      </c>
      <c r="D183" s="21" t="s">
        <v>8</v>
      </c>
      <c r="E183" s="23">
        <v>32</v>
      </c>
      <c r="F183" s="23">
        <f>_xlfn.NUMBERVALUE(MID(TRIM(Tabela2[[#This Row],[retranca]]), FIND("_", TRIM(Tabela2[[#This Row],[retranca]])) + 1, 1), ",", ".")</f>
        <v>5</v>
      </c>
      <c r="G183" s="23">
        <v>1</v>
      </c>
      <c r="H183" s="23"/>
      <c r="I183" s="24" t="s">
        <v>15</v>
      </c>
      <c r="J183" s="24"/>
      <c r="K183" s="23"/>
      <c r="L183" s="23"/>
      <c r="M183" s="24"/>
      <c r="N183" s="24"/>
      <c r="O183" s="27" t="s">
        <v>429</v>
      </c>
      <c r="P183" s="27"/>
      <c r="Q183" s="23"/>
      <c r="R183" s="25"/>
      <c r="S183" s="25"/>
      <c r="T183" s="25"/>
      <c r="U183" s="25"/>
      <c r="V183" s="25"/>
      <c r="W183" s="23" t="s">
        <v>95</v>
      </c>
      <c r="X183" s="32" t="str">
        <f>IF(Tabela2[[#This Row],[sigla]]="","",VLOOKUP(Tabela2[[#This Row],[sigla]],Tabela14[[#All],[Sigla Arte]:[Crédito]],2,0))</f>
        <v>VER DOCUMENTO DE ILS. TÉCNICAS</v>
      </c>
      <c r="Y183" s="24"/>
      <c r="Z183" s="30" t="s">
        <v>430</v>
      </c>
      <c r="AA183" s="23"/>
      <c r="AB183" s="21"/>
      <c r="AC183" s="21"/>
      <c r="AD183" s="4" t="str">
        <f t="shared" si="4"/>
        <v>Pitanguá</v>
      </c>
      <c r="AE183" s="14" t="str">
        <f t="shared" si="5"/>
        <v>Ciências</v>
      </c>
    </row>
    <row r="184" spans="1:31" s="14" customFormat="1" ht="60" customHeight="1" x14ac:dyDescent="0.3">
      <c r="A184" s="24" t="s">
        <v>431</v>
      </c>
      <c r="B184" s="21" t="s">
        <v>6</v>
      </c>
      <c r="C184" s="21" t="s">
        <v>7</v>
      </c>
      <c r="D184" s="21" t="s">
        <v>8</v>
      </c>
      <c r="E184" s="23">
        <v>33</v>
      </c>
      <c r="F184" s="23">
        <f>_xlfn.NUMBERVALUE(MID(TRIM(Tabela2[[#This Row],[retranca]]), FIND("_", TRIM(Tabela2[[#This Row],[retranca]])) + 1, 1), ",", ".")</f>
        <v>5</v>
      </c>
      <c r="G184" s="23">
        <v>1</v>
      </c>
      <c r="H184" s="23"/>
      <c r="I184" s="24" t="s">
        <v>28</v>
      </c>
      <c r="J184" s="24"/>
      <c r="K184" s="23"/>
      <c r="L184" s="23"/>
      <c r="M184" s="24"/>
      <c r="N184" s="24"/>
      <c r="O184" s="27" t="s">
        <v>432</v>
      </c>
      <c r="P184" s="27"/>
      <c r="Q184" s="23">
        <v>1</v>
      </c>
      <c r="R184" s="25">
        <v>45783</v>
      </c>
      <c r="S184" s="25">
        <v>45783</v>
      </c>
      <c r="T184" s="25"/>
      <c r="U184" s="25"/>
      <c r="V184" s="25">
        <v>45784</v>
      </c>
      <c r="W184" s="23" t="s">
        <v>78</v>
      </c>
      <c r="X184" s="32" t="str">
        <f>IF(Tabela2[[#This Row],[sigla]]="","",VLOOKUP(Tabela2[[#This Row],[sigla]],Tabela14[[#All],[Sigla Arte]:[Crédito]],2,0))</f>
        <v>HELOÍSA PINTARELLI/ARQUIVO DA EDITORA</v>
      </c>
      <c r="Y184" s="24" t="s">
        <v>330</v>
      </c>
      <c r="Z184" s="24" t="str">
        <f>Tabela2[[#This Row],[ilustrador]]</f>
        <v>HELOÍSA PINTARELLI/ARQUIVO DA EDITORA</v>
      </c>
      <c r="AA184" s="23">
        <v>13</v>
      </c>
      <c r="AB184" s="21" t="s">
        <v>105</v>
      </c>
      <c r="AC184" s="21" t="s">
        <v>31</v>
      </c>
      <c r="AD184" s="4" t="str">
        <f t="shared" si="4"/>
        <v>Pitanguá</v>
      </c>
      <c r="AE184" s="14" t="str">
        <f t="shared" si="5"/>
        <v>Ciências</v>
      </c>
    </row>
    <row r="185" spans="1:31" s="14" customFormat="1" ht="60" customHeight="1" x14ac:dyDescent="0.3">
      <c r="A185" s="24" t="s">
        <v>433</v>
      </c>
      <c r="B185" s="21" t="s">
        <v>6</v>
      </c>
      <c r="C185" s="21" t="s">
        <v>7</v>
      </c>
      <c r="D185" s="21" t="s">
        <v>8</v>
      </c>
      <c r="E185" s="23">
        <v>33</v>
      </c>
      <c r="F185" s="23">
        <f>_xlfn.NUMBERVALUE(MID(TRIM(Tabela2[[#This Row],[retranca]]), FIND("_", TRIM(Tabela2[[#This Row],[retranca]])) + 1, 1), ",", ".")</f>
        <v>5</v>
      </c>
      <c r="G185" s="23">
        <v>1</v>
      </c>
      <c r="H185" s="23"/>
      <c r="I185" s="24" t="s">
        <v>28</v>
      </c>
      <c r="J185" s="24"/>
      <c r="K185" s="23"/>
      <c r="L185" s="23"/>
      <c r="M185" s="24"/>
      <c r="N185" s="24"/>
      <c r="O185" s="27" t="s">
        <v>434</v>
      </c>
      <c r="P185" s="27"/>
      <c r="Q185" s="23">
        <v>1</v>
      </c>
      <c r="R185" s="25">
        <v>45783</v>
      </c>
      <c r="S185" s="25">
        <v>45783</v>
      </c>
      <c r="T185" s="25"/>
      <c r="U185" s="25"/>
      <c r="V185" s="25">
        <v>45784</v>
      </c>
      <c r="W185" s="23" t="s">
        <v>78</v>
      </c>
      <c r="X185" s="32" t="str">
        <f>IF(Tabela2[[#This Row],[sigla]]="","",VLOOKUP(Tabela2[[#This Row],[sigla]],Tabela14[[#All],[Sigla Arte]:[Crédito]],2,0))</f>
        <v>HELOÍSA PINTARELLI/ARQUIVO DA EDITORA</v>
      </c>
      <c r="Y185" s="24" t="s">
        <v>330</v>
      </c>
      <c r="Z185" s="24" t="str">
        <f>Tabela2[[#This Row],[ilustrador]]</f>
        <v>HELOÍSA PINTARELLI/ARQUIVO DA EDITORA</v>
      </c>
      <c r="AA185" s="23">
        <v>13</v>
      </c>
      <c r="AB185" s="21" t="s">
        <v>105</v>
      </c>
      <c r="AC185" s="21" t="s">
        <v>31</v>
      </c>
      <c r="AD185" s="4" t="str">
        <f t="shared" si="4"/>
        <v>Pitanguá</v>
      </c>
      <c r="AE185" s="14" t="str">
        <f t="shared" si="5"/>
        <v>Ciências</v>
      </c>
    </row>
    <row r="186" spans="1:31" s="14" customFormat="1" ht="60" customHeight="1" x14ac:dyDescent="0.3">
      <c r="A186" s="24" t="s">
        <v>435</v>
      </c>
      <c r="B186" s="21" t="s">
        <v>6</v>
      </c>
      <c r="C186" s="21" t="s">
        <v>7</v>
      </c>
      <c r="D186" s="21" t="s">
        <v>8</v>
      </c>
      <c r="E186" s="23">
        <v>33</v>
      </c>
      <c r="F186" s="23">
        <f>_xlfn.NUMBERVALUE(MID(TRIM(Tabela2[[#This Row],[retranca]]), FIND("_", TRIM(Tabela2[[#This Row],[retranca]])) + 1, 1), ",", ".")</f>
        <v>5</v>
      </c>
      <c r="G186" s="23">
        <v>1</v>
      </c>
      <c r="H186" s="23"/>
      <c r="I186" s="24" t="s">
        <v>28</v>
      </c>
      <c r="J186" s="24"/>
      <c r="K186" s="23"/>
      <c r="L186" s="23"/>
      <c r="M186" s="24"/>
      <c r="N186" s="24"/>
      <c r="O186" s="27" t="s">
        <v>436</v>
      </c>
      <c r="P186" s="27"/>
      <c r="Q186" s="23">
        <v>1</v>
      </c>
      <c r="R186" s="25">
        <v>45783</v>
      </c>
      <c r="S186" s="25">
        <v>45783</v>
      </c>
      <c r="T186" s="25"/>
      <c r="U186" s="25"/>
      <c r="V186" s="25">
        <v>45784</v>
      </c>
      <c r="W186" s="23" t="s">
        <v>78</v>
      </c>
      <c r="X186" s="32" t="str">
        <f>IF(Tabela2[[#This Row],[sigla]]="","",VLOOKUP(Tabela2[[#This Row],[sigla]],Tabela14[[#All],[Sigla Arte]:[Crédito]],2,0))</f>
        <v>HELOÍSA PINTARELLI/ARQUIVO DA EDITORA</v>
      </c>
      <c r="Y186" s="24" t="s">
        <v>330</v>
      </c>
      <c r="Z186" s="24" t="str">
        <f>Tabela2[[#This Row],[ilustrador]]</f>
        <v>HELOÍSA PINTARELLI/ARQUIVO DA EDITORA</v>
      </c>
      <c r="AA186" s="23">
        <v>13</v>
      </c>
      <c r="AB186" s="21" t="s">
        <v>105</v>
      </c>
      <c r="AC186" s="21" t="s">
        <v>31</v>
      </c>
      <c r="AD186" s="4" t="str">
        <f t="shared" si="4"/>
        <v>Pitanguá</v>
      </c>
      <c r="AE186" s="14" t="str">
        <f t="shared" si="5"/>
        <v>Ciências</v>
      </c>
    </row>
    <row r="187" spans="1:31" s="14" customFormat="1" ht="75" customHeight="1" x14ac:dyDescent="0.3">
      <c r="A187" s="24" t="s">
        <v>437</v>
      </c>
      <c r="B187" s="21" t="s">
        <v>6</v>
      </c>
      <c r="C187" s="21" t="s">
        <v>7</v>
      </c>
      <c r="D187" s="21" t="s">
        <v>8</v>
      </c>
      <c r="E187" s="23">
        <v>33</v>
      </c>
      <c r="F187" s="23">
        <f>_xlfn.NUMBERVALUE(MID(TRIM(Tabela2[[#This Row],[retranca]]), FIND("_", TRIM(Tabela2[[#This Row],[retranca]])) + 1, 1), ",", ".")</f>
        <v>5</v>
      </c>
      <c r="G187" s="23">
        <v>1</v>
      </c>
      <c r="H187" s="23"/>
      <c r="I187" s="24" t="s">
        <v>28</v>
      </c>
      <c r="J187" s="24"/>
      <c r="K187" s="23"/>
      <c r="L187" s="23"/>
      <c r="M187" s="24"/>
      <c r="N187" s="24"/>
      <c r="O187" s="27" t="s">
        <v>438</v>
      </c>
      <c r="P187" s="27"/>
      <c r="Q187" s="23">
        <v>1</v>
      </c>
      <c r="R187" s="25">
        <v>45783</v>
      </c>
      <c r="S187" s="25">
        <v>45783</v>
      </c>
      <c r="T187" s="25"/>
      <c r="U187" s="25"/>
      <c r="V187" s="25">
        <v>45784</v>
      </c>
      <c r="W187" s="23" t="s">
        <v>78</v>
      </c>
      <c r="X187" s="32" t="str">
        <f>IF(Tabela2[[#This Row],[sigla]]="","",VLOOKUP(Tabela2[[#This Row],[sigla]],Tabela14[[#All],[Sigla Arte]:[Crédito]],2,0))</f>
        <v>HELOÍSA PINTARELLI/ARQUIVO DA EDITORA</v>
      </c>
      <c r="Y187" s="24" t="s">
        <v>330</v>
      </c>
      <c r="Z187" s="24" t="str">
        <f>Tabela2[[#This Row],[ilustrador]]</f>
        <v>HELOÍSA PINTARELLI/ARQUIVO DA EDITORA</v>
      </c>
      <c r="AA187" s="23">
        <v>13</v>
      </c>
      <c r="AB187" s="21" t="s">
        <v>105</v>
      </c>
      <c r="AC187" s="21" t="s">
        <v>31</v>
      </c>
      <c r="AD187" s="4" t="str">
        <f t="shared" si="4"/>
        <v>Pitanguá</v>
      </c>
      <c r="AE187" s="14" t="str">
        <f t="shared" si="5"/>
        <v>Ciências</v>
      </c>
    </row>
    <row r="188" spans="1:31" s="14" customFormat="1" ht="60" customHeight="1" x14ac:dyDescent="0.3">
      <c r="A188" s="24" t="s">
        <v>439</v>
      </c>
      <c r="B188" s="21" t="s">
        <v>6</v>
      </c>
      <c r="C188" s="21" t="s">
        <v>7</v>
      </c>
      <c r="D188" s="21" t="s">
        <v>8</v>
      </c>
      <c r="E188" s="23">
        <v>33</v>
      </c>
      <c r="F188" s="23">
        <f>_xlfn.NUMBERVALUE(MID(TRIM(Tabela2[[#This Row],[retranca]]), FIND("_", TRIM(Tabela2[[#This Row],[retranca]])) + 1, 1), ",", ".")</f>
        <v>5</v>
      </c>
      <c r="G188" s="23">
        <v>1</v>
      </c>
      <c r="H188" s="23"/>
      <c r="I188" s="24" t="s">
        <v>28</v>
      </c>
      <c r="J188" s="24"/>
      <c r="K188" s="23"/>
      <c r="L188" s="23"/>
      <c r="M188" s="24"/>
      <c r="N188" s="24"/>
      <c r="O188" s="27" t="s">
        <v>440</v>
      </c>
      <c r="P188" s="27"/>
      <c r="Q188" s="23">
        <v>1</v>
      </c>
      <c r="R188" s="25">
        <v>45783</v>
      </c>
      <c r="S188" s="25">
        <v>45783</v>
      </c>
      <c r="T188" s="25"/>
      <c r="U188" s="25"/>
      <c r="V188" s="25">
        <v>45784</v>
      </c>
      <c r="W188" s="23" t="s">
        <v>78</v>
      </c>
      <c r="X188" s="32" t="str">
        <f>IF(Tabela2[[#This Row],[sigla]]="","",VLOOKUP(Tabela2[[#This Row],[sigla]],Tabela14[[#All],[Sigla Arte]:[Crédito]],2,0))</f>
        <v>HELOÍSA PINTARELLI/ARQUIVO DA EDITORA</v>
      </c>
      <c r="Y188" s="24" t="s">
        <v>330</v>
      </c>
      <c r="Z188" s="24" t="str">
        <f>Tabela2[[#This Row],[ilustrador]]</f>
        <v>HELOÍSA PINTARELLI/ARQUIVO DA EDITORA</v>
      </c>
      <c r="AA188" s="23">
        <v>13</v>
      </c>
      <c r="AB188" s="21" t="s">
        <v>105</v>
      </c>
      <c r="AC188" s="21" t="s">
        <v>31</v>
      </c>
      <c r="AD188" s="4" t="str">
        <f t="shared" si="4"/>
        <v>Pitanguá</v>
      </c>
      <c r="AE188" s="14" t="str">
        <f t="shared" si="5"/>
        <v>Ciências</v>
      </c>
    </row>
    <row r="189" spans="1:31" s="14" customFormat="1" ht="60" customHeight="1" x14ac:dyDescent="0.3">
      <c r="A189" s="24" t="s">
        <v>441</v>
      </c>
      <c r="B189" s="21" t="s">
        <v>6</v>
      </c>
      <c r="C189" s="21" t="s">
        <v>7</v>
      </c>
      <c r="D189" s="21" t="s">
        <v>8</v>
      </c>
      <c r="E189" s="23">
        <v>33</v>
      </c>
      <c r="F189" s="23">
        <f>_xlfn.NUMBERVALUE(MID(TRIM(Tabela2[[#This Row],[retranca]]), FIND("_", TRIM(Tabela2[[#This Row],[retranca]])) + 1, 1), ",", ".")</f>
        <v>5</v>
      </c>
      <c r="G189" s="23">
        <v>1</v>
      </c>
      <c r="H189" s="23"/>
      <c r="I189" s="24" t="s">
        <v>28</v>
      </c>
      <c r="J189" s="24"/>
      <c r="K189" s="23"/>
      <c r="L189" s="23"/>
      <c r="M189" s="24"/>
      <c r="N189" s="24"/>
      <c r="O189" s="27" t="s">
        <v>442</v>
      </c>
      <c r="P189" s="27"/>
      <c r="Q189" s="23">
        <v>1</v>
      </c>
      <c r="R189" s="25">
        <v>45783</v>
      </c>
      <c r="S189" s="25">
        <v>45783</v>
      </c>
      <c r="T189" s="25"/>
      <c r="U189" s="25"/>
      <c r="V189" s="25">
        <v>45784</v>
      </c>
      <c r="W189" s="23" t="s">
        <v>78</v>
      </c>
      <c r="X189" s="32" t="str">
        <f>IF(Tabela2[[#This Row],[sigla]]="","",VLOOKUP(Tabela2[[#This Row],[sigla]],Tabela14[[#All],[Sigla Arte]:[Crédito]],2,0))</f>
        <v>HELOÍSA PINTARELLI/ARQUIVO DA EDITORA</v>
      </c>
      <c r="Y189" s="24" t="s">
        <v>330</v>
      </c>
      <c r="Z189" s="24" t="str">
        <f>Tabela2[[#This Row],[ilustrador]]</f>
        <v>HELOÍSA PINTARELLI/ARQUIVO DA EDITORA</v>
      </c>
      <c r="AA189" s="23">
        <v>13</v>
      </c>
      <c r="AB189" s="21" t="s">
        <v>105</v>
      </c>
      <c r="AC189" s="21" t="s">
        <v>31</v>
      </c>
      <c r="AD189" s="4" t="str">
        <f t="shared" si="4"/>
        <v>Pitanguá</v>
      </c>
      <c r="AE189" s="14" t="str">
        <f t="shared" si="5"/>
        <v>Ciências</v>
      </c>
    </row>
    <row r="190" spans="1:31" s="14" customFormat="1" ht="75" customHeight="1" x14ac:dyDescent="0.3">
      <c r="A190" s="24" t="s">
        <v>443</v>
      </c>
      <c r="B190" s="21" t="s">
        <v>6</v>
      </c>
      <c r="C190" s="21" t="s">
        <v>7</v>
      </c>
      <c r="D190" s="21" t="s">
        <v>8</v>
      </c>
      <c r="E190" s="23">
        <v>34</v>
      </c>
      <c r="F190" s="23">
        <f>_xlfn.NUMBERVALUE(MID(TRIM(Tabela2[[#This Row],[retranca]]), FIND("_", TRIM(Tabela2[[#This Row],[retranca]])) + 1, 1), ",", ".")</f>
        <v>5</v>
      </c>
      <c r="G190" s="23">
        <v>1</v>
      </c>
      <c r="H190" s="23"/>
      <c r="I190" s="24" t="s">
        <v>28</v>
      </c>
      <c r="J190" s="24"/>
      <c r="K190" s="23"/>
      <c r="L190" s="23"/>
      <c r="M190" s="24"/>
      <c r="N190" s="24"/>
      <c r="O190" s="27" t="s">
        <v>444</v>
      </c>
      <c r="P190" s="27"/>
      <c r="Q190" s="23">
        <v>1</v>
      </c>
      <c r="R190" s="25">
        <v>45783</v>
      </c>
      <c r="S190" s="25">
        <v>45783</v>
      </c>
      <c r="T190" s="25"/>
      <c r="U190" s="25"/>
      <c r="V190" s="25">
        <v>45784</v>
      </c>
      <c r="W190" s="23" t="s">
        <v>78</v>
      </c>
      <c r="X190" s="32" t="str">
        <f>IF(Tabela2[[#This Row],[sigla]]="","",VLOOKUP(Tabela2[[#This Row],[sigla]],Tabela14[[#All],[Sigla Arte]:[Crédito]],2,0))</f>
        <v>HELOÍSA PINTARELLI/ARQUIVO DA EDITORA</v>
      </c>
      <c r="Y190" s="24" t="s">
        <v>330</v>
      </c>
      <c r="Z190" s="24" t="str">
        <f>Tabela2[[#This Row],[ilustrador]]</f>
        <v>HELOÍSA PINTARELLI/ARQUIVO DA EDITORA</v>
      </c>
      <c r="AA190" s="23">
        <v>13</v>
      </c>
      <c r="AB190" s="21" t="s">
        <v>105</v>
      </c>
      <c r="AC190" s="21" t="s">
        <v>31</v>
      </c>
      <c r="AD190" s="4" t="str">
        <f t="shared" si="4"/>
        <v>Pitanguá</v>
      </c>
      <c r="AE190" s="14" t="str">
        <f t="shared" si="5"/>
        <v>Ciências</v>
      </c>
    </row>
    <row r="191" spans="1:31" s="14" customFormat="1" ht="75" customHeight="1" x14ac:dyDescent="0.3">
      <c r="A191" s="14" t="s">
        <v>445</v>
      </c>
      <c r="B191" s="21" t="s">
        <v>6</v>
      </c>
      <c r="C191" s="21" t="s">
        <v>7</v>
      </c>
      <c r="D191" s="21" t="s">
        <v>8</v>
      </c>
      <c r="E191" s="23">
        <v>34</v>
      </c>
      <c r="F191" s="23">
        <f>_xlfn.NUMBERVALUE(MID(TRIM(Tabela2[[#This Row],[retranca]]), FIND("_", TRIM(Tabela2[[#This Row],[retranca]])) + 1, 1), ",", ".")</f>
        <v>5</v>
      </c>
      <c r="G191" s="23">
        <v>1</v>
      </c>
      <c r="H191" s="23"/>
      <c r="I191" s="24" t="s">
        <v>28</v>
      </c>
      <c r="J191" s="24"/>
      <c r="K191" s="23"/>
      <c r="L191" s="23"/>
      <c r="M191" s="24"/>
      <c r="N191" s="24"/>
      <c r="O191" s="27" t="s">
        <v>446</v>
      </c>
      <c r="P191" s="27"/>
      <c r="Q191" s="23">
        <v>1</v>
      </c>
      <c r="R191" s="25">
        <v>45783</v>
      </c>
      <c r="S191" s="25">
        <v>45783</v>
      </c>
      <c r="T191" s="25"/>
      <c r="U191" s="25"/>
      <c r="V191" s="25">
        <v>45784</v>
      </c>
      <c r="W191" s="23" t="s">
        <v>78</v>
      </c>
      <c r="X191" s="32" t="str">
        <f>IF(Tabela2[[#This Row],[sigla]]="","",VLOOKUP(Tabela2[[#This Row],[sigla]],Tabela14[[#All],[Sigla Arte]:[Crédito]],2,0))</f>
        <v>HELOÍSA PINTARELLI/ARQUIVO DA EDITORA</v>
      </c>
      <c r="Y191" s="24" t="s">
        <v>330</v>
      </c>
      <c r="Z191" s="24" t="str">
        <f>Tabela2[[#This Row],[ilustrador]]</f>
        <v>HELOÍSA PINTARELLI/ARQUIVO DA EDITORA</v>
      </c>
      <c r="AA191" s="23">
        <v>13</v>
      </c>
      <c r="AB191" s="21" t="s">
        <v>105</v>
      </c>
      <c r="AC191" s="21" t="s">
        <v>31</v>
      </c>
      <c r="AD191" s="4" t="str">
        <f t="shared" si="4"/>
        <v>Pitanguá</v>
      </c>
      <c r="AE191" s="14" t="str">
        <f t="shared" si="5"/>
        <v>Ciências</v>
      </c>
    </row>
    <row r="192" spans="1:31" s="14" customFormat="1" ht="75" customHeight="1" x14ac:dyDescent="0.3">
      <c r="A192" s="14" t="s">
        <v>447</v>
      </c>
      <c r="B192" s="21" t="s">
        <v>6</v>
      </c>
      <c r="C192" s="21" t="s">
        <v>7</v>
      </c>
      <c r="D192" s="21" t="s">
        <v>8</v>
      </c>
      <c r="E192" s="23">
        <v>34</v>
      </c>
      <c r="F192" s="23">
        <f>_xlfn.NUMBERVALUE(MID(TRIM(Tabela2[[#This Row],[retranca]]), FIND("_", TRIM(Tabela2[[#This Row],[retranca]])) + 1, 1), ",", ".")</f>
        <v>5</v>
      </c>
      <c r="G192" s="23">
        <v>1</v>
      </c>
      <c r="H192" s="23"/>
      <c r="I192" s="24" t="s">
        <v>28</v>
      </c>
      <c r="J192" s="24"/>
      <c r="K192" s="23"/>
      <c r="L192" s="23"/>
      <c r="M192" s="24"/>
      <c r="N192" s="24"/>
      <c r="O192" s="27" t="s">
        <v>448</v>
      </c>
      <c r="P192" s="27"/>
      <c r="Q192" s="23">
        <v>1</v>
      </c>
      <c r="R192" s="25">
        <v>45783</v>
      </c>
      <c r="S192" s="25">
        <v>45783</v>
      </c>
      <c r="T192" s="25"/>
      <c r="U192" s="25"/>
      <c r="V192" s="25">
        <v>45784</v>
      </c>
      <c r="W192" s="23" t="s">
        <v>78</v>
      </c>
      <c r="X192" s="32" t="str">
        <f>IF(Tabela2[[#This Row],[sigla]]="","",VLOOKUP(Tabela2[[#This Row],[sigla]],Tabela14[[#All],[Sigla Arte]:[Crédito]],2,0))</f>
        <v>HELOÍSA PINTARELLI/ARQUIVO DA EDITORA</v>
      </c>
      <c r="Y192" s="24" t="s">
        <v>330</v>
      </c>
      <c r="Z192" s="24" t="str">
        <f>Tabela2[[#This Row],[ilustrador]]</f>
        <v>HELOÍSA PINTARELLI/ARQUIVO DA EDITORA</v>
      </c>
      <c r="AA192" s="23">
        <v>13</v>
      </c>
      <c r="AB192" s="21" t="s">
        <v>105</v>
      </c>
      <c r="AC192" s="21" t="s">
        <v>31</v>
      </c>
      <c r="AD192" s="4" t="str">
        <f t="shared" si="4"/>
        <v>Pitanguá</v>
      </c>
      <c r="AE192" s="14" t="str">
        <f t="shared" si="5"/>
        <v>Ciências</v>
      </c>
    </row>
    <row r="193" spans="1:31" s="14" customFormat="1" ht="45" customHeight="1" x14ac:dyDescent="0.3">
      <c r="A193" s="14" t="s">
        <v>449</v>
      </c>
      <c r="B193" s="21" t="s">
        <v>6</v>
      </c>
      <c r="C193" s="21" t="s">
        <v>7</v>
      </c>
      <c r="D193" s="21" t="s">
        <v>8</v>
      </c>
      <c r="E193" s="23">
        <v>35</v>
      </c>
      <c r="F193" s="23">
        <f>_xlfn.NUMBERVALUE(MID(TRIM(Tabela2[[#This Row],[retranca]]), FIND("_", TRIM(Tabela2[[#This Row],[retranca]])) + 1, 1), ",", ".")</f>
        <v>5</v>
      </c>
      <c r="G193" s="23">
        <v>1</v>
      </c>
      <c r="H193" s="23"/>
      <c r="I193" s="24" t="s">
        <v>28</v>
      </c>
      <c r="J193" s="24"/>
      <c r="K193" s="23"/>
      <c r="L193" s="23"/>
      <c r="M193" s="24"/>
      <c r="N193" s="24"/>
      <c r="O193" s="27" t="s">
        <v>450</v>
      </c>
      <c r="P193" s="27"/>
      <c r="Q193" s="23">
        <v>1</v>
      </c>
      <c r="R193" s="25">
        <v>45783</v>
      </c>
      <c r="S193" s="25">
        <v>45783</v>
      </c>
      <c r="T193" s="25"/>
      <c r="U193" s="25"/>
      <c r="V193" s="25">
        <v>45784</v>
      </c>
      <c r="W193" s="23" t="s">
        <v>36</v>
      </c>
      <c r="X193" s="32" t="str">
        <f>IF(Tabela2[[#This Row],[sigla]]="","",VLOOKUP(Tabela2[[#This Row],[sigla]],Tabela14[[#All],[Sigla Arte]:[Crédito]],2,0))</f>
        <v>WERLLEN HOLANDA/ARQUIVO DA EDITORA</v>
      </c>
      <c r="Y193" s="24" t="s">
        <v>330</v>
      </c>
      <c r="Z193" s="24" t="str">
        <f>Tabela2[[#This Row],[ilustrador]]</f>
        <v>WERLLEN HOLANDA/ARQUIVO DA EDITORA</v>
      </c>
      <c r="AA193" s="23">
        <v>13</v>
      </c>
      <c r="AB193" s="21" t="s">
        <v>105</v>
      </c>
      <c r="AC193" s="21" t="s">
        <v>31</v>
      </c>
      <c r="AD193" s="4" t="str">
        <f t="shared" si="4"/>
        <v>Pitanguá</v>
      </c>
      <c r="AE193" s="14" t="str">
        <f t="shared" si="5"/>
        <v>Ciências</v>
      </c>
    </row>
    <row r="194" spans="1:31" s="14" customFormat="1" ht="45" customHeight="1" x14ac:dyDescent="0.3">
      <c r="A194" s="14" t="s">
        <v>451</v>
      </c>
      <c r="B194" s="21" t="s">
        <v>6</v>
      </c>
      <c r="C194" s="21" t="s">
        <v>7</v>
      </c>
      <c r="D194" s="21" t="s">
        <v>8</v>
      </c>
      <c r="E194" s="23">
        <v>42</v>
      </c>
      <c r="F194" s="23">
        <f>_xlfn.NUMBERVALUE(MID(TRIM(Tabela2[[#This Row],[retranca]]), FIND("_", TRIM(Tabela2[[#This Row],[retranca]])) + 1, 1), ",", ".")</f>
        <v>5</v>
      </c>
      <c r="G194" s="23">
        <v>1</v>
      </c>
      <c r="H194" s="23"/>
      <c r="I194" s="24" t="s">
        <v>15</v>
      </c>
      <c r="J194" s="24"/>
      <c r="K194" s="23"/>
      <c r="L194" s="23"/>
      <c r="M194" s="24"/>
      <c r="N194" s="24"/>
      <c r="O194" s="27" t="s">
        <v>452</v>
      </c>
      <c r="P194" s="27"/>
      <c r="Q194" s="23"/>
      <c r="R194" s="25"/>
      <c r="S194" s="25"/>
      <c r="T194" s="25"/>
      <c r="U194" s="25"/>
      <c r="V194" s="25"/>
      <c r="W194" s="23" t="s">
        <v>78</v>
      </c>
      <c r="X194" s="32" t="str">
        <f>IF(Tabela2[[#This Row],[sigla]]="","",VLOOKUP(Tabela2[[#This Row],[sigla]],Tabela14[[#All],[Sigla Arte]:[Crédito]],2,0))</f>
        <v>HELOÍSA PINTARELLI/ARQUIVO DA EDITORA</v>
      </c>
      <c r="Y194" s="24"/>
      <c r="Z194" s="24" t="str">
        <f>Tabela2[[#This Row],[ilustrador]]</f>
        <v>HELOÍSA PINTARELLI/ARQUIVO DA EDITORA</v>
      </c>
      <c r="AA194" s="23"/>
      <c r="AB194" s="21"/>
      <c r="AC194" s="21"/>
      <c r="AD194" s="4" t="str">
        <f t="shared" ref="AD194:AD257" si="6">"Pitanguá"</f>
        <v>Pitanguá</v>
      </c>
      <c r="AE194" s="14" t="str">
        <f t="shared" ref="AE194:AE257" si="7">"Ciências"</f>
        <v>Ciências</v>
      </c>
    </row>
    <row r="195" spans="1:31" s="14" customFormat="1" ht="75" customHeight="1" x14ac:dyDescent="0.3">
      <c r="A195" s="14" t="s">
        <v>453</v>
      </c>
      <c r="B195" s="21" t="s">
        <v>6</v>
      </c>
      <c r="C195" s="21" t="s">
        <v>7</v>
      </c>
      <c r="D195" s="21" t="s">
        <v>8</v>
      </c>
      <c r="E195" s="23">
        <v>43</v>
      </c>
      <c r="F195" s="23">
        <f>_xlfn.NUMBERVALUE(MID(TRIM(Tabela2[[#This Row],[retranca]]), FIND("_", TRIM(Tabela2[[#This Row],[retranca]])) + 1, 1), ",", ".")</f>
        <v>5</v>
      </c>
      <c r="G195" s="23">
        <v>1</v>
      </c>
      <c r="H195" s="23"/>
      <c r="I195" s="24" t="s">
        <v>28</v>
      </c>
      <c r="J195" s="24"/>
      <c r="K195" s="23"/>
      <c r="L195" s="23"/>
      <c r="M195" s="24"/>
      <c r="N195" s="24"/>
      <c r="O195" s="27" t="s">
        <v>454</v>
      </c>
      <c r="P195" s="27"/>
      <c r="Q195" s="23">
        <v>1</v>
      </c>
      <c r="R195" s="25">
        <v>45783</v>
      </c>
      <c r="S195" s="25">
        <v>45783</v>
      </c>
      <c r="T195" s="25"/>
      <c r="U195" s="25"/>
      <c r="V195" s="25">
        <v>45784</v>
      </c>
      <c r="W195" s="23" t="s">
        <v>26</v>
      </c>
      <c r="X195" s="32" t="str">
        <f>IF(Tabela2[[#This Row],[sigla]]="","",VLOOKUP(Tabela2[[#This Row],[sigla]],Tabela14[[#All],[Sigla Arte]:[Crédito]],2,0))</f>
        <v>SAULO NUNES/ARQUIVO DA EDITORA</v>
      </c>
      <c r="Y195" s="24" t="s">
        <v>330</v>
      </c>
      <c r="Z195" s="24" t="s">
        <v>455</v>
      </c>
      <c r="AA195" s="23">
        <v>13</v>
      </c>
      <c r="AB195" s="21" t="s">
        <v>404</v>
      </c>
      <c r="AC195" s="21" t="s">
        <v>31</v>
      </c>
      <c r="AD195" s="4" t="str">
        <f t="shared" si="6"/>
        <v>Pitanguá</v>
      </c>
      <c r="AE195" s="14" t="str">
        <f t="shared" si="7"/>
        <v>Ciências</v>
      </c>
    </row>
    <row r="196" spans="1:31" s="14" customFormat="1" ht="75" customHeight="1" x14ac:dyDescent="0.3">
      <c r="A196" s="14" t="s">
        <v>456</v>
      </c>
      <c r="B196" s="21" t="s">
        <v>6</v>
      </c>
      <c r="C196" s="21" t="s">
        <v>7</v>
      </c>
      <c r="D196" s="21" t="s">
        <v>8</v>
      </c>
      <c r="E196" s="23">
        <v>43</v>
      </c>
      <c r="F196" s="23">
        <f>_xlfn.NUMBERVALUE(MID(TRIM(Tabela2[[#This Row],[retranca]]), FIND("_", TRIM(Tabela2[[#This Row],[retranca]])) + 1, 1), ",", ".")</f>
        <v>5</v>
      </c>
      <c r="G196" s="23">
        <v>1</v>
      </c>
      <c r="H196" s="23"/>
      <c r="I196" s="24" t="s">
        <v>28</v>
      </c>
      <c r="J196" s="24"/>
      <c r="K196" s="23"/>
      <c r="L196" s="23"/>
      <c r="M196" s="24"/>
      <c r="N196" s="24"/>
      <c r="O196" s="27" t="s">
        <v>457</v>
      </c>
      <c r="P196" s="27"/>
      <c r="Q196" s="23">
        <v>1</v>
      </c>
      <c r="R196" s="25">
        <v>45783</v>
      </c>
      <c r="S196" s="25">
        <v>45783</v>
      </c>
      <c r="T196" s="25"/>
      <c r="U196" s="25"/>
      <c r="V196" s="25">
        <v>45784</v>
      </c>
      <c r="W196" s="23" t="s">
        <v>26</v>
      </c>
      <c r="X196" s="32" t="str">
        <f>IF(Tabela2[[#This Row],[sigla]]="","",VLOOKUP(Tabela2[[#This Row],[sigla]],Tabela14[[#All],[Sigla Arte]:[Crédito]],2,0))</f>
        <v>SAULO NUNES/ARQUIVO DA EDITORA</v>
      </c>
      <c r="Y196" s="24" t="s">
        <v>330</v>
      </c>
      <c r="Z196" s="24" t="s">
        <v>455</v>
      </c>
      <c r="AA196" s="23">
        <v>13</v>
      </c>
      <c r="AB196" s="21" t="s">
        <v>404</v>
      </c>
      <c r="AC196" s="21" t="s">
        <v>31</v>
      </c>
      <c r="AD196" s="4" t="str">
        <f t="shared" si="6"/>
        <v>Pitanguá</v>
      </c>
      <c r="AE196" s="14" t="str">
        <f t="shared" si="7"/>
        <v>Ciências</v>
      </c>
    </row>
    <row r="197" spans="1:31" s="14" customFormat="1" ht="105" customHeight="1" x14ac:dyDescent="0.3">
      <c r="A197" s="14" t="s">
        <v>458</v>
      </c>
      <c r="B197" s="21" t="s">
        <v>6</v>
      </c>
      <c r="C197" s="21" t="s">
        <v>7</v>
      </c>
      <c r="D197" s="21" t="s">
        <v>8</v>
      </c>
      <c r="E197" s="23">
        <v>51</v>
      </c>
      <c r="F197" s="23">
        <f>_xlfn.NUMBERVALUE(MID(TRIM(Tabela2[[#This Row],[retranca]]), FIND("_", TRIM(Tabela2[[#This Row],[retranca]])) + 1, 1), ",", ".")</f>
        <v>5</v>
      </c>
      <c r="G197" s="23">
        <v>2</v>
      </c>
      <c r="H197" s="23"/>
      <c r="I197" s="24" t="s">
        <v>28</v>
      </c>
      <c r="J197" s="24"/>
      <c r="K197" s="23"/>
      <c r="L197" s="23"/>
      <c r="M197" s="24"/>
      <c r="N197" s="24"/>
      <c r="O197" s="27" t="s">
        <v>459</v>
      </c>
      <c r="P197" s="27"/>
      <c r="Q197" s="23">
        <v>2</v>
      </c>
      <c r="R197" s="25">
        <v>45785</v>
      </c>
      <c r="S197" s="25">
        <v>45791</v>
      </c>
      <c r="T197" s="25"/>
      <c r="U197" s="25"/>
      <c r="V197" s="25">
        <v>45791</v>
      </c>
      <c r="W197" s="23" t="s">
        <v>52</v>
      </c>
      <c r="X197" s="32" t="str">
        <f>IF(Tabela2[[#This Row],[sigla]]="","",VLOOKUP(Tabela2[[#This Row],[sigla]],Tabela14[[#All],[Sigla Arte]:[Crédito]],2,0))</f>
        <v>LUCIANE MORI/ARQUIVO DA EDITORA</v>
      </c>
      <c r="Y197" s="24" t="s">
        <v>460</v>
      </c>
      <c r="Z197" s="24" t="str">
        <f>Tabela2[[#This Row],[ilustrador]]</f>
        <v>LUCIANE MORI/ARQUIVO DA EDITORA</v>
      </c>
      <c r="AA197" s="23">
        <v>14</v>
      </c>
      <c r="AB197" s="21" t="s">
        <v>105</v>
      </c>
      <c r="AC197" s="21" t="s">
        <v>31</v>
      </c>
      <c r="AD197" s="4" t="str">
        <f t="shared" si="6"/>
        <v>Pitanguá</v>
      </c>
      <c r="AE197" s="14" t="str">
        <f t="shared" si="7"/>
        <v>Ciências</v>
      </c>
    </row>
    <row r="198" spans="1:31" s="14" customFormat="1" ht="105" customHeight="1" x14ac:dyDescent="0.3">
      <c r="A198" s="14" t="s">
        <v>461</v>
      </c>
      <c r="B198" s="21" t="s">
        <v>6</v>
      </c>
      <c r="C198" s="21" t="s">
        <v>7</v>
      </c>
      <c r="D198" s="21" t="s">
        <v>8</v>
      </c>
      <c r="E198" s="23">
        <v>60</v>
      </c>
      <c r="F198" s="23">
        <f>_xlfn.NUMBERVALUE(MID(TRIM(Tabela2[[#This Row],[retranca]]), FIND("_", TRIM(Tabela2[[#This Row],[retranca]])) + 1, 1), ",", ".")</f>
        <v>5</v>
      </c>
      <c r="G198" s="23">
        <v>2</v>
      </c>
      <c r="H198" s="23"/>
      <c r="I198" s="24" t="s">
        <v>28</v>
      </c>
      <c r="J198" s="24"/>
      <c r="K198" s="23"/>
      <c r="L198" s="23"/>
      <c r="M198" s="24"/>
      <c r="N198" s="24"/>
      <c r="O198" s="27" t="s">
        <v>462</v>
      </c>
      <c r="P198" s="27"/>
      <c r="Q198" s="23">
        <v>2</v>
      </c>
      <c r="R198" s="25">
        <v>45785</v>
      </c>
      <c r="S198" s="25">
        <v>45791</v>
      </c>
      <c r="T198" s="25"/>
      <c r="U198" s="25"/>
      <c r="V198" s="25">
        <v>45791</v>
      </c>
      <c r="W198" s="23" t="s">
        <v>26</v>
      </c>
      <c r="X198" s="32" t="str">
        <f>IF(Tabela2[[#This Row],[sigla]]="","",VLOOKUP(Tabela2[[#This Row],[sigla]],Tabela14[[#All],[Sigla Arte]:[Crédito]],2,0))</f>
        <v>SAULO NUNES/ARQUIVO DA EDITORA</v>
      </c>
      <c r="Y198" s="24" t="s">
        <v>460</v>
      </c>
      <c r="Z198" s="24" t="str">
        <f>Tabela2[[#This Row],[ilustrador]]</f>
        <v>SAULO NUNES/ARQUIVO DA EDITORA</v>
      </c>
      <c r="AA198" s="23">
        <v>14</v>
      </c>
      <c r="AB198" s="21" t="s">
        <v>105</v>
      </c>
      <c r="AC198" s="21" t="s">
        <v>31</v>
      </c>
      <c r="AD198" s="4" t="str">
        <f t="shared" si="6"/>
        <v>Pitanguá</v>
      </c>
      <c r="AE198" s="14" t="str">
        <f t="shared" si="7"/>
        <v>Ciências</v>
      </c>
    </row>
    <row r="199" spans="1:31" s="14" customFormat="1" ht="45" customHeight="1" x14ac:dyDescent="0.3">
      <c r="A199" s="14" t="s">
        <v>463</v>
      </c>
      <c r="B199" s="21" t="s">
        <v>6</v>
      </c>
      <c r="C199" s="21" t="s">
        <v>7</v>
      </c>
      <c r="D199" s="21" t="s">
        <v>8</v>
      </c>
      <c r="E199" s="23">
        <v>64</v>
      </c>
      <c r="F199" s="23">
        <f>_xlfn.NUMBERVALUE(MID(TRIM(Tabela2[[#This Row],[retranca]]), FIND("_", TRIM(Tabela2[[#This Row],[retranca]])) + 1, 1), ",", ".")</f>
        <v>5</v>
      </c>
      <c r="G199" s="23">
        <v>2</v>
      </c>
      <c r="H199" s="23"/>
      <c r="I199" s="24" t="s">
        <v>15</v>
      </c>
      <c r="J199" s="24"/>
      <c r="K199" s="23"/>
      <c r="L199" s="23"/>
      <c r="M199" s="24"/>
      <c r="N199" s="24"/>
      <c r="O199" s="27" t="s">
        <v>464</v>
      </c>
      <c r="P199" s="27"/>
      <c r="Q199" s="23"/>
      <c r="R199" s="25"/>
      <c r="S199" s="25"/>
      <c r="T199" s="25"/>
      <c r="U199" s="25"/>
      <c r="V199" s="25"/>
      <c r="W199" s="23" t="s">
        <v>17</v>
      </c>
      <c r="X199" s="32" t="str">
        <f>IF(Tabela2[[#This Row],[sigla]]="","",VLOOKUP(Tabela2[[#This Row],[sigla]],Tabela14[[#All],[Sigla Arte]:[Crédito]],2,0))</f>
        <v>MÁRCIO GUERRA/ARQUIVO DA EDITORA</v>
      </c>
      <c r="Y199" s="24"/>
      <c r="Z199" s="24" t="str">
        <f>Tabela2[[#This Row],[ilustrador]]</f>
        <v>MÁRCIO GUERRA/ARQUIVO DA EDITORA</v>
      </c>
      <c r="AA199" s="23"/>
      <c r="AB199" s="21"/>
      <c r="AC199" s="21"/>
      <c r="AD199" s="4" t="str">
        <f t="shared" si="6"/>
        <v>Pitanguá</v>
      </c>
      <c r="AE199" s="14" t="str">
        <f t="shared" si="7"/>
        <v>Ciências</v>
      </c>
    </row>
    <row r="200" spans="1:31" s="14" customFormat="1" ht="60" customHeight="1" x14ac:dyDescent="0.3">
      <c r="A200" s="14" t="s">
        <v>465</v>
      </c>
      <c r="B200" s="21" t="s">
        <v>6</v>
      </c>
      <c r="C200" s="21" t="s">
        <v>7</v>
      </c>
      <c r="D200" s="21" t="s">
        <v>8</v>
      </c>
      <c r="E200" s="23">
        <v>65</v>
      </c>
      <c r="F200" s="23">
        <f>_xlfn.NUMBERVALUE(MID(TRIM(Tabela2[[#This Row],[retranca]]), FIND("_", TRIM(Tabela2[[#This Row],[retranca]])) + 1, 1), ",", ".")</f>
        <v>5</v>
      </c>
      <c r="G200" s="23">
        <v>2</v>
      </c>
      <c r="H200" s="23"/>
      <c r="I200" s="24" t="s">
        <v>28</v>
      </c>
      <c r="J200" s="24"/>
      <c r="K200" s="23"/>
      <c r="L200" s="23"/>
      <c r="M200" s="24"/>
      <c r="N200" s="24"/>
      <c r="O200" s="27" t="s">
        <v>466</v>
      </c>
      <c r="P200" s="27"/>
      <c r="Q200" s="23">
        <v>2</v>
      </c>
      <c r="R200" s="25">
        <v>45785</v>
      </c>
      <c r="S200" s="25">
        <v>45791</v>
      </c>
      <c r="T200" s="25"/>
      <c r="U200" s="25"/>
      <c r="V200" s="25">
        <v>45791</v>
      </c>
      <c r="W200" s="23" t="s">
        <v>26</v>
      </c>
      <c r="X200" s="32" t="str">
        <f>IF(Tabela2[[#This Row],[sigla]]="","",VLOOKUP(Tabela2[[#This Row],[sigla]],Tabela14[[#All],[Sigla Arte]:[Crédito]],2,0))</f>
        <v>SAULO NUNES/ARQUIVO DA EDITORA</v>
      </c>
      <c r="Y200" s="24" t="s">
        <v>460</v>
      </c>
      <c r="Z200" s="24" t="str">
        <f>Tabela2[[#This Row],[ilustrador]]</f>
        <v>SAULO NUNES/ARQUIVO DA EDITORA</v>
      </c>
      <c r="AA200" s="23">
        <v>14</v>
      </c>
      <c r="AB200" s="21" t="s">
        <v>105</v>
      </c>
      <c r="AC200" s="21" t="s">
        <v>31</v>
      </c>
      <c r="AD200" s="4" t="str">
        <f t="shared" si="6"/>
        <v>Pitanguá</v>
      </c>
      <c r="AE200" s="14" t="str">
        <f t="shared" si="7"/>
        <v>Ciências</v>
      </c>
    </row>
    <row r="201" spans="1:31" s="14" customFormat="1" ht="60" customHeight="1" x14ac:dyDescent="0.3">
      <c r="A201" s="14" t="s">
        <v>467</v>
      </c>
      <c r="B201" s="21" t="s">
        <v>6</v>
      </c>
      <c r="C201" s="21" t="s">
        <v>7</v>
      </c>
      <c r="D201" s="21" t="s">
        <v>8</v>
      </c>
      <c r="E201" s="23">
        <v>65</v>
      </c>
      <c r="F201" s="23">
        <f>_xlfn.NUMBERVALUE(MID(TRIM(Tabela2[[#This Row],[retranca]]), FIND("_", TRIM(Tabela2[[#This Row],[retranca]])) + 1, 1), ",", ".")</f>
        <v>5</v>
      </c>
      <c r="G201" s="23">
        <v>2</v>
      </c>
      <c r="H201" s="23"/>
      <c r="I201" s="24" t="s">
        <v>28</v>
      </c>
      <c r="J201" s="24"/>
      <c r="K201" s="23"/>
      <c r="L201" s="23"/>
      <c r="M201" s="24"/>
      <c r="N201" s="24"/>
      <c r="O201" s="27" t="s">
        <v>468</v>
      </c>
      <c r="P201" s="27"/>
      <c r="Q201" s="23">
        <v>2</v>
      </c>
      <c r="R201" s="25">
        <v>45785</v>
      </c>
      <c r="S201" s="25">
        <v>45791</v>
      </c>
      <c r="T201" s="25"/>
      <c r="U201" s="25"/>
      <c r="V201" s="25">
        <v>45791</v>
      </c>
      <c r="W201" s="23" t="s">
        <v>26</v>
      </c>
      <c r="X201" s="32" t="str">
        <f>IF(Tabela2[[#This Row],[sigla]]="","",VLOOKUP(Tabela2[[#This Row],[sigla]],Tabela14[[#All],[Sigla Arte]:[Crédito]],2,0))</f>
        <v>SAULO NUNES/ARQUIVO DA EDITORA</v>
      </c>
      <c r="Y201" s="24" t="s">
        <v>460</v>
      </c>
      <c r="Z201" s="24" t="str">
        <f>Tabela2[[#This Row],[ilustrador]]</f>
        <v>SAULO NUNES/ARQUIVO DA EDITORA</v>
      </c>
      <c r="AA201" s="23">
        <v>14</v>
      </c>
      <c r="AB201" s="21" t="s">
        <v>105</v>
      </c>
      <c r="AC201" s="21" t="s">
        <v>31</v>
      </c>
      <c r="AD201" s="4" t="str">
        <f t="shared" si="6"/>
        <v>Pitanguá</v>
      </c>
      <c r="AE201" s="14" t="str">
        <f t="shared" si="7"/>
        <v>Ciências</v>
      </c>
    </row>
    <row r="202" spans="1:31" s="14" customFormat="1" ht="45" customHeight="1" x14ac:dyDescent="0.3">
      <c r="A202" s="14" t="s">
        <v>469</v>
      </c>
      <c r="B202" s="21" t="s">
        <v>6</v>
      </c>
      <c r="C202" s="21" t="s">
        <v>135</v>
      </c>
      <c r="D202" s="21" t="s">
        <v>8</v>
      </c>
      <c r="E202" s="23">
        <v>69</v>
      </c>
      <c r="F202" s="23">
        <f>_xlfn.NUMBERVALUE(MID(TRIM(Tabela2[[#This Row],[retranca]]), FIND("_", TRIM(Tabela2[[#This Row],[retranca]])) + 1, 1), ",", ".")</f>
        <v>5</v>
      </c>
      <c r="G202" s="23">
        <v>2</v>
      </c>
      <c r="H202" s="23"/>
      <c r="I202" s="24" t="s">
        <v>28</v>
      </c>
      <c r="J202" s="24"/>
      <c r="K202" s="23"/>
      <c r="L202" s="23"/>
      <c r="M202" s="24"/>
      <c r="N202" s="24"/>
      <c r="O202" s="27" t="s">
        <v>470</v>
      </c>
      <c r="P202" s="27"/>
      <c r="Q202" s="23">
        <v>2</v>
      </c>
      <c r="R202" s="25">
        <v>45785</v>
      </c>
      <c r="S202" s="25">
        <v>45791</v>
      </c>
      <c r="T202" s="25"/>
      <c r="U202" s="25"/>
      <c r="V202" s="25">
        <v>45791</v>
      </c>
      <c r="W202" s="23" t="s">
        <v>78</v>
      </c>
      <c r="X202" s="32" t="str">
        <f>IF(Tabela2[[#This Row],[sigla]]="","",VLOOKUP(Tabela2[[#This Row],[sigla]],Tabela14[[#All],[Sigla Arte]:[Crédito]],2,0))</f>
        <v>HELOÍSA PINTARELLI/ARQUIVO DA EDITORA</v>
      </c>
      <c r="Y202" s="24" t="s">
        <v>460</v>
      </c>
      <c r="Z202" s="24" t="str">
        <f>Tabela2[[#This Row],[ilustrador]]</f>
        <v>HELOÍSA PINTARELLI/ARQUIVO DA EDITORA</v>
      </c>
      <c r="AA202" s="23">
        <v>14</v>
      </c>
      <c r="AB202" s="21" t="s">
        <v>105</v>
      </c>
      <c r="AC202" s="21" t="s">
        <v>31</v>
      </c>
      <c r="AD202" s="4" t="str">
        <f t="shared" si="6"/>
        <v>Pitanguá</v>
      </c>
      <c r="AE202" s="14" t="str">
        <f t="shared" si="7"/>
        <v>Ciências</v>
      </c>
    </row>
    <row r="203" spans="1:31" s="14" customFormat="1" ht="45" customHeight="1" x14ac:dyDescent="0.3">
      <c r="A203" s="14" t="s">
        <v>471</v>
      </c>
      <c r="B203" s="21" t="s">
        <v>6</v>
      </c>
      <c r="C203" s="21" t="s">
        <v>7</v>
      </c>
      <c r="D203" s="21" t="s">
        <v>8</v>
      </c>
      <c r="E203" s="23">
        <v>69</v>
      </c>
      <c r="F203" s="23">
        <f>_xlfn.NUMBERVALUE(MID(TRIM(Tabela2[[#This Row],[retranca]]), FIND("_", TRIM(Tabela2[[#This Row],[retranca]])) + 1, 1), ",", ".")</f>
        <v>5</v>
      </c>
      <c r="G203" s="23">
        <v>2</v>
      </c>
      <c r="H203" s="23"/>
      <c r="I203" s="24" t="s">
        <v>15</v>
      </c>
      <c r="J203" s="24"/>
      <c r="K203" s="23"/>
      <c r="L203" s="23"/>
      <c r="M203" s="24"/>
      <c r="N203" s="24"/>
      <c r="O203" s="27" t="s">
        <v>472</v>
      </c>
      <c r="P203" s="27"/>
      <c r="Q203" s="23"/>
      <c r="R203" s="25"/>
      <c r="S203" s="25"/>
      <c r="T203" s="25"/>
      <c r="U203" s="25"/>
      <c r="V203" s="25"/>
      <c r="W203" s="23" t="s">
        <v>17</v>
      </c>
      <c r="X203" s="32" t="str">
        <f>IF(Tabela2[[#This Row],[sigla]]="","",VLOOKUP(Tabela2[[#This Row],[sigla]],Tabela14[[#All],[Sigla Arte]:[Crédito]],2,0))</f>
        <v>MÁRCIO GUERRA/ARQUIVO DA EDITORA</v>
      </c>
      <c r="Y203" s="24"/>
      <c r="Z203" s="24" t="str">
        <f>Tabela2[[#This Row],[ilustrador]]</f>
        <v>MÁRCIO GUERRA/ARQUIVO DA EDITORA</v>
      </c>
      <c r="AA203" s="23"/>
      <c r="AB203" s="21"/>
      <c r="AC203" s="21"/>
      <c r="AD203" s="4" t="str">
        <f t="shared" si="6"/>
        <v>Pitanguá</v>
      </c>
      <c r="AE203" s="14" t="str">
        <f t="shared" si="7"/>
        <v>Ciências</v>
      </c>
    </row>
    <row r="204" spans="1:31" s="14" customFormat="1" ht="45" customHeight="1" x14ac:dyDescent="0.3">
      <c r="A204" s="14" t="s">
        <v>473</v>
      </c>
      <c r="B204" s="21" t="s">
        <v>6</v>
      </c>
      <c r="C204" s="21" t="s">
        <v>7</v>
      </c>
      <c r="D204" s="21" t="s">
        <v>8</v>
      </c>
      <c r="E204" s="23">
        <v>70</v>
      </c>
      <c r="F204" s="23">
        <f>_xlfn.NUMBERVALUE(MID(TRIM(Tabela2[[#This Row],[retranca]]), FIND("_", TRIM(Tabela2[[#This Row],[retranca]])) + 1, 1), ",", ".")</f>
        <v>5</v>
      </c>
      <c r="G204" s="23">
        <v>2</v>
      </c>
      <c r="H204" s="23"/>
      <c r="I204" s="24" t="s">
        <v>15</v>
      </c>
      <c r="J204" s="24"/>
      <c r="K204" s="23"/>
      <c r="L204" s="23"/>
      <c r="M204" s="24"/>
      <c r="N204" s="24"/>
      <c r="O204" s="27" t="s">
        <v>474</v>
      </c>
      <c r="P204" s="27"/>
      <c r="Q204" s="23"/>
      <c r="R204" s="25"/>
      <c r="S204" s="25"/>
      <c r="T204" s="25"/>
      <c r="U204" s="25"/>
      <c r="V204" s="25"/>
      <c r="W204" s="23" t="s">
        <v>11</v>
      </c>
      <c r="X204" s="32" t="str">
        <f>IF(Tabela2[[#This Row],[sigla]]="","",VLOOKUP(Tabela2[[#This Row],[sigla]],Tabela14[[#All],[Sigla Arte]:[Crédito]],2,0))</f>
        <v>LEONARDO DE MOURA AMARAL/ARQUIVO DA EDITORA</v>
      </c>
      <c r="Y204" s="24"/>
      <c r="Z204" s="24" t="str">
        <f>Tabela2[[#This Row],[ilustrador]]</f>
        <v>LEONARDO DE MOURA AMARAL/ARQUIVO DA EDITORA</v>
      </c>
      <c r="AA204" s="23"/>
      <c r="AB204" s="21"/>
      <c r="AC204" s="21"/>
      <c r="AD204" s="4" t="str">
        <f t="shared" si="6"/>
        <v>Pitanguá</v>
      </c>
      <c r="AE204" s="14" t="str">
        <f t="shared" si="7"/>
        <v>Ciências</v>
      </c>
    </row>
    <row r="205" spans="1:31" s="14" customFormat="1" ht="90" customHeight="1" x14ac:dyDescent="0.3">
      <c r="A205" s="14" t="s">
        <v>475</v>
      </c>
      <c r="B205" s="21" t="s">
        <v>6</v>
      </c>
      <c r="C205" s="21" t="s">
        <v>7</v>
      </c>
      <c r="D205" s="21" t="s">
        <v>8</v>
      </c>
      <c r="E205" s="23">
        <v>72</v>
      </c>
      <c r="F205" s="23">
        <f>_xlfn.NUMBERVALUE(MID(TRIM(Tabela2[[#This Row],[retranca]]), FIND("_", TRIM(Tabela2[[#This Row],[retranca]])) + 1, 1), ",", ".")</f>
        <v>5</v>
      </c>
      <c r="G205" s="23">
        <v>2</v>
      </c>
      <c r="H205" s="23"/>
      <c r="I205" s="24" t="s">
        <v>28</v>
      </c>
      <c r="J205" s="24"/>
      <c r="K205" s="23"/>
      <c r="L205" s="23"/>
      <c r="M205" s="24"/>
      <c r="N205" s="24"/>
      <c r="O205" s="27" t="s">
        <v>476</v>
      </c>
      <c r="P205" s="27"/>
      <c r="Q205" s="23">
        <v>2</v>
      </c>
      <c r="R205" s="25">
        <v>45785</v>
      </c>
      <c r="S205" s="25">
        <v>45791</v>
      </c>
      <c r="T205" s="25"/>
      <c r="U205" s="25"/>
      <c r="V205" s="25">
        <v>45791</v>
      </c>
      <c r="W205" s="23" t="s">
        <v>26</v>
      </c>
      <c r="X205" s="32" t="str">
        <f>IF(Tabela2[[#This Row],[sigla]]="","",VLOOKUP(Tabela2[[#This Row],[sigla]],Tabela14[[#All],[Sigla Arte]:[Crédito]],2,0))</f>
        <v>SAULO NUNES/ARQUIVO DA EDITORA</v>
      </c>
      <c r="Y205" s="24" t="s">
        <v>460</v>
      </c>
      <c r="Z205" s="24" t="str">
        <f>Tabela2[[#This Row],[ilustrador]]</f>
        <v>SAULO NUNES/ARQUIVO DA EDITORA</v>
      </c>
      <c r="AA205" s="23">
        <v>14</v>
      </c>
      <c r="AB205" s="21" t="s">
        <v>105</v>
      </c>
      <c r="AC205" s="21" t="s">
        <v>31</v>
      </c>
      <c r="AD205" s="4" t="str">
        <f t="shared" si="6"/>
        <v>Pitanguá</v>
      </c>
      <c r="AE205" s="14" t="str">
        <f t="shared" si="7"/>
        <v>Ciências</v>
      </c>
    </row>
    <row r="206" spans="1:31" s="14" customFormat="1" ht="45" customHeight="1" x14ac:dyDescent="0.3">
      <c r="A206" s="14" t="s">
        <v>477</v>
      </c>
      <c r="B206" s="21" t="s">
        <v>6</v>
      </c>
      <c r="C206" s="21" t="s">
        <v>7</v>
      </c>
      <c r="D206" s="21" t="s">
        <v>8</v>
      </c>
      <c r="E206" s="23">
        <v>76</v>
      </c>
      <c r="F206" s="23">
        <f>_xlfn.NUMBERVALUE(MID(TRIM(Tabela2[[#This Row],[retranca]]), FIND("_", TRIM(Tabela2[[#This Row],[retranca]])) + 1, 1), ",", ".")</f>
        <v>5</v>
      </c>
      <c r="G206" s="23">
        <v>2</v>
      </c>
      <c r="H206" s="23"/>
      <c r="I206" s="24" t="s">
        <v>15</v>
      </c>
      <c r="J206" s="24"/>
      <c r="K206" s="23"/>
      <c r="L206" s="23"/>
      <c r="M206" s="24"/>
      <c r="N206" s="24"/>
      <c r="O206" s="27" t="s">
        <v>478</v>
      </c>
      <c r="P206" s="27"/>
      <c r="Q206" s="23"/>
      <c r="R206" s="25"/>
      <c r="S206" s="25"/>
      <c r="T206" s="25"/>
      <c r="U206" s="25"/>
      <c r="V206" s="25"/>
      <c r="W206" s="23" t="s">
        <v>89</v>
      </c>
      <c r="X206" s="32" t="str">
        <f>IF(Tabela2[[#This Row],[sigla]]="","",VLOOKUP(Tabela2[[#This Row],[sigla]],Tabela14[[#All],[Sigla Arte]:[Crédito]],2,0))</f>
        <v>LISLLEY GOMES FEIGE/ARQUIVO DA EDITORA</v>
      </c>
      <c r="Y206" s="24"/>
      <c r="Z206" s="24" t="str">
        <f>Tabela2[[#This Row],[ilustrador]]</f>
        <v>LISLLEY GOMES FEIGE/ARQUIVO DA EDITORA</v>
      </c>
      <c r="AA206" s="23"/>
      <c r="AB206" s="21"/>
      <c r="AC206" s="21"/>
      <c r="AD206" s="4" t="str">
        <f t="shared" si="6"/>
        <v>Pitanguá</v>
      </c>
      <c r="AE206" s="14" t="str">
        <f t="shared" si="7"/>
        <v>Ciências</v>
      </c>
    </row>
    <row r="207" spans="1:31" s="14" customFormat="1" ht="75" customHeight="1" x14ac:dyDescent="0.3">
      <c r="A207" s="14" t="s">
        <v>479</v>
      </c>
      <c r="B207" s="21" t="s">
        <v>6</v>
      </c>
      <c r="C207" s="21" t="s">
        <v>7</v>
      </c>
      <c r="D207" s="21" t="s">
        <v>8</v>
      </c>
      <c r="E207" s="23">
        <v>78</v>
      </c>
      <c r="F207" s="23">
        <f>_xlfn.NUMBERVALUE(MID(TRIM(Tabela2[[#This Row],[retranca]]), FIND("_", TRIM(Tabela2[[#This Row],[retranca]])) + 1, 1), ",", ".")</f>
        <v>5</v>
      </c>
      <c r="G207" s="23">
        <v>2</v>
      </c>
      <c r="H207" s="23"/>
      <c r="I207" s="24" t="s">
        <v>28</v>
      </c>
      <c r="J207" s="24"/>
      <c r="K207" s="23"/>
      <c r="L207" s="23"/>
      <c r="M207" s="24"/>
      <c r="N207" s="24"/>
      <c r="O207" s="27" t="s">
        <v>480</v>
      </c>
      <c r="P207" s="27"/>
      <c r="Q207" s="23">
        <v>2</v>
      </c>
      <c r="R207" s="25">
        <v>45785</v>
      </c>
      <c r="S207" s="25">
        <v>45791</v>
      </c>
      <c r="T207" s="25"/>
      <c r="U207" s="25"/>
      <c r="V207" s="25">
        <v>45791</v>
      </c>
      <c r="W207" s="23" t="s">
        <v>36</v>
      </c>
      <c r="X207" s="32" t="str">
        <f>IF(Tabela2[[#This Row],[sigla]]="","",VLOOKUP(Tabela2[[#This Row],[sigla]],Tabela14[[#All],[Sigla Arte]:[Crédito]],2,0))</f>
        <v>WERLLEN HOLANDA/ARQUIVO DA EDITORA</v>
      </c>
      <c r="Y207" s="24" t="s">
        <v>460</v>
      </c>
      <c r="Z207" s="24" t="str">
        <f>Tabela2[[#This Row],[ilustrador]]</f>
        <v>WERLLEN HOLANDA/ARQUIVO DA EDITORA</v>
      </c>
      <c r="AA207" s="23">
        <v>14</v>
      </c>
      <c r="AB207" s="21" t="s">
        <v>105</v>
      </c>
      <c r="AC207" s="21" t="s">
        <v>31</v>
      </c>
      <c r="AD207" s="4" t="str">
        <f t="shared" si="6"/>
        <v>Pitanguá</v>
      </c>
      <c r="AE207" s="14" t="str">
        <f t="shared" si="7"/>
        <v>Ciências</v>
      </c>
    </row>
    <row r="208" spans="1:31" s="14" customFormat="1" ht="45" customHeight="1" x14ac:dyDescent="0.3">
      <c r="A208" s="14" t="s">
        <v>481</v>
      </c>
      <c r="B208" s="21" t="s">
        <v>6</v>
      </c>
      <c r="C208" s="21" t="s">
        <v>7</v>
      </c>
      <c r="D208" s="21" t="s">
        <v>8</v>
      </c>
      <c r="E208" s="23">
        <v>80</v>
      </c>
      <c r="F208" s="23">
        <f>_xlfn.NUMBERVALUE(MID(TRIM(Tabela2[[#This Row],[retranca]]), FIND("_", TRIM(Tabela2[[#This Row],[retranca]])) + 1, 1), ",", ".")</f>
        <v>5</v>
      </c>
      <c r="G208" s="23">
        <v>2</v>
      </c>
      <c r="H208" s="23"/>
      <c r="I208" s="24" t="s">
        <v>15</v>
      </c>
      <c r="J208" s="24"/>
      <c r="K208" s="23"/>
      <c r="L208" s="23"/>
      <c r="M208" s="24"/>
      <c r="N208" s="24"/>
      <c r="O208" s="27" t="s">
        <v>482</v>
      </c>
      <c r="P208" s="27"/>
      <c r="Q208" s="23"/>
      <c r="R208" s="25"/>
      <c r="S208" s="25"/>
      <c r="T208" s="25"/>
      <c r="U208" s="25"/>
      <c r="V208" s="25"/>
      <c r="W208" s="23" t="s">
        <v>89</v>
      </c>
      <c r="X208" s="32" t="str">
        <f>IF(Tabela2[[#This Row],[sigla]]="","",VLOOKUP(Tabela2[[#This Row],[sigla]],Tabela14[[#All],[Sigla Arte]:[Crédito]],2,0))</f>
        <v>LISLLEY GOMES FEIGE/ARQUIVO DA EDITORA</v>
      </c>
      <c r="Y208" s="24"/>
      <c r="Z208" s="24" t="str">
        <f>Tabela2[[#This Row],[ilustrador]]</f>
        <v>LISLLEY GOMES FEIGE/ARQUIVO DA EDITORA</v>
      </c>
      <c r="AA208" s="23"/>
      <c r="AB208" s="21"/>
      <c r="AC208" s="21"/>
      <c r="AD208" s="4" t="str">
        <f t="shared" si="6"/>
        <v>Pitanguá</v>
      </c>
      <c r="AE208" s="14" t="str">
        <f t="shared" si="7"/>
        <v>Ciências</v>
      </c>
    </row>
    <row r="209" spans="1:31" s="14" customFormat="1" ht="270" customHeight="1" x14ac:dyDescent="0.3">
      <c r="A209" s="14" t="s">
        <v>483</v>
      </c>
      <c r="B209" s="21" t="s">
        <v>6</v>
      </c>
      <c r="C209" s="21" t="s">
        <v>7</v>
      </c>
      <c r="D209" s="21" t="s">
        <v>8</v>
      </c>
      <c r="E209" s="23">
        <v>118</v>
      </c>
      <c r="F209" s="23">
        <f>_xlfn.NUMBERVALUE(MID(TRIM(Tabela2[[#This Row],[retranca]]), FIND("_", TRIM(Tabela2[[#This Row],[retranca]])) + 1, 1), ",", ".")</f>
        <v>5</v>
      </c>
      <c r="G209" s="23">
        <v>4</v>
      </c>
      <c r="H209" s="23"/>
      <c r="I209" s="24" t="s">
        <v>28</v>
      </c>
      <c r="J209" s="24"/>
      <c r="K209" s="23"/>
      <c r="L209" s="23"/>
      <c r="M209" s="24"/>
      <c r="N209" s="24"/>
      <c r="O209" s="27" t="s">
        <v>484</v>
      </c>
      <c r="P209" s="27"/>
      <c r="Q209" s="23">
        <v>3</v>
      </c>
      <c r="R209" s="25">
        <v>45797</v>
      </c>
      <c r="S209" s="25">
        <v>45824</v>
      </c>
      <c r="T209" s="25"/>
      <c r="U209" s="25"/>
      <c r="V209" s="25">
        <v>45825</v>
      </c>
      <c r="W209" s="23" t="s">
        <v>17</v>
      </c>
      <c r="X209" s="32" t="str">
        <f>IF(Tabela2[[#This Row],[sigla]]="","",VLOOKUP(Tabela2[[#This Row],[sigla]],Tabela14[[#All],[Sigla Arte]:[Crédito]],2,0))</f>
        <v>MÁRCIO GUERRA/ARQUIVO DA EDITORA</v>
      </c>
      <c r="Y209" s="24" t="s">
        <v>194</v>
      </c>
      <c r="Z209" s="24" t="str">
        <f>Tabela2[[#This Row],[ilustrador]]</f>
        <v>MÁRCIO GUERRA/ARQUIVO DA EDITORA</v>
      </c>
      <c r="AA209" s="23">
        <v>14</v>
      </c>
      <c r="AB209" s="21" t="s">
        <v>105</v>
      </c>
      <c r="AC209" s="21" t="s">
        <v>31</v>
      </c>
      <c r="AD209" s="4" t="str">
        <f t="shared" si="6"/>
        <v>Pitanguá</v>
      </c>
      <c r="AE209" s="14" t="str">
        <f t="shared" si="7"/>
        <v>Ciências</v>
      </c>
    </row>
    <row r="210" spans="1:31" s="14" customFormat="1" ht="60" customHeight="1" x14ac:dyDescent="0.3">
      <c r="A210" s="14" t="s">
        <v>485</v>
      </c>
      <c r="B210" s="21" t="s">
        <v>6</v>
      </c>
      <c r="C210" s="21" t="s">
        <v>7</v>
      </c>
      <c r="D210" s="21" t="s">
        <v>8</v>
      </c>
      <c r="E210" s="23">
        <v>121</v>
      </c>
      <c r="F210" s="23">
        <f>_xlfn.NUMBERVALUE(MID(TRIM(Tabela2[[#This Row],[retranca]]), FIND("_", TRIM(Tabela2[[#This Row],[retranca]])) + 1, 1), ",", ".")</f>
        <v>5</v>
      </c>
      <c r="G210" s="23">
        <v>4</v>
      </c>
      <c r="H210" s="23"/>
      <c r="I210" s="24" t="s">
        <v>28</v>
      </c>
      <c r="J210" s="24"/>
      <c r="K210" s="23"/>
      <c r="L210" s="23"/>
      <c r="M210" s="24"/>
      <c r="N210" s="24"/>
      <c r="O210" s="27" t="s">
        <v>486</v>
      </c>
      <c r="P210" s="27"/>
      <c r="Q210" s="23">
        <v>3</v>
      </c>
      <c r="R210" s="25">
        <v>45797</v>
      </c>
      <c r="S210" s="25">
        <v>45824</v>
      </c>
      <c r="T210" s="25"/>
      <c r="U210" s="25"/>
      <c r="V210" s="25">
        <v>45825</v>
      </c>
      <c r="W210" s="23" t="s">
        <v>17</v>
      </c>
      <c r="X210" s="32" t="str">
        <f>IF(Tabela2[[#This Row],[sigla]]="","",VLOOKUP(Tabela2[[#This Row],[sigla]],Tabela14[[#All],[Sigla Arte]:[Crédito]],2,0))</f>
        <v>MÁRCIO GUERRA/ARQUIVO DA EDITORA</v>
      </c>
      <c r="Y210" s="24" t="s">
        <v>194</v>
      </c>
      <c r="Z210" s="24" t="str">
        <f>Tabela2[[#This Row],[ilustrador]]</f>
        <v>MÁRCIO GUERRA/ARQUIVO DA EDITORA</v>
      </c>
      <c r="AA210" s="23">
        <v>14</v>
      </c>
      <c r="AB210" s="21" t="s">
        <v>105</v>
      </c>
      <c r="AC210" s="21" t="s">
        <v>31</v>
      </c>
      <c r="AD210" s="4" t="str">
        <f t="shared" si="6"/>
        <v>Pitanguá</v>
      </c>
      <c r="AE210" s="14" t="str">
        <f t="shared" si="7"/>
        <v>Ciências</v>
      </c>
    </row>
    <row r="211" spans="1:31" s="14" customFormat="1" ht="60" customHeight="1" x14ac:dyDescent="0.3">
      <c r="A211" s="14" t="s">
        <v>487</v>
      </c>
      <c r="B211" s="21" t="s">
        <v>6</v>
      </c>
      <c r="C211" s="21" t="s">
        <v>7</v>
      </c>
      <c r="D211" s="21" t="s">
        <v>8</v>
      </c>
      <c r="E211" s="23">
        <v>121</v>
      </c>
      <c r="F211" s="23">
        <f>_xlfn.NUMBERVALUE(MID(TRIM(Tabela2[[#This Row],[retranca]]), FIND("_", TRIM(Tabela2[[#This Row],[retranca]])) + 1, 1), ",", ".")</f>
        <v>5</v>
      </c>
      <c r="G211" s="23">
        <v>4</v>
      </c>
      <c r="H211" s="23"/>
      <c r="I211" s="24" t="s">
        <v>28</v>
      </c>
      <c r="J211" s="24"/>
      <c r="K211" s="23"/>
      <c r="L211" s="23"/>
      <c r="M211" s="24"/>
      <c r="N211" s="24"/>
      <c r="O211" s="27" t="s">
        <v>488</v>
      </c>
      <c r="P211" s="27"/>
      <c r="Q211" s="23">
        <v>3</v>
      </c>
      <c r="R211" s="25">
        <v>45797</v>
      </c>
      <c r="S211" s="25">
        <v>45824</v>
      </c>
      <c r="T211" s="25"/>
      <c r="U211" s="25"/>
      <c r="V211" s="25">
        <v>45825</v>
      </c>
      <c r="W211" s="23" t="s">
        <v>17</v>
      </c>
      <c r="X211" s="32" t="str">
        <f>IF(Tabela2[[#This Row],[sigla]]="","",VLOOKUP(Tabela2[[#This Row],[sigla]],Tabela14[[#All],[Sigla Arte]:[Crédito]],2,0))</f>
        <v>MÁRCIO GUERRA/ARQUIVO DA EDITORA</v>
      </c>
      <c r="Y211" s="24"/>
      <c r="Z211" s="24" t="str">
        <f>Tabela2[[#This Row],[ilustrador]]</f>
        <v>MÁRCIO GUERRA/ARQUIVO DA EDITORA</v>
      </c>
      <c r="AA211" s="23">
        <v>14</v>
      </c>
      <c r="AB211" s="21" t="s">
        <v>105</v>
      </c>
      <c r="AC211" s="21" t="s">
        <v>31</v>
      </c>
      <c r="AD211" s="4" t="str">
        <f t="shared" si="6"/>
        <v>Pitanguá</v>
      </c>
      <c r="AE211" s="14" t="str">
        <f t="shared" si="7"/>
        <v>Ciências</v>
      </c>
    </row>
    <row r="212" spans="1:31" s="14" customFormat="1" ht="45" customHeight="1" x14ac:dyDescent="0.3">
      <c r="A212" s="14" t="s">
        <v>489</v>
      </c>
      <c r="B212" s="21" t="s">
        <v>6</v>
      </c>
      <c r="C212" s="21" t="s">
        <v>7</v>
      </c>
      <c r="D212" s="21" t="s">
        <v>8</v>
      </c>
      <c r="E212" s="23">
        <v>122</v>
      </c>
      <c r="F212" s="23">
        <f>_xlfn.NUMBERVALUE(MID(TRIM(Tabela2[[#This Row],[retranca]]), FIND("_", TRIM(Tabela2[[#This Row],[retranca]])) + 1, 1), ",", ".")</f>
        <v>5</v>
      </c>
      <c r="G212" s="23">
        <v>4</v>
      </c>
      <c r="H212" s="23"/>
      <c r="I212" s="24" t="s">
        <v>15</v>
      </c>
      <c r="J212" s="24"/>
      <c r="K212" s="23"/>
      <c r="L212" s="23"/>
      <c r="M212" s="24"/>
      <c r="N212" s="24"/>
      <c r="O212" s="27" t="s">
        <v>490</v>
      </c>
      <c r="P212" s="27"/>
      <c r="Q212" s="23"/>
      <c r="R212" s="25"/>
      <c r="S212" s="25"/>
      <c r="T212" s="25"/>
      <c r="U212" s="25"/>
      <c r="V212" s="25"/>
      <c r="W212" s="23" t="s">
        <v>78</v>
      </c>
      <c r="X212" s="32" t="str">
        <f>IF(Tabela2[[#This Row],[sigla]]="","",VLOOKUP(Tabela2[[#This Row],[sigla]],Tabela14[[#All],[Sigla Arte]:[Crédito]],2,0))</f>
        <v>HELOÍSA PINTARELLI/ARQUIVO DA EDITORA</v>
      </c>
      <c r="Y212" s="24"/>
      <c r="Z212" s="24" t="str">
        <f>Tabela2[[#This Row],[ilustrador]]</f>
        <v>HELOÍSA PINTARELLI/ARQUIVO DA EDITORA</v>
      </c>
      <c r="AA212" s="23"/>
      <c r="AB212" s="21"/>
      <c r="AC212" s="21"/>
      <c r="AD212" s="4" t="str">
        <f t="shared" si="6"/>
        <v>Pitanguá</v>
      </c>
      <c r="AE212" s="14" t="str">
        <f t="shared" si="7"/>
        <v>Ciências</v>
      </c>
    </row>
    <row r="213" spans="1:31" s="14" customFormat="1" ht="60" customHeight="1" x14ac:dyDescent="0.3">
      <c r="A213" s="14" t="s">
        <v>491</v>
      </c>
      <c r="B213" s="21" t="s">
        <v>6</v>
      </c>
      <c r="C213" s="21" t="s">
        <v>7</v>
      </c>
      <c r="D213" s="21" t="s">
        <v>8</v>
      </c>
      <c r="E213" s="23">
        <v>123</v>
      </c>
      <c r="F213" s="23">
        <f>_xlfn.NUMBERVALUE(MID(TRIM(Tabela2[[#This Row],[retranca]]), FIND("_", TRIM(Tabela2[[#This Row],[retranca]])) + 1, 1), ",", ".")</f>
        <v>5</v>
      </c>
      <c r="G213" s="23">
        <v>4</v>
      </c>
      <c r="H213" s="23"/>
      <c r="I213" s="24" t="s">
        <v>28</v>
      </c>
      <c r="J213" s="24"/>
      <c r="K213" s="23"/>
      <c r="L213" s="23"/>
      <c r="M213" s="24"/>
      <c r="N213" s="24"/>
      <c r="O213" s="27" t="s">
        <v>492</v>
      </c>
      <c r="P213" s="27"/>
      <c r="Q213" s="23">
        <v>3</v>
      </c>
      <c r="R213" s="25">
        <v>45797</v>
      </c>
      <c r="S213" s="25">
        <v>45824</v>
      </c>
      <c r="T213" s="25"/>
      <c r="U213" s="25"/>
      <c r="V213" s="25">
        <v>45825</v>
      </c>
      <c r="W213" s="23" t="s">
        <v>17</v>
      </c>
      <c r="X213" s="32" t="str">
        <f>IF(Tabela2[[#This Row],[sigla]]="","",VLOOKUP(Tabela2[[#This Row],[sigla]],Tabela14[[#All],[Sigla Arte]:[Crédito]],2,0))</f>
        <v>MÁRCIO GUERRA/ARQUIVO DA EDITORA</v>
      </c>
      <c r="Y213" s="24" t="s">
        <v>194</v>
      </c>
      <c r="Z213" s="24" t="str">
        <f>Tabela2[[#This Row],[ilustrador]]</f>
        <v>MÁRCIO GUERRA/ARQUIVO DA EDITORA</v>
      </c>
      <c r="AA213" s="23">
        <v>14</v>
      </c>
      <c r="AB213" s="21" t="s">
        <v>105</v>
      </c>
      <c r="AC213" s="21" t="s">
        <v>31</v>
      </c>
      <c r="AD213" s="4" t="str">
        <f t="shared" si="6"/>
        <v>Pitanguá</v>
      </c>
      <c r="AE213" s="14" t="str">
        <f t="shared" si="7"/>
        <v>Ciências</v>
      </c>
    </row>
    <row r="214" spans="1:31" s="14" customFormat="1" ht="60" customHeight="1" x14ac:dyDescent="0.3">
      <c r="A214" s="14" t="s">
        <v>493</v>
      </c>
      <c r="B214" s="21" t="s">
        <v>6</v>
      </c>
      <c r="C214" s="21" t="s">
        <v>7</v>
      </c>
      <c r="D214" s="21" t="s">
        <v>8</v>
      </c>
      <c r="E214" s="23">
        <v>123</v>
      </c>
      <c r="F214" s="23">
        <f>_xlfn.NUMBERVALUE(MID(TRIM(Tabela2[[#This Row],[retranca]]), FIND("_", TRIM(Tabela2[[#This Row],[retranca]])) + 1, 1), ",", ".")</f>
        <v>5</v>
      </c>
      <c r="G214" s="23">
        <v>4</v>
      </c>
      <c r="H214" s="23"/>
      <c r="I214" s="24" t="s">
        <v>28</v>
      </c>
      <c r="J214" s="24"/>
      <c r="K214" s="23"/>
      <c r="L214" s="23"/>
      <c r="M214" s="24"/>
      <c r="N214" s="24"/>
      <c r="O214" s="27" t="s">
        <v>494</v>
      </c>
      <c r="P214" s="27"/>
      <c r="Q214" s="23">
        <v>3</v>
      </c>
      <c r="R214" s="25">
        <v>45797</v>
      </c>
      <c r="S214" s="25">
        <v>45824</v>
      </c>
      <c r="T214" s="25"/>
      <c r="U214" s="25"/>
      <c r="V214" s="25">
        <v>45825</v>
      </c>
      <c r="W214" s="23" t="s">
        <v>17</v>
      </c>
      <c r="X214" s="32" t="str">
        <f>IF(Tabela2[[#This Row],[sigla]]="","",VLOOKUP(Tabela2[[#This Row],[sigla]],Tabela14[[#All],[Sigla Arte]:[Crédito]],2,0))</f>
        <v>MÁRCIO GUERRA/ARQUIVO DA EDITORA</v>
      </c>
      <c r="Y214" s="24" t="s">
        <v>194</v>
      </c>
      <c r="Z214" s="24" t="str">
        <f>Tabela2[[#This Row],[ilustrador]]</f>
        <v>MÁRCIO GUERRA/ARQUIVO DA EDITORA</v>
      </c>
      <c r="AA214" s="23">
        <v>14</v>
      </c>
      <c r="AB214" s="21" t="s">
        <v>105</v>
      </c>
      <c r="AC214" s="21" t="s">
        <v>31</v>
      </c>
      <c r="AD214" s="4" t="str">
        <f t="shared" si="6"/>
        <v>Pitanguá</v>
      </c>
      <c r="AE214" s="14" t="str">
        <f t="shared" si="7"/>
        <v>Ciências</v>
      </c>
    </row>
    <row r="215" spans="1:31" s="14" customFormat="1" ht="60" customHeight="1" x14ac:dyDescent="0.3">
      <c r="A215" s="14" t="s">
        <v>495</v>
      </c>
      <c r="B215" s="21" t="s">
        <v>6</v>
      </c>
      <c r="C215" s="21" t="s">
        <v>7</v>
      </c>
      <c r="D215" s="21" t="s">
        <v>8</v>
      </c>
      <c r="E215" s="23">
        <v>123</v>
      </c>
      <c r="F215" s="23">
        <f>_xlfn.NUMBERVALUE(MID(TRIM(Tabela2[[#This Row],[retranca]]), FIND("_", TRIM(Tabela2[[#This Row],[retranca]])) + 1, 1), ",", ".")</f>
        <v>5</v>
      </c>
      <c r="G215" s="23">
        <v>4</v>
      </c>
      <c r="H215" s="23"/>
      <c r="I215" s="24" t="s">
        <v>28</v>
      </c>
      <c r="J215" s="24"/>
      <c r="K215" s="23"/>
      <c r="L215" s="23"/>
      <c r="M215" s="24"/>
      <c r="N215" s="24"/>
      <c r="O215" s="27" t="s">
        <v>496</v>
      </c>
      <c r="P215" s="27"/>
      <c r="Q215" s="23">
        <v>3</v>
      </c>
      <c r="R215" s="25">
        <v>45797</v>
      </c>
      <c r="S215" s="25">
        <v>45824</v>
      </c>
      <c r="T215" s="25"/>
      <c r="U215" s="25"/>
      <c r="V215" s="25">
        <v>45825</v>
      </c>
      <c r="W215" s="23" t="s">
        <v>17</v>
      </c>
      <c r="X215" s="32" t="str">
        <f>IF(Tabela2[[#This Row],[sigla]]="","",VLOOKUP(Tabela2[[#This Row],[sigla]],Tabela14[[#All],[Sigla Arte]:[Crédito]],2,0))</f>
        <v>MÁRCIO GUERRA/ARQUIVO DA EDITORA</v>
      </c>
      <c r="Y215" s="24" t="s">
        <v>194</v>
      </c>
      <c r="Z215" s="24" t="str">
        <f>Tabela2[[#This Row],[ilustrador]]</f>
        <v>MÁRCIO GUERRA/ARQUIVO DA EDITORA</v>
      </c>
      <c r="AA215" s="23">
        <v>14</v>
      </c>
      <c r="AB215" s="21" t="s">
        <v>105</v>
      </c>
      <c r="AC215" s="21" t="s">
        <v>31</v>
      </c>
      <c r="AD215" s="4" t="str">
        <f t="shared" si="6"/>
        <v>Pitanguá</v>
      </c>
      <c r="AE215" s="14" t="str">
        <f t="shared" si="7"/>
        <v>Ciências</v>
      </c>
    </row>
    <row r="216" spans="1:31" s="14" customFormat="1" ht="120" customHeight="1" x14ac:dyDescent="0.3">
      <c r="A216" s="14" t="s">
        <v>497</v>
      </c>
      <c r="B216" s="21" t="s">
        <v>6</v>
      </c>
      <c r="C216" s="21" t="s">
        <v>7</v>
      </c>
      <c r="D216" s="21" t="s">
        <v>8</v>
      </c>
      <c r="E216" s="23">
        <v>127</v>
      </c>
      <c r="F216" s="23">
        <f>_xlfn.NUMBERVALUE(MID(TRIM(Tabela2[[#This Row],[retranca]]), FIND("_", TRIM(Tabela2[[#This Row],[retranca]])) + 1, 1), ",", ".")</f>
        <v>5</v>
      </c>
      <c r="G216" s="23">
        <v>4</v>
      </c>
      <c r="H216" s="23"/>
      <c r="I216" s="24" t="s">
        <v>28</v>
      </c>
      <c r="J216" s="24"/>
      <c r="K216" s="23"/>
      <c r="L216" s="23"/>
      <c r="M216" s="24"/>
      <c r="N216" s="24"/>
      <c r="O216" s="27" t="s">
        <v>498</v>
      </c>
      <c r="P216" s="27"/>
      <c r="Q216" s="23">
        <v>3</v>
      </c>
      <c r="R216" s="25">
        <v>45797</v>
      </c>
      <c r="S216" s="25">
        <v>45824</v>
      </c>
      <c r="T216" s="25"/>
      <c r="U216" s="25"/>
      <c r="V216" s="25">
        <v>45825</v>
      </c>
      <c r="W216" s="23" t="s">
        <v>26</v>
      </c>
      <c r="X216" s="32" t="str">
        <f>IF(Tabela2[[#This Row],[sigla]]="","",VLOOKUP(Tabela2[[#This Row],[sigla]],Tabela14[[#All],[Sigla Arte]:[Crédito]],2,0))</f>
        <v>SAULO NUNES/ARQUIVO DA EDITORA</v>
      </c>
      <c r="Y216" s="24" t="s">
        <v>194</v>
      </c>
      <c r="Z216" s="24" t="str">
        <f>Tabela2[[#This Row],[ilustrador]]</f>
        <v>SAULO NUNES/ARQUIVO DA EDITORA</v>
      </c>
      <c r="AA216" s="23">
        <v>13</v>
      </c>
      <c r="AB216" s="21" t="s">
        <v>105</v>
      </c>
      <c r="AC216" s="21" t="s">
        <v>31</v>
      </c>
      <c r="AD216" s="4" t="str">
        <f t="shared" si="6"/>
        <v>Pitanguá</v>
      </c>
      <c r="AE216" s="14" t="str">
        <f t="shared" si="7"/>
        <v>Ciências</v>
      </c>
    </row>
    <row r="217" spans="1:31" s="14" customFormat="1" ht="45" customHeight="1" x14ac:dyDescent="0.3">
      <c r="A217" s="14" t="s">
        <v>499</v>
      </c>
      <c r="B217" s="21" t="s">
        <v>6</v>
      </c>
      <c r="C217" s="21" t="s">
        <v>7</v>
      </c>
      <c r="D217" s="21" t="s">
        <v>8</v>
      </c>
      <c r="E217" s="23">
        <v>127</v>
      </c>
      <c r="F217" s="23">
        <f>_xlfn.NUMBERVALUE(MID(TRIM(Tabela2[[#This Row],[retranca]]), FIND("_", TRIM(Tabela2[[#This Row],[retranca]])) + 1, 1), ",", ".")</f>
        <v>5</v>
      </c>
      <c r="G217" s="23">
        <v>4</v>
      </c>
      <c r="H217" s="23"/>
      <c r="I217" s="24" t="s">
        <v>15</v>
      </c>
      <c r="J217" s="24"/>
      <c r="K217" s="23"/>
      <c r="L217" s="23"/>
      <c r="M217" s="24"/>
      <c r="N217" s="24"/>
      <c r="O217" s="27" t="s">
        <v>500</v>
      </c>
      <c r="P217" s="27"/>
      <c r="Q217" s="23"/>
      <c r="R217" s="25"/>
      <c r="S217" s="25"/>
      <c r="T217" s="25"/>
      <c r="U217" s="25"/>
      <c r="V217" s="25"/>
      <c r="W217" s="23" t="s">
        <v>26</v>
      </c>
      <c r="X217" s="32" t="str">
        <f>IF(Tabela2[[#This Row],[sigla]]="","",VLOOKUP(Tabela2[[#This Row],[sigla]],Tabela14[[#All],[Sigla Arte]:[Crédito]],2,0))</f>
        <v>SAULO NUNES/ARQUIVO DA EDITORA</v>
      </c>
      <c r="Y217" s="24"/>
      <c r="Z217" s="24" t="str">
        <f>Tabela2[[#This Row],[ilustrador]]</f>
        <v>SAULO NUNES/ARQUIVO DA EDITORA</v>
      </c>
      <c r="AA217" s="23"/>
      <c r="AB217" s="21"/>
      <c r="AC217" s="21"/>
      <c r="AD217" s="4" t="str">
        <f t="shared" si="6"/>
        <v>Pitanguá</v>
      </c>
      <c r="AE217" s="14" t="str">
        <f t="shared" si="7"/>
        <v>Ciências</v>
      </c>
    </row>
    <row r="218" spans="1:31" s="14" customFormat="1" ht="120" customHeight="1" x14ac:dyDescent="0.3">
      <c r="A218" s="14" t="s">
        <v>501</v>
      </c>
      <c r="B218" s="21" t="s">
        <v>6</v>
      </c>
      <c r="C218" s="21" t="s">
        <v>7</v>
      </c>
      <c r="D218" s="21" t="s">
        <v>8</v>
      </c>
      <c r="E218" s="23">
        <v>128</v>
      </c>
      <c r="F218" s="23">
        <f>_xlfn.NUMBERVALUE(MID(TRIM(Tabela2[[#This Row],[retranca]]), FIND("_", TRIM(Tabela2[[#This Row],[retranca]])) + 1, 1), ",", ".")</f>
        <v>5</v>
      </c>
      <c r="G218" s="23">
        <v>4</v>
      </c>
      <c r="H218" s="23"/>
      <c r="I218" s="24" t="s">
        <v>28</v>
      </c>
      <c r="J218" s="24"/>
      <c r="K218" s="23"/>
      <c r="L218" s="23"/>
      <c r="M218" s="24"/>
      <c r="N218" s="24"/>
      <c r="O218" s="27" t="s">
        <v>502</v>
      </c>
      <c r="P218" s="27"/>
      <c r="Q218" s="23">
        <v>3</v>
      </c>
      <c r="R218" s="25">
        <v>45797</v>
      </c>
      <c r="S218" s="25">
        <v>45824</v>
      </c>
      <c r="T218" s="25"/>
      <c r="U218" s="25"/>
      <c r="V218" s="25">
        <v>45825</v>
      </c>
      <c r="W218" s="23" t="s">
        <v>26</v>
      </c>
      <c r="X218" s="32" t="str">
        <f>IF(Tabela2[[#This Row],[sigla]]="","",VLOOKUP(Tabela2[[#This Row],[sigla]],Tabela14[[#All],[Sigla Arte]:[Crédito]],2,0))</f>
        <v>SAULO NUNES/ARQUIVO DA EDITORA</v>
      </c>
      <c r="Y218" s="24" t="s">
        <v>194</v>
      </c>
      <c r="Z218" s="24" t="str">
        <f>Tabela2[[#This Row],[ilustrador]]</f>
        <v>SAULO NUNES/ARQUIVO DA EDITORA</v>
      </c>
      <c r="AA218" s="23">
        <v>13</v>
      </c>
      <c r="AB218" s="21" t="s">
        <v>105</v>
      </c>
      <c r="AC218" s="21" t="s">
        <v>31</v>
      </c>
      <c r="AD218" s="4" t="str">
        <f t="shared" si="6"/>
        <v>Pitanguá</v>
      </c>
      <c r="AE218" s="14" t="str">
        <f t="shared" si="7"/>
        <v>Ciências</v>
      </c>
    </row>
    <row r="219" spans="1:31" s="14" customFormat="1" ht="45" customHeight="1" x14ac:dyDescent="0.3">
      <c r="A219" s="14" t="s">
        <v>503</v>
      </c>
      <c r="B219" s="21" t="s">
        <v>6</v>
      </c>
      <c r="C219" s="21" t="s">
        <v>7</v>
      </c>
      <c r="D219" s="21" t="s">
        <v>8</v>
      </c>
      <c r="E219" s="23">
        <v>129</v>
      </c>
      <c r="F219" s="23">
        <f>_xlfn.NUMBERVALUE(MID(TRIM(Tabela2[[#This Row],[retranca]]), FIND("_", TRIM(Tabela2[[#This Row],[retranca]])) + 1, 1), ",", ".")</f>
        <v>5</v>
      </c>
      <c r="G219" s="23">
        <v>4</v>
      </c>
      <c r="H219" s="23"/>
      <c r="I219" s="24" t="s">
        <v>15</v>
      </c>
      <c r="J219" s="24"/>
      <c r="K219" s="23"/>
      <c r="L219" s="23"/>
      <c r="M219" s="24"/>
      <c r="N219" s="24"/>
      <c r="O219" s="27" t="s">
        <v>504</v>
      </c>
      <c r="P219" s="27"/>
      <c r="Q219" s="23"/>
      <c r="R219" s="25"/>
      <c r="S219" s="25"/>
      <c r="T219" s="25"/>
      <c r="U219" s="25"/>
      <c r="V219" s="25"/>
      <c r="W219" s="23" t="s">
        <v>353</v>
      </c>
      <c r="X219" s="32" t="str">
        <f>IF(Tabela2[[#This Row],[sigla]]="","",VLOOKUP(Tabela2[[#This Row],[sigla]],Tabela14[[#All],[Sigla Arte]:[Crédito]],2,0))</f>
        <v>KEITHY MOSTACHI/ARQUIVO DA EDITORA</v>
      </c>
      <c r="Y219" s="24"/>
      <c r="Z219" s="24" t="str">
        <f>Tabela2[[#This Row],[ilustrador]]</f>
        <v>KEITHY MOSTACHI/ARQUIVO DA EDITORA</v>
      </c>
      <c r="AA219" s="23"/>
      <c r="AB219" s="21"/>
      <c r="AC219" s="21"/>
      <c r="AD219" s="4" t="str">
        <f t="shared" si="6"/>
        <v>Pitanguá</v>
      </c>
      <c r="AE219" s="14" t="str">
        <f t="shared" si="7"/>
        <v>Ciências</v>
      </c>
    </row>
    <row r="220" spans="1:31" s="14" customFormat="1" ht="45" customHeight="1" x14ac:dyDescent="0.3">
      <c r="A220" s="14" t="s">
        <v>505</v>
      </c>
      <c r="B220" s="21" t="s">
        <v>6</v>
      </c>
      <c r="C220" s="21" t="s">
        <v>7</v>
      </c>
      <c r="D220" s="21" t="s">
        <v>8</v>
      </c>
      <c r="E220" s="23">
        <v>131</v>
      </c>
      <c r="F220" s="23">
        <f>_xlfn.NUMBERVALUE(MID(TRIM(Tabela2[[#This Row],[retranca]]), FIND("_", TRIM(Tabela2[[#This Row],[retranca]])) + 1, 1), ",", ".")</f>
        <v>5</v>
      </c>
      <c r="G220" s="23">
        <v>4</v>
      </c>
      <c r="H220" s="23"/>
      <c r="I220" s="24" t="s">
        <v>15</v>
      </c>
      <c r="J220" s="24"/>
      <c r="K220" s="23"/>
      <c r="L220" s="23"/>
      <c r="M220" s="24"/>
      <c r="N220" s="24"/>
      <c r="O220" s="27" t="s">
        <v>506</v>
      </c>
      <c r="P220" s="27"/>
      <c r="Q220" s="23"/>
      <c r="R220" s="25"/>
      <c r="S220" s="25"/>
      <c r="T220" s="25"/>
      <c r="U220" s="25"/>
      <c r="V220" s="25"/>
      <c r="W220" s="23" t="s">
        <v>78</v>
      </c>
      <c r="X220" s="32" t="str">
        <f>IF(Tabela2[[#This Row],[sigla]]="","",VLOOKUP(Tabela2[[#This Row],[sigla]],Tabela14[[#All],[Sigla Arte]:[Crédito]],2,0))</f>
        <v>HELOÍSA PINTARELLI/ARQUIVO DA EDITORA</v>
      </c>
      <c r="Y220" s="24"/>
      <c r="Z220" s="24" t="str">
        <f>Tabela2[[#This Row],[ilustrador]]</f>
        <v>HELOÍSA PINTARELLI/ARQUIVO DA EDITORA</v>
      </c>
      <c r="AA220" s="23"/>
      <c r="AB220" s="21"/>
      <c r="AC220" s="21"/>
      <c r="AD220" s="4" t="str">
        <f t="shared" si="6"/>
        <v>Pitanguá</v>
      </c>
      <c r="AE220" s="14" t="str">
        <f t="shared" si="7"/>
        <v>Ciências</v>
      </c>
    </row>
    <row r="221" spans="1:31" s="14" customFormat="1" ht="45" customHeight="1" x14ac:dyDescent="0.3">
      <c r="A221" s="14" t="s">
        <v>507</v>
      </c>
      <c r="B221" s="21" t="s">
        <v>6</v>
      </c>
      <c r="C221" s="21" t="s">
        <v>7</v>
      </c>
      <c r="D221" s="21" t="s">
        <v>8</v>
      </c>
      <c r="E221" s="23">
        <v>132</v>
      </c>
      <c r="F221" s="23">
        <f>_xlfn.NUMBERVALUE(MID(TRIM(Tabela2[[#This Row],[retranca]]), FIND("_", TRIM(Tabela2[[#This Row],[retranca]])) + 1, 1), ",", ".")</f>
        <v>5</v>
      </c>
      <c r="G221" s="23">
        <v>4</v>
      </c>
      <c r="H221" s="23"/>
      <c r="I221" s="24" t="s">
        <v>15</v>
      </c>
      <c r="J221" s="24"/>
      <c r="K221" s="23"/>
      <c r="L221" s="23"/>
      <c r="M221" s="24"/>
      <c r="N221" s="24"/>
      <c r="O221" s="27" t="s">
        <v>508</v>
      </c>
      <c r="P221" s="27"/>
      <c r="Q221" s="23"/>
      <c r="R221" s="25"/>
      <c r="S221" s="25"/>
      <c r="T221" s="25"/>
      <c r="U221" s="25"/>
      <c r="V221" s="25"/>
      <c r="W221" s="23" t="s">
        <v>78</v>
      </c>
      <c r="X221" s="32" t="str">
        <f>IF(Tabela2[[#This Row],[sigla]]="","",VLOOKUP(Tabela2[[#This Row],[sigla]],Tabela14[[#All],[Sigla Arte]:[Crédito]],2,0))</f>
        <v>HELOÍSA PINTARELLI/ARQUIVO DA EDITORA</v>
      </c>
      <c r="Y221" s="24"/>
      <c r="Z221" s="24" t="str">
        <f>Tabela2[[#This Row],[ilustrador]]</f>
        <v>HELOÍSA PINTARELLI/ARQUIVO DA EDITORA</v>
      </c>
      <c r="AA221" s="23"/>
      <c r="AB221" s="21"/>
      <c r="AC221" s="21"/>
      <c r="AD221" s="4" t="str">
        <f t="shared" si="6"/>
        <v>Pitanguá</v>
      </c>
      <c r="AE221" s="14" t="str">
        <f t="shared" si="7"/>
        <v>Ciências</v>
      </c>
    </row>
    <row r="222" spans="1:31" s="14" customFormat="1" ht="60" customHeight="1" x14ac:dyDescent="0.3">
      <c r="A222" s="14" t="s">
        <v>509</v>
      </c>
      <c r="B222" s="21" t="s">
        <v>6</v>
      </c>
      <c r="C222" s="21" t="s">
        <v>7</v>
      </c>
      <c r="D222" s="21" t="s">
        <v>8</v>
      </c>
      <c r="E222" s="23">
        <v>137</v>
      </c>
      <c r="F222" s="23">
        <f>_xlfn.NUMBERVALUE(MID(TRIM(Tabela2[[#This Row],[retranca]]), FIND("_", TRIM(Tabela2[[#This Row],[retranca]])) + 1, 1), ",", ".")</f>
        <v>5</v>
      </c>
      <c r="G222" s="23">
        <v>4</v>
      </c>
      <c r="H222" s="23"/>
      <c r="I222" s="24" t="s">
        <v>15</v>
      </c>
      <c r="J222" s="24"/>
      <c r="K222" s="23"/>
      <c r="L222" s="23"/>
      <c r="M222" s="24"/>
      <c r="N222" s="24"/>
      <c r="O222" s="27" t="s">
        <v>510</v>
      </c>
      <c r="P222" s="27"/>
      <c r="Q222" s="23"/>
      <c r="R222" s="25"/>
      <c r="S222" s="25"/>
      <c r="T222" s="25"/>
      <c r="U222" s="25"/>
      <c r="V222" s="25"/>
      <c r="W222" s="23" t="s">
        <v>78</v>
      </c>
      <c r="X222" s="32" t="str">
        <f>IF(Tabela2[[#This Row],[sigla]]="","",VLOOKUP(Tabela2[[#This Row],[sigla]],Tabela14[[#All],[Sigla Arte]:[Crédito]],2,0))</f>
        <v>HELOÍSA PINTARELLI/ARQUIVO DA EDITORA</v>
      </c>
      <c r="Y222" s="24"/>
      <c r="Z222" s="24" t="str">
        <f>Tabela2[[#This Row],[ilustrador]]</f>
        <v>HELOÍSA PINTARELLI/ARQUIVO DA EDITORA</v>
      </c>
      <c r="AA222" s="23"/>
      <c r="AB222" s="21"/>
      <c r="AC222" s="21"/>
      <c r="AD222" s="4" t="str">
        <f t="shared" si="6"/>
        <v>Pitanguá</v>
      </c>
      <c r="AE222" s="14" t="str">
        <f t="shared" si="7"/>
        <v>Ciências</v>
      </c>
    </row>
    <row r="223" spans="1:31" s="14" customFormat="1" ht="45" customHeight="1" x14ac:dyDescent="0.3">
      <c r="A223" s="14" t="s">
        <v>511</v>
      </c>
      <c r="B223" s="21" t="s">
        <v>6</v>
      </c>
      <c r="C223" s="21" t="s">
        <v>7</v>
      </c>
      <c r="D223" s="21" t="s">
        <v>8</v>
      </c>
      <c r="E223" s="23">
        <v>138</v>
      </c>
      <c r="F223" s="23">
        <f>_xlfn.NUMBERVALUE(MID(TRIM(Tabela2[[#This Row],[retranca]]), FIND("_", TRIM(Tabela2[[#This Row],[retranca]])) + 1, 1), ",", ".")</f>
        <v>5</v>
      </c>
      <c r="G223" s="23">
        <v>4</v>
      </c>
      <c r="H223" s="23"/>
      <c r="I223" s="24" t="s">
        <v>28</v>
      </c>
      <c r="J223" s="24"/>
      <c r="K223" s="23"/>
      <c r="L223" s="23"/>
      <c r="M223" s="24"/>
      <c r="N223" s="24"/>
      <c r="O223" s="27" t="s">
        <v>512</v>
      </c>
      <c r="P223" s="27"/>
      <c r="Q223" s="23">
        <v>13</v>
      </c>
      <c r="R223" s="25">
        <v>45925</v>
      </c>
      <c r="S223" s="25">
        <v>45925</v>
      </c>
      <c r="T223" s="25"/>
      <c r="U223" s="25"/>
      <c r="V223" s="25">
        <v>45925</v>
      </c>
      <c r="W223" s="23" t="s">
        <v>78</v>
      </c>
      <c r="X223" s="32" t="str">
        <f>IF(Tabela2[[#This Row],[sigla]]="","",VLOOKUP(Tabela2[[#This Row],[sigla]],Tabela14[[#All],[Sigla Arte]:[Crédito]],2,0))</f>
        <v>HELOÍSA PINTARELLI/ARQUIVO DA EDITORA</v>
      </c>
      <c r="Y223" s="24" t="s">
        <v>330</v>
      </c>
      <c r="Z223" s="24" t="str">
        <f>Tabela2[[#This Row],[ilustrador]]</f>
        <v>HELOÍSA PINTARELLI/ARQUIVO DA EDITORA</v>
      </c>
      <c r="AA223" s="23">
        <v>13</v>
      </c>
      <c r="AB223" s="21" t="s">
        <v>105</v>
      </c>
      <c r="AC223" s="21" t="s">
        <v>31</v>
      </c>
      <c r="AD223" s="4" t="str">
        <f t="shared" si="6"/>
        <v>Pitanguá</v>
      </c>
      <c r="AE223" s="14" t="str">
        <f t="shared" si="7"/>
        <v>Ciências</v>
      </c>
    </row>
    <row r="224" spans="1:31" s="14" customFormat="1" ht="165" customHeight="1" x14ac:dyDescent="0.3">
      <c r="A224" s="14" t="s">
        <v>513</v>
      </c>
      <c r="B224" s="21" t="s">
        <v>6</v>
      </c>
      <c r="C224" s="21" t="s">
        <v>135</v>
      </c>
      <c r="D224" s="21" t="s">
        <v>8</v>
      </c>
      <c r="E224" s="23">
        <v>10</v>
      </c>
      <c r="F224" s="23">
        <f>_xlfn.NUMBERVALUE(MID(TRIM(Tabela2[[#This Row],[retranca]]), FIND("_", TRIM(Tabela2[[#This Row],[retranca]])) + 1, 1), ",", ".")</f>
        <v>5</v>
      </c>
      <c r="G224" s="23"/>
      <c r="H224" s="23" t="s">
        <v>514</v>
      </c>
      <c r="I224" s="24" t="s">
        <v>28</v>
      </c>
      <c r="J224" s="24"/>
      <c r="K224" s="23"/>
      <c r="L224" s="23"/>
      <c r="M224" s="24"/>
      <c r="N224" s="24"/>
      <c r="O224" s="27" t="s">
        <v>515</v>
      </c>
      <c r="P224" s="27"/>
      <c r="Q224" s="23">
        <v>4</v>
      </c>
      <c r="R224" s="25">
        <v>45806</v>
      </c>
      <c r="S224" s="25">
        <v>45818</v>
      </c>
      <c r="T224" s="25"/>
      <c r="U224" s="25"/>
      <c r="V224" s="25">
        <v>45819</v>
      </c>
      <c r="W224" s="23" t="s">
        <v>78</v>
      </c>
      <c r="X224" s="32" t="str">
        <f>IF(Tabela2[[#This Row],[sigla]]="","",VLOOKUP(Tabela2[[#This Row],[sigla]],Tabela14[[#All],[Sigla Arte]:[Crédito]],2,0))</f>
        <v>HELOÍSA PINTARELLI/ARQUIVO DA EDITORA</v>
      </c>
      <c r="Y224" s="24" t="s">
        <v>194</v>
      </c>
      <c r="Z224" s="24" t="str">
        <f>Tabela2[[#This Row],[ilustrador]]</f>
        <v>HELOÍSA PINTARELLI/ARQUIVO DA EDITORA</v>
      </c>
      <c r="AA224" s="23">
        <v>14</v>
      </c>
      <c r="AB224" s="21" t="s">
        <v>105</v>
      </c>
      <c r="AC224" s="21" t="s">
        <v>31</v>
      </c>
      <c r="AD224" s="4" t="str">
        <f t="shared" si="6"/>
        <v>Pitanguá</v>
      </c>
      <c r="AE224" s="14" t="str">
        <f t="shared" si="7"/>
        <v>Ciências</v>
      </c>
    </row>
    <row r="225" spans="1:31" s="14" customFormat="1" ht="30" customHeight="1" x14ac:dyDescent="0.3">
      <c r="A225" s="14" t="s">
        <v>516</v>
      </c>
      <c r="B225" s="21" t="s">
        <v>6</v>
      </c>
      <c r="C225" s="21" t="s">
        <v>7</v>
      </c>
      <c r="D225" s="21" t="s">
        <v>8</v>
      </c>
      <c r="E225" s="23">
        <v>141</v>
      </c>
      <c r="F225" s="23">
        <f>_xlfn.NUMBERVALUE(MID(TRIM(Tabela2[[#This Row],[retranca]]), FIND("_", TRIM(Tabela2[[#This Row],[retranca]])) + 1, 1), ",", ".")</f>
        <v>5</v>
      </c>
      <c r="G225" s="23"/>
      <c r="H225" s="23" t="s">
        <v>517</v>
      </c>
      <c r="I225" s="24" t="s">
        <v>15</v>
      </c>
      <c r="J225" s="24"/>
      <c r="K225" s="23"/>
      <c r="L225" s="23"/>
      <c r="M225" s="24"/>
      <c r="N225" s="24"/>
      <c r="O225" s="27" t="s">
        <v>518</v>
      </c>
      <c r="P225" s="27"/>
      <c r="Q225" s="23"/>
      <c r="R225" s="25"/>
      <c r="S225" s="25"/>
      <c r="T225" s="25"/>
      <c r="U225" s="25"/>
      <c r="V225" s="25"/>
      <c r="W225" s="23" t="s">
        <v>78</v>
      </c>
      <c r="X225" s="32" t="str">
        <f>IF(Tabela2[[#This Row],[sigla]]="","",VLOOKUP(Tabela2[[#This Row],[sigla]],Tabela14[[#All],[Sigla Arte]:[Crédito]],2,0))</f>
        <v>HELOÍSA PINTARELLI/ARQUIVO DA EDITORA</v>
      </c>
      <c r="Y225" s="24"/>
      <c r="Z225" s="24" t="str">
        <f>Tabela2[[#This Row],[ilustrador]]</f>
        <v>HELOÍSA PINTARELLI/ARQUIVO DA EDITORA</v>
      </c>
      <c r="AA225" s="23"/>
      <c r="AB225" s="21"/>
      <c r="AC225" s="21"/>
      <c r="AD225" s="4" t="str">
        <f t="shared" si="6"/>
        <v>Pitanguá</v>
      </c>
      <c r="AE225" s="14" t="str">
        <f t="shared" si="7"/>
        <v>Ciências</v>
      </c>
    </row>
    <row r="226" spans="1:31" s="14" customFormat="1" ht="30" customHeight="1" x14ac:dyDescent="0.3">
      <c r="A226" s="14" t="s">
        <v>519</v>
      </c>
      <c r="B226" s="21" t="s">
        <v>6</v>
      </c>
      <c r="C226" s="21" t="s">
        <v>7</v>
      </c>
      <c r="D226" s="21" t="s">
        <v>8</v>
      </c>
      <c r="E226" s="23">
        <v>141</v>
      </c>
      <c r="F226" s="23">
        <f>_xlfn.NUMBERVALUE(MID(TRIM(Tabela2[[#This Row],[retranca]]), FIND("_", TRIM(Tabela2[[#This Row],[retranca]])) + 1, 1), ",", ".")</f>
        <v>5</v>
      </c>
      <c r="G226" s="23"/>
      <c r="H226" s="23" t="s">
        <v>517</v>
      </c>
      <c r="I226" s="24" t="s">
        <v>15</v>
      </c>
      <c r="J226" s="24"/>
      <c r="K226" s="23"/>
      <c r="L226" s="23"/>
      <c r="M226" s="24"/>
      <c r="N226" s="24"/>
      <c r="O226" s="27" t="s">
        <v>520</v>
      </c>
      <c r="P226" s="27"/>
      <c r="Q226" s="23"/>
      <c r="R226" s="25"/>
      <c r="S226" s="25"/>
      <c r="T226" s="25"/>
      <c r="U226" s="25"/>
      <c r="V226" s="25"/>
      <c r="W226" s="23" t="s">
        <v>78</v>
      </c>
      <c r="X226" s="32" t="str">
        <f>IF(Tabela2[[#This Row],[sigla]]="","",VLOOKUP(Tabela2[[#This Row],[sigla]],Tabela14[[#All],[Sigla Arte]:[Crédito]],2,0))</f>
        <v>HELOÍSA PINTARELLI/ARQUIVO DA EDITORA</v>
      </c>
      <c r="Y226" s="24"/>
      <c r="Z226" s="24" t="str">
        <f>Tabela2[[#This Row],[ilustrador]]</f>
        <v>HELOÍSA PINTARELLI/ARQUIVO DA EDITORA</v>
      </c>
      <c r="AA226" s="23"/>
      <c r="AB226" s="21"/>
      <c r="AC226" s="21"/>
      <c r="AD226" s="4" t="str">
        <f t="shared" si="6"/>
        <v>Pitanguá</v>
      </c>
      <c r="AE226" s="14" t="str">
        <f t="shared" si="7"/>
        <v>Ciências</v>
      </c>
    </row>
    <row r="227" spans="1:31" s="14" customFormat="1" ht="30" customHeight="1" x14ac:dyDescent="0.3">
      <c r="A227" s="14" t="s">
        <v>521</v>
      </c>
      <c r="B227" s="21" t="s">
        <v>6</v>
      </c>
      <c r="C227" s="21" t="s">
        <v>7</v>
      </c>
      <c r="D227" s="21" t="s">
        <v>8</v>
      </c>
      <c r="E227" s="23">
        <v>141</v>
      </c>
      <c r="F227" s="23">
        <f>_xlfn.NUMBERVALUE(MID(TRIM(Tabela2[[#This Row],[retranca]]), FIND("_", TRIM(Tabela2[[#This Row],[retranca]])) + 1, 1), ",", ".")</f>
        <v>5</v>
      </c>
      <c r="G227" s="23"/>
      <c r="H227" s="23" t="s">
        <v>517</v>
      </c>
      <c r="I227" s="24" t="s">
        <v>15</v>
      </c>
      <c r="J227" s="24"/>
      <c r="K227" s="23"/>
      <c r="L227" s="23"/>
      <c r="M227" s="24"/>
      <c r="N227" s="24"/>
      <c r="O227" s="27" t="s">
        <v>522</v>
      </c>
      <c r="P227" s="27"/>
      <c r="Q227" s="23"/>
      <c r="R227" s="25"/>
      <c r="S227" s="25"/>
      <c r="T227" s="25"/>
      <c r="U227" s="25"/>
      <c r="V227" s="25"/>
      <c r="W227" s="23" t="s">
        <v>78</v>
      </c>
      <c r="X227" s="32" t="str">
        <f>IF(Tabela2[[#This Row],[sigla]]="","",VLOOKUP(Tabela2[[#This Row],[sigla]],Tabela14[[#All],[Sigla Arte]:[Crédito]],2,0))</f>
        <v>HELOÍSA PINTARELLI/ARQUIVO DA EDITORA</v>
      </c>
      <c r="Y227" s="24"/>
      <c r="Z227" s="24" t="str">
        <f>Tabela2[[#This Row],[ilustrador]]</f>
        <v>HELOÍSA PINTARELLI/ARQUIVO DA EDITORA</v>
      </c>
      <c r="AA227" s="23"/>
      <c r="AB227" s="21"/>
      <c r="AC227" s="21"/>
      <c r="AD227" s="4" t="str">
        <f t="shared" si="6"/>
        <v>Pitanguá</v>
      </c>
      <c r="AE227" s="14" t="str">
        <f t="shared" si="7"/>
        <v>Ciências</v>
      </c>
    </row>
    <row r="228" spans="1:31" s="14" customFormat="1" ht="30" customHeight="1" x14ac:dyDescent="0.3">
      <c r="A228" s="14" t="s">
        <v>523</v>
      </c>
      <c r="B228" s="21" t="s">
        <v>6</v>
      </c>
      <c r="C228" s="21" t="s">
        <v>7</v>
      </c>
      <c r="D228" s="21" t="s">
        <v>8</v>
      </c>
      <c r="E228" s="23">
        <v>141</v>
      </c>
      <c r="F228" s="23">
        <f>_xlfn.NUMBERVALUE(MID(TRIM(Tabela2[[#This Row],[retranca]]), FIND("_", TRIM(Tabela2[[#This Row],[retranca]])) + 1, 1), ",", ".")</f>
        <v>5</v>
      </c>
      <c r="G228" s="23"/>
      <c r="H228" s="23" t="s">
        <v>517</v>
      </c>
      <c r="I228" s="24" t="s">
        <v>15</v>
      </c>
      <c r="J228" s="24"/>
      <c r="K228" s="23"/>
      <c r="L228" s="23"/>
      <c r="M228" s="24"/>
      <c r="N228" s="24"/>
      <c r="O228" s="27" t="s">
        <v>524</v>
      </c>
      <c r="P228" s="27"/>
      <c r="Q228" s="23"/>
      <c r="R228" s="25"/>
      <c r="S228" s="25"/>
      <c r="T228" s="25"/>
      <c r="U228" s="25"/>
      <c r="V228" s="25"/>
      <c r="W228" s="23" t="s">
        <v>78</v>
      </c>
      <c r="X228" s="32" t="str">
        <f>IF(Tabela2[[#This Row],[sigla]]="","",VLOOKUP(Tabela2[[#This Row],[sigla]],Tabela14[[#All],[Sigla Arte]:[Crédito]],2,0))</f>
        <v>HELOÍSA PINTARELLI/ARQUIVO DA EDITORA</v>
      </c>
      <c r="Y228" s="24"/>
      <c r="Z228" s="24" t="str">
        <f>Tabela2[[#This Row],[ilustrador]]</f>
        <v>HELOÍSA PINTARELLI/ARQUIVO DA EDITORA</v>
      </c>
      <c r="AA228" s="23"/>
      <c r="AB228" s="21"/>
      <c r="AC228" s="21"/>
      <c r="AD228" s="4" t="str">
        <f t="shared" si="6"/>
        <v>Pitanguá</v>
      </c>
      <c r="AE228" s="14" t="str">
        <f t="shared" si="7"/>
        <v>Ciências</v>
      </c>
    </row>
    <row r="229" spans="1:31" s="14" customFormat="1" ht="150" customHeight="1" x14ac:dyDescent="0.3">
      <c r="A229" s="14" t="s">
        <v>525</v>
      </c>
      <c r="B229" s="21" t="s">
        <v>6</v>
      </c>
      <c r="C229" s="21" t="s">
        <v>7</v>
      </c>
      <c r="D229" s="21" t="s">
        <v>8</v>
      </c>
      <c r="E229" s="23">
        <v>142</v>
      </c>
      <c r="F229" s="23">
        <f>_xlfn.NUMBERVALUE(MID(TRIM(Tabela2[[#This Row],[retranca]]), FIND("_", TRIM(Tabela2[[#This Row],[retranca]])) + 1, 1), ",", ".")</f>
        <v>5</v>
      </c>
      <c r="G229" s="23"/>
      <c r="H229" s="23" t="s">
        <v>517</v>
      </c>
      <c r="I229" s="24" t="s">
        <v>28</v>
      </c>
      <c r="J229" s="24"/>
      <c r="K229" s="23"/>
      <c r="L229" s="23"/>
      <c r="M229" s="24"/>
      <c r="N229" s="24"/>
      <c r="O229" s="27" t="s">
        <v>526</v>
      </c>
      <c r="P229" s="27"/>
      <c r="Q229" s="23">
        <v>4</v>
      </c>
      <c r="R229" s="25">
        <v>45806</v>
      </c>
      <c r="S229" s="25">
        <v>45818</v>
      </c>
      <c r="T229" s="25"/>
      <c r="U229" s="25"/>
      <c r="V229" s="25">
        <v>45819</v>
      </c>
      <c r="W229" s="23" t="s">
        <v>78</v>
      </c>
      <c r="X229" s="32" t="str">
        <f>IF(Tabela2[[#This Row],[sigla]]="","",VLOOKUP(Tabela2[[#This Row],[sigla]],Tabela14[[#All],[Sigla Arte]:[Crédito]],2,0))</f>
        <v>HELOÍSA PINTARELLI/ARQUIVO DA EDITORA</v>
      </c>
      <c r="Y229" s="24" t="s">
        <v>194</v>
      </c>
      <c r="Z229" s="24" t="str">
        <f>Tabela2[[#This Row],[ilustrador]]</f>
        <v>HELOÍSA PINTARELLI/ARQUIVO DA EDITORA</v>
      </c>
      <c r="AA229" s="23">
        <v>13</v>
      </c>
      <c r="AB229" s="21" t="s">
        <v>105</v>
      </c>
      <c r="AC229" s="21" t="s">
        <v>31</v>
      </c>
      <c r="AD229" s="4" t="str">
        <f t="shared" si="6"/>
        <v>Pitanguá</v>
      </c>
      <c r="AE229" s="14" t="str">
        <f t="shared" si="7"/>
        <v>Ciências</v>
      </c>
    </row>
    <row r="230" spans="1:31" s="14" customFormat="1" ht="30" customHeight="1" x14ac:dyDescent="0.3">
      <c r="A230" s="14" t="s">
        <v>527</v>
      </c>
      <c r="B230" s="21" t="s">
        <v>6</v>
      </c>
      <c r="C230" s="21" t="s">
        <v>7</v>
      </c>
      <c r="D230" s="21" t="s">
        <v>8</v>
      </c>
      <c r="E230" s="23">
        <v>90</v>
      </c>
      <c r="F230" s="23">
        <f>_xlfn.NUMBERVALUE(MID(TRIM(Tabela2[[#This Row],[retranca]]), FIND("_", TRIM(Tabela2[[#This Row],[retranca]])) + 1, 1), ",", ".")</f>
        <v>5</v>
      </c>
      <c r="G230" s="23">
        <v>3</v>
      </c>
      <c r="H230" s="23"/>
      <c r="I230" s="24" t="s">
        <v>15</v>
      </c>
      <c r="J230" s="24"/>
      <c r="K230" s="23"/>
      <c r="L230" s="23"/>
      <c r="M230" s="24"/>
      <c r="N230" s="24"/>
      <c r="O230" s="27" t="s">
        <v>528</v>
      </c>
      <c r="P230" s="27"/>
      <c r="Q230" s="23"/>
      <c r="R230" s="25"/>
      <c r="S230" s="25"/>
      <c r="T230" s="25"/>
      <c r="U230" s="25"/>
      <c r="V230" s="25"/>
      <c r="W230" s="23" t="s">
        <v>36</v>
      </c>
      <c r="X230" s="32" t="str">
        <f>IF(Tabela2[[#This Row],[sigla]]="","",VLOOKUP(Tabela2[[#This Row],[sigla]],Tabela14[[#All],[Sigla Arte]:[Crédito]],2,0))</f>
        <v>WERLLEN HOLANDA/ARQUIVO DA EDITORA</v>
      </c>
      <c r="Y230" s="24"/>
      <c r="Z230" s="24" t="str">
        <f>Tabela2[[#This Row],[ilustrador]]</f>
        <v>WERLLEN HOLANDA/ARQUIVO DA EDITORA</v>
      </c>
      <c r="AA230" s="23"/>
      <c r="AB230" s="21"/>
      <c r="AC230" s="21"/>
      <c r="AD230" s="4" t="str">
        <f t="shared" si="6"/>
        <v>Pitanguá</v>
      </c>
      <c r="AE230" s="14" t="str">
        <f t="shared" si="7"/>
        <v>Ciências</v>
      </c>
    </row>
    <row r="231" spans="1:31" s="14" customFormat="1" ht="45" customHeight="1" x14ac:dyDescent="0.3">
      <c r="A231" s="14" t="s">
        <v>529</v>
      </c>
      <c r="B231" s="21" t="s">
        <v>6</v>
      </c>
      <c r="C231" s="21" t="s">
        <v>7</v>
      </c>
      <c r="D231" s="21" t="s">
        <v>8</v>
      </c>
      <c r="E231" s="23">
        <v>91</v>
      </c>
      <c r="F231" s="23">
        <f>_xlfn.NUMBERVALUE(MID(TRIM(Tabela2[[#This Row],[retranca]]), FIND("_", TRIM(Tabela2[[#This Row],[retranca]])) + 1, 1), ",", ".")</f>
        <v>5</v>
      </c>
      <c r="G231" s="23">
        <v>3</v>
      </c>
      <c r="H231" s="23"/>
      <c r="I231" s="24" t="s">
        <v>28</v>
      </c>
      <c r="J231" s="24"/>
      <c r="K231" s="23"/>
      <c r="L231" s="23"/>
      <c r="M231" s="24"/>
      <c r="N231" s="24"/>
      <c r="O231" s="27" t="s">
        <v>530</v>
      </c>
      <c r="P231" s="27"/>
      <c r="Q231" s="23">
        <v>5</v>
      </c>
      <c r="R231" s="25">
        <v>45807</v>
      </c>
      <c r="S231" s="25">
        <v>45811</v>
      </c>
      <c r="T231" s="25"/>
      <c r="U231" s="25"/>
      <c r="V231" s="25">
        <v>45812</v>
      </c>
      <c r="W231" s="23" t="s">
        <v>36</v>
      </c>
      <c r="X231" s="32" t="str">
        <f>IF(Tabela2[[#This Row],[sigla]]="","",VLOOKUP(Tabela2[[#This Row],[sigla]],Tabela14[[#All],[Sigla Arte]:[Crédito]],2,0))</f>
        <v>WERLLEN HOLANDA/ARQUIVO DA EDITORA</v>
      </c>
      <c r="Y231" s="24"/>
      <c r="Z231" s="24" t="str">
        <f>Tabela2[[#This Row],[ilustrador]]</f>
        <v>WERLLEN HOLANDA/ARQUIVO DA EDITORA</v>
      </c>
      <c r="AA231" s="23">
        <v>14</v>
      </c>
      <c r="AB231" s="21" t="s">
        <v>105</v>
      </c>
      <c r="AC231" s="21" t="s">
        <v>31</v>
      </c>
      <c r="AD231" s="4" t="str">
        <f t="shared" si="6"/>
        <v>Pitanguá</v>
      </c>
      <c r="AE231" s="14" t="str">
        <f t="shared" si="7"/>
        <v>Ciências</v>
      </c>
    </row>
    <row r="232" spans="1:31" s="14" customFormat="1" ht="30" customHeight="1" x14ac:dyDescent="0.3">
      <c r="A232" s="14" t="s">
        <v>531</v>
      </c>
      <c r="B232" s="21" t="s">
        <v>6</v>
      </c>
      <c r="C232" s="21" t="s">
        <v>7</v>
      </c>
      <c r="D232" s="21" t="s">
        <v>8</v>
      </c>
      <c r="E232" s="23">
        <v>91</v>
      </c>
      <c r="F232" s="23">
        <f>_xlfn.NUMBERVALUE(MID(TRIM(Tabela2[[#This Row],[retranca]]), FIND("_", TRIM(Tabela2[[#This Row],[retranca]])) + 1, 1), ",", ".")</f>
        <v>5</v>
      </c>
      <c r="G232" s="23">
        <v>3</v>
      </c>
      <c r="H232" s="23"/>
      <c r="I232" s="24" t="s">
        <v>28</v>
      </c>
      <c r="J232" s="24"/>
      <c r="K232" s="23"/>
      <c r="L232" s="23"/>
      <c r="M232" s="24"/>
      <c r="N232" s="24"/>
      <c r="O232" s="27" t="s">
        <v>532</v>
      </c>
      <c r="P232" s="27"/>
      <c r="Q232" s="23">
        <v>5</v>
      </c>
      <c r="R232" s="25">
        <v>45807</v>
      </c>
      <c r="S232" s="25">
        <v>45811</v>
      </c>
      <c r="T232" s="25"/>
      <c r="U232" s="25"/>
      <c r="V232" s="25">
        <v>45812</v>
      </c>
      <c r="W232" s="23" t="s">
        <v>36</v>
      </c>
      <c r="X232" s="32" t="str">
        <f>IF(Tabela2[[#This Row],[sigla]]="","",VLOOKUP(Tabela2[[#This Row],[sigla]],Tabela14[[#All],[Sigla Arte]:[Crédito]],2,0))</f>
        <v>WERLLEN HOLANDA/ARQUIVO DA EDITORA</v>
      </c>
      <c r="Y232" s="24" t="s">
        <v>194</v>
      </c>
      <c r="Z232" s="24" t="str">
        <f>Tabela2[[#This Row],[ilustrador]]</f>
        <v>WERLLEN HOLANDA/ARQUIVO DA EDITORA</v>
      </c>
      <c r="AA232" s="23">
        <v>14</v>
      </c>
      <c r="AB232" s="21" t="s">
        <v>105</v>
      </c>
      <c r="AC232" s="21" t="s">
        <v>31</v>
      </c>
      <c r="AD232" s="4" t="str">
        <f t="shared" si="6"/>
        <v>Pitanguá</v>
      </c>
      <c r="AE232" s="14" t="str">
        <f t="shared" si="7"/>
        <v>Ciências</v>
      </c>
    </row>
    <row r="233" spans="1:31" s="14" customFormat="1" x14ac:dyDescent="0.3">
      <c r="A233" s="14" t="s">
        <v>533</v>
      </c>
      <c r="B233" s="21" t="s">
        <v>6</v>
      </c>
      <c r="C233" s="21" t="s">
        <v>7</v>
      </c>
      <c r="D233" s="21" t="s">
        <v>8</v>
      </c>
      <c r="E233" s="23">
        <v>91</v>
      </c>
      <c r="F233" s="23">
        <f>_xlfn.NUMBERVALUE(MID(TRIM(Tabela2[[#This Row],[retranca]]), FIND("_", TRIM(Tabela2[[#This Row],[retranca]])) + 1, 1), ",", ".")</f>
        <v>5</v>
      </c>
      <c r="G233" s="23">
        <v>3</v>
      </c>
      <c r="H233" s="23"/>
      <c r="I233" s="24" t="s">
        <v>28</v>
      </c>
      <c r="J233" s="24"/>
      <c r="K233" s="23"/>
      <c r="L233" s="23"/>
      <c r="M233" s="24"/>
      <c r="N233" s="24"/>
      <c r="O233" s="27" t="s">
        <v>534</v>
      </c>
      <c r="P233" s="27"/>
      <c r="Q233" s="23">
        <v>5</v>
      </c>
      <c r="R233" s="25">
        <v>45807</v>
      </c>
      <c r="S233" s="25">
        <v>45811</v>
      </c>
      <c r="T233" s="25"/>
      <c r="U233" s="25"/>
      <c r="V233" s="25">
        <v>45812</v>
      </c>
      <c r="W233" s="23" t="s">
        <v>36</v>
      </c>
      <c r="X233" s="32" t="str">
        <f>IF(Tabela2[[#This Row],[sigla]]="","",VLOOKUP(Tabela2[[#This Row],[sigla]],Tabela14[[#All],[Sigla Arte]:[Crédito]],2,0))</f>
        <v>WERLLEN HOLANDA/ARQUIVO DA EDITORA</v>
      </c>
      <c r="Y233" s="24" t="s">
        <v>194</v>
      </c>
      <c r="Z233" s="24" t="str">
        <f>Tabela2[[#This Row],[ilustrador]]</f>
        <v>WERLLEN HOLANDA/ARQUIVO DA EDITORA</v>
      </c>
      <c r="AA233" s="23">
        <v>14</v>
      </c>
      <c r="AB233" s="21" t="s">
        <v>105</v>
      </c>
      <c r="AC233" s="21" t="s">
        <v>31</v>
      </c>
      <c r="AD233" s="4" t="str">
        <f t="shared" si="6"/>
        <v>Pitanguá</v>
      </c>
      <c r="AE233" s="14" t="str">
        <f t="shared" si="7"/>
        <v>Ciências</v>
      </c>
    </row>
    <row r="234" spans="1:31" s="14" customFormat="1" ht="30" customHeight="1" x14ac:dyDescent="0.3">
      <c r="A234" s="14" t="s">
        <v>535</v>
      </c>
      <c r="B234" s="21" t="s">
        <v>6</v>
      </c>
      <c r="C234" s="21" t="s">
        <v>7</v>
      </c>
      <c r="D234" s="21" t="s">
        <v>8</v>
      </c>
      <c r="E234" s="23">
        <v>92</v>
      </c>
      <c r="F234" s="23">
        <f>_xlfn.NUMBERVALUE(MID(TRIM(Tabela2[[#This Row],[retranca]]), FIND("_", TRIM(Tabela2[[#This Row],[retranca]])) + 1, 1), ",", ".")</f>
        <v>5</v>
      </c>
      <c r="G234" s="23">
        <v>3</v>
      </c>
      <c r="H234" s="23"/>
      <c r="I234" s="24" t="s">
        <v>28</v>
      </c>
      <c r="J234" s="24"/>
      <c r="K234" s="23"/>
      <c r="L234" s="23"/>
      <c r="M234" s="24"/>
      <c r="N234" s="24"/>
      <c r="O234" s="27" t="s">
        <v>536</v>
      </c>
      <c r="P234" s="27"/>
      <c r="Q234" s="23">
        <v>5</v>
      </c>
      <c r="R234" s="25">
        <v>45807</v>
      </c>
      <c r="S234" s="25">
        <v>45811</v>
      </c>
      <c r="T234" s="25"/>
      <c r="U234" s="25"/>
      <c r="V234" s="25">
        <v>45812</v>
      </c>
      <c r="W234" s="23" t="s">
        <v>36</v>
      </c>
      <c r="X234" s="32" t="str">
        <f>IF(Tabela2[[#This Row],[sigla]]="","",VLOOKUP(Tabela2[[#This Row],[sigla]],Tabela14[[#All],[Sigla Arte]:[Crédito]],2,0))</f>
        <v>WERLLEN HOLANDA/ARQUIVO DA EDITORA</v>
      </c>
      <c r="Y234" s="24" t="s">
        <v>194</v>
      </c>
      <c r="Z234" s="24" t="str">
        <f>Tabela2[[#This Row],[ilustrador]]</f>
        <v>WERLLEN HOLANDA/ARQUIVO DA EDITORA</v>
      </c>
      <c r="AA234" s="23">
        <v>14</v>
      </c>
      <c r="AB234" s="21" t="s">
        <v>105</v>
      </c>
      <c r="AC234" s="21" t="s">
        <v>31</v>
      </c>
      <c r="AD234" s="4" t="str">
        <f t="shared" si="6"/>
        <v>Pitanguá</v>
      </c>
      <c r="AE234" s="14" t="str">
        <f t="shared" si="7"/>
        <v>Ciências</v>
      </c>
    </row>
    <row r="235" spans="1:31" s="14" customFormat="1" ht="75" customHeight="1" x14ac:dyDescent="0.3">
      <c r="A235" s="14" t="s">
        <v>537</v>
      </c>
      <c r="B235" s="21" t="s">
        <v>6</v>
      </c>
      <c r="C235" s="21" t="s">
        <v>7</v>
      </c>
      <c r="D235" s="21" t="s">
        <v>8</v>
      </c>
      <c r="E235" s="23">
        <v>92</v>
      </c>
      <c r="F235" s="23">
        <f>_xlfn.NUMBERVALUE(MID(TRIM(Tabela2[[#This Row],[retranca]]), FIND("_", TRIM(Tabela2[[#This Row],[retranca]])) + 1, 1), ",", ".")</f>
        <v>5</v>
      </c>
      <c r="G235" s="23">
        <v>3</v>
      </c>
      <c r="H235" s="23"/>
      <c r="I235" s="24" t="s">
        <v>28</v>
      </c>
      <c r="J235" s="24"/>
      <c r="K235" s="23"/>
      <c r="L235" s="23"/>
      <c r="M235" s="24"/>
      <c r="N235" s="24"/>
      <c r="O235" s="27" t="s">
        <v>538</v>
      </c>
      <c r="P235" s="27"/>
      <c r="Q235" s="23">
        <v>5</v>
      </c>
      <c r="R235" s="25">
        <v>45807</v>
      </c>
      <c r="S235" s="25">
        <v>45811</v>
      </c>
      <c r="T235" s="25"/>
      <c r="U235" s="25"/>
      <c r="V235" s="25">
        <v>45812</v>
      </c>
      <c r="W235" s="23" t="s">
        <v>61</v>
      </c>
      <c r="X235" s="32" t="str">
        <f>IF(Tabela2[[#This Row],[sigla]]="","",VLOOKUP(Tabela2[[#This Row],[sigla]],Tabela14[[#All],[Sigla Arte]:[Crédito]],2,0))</f>
        <v>THAMIRES PAREDES/ARQUIVO DA EDITORA</v>
      </c>
      <c r="Y235" s="24" t="s">
        <v>194</v>
      </c>
      <c r="Z235" s="24" t="str">
        <f>Tabela2[[#This Row],[ilustrador]]</f>
        <v>THAMIRES PAREDES/ARQUIVO DA EDITORA</v>
      </c>
      <c r="AA235" s="23">
        <v>14</v>
      </c>
      <c r="AB235" s="21" t="s">
        <v>105</v>
      </c>
      <c r="AC235" s="21" t="s">
        <v>31</v>
      </c>
      <c r="AD235" s="4" t="str">
        <f t="shared" si="6"/>
        <v>Pitanguá</v>
      </c>
      <c r="AE235" s="14" t="str">
        <f t="shared" si="7"/>
        <v>Ciências</v>
      </c>
    </row>
    <row r="236" spans="1:31" s="14" customFormat="1" ht="90" customHeight="1" x14ac:dyDescent="0.3">
      <c r="A236" s="14" t="s">
        <v>539</v>
      </c>
      <c r="B236" s="21" t="s">
        <v>6</v>
      </c>
      <c r="C236" s="21" t="s">
        <v>7</v>
      </c>
      <c r="D236" s="21" t="s">
        <v>8</v>
      </c>
      <c r="E236" s="23">
        <v>93</v>
      </c>
      <c r="F236" s="23">
        <f>_xlfn.NUMBERVALUE(MID(TRIM(Tabela2[[#This Row],[retranca]]), FIND("_", TRIM(Tabela2[[#This Row],[retranca]])) + 1, 1), ",", ".")</f>
        <v>5</v>
      </c>
      <c r="G236" s="23">
        <v>3</v>
      </c>
      <c r="H236" s="23"/>
      <c r="I236" s="24" t="s">
        <v>28</v>
      </c>
      <c r="J236" s="24"/>
      <c r="K236" s="23"/>
      <c r="L236" s="23"/>
      <c r="M236" s="24"/>
      <c r="N236" s="24"/>
      <c r="O236" s="27" t="s">
        <v>540</v>
      </c>
      <c r="P236" s="27"/>
      <c r="Q236" s="23">
        <v>5</v>
      </c>
      <c r="R236" s="25">
        <v>45807</v>
      </c>
      <c r="S236" s="25">
        <v>45811</v>
      </c>
      <c r="T236" s="25"/>
      <c r="U236" s="25"/>
      <c r="V236" s="25">
        <v>45812</v>
      </c>
      <c r="W236" s="23" t="s">
        <v>61</v>
      </c>
      <c r="X236" s="32" t="str">
        <f>IF(Tabela2[[#This Row],[sigla]]="","",VLOOKUP(Tabela2[[#This Row],[sigla]],Tabela14[[#All],[Sigla Arte]:[Crédito]],2,0))</f>
        <v>THAMIRES PAREDES/ARQUIVO DA EDITORA</v>
      </c>
      <c r="Y236" s="24" t="s">
        <v>194</v>
      </c>
      <c r="Z236" s="24" t="str">
        <f>Tabela2[[#This Row],[ilustrador]]</f>
        <v>THAMIRES PAREDES/ARQUIVO DA EDITORA</v>
      </c>
      <c r="AA236" s="23">
        <v>14</v>
      </c>
      <c r="AB236" s="21" t="s">
        <v>105</v>
      </c>
      <c r="AC236" s="21" t="s">
        <v>31</v>
      </c>
      <c r="AD236" s="4" t="str">
        <f t="shared" si="6"/>
        <v>Pitanguá</v>
      </c>
      <c r="AE236" s="14" t="str">
        <f t="shared" si="7"/>
        <v>Ciências</v>
      </c>
    </row>
    <row r="237" spans="1:31" s="14" customFormat="1" ht="75" customHeight="1" x14ac:dyDescent="0.3">
      <c r="A237" s="14" t="s">
        <v>541</v>
      </c>
      <c r="B237" s="21" t="s">
        <v>6</v>
      </c>
      <c r="C237" s="21" t="s">
        <v>7</v>
      </c>
      <c r="D237" s="21" t="s">
        <v>8</v>
      </c>
      <c r="E237" s="23">
        <v>93</v>
      </c>
      <c r="F237" s="23">
        <f>_xlfn.NUMBERVALUE(MID(TRIM(Tabela2[[#This Row],[retranca]]), FIND("_", TRIM(Tabela2[[#This Row],[retranca]])) + 1, 1), ",", ".")</f>
        <v>5</v>
      </c>
      <c r="G237" s="23">
        <v>3</v>
      </c>
      <c r="H237" s="23"/>
      <c r="I237" s="24" t="s">
        <v>28</v>
      </c>
      <c r="J237" s="24"/>
      <c r="K237" s="23"/>
      <c r="L237" s="23"/>
      <c r="M237" s="24"/>
      <c r="N237" s="24"/>
      <c r="O237" s="27" t="s">
        <v>542</v>
      </c>
      <c r="P237" s="27"/>
      <c r="Q237" s="23">
        <v>5</v>
      </c>
      <c r="R237" s="25">
        <v>45807</v>
      </c>
      <c r="S237" s="25">
        <v>45811</v>
      </c>
      <c r="T237" s="25"/>
      <c r="U237" s="25"/>
      <c r="V237" s="25">
        <v>45812</v>
      </c>
      <c r="W237" s="23" t="s">
        <v>61</v>
      </c>
      <c r="X237" s="32" t="str">
        <f>IF(Tabela2[[#This Row],[sigla]]="","",VLOOKUP(Tabela2[[#This Row],[sigla]],Tabela14[[#All],[Sigla Arte]:[Crédito]],2,0))</f>
        <v>THAMIRES PAREDES/ARQUIVO DA EDITORA</v>
      </c>
      <c r="Y237" s="24" t="s">
        <v>194</v>
      </c>
      <c r="Z237" s="24" t="str">
        <f>Tabela2[[#This Row],[ilustrador]]</f>
        <v>THAMIRES PAREDES/ARQUIVO DA EDITORA</v>
      </c>
      <c r="AA237" s="23">
        <v>14</v>
      </c>
      <c r="AB237" s="21" t="s">
        <v>105</v>
      </c>
      <c r="AC237" s="21" t="s">
        <v>31</v>
      </c>
      <c r="AD237" s="4" t="str">
        <f t="shared" si="6"/>
        <v>Pitanguá</v>
      </c>
      <c r="AE237" s="14" t="str">
        <f t="shared" si="7"/>
        <v>Ciências</v>
      </c>
    </row>
    <row r="238" spans="1:31" s="14" customFormat="1" ht="60" customHeight="1" x14ac:dyDescent="0.3">
      <c r="A238" s="14" t="s">
        <v>543</v>
      </c>
      <c r="B238" s="21" t="s">
        <v>6</v>
      </c>
      <c r="C238" s="21" t="s">
        <v>7</v>
      </c>
      <c r="D238" s="21" t="s">
        <v>8</v>
      </c>
      <c r="E238" s="23">
        <v>97</v>
      </c>
      <c r="F238" s="23">
        <f>_xlfn.NUMBERVALUE(MID(TRIM(Tabela2[[#This Row],[retranca]]), FIND("_", TRIM(Tabela2[[#This Row],[retranca]])) + 1, 1), ",", ".")</f>
        <v>5</v>
      </c>
      <c r="G238" s="23">
        <v>3</v>
      </c>
      <c r="H238" s="23"/>
      <c r="I238" s="24" t="s">
        <v>15</v>
      </c>
      <c r="J238" s="24"/>
      <c r="K238" s="23"/>
      <c r="L238" s="23"/>
      <c r="M238" s="24"/>
      <c r="N238" s="24"/>
      <c r="O238" s="27" t="s">
        <v>544</v>
      </c>
      <c r="P238" s="27"/>
      <c r="Q238" s="23"/>
      <c r="R238" s="25"/>
      <c r="S238" s="25"/>
      <c r="T238" s="25"/>
      <c r="U238" s="25"/>
      <c r="V238" s="25"/>
      <c r="W238" s="23" t="s">
        <v>353</v>
      </c>
      <c r="X238" s="32" t="str">
        <f>IF(Tabela2[[#This Row],[sigla]]="","",VLOOKUP(Tabela2[[#This Row],[sigla]],Tabela14[[#All],[Sigla Arte]:[Crédito]],2,0))</f>
        <v>KEITHY MOSTACHI/ARQUIVO DA EDITORA</v>
      </c>
      <c r="Y238" s="24"/>
      <c r="Z238" s="24" t="str">
        <f>Tabela2[[#This Row],[ilustrador]]</f>
        <v>KEITHY MOSTACHI/ARQUIVO DA EDITORA</v>
      </c>
      <c r="AA238" s="23"/>
      <c r="AB238" s="21"/>
      <c r="AC238" s="21"/>
      <c r="AD238" s="4" t="str">
        <f t="shared" si="6"/>
        <v>Pitanguá</v>
      </c>
      <c r="AE238" s="14" t="str">
        <f t="shared" si="7"/>
        <v>Ciências</v>
      </c>
    </row>
    <row r="239" spans="1:31" s="14" customFormat="1" ht="45" customHeight="1" x14ac:dyDescent="0.3">
      <c r="A239" s="14" t="s">
        <v>545</v>
      </c>
      <c r="B239" s="21" t="s">
        <v>6</v>
      </c>
      <c r="C239" s="21" t="s">
        <v>7</v>
      </c>
      <c r="D239" s="21" t="s">
        <v>8</v>
      </c>
      <c r="E239" s="23">
        <v>97</v>
      </c>
      <c r="F239" s="23">
        <f>_xlfn.NUMBERVALUE(MID(TRIM(Tabela2[[#This Row],[retranca]]), FIND("_", TRIM(Tabela2[[#This Row],[retranca]])) + 1, 1), ",", ".")</f>
        <v>5</v>
      </c>
      <c r="G239" s="23">
        <v>3</v>
      </c>
      <c r="H239" s="23"/>
      <c r="I239" s="24" t="s">
        <v>15</v>
      </c>
      <c r="J239" s="24"/>
      <c r="K239" s="23"/>
      <c r="L239" s="23"/>
      <c r="M239" s="24"/>
      <c r="N239" s="24"/>
      <c r="O239" s="27" t="s">
        <v>546</v>
      </c>
      <c r="P239" s="27"/>
      <c r="Q239" s="23"/>
      <c r="R239" s="25"/>
      <c r="S239" s="25"/>
      <c r="T239" s="25"/>
      <c r="U239" s="25"/>
      <c r="V239" s="25"/>
      <c r="W239" s="23" t="s">
        <v>353</v>
      </c>
      <c r="X239" s="32" t="str">
        <f>IF(Tabela2[[#This Row],[sigla]]="","",VLOOKUP(Tabela2[[#This Row],[sigla]],Tabela14[[#All],[Sigla Arte]:[Crédito]],2,0))</f>
        <v>KEITHY MOSTACHI/ARQUIVO DA EDITORA</v>
      </c>
      <c r="Y239" s="24"/>
      <c r="Z239" s="24" t="str">
        <f>Tabela2[[#This Row],[ilustrador]]</f>
        <v>KEITHY MOSTACHI/ARQUIVO DA EDITORA</v>
      </c>
      <c r="AA239" s="23"/>
      <c r="AB239" s="21"/>
      <c r="AC239" s="21"/>
      <c r="AD239" s="4" t="str">
        <f t="shared" si="6"/>
        <v>Pitanguá</v>
      </c>
      <c r="AE239" s="14" t="str">
        <f t="shared" si="7"/>
        <v>Ciências</v>
      </c>
    </row>
    <row r="240" spans="1:31" s="14" customFormat="1" ht="45" customHeight="1" x14ac:dyDescent="0.3">
      <c r="A240" s="14" t="s">
        <v>547</v>
      </c>
      <c r="B240" s="21" t="s">
        <v>6</v>
      </c>
      <c r="C240" s="21" t="s">
        <v>7</v>
      </c>
      <c r="D240" s="21" t="s">
        <v>8</v>
      </c>
      <c r="E240" s="23">
        <v>97</v>
      </c>
      <c r="F240" s="23">
        <f>_xlfn.NUMBERVALUE(MID(TRIM(Tabela2[[#This Row],[retranca]]), FIND("_", TRIM(Tabela2[[#This Row],[retranca]])) + 1, 1), ",", ".")</f>
        <v>5</v>
      </c>
      <c r="G240" s="23">
        <v>3</v>
      </c>
      <c r="H240" s="23"/>
      <c r="I240" s="24" t="s">
        <v>15</v>
      </c>
      <c r="J240" s="24"/>
      <c r="K240" s="23"/>
      <c r="L240" s="23"/>
      <c r="M240" s="24"/>
      <c r="N240" s="24"/>
      <c r="O240" s="27" t="s">
        <v>548</v>
      </c>
      <c r="P240" s="27"/>
      <c r="Q240" s="23"/>
      <c r="R240" s="25"/>
      <c r="S240" s="25"/>
      <c r="T240" s="25"/>
      <c r="U240" s="25"/>
      <c r="V240" s="25"/>
      <c r="W240" s="23" t="s">
        <v>353</v>
      </c>
      <c r="X240" s="32" t="str">
        <f>IF(Tabela2[[#This Row],[sigla]]="","",VLOOKUP(Tabela2[[#This Row],[sigla]],Tabela14[[#All],[Sigla Arte]:[Crédito]],2,0))</f>
        <v>KEITHY MOSTACHI/ARQUIVO DA EDITORA</v>
      </c>
      <c r="Y240" s="24"/>
      <c r="Z240" s="24" t="str">
        <f>Tabela2[[#This Row],[ilustrador]]</f>
        <v>KEITHY MOSTACHI/ARQUIVO DA EDITORA</v>
      </c>
      <c r="AA240" s="23"/>
      <c r="AB240" s="21"/>
      <c r="AC240" s="21"/>
      <c r="AD240" s="4" t="str">
        <f t="shared" si="6"/>
        <v>Pitanguá</v>
      </c>
      <c r="AE240" s="14" t="str">
        <f t="shared" si="7"/>
        <v>Ciências</v>
      </c>
    </row>
    <row r="241" spans="1:31" s="14" customFormat="1" ht="45" customHeight="1" x14ac:dyDescent="0.3">
      <c r="A241" s="14" t="s">
        <v>549</v>
      </c>
      <c r="B241" s="21" t="s">
        <v>6</v>
      </c>
      <c r="C241" s="21" t="s">
        <v>7</v>
      </c>
      <c r="D241" s="21" t="s">
        <v>8</v>
      </c>
      <c r="E241" s="23">
        <v>97</v>
      </c>
      <c r="F241" s="23">
        <f>_xlfn.NUMBERVALUE(MID(TRIM(Tabela2[[#This Row],[retranca]]), FIND("_", TRIM(Tabela2[[#This Row],[retranca]])) + 1, 1), ",", ".")</f>
        <v>5</v>
      </c>
      <c r="G241" s="23">
        <v>3</v>
      </c>
      <c r="H241" s="23"/>
      <c r="I241" s="24" t="s">
        <v>15</v>
      </c>
      <c r="J241" s="24"/>
      <c r="K241" s="23"/>
      <c r="L241" s="23"/>
      <c r="M241" s="24"/>
      <c r="N241" s="24"/>
      <c r="O241" s="27" t="s">
        <v>550</v>
      </c>
      <c r="P241" s="27"/>
      <c r="Q241" s="23"/>
      <c r="R241" s="25"/>
      <c r="S241" s="25"/>
      <c r="T241" s="25"/>
      <c r="U241" s="25"/>
      <c r="V241" s="25"/>
      <c r="W241" s="23" t="s">
        <v>353</v>
      </c>
      <c r="X241" s="32" t="str">
        <f>IF(Tabela2[[#This Row],[sigla]]="","",VLOOKUP(Tabela2[[#This Row],[sigla]],Tabela14[[#All],[Sigla Arte]:[Crédito]],2,0))</f>
        <v>KEITHY MOSTACHI/ARQUIVO DA EDITORA</v>
      </c>
      <c r="Y241" s="24"/>
      <c r="Z241" s="24" t="str">
        <f>Tabela2[[#This Row],[ilustrador]]</f>
        <v>KEITHY MOSTACHI/ARQUIVO DA EDITORA</v>
      </c>
      <c r="AA241" s="23"/>
      <c r="AB241" s="21"/>
      <c r="AC241" s="21"/>
      <c r="AD241" s="4" t="str">
        <f t="shared" si="6"/>
        <v>Pitanguá</v>
      </c>
      <c r="AE241" s="14" t="str">
        <f t="shared" si="7"/>
        <v>Ciências</v>
      </c>
    </row>
    <row r="242" spans="1:31" s="14" customFormat="1" ht="30" customHeight="1" x14ac:dyDescent="0.3">
      <c r="A242" s="14" t="s">
        <v>551</v>
      </c>
      <c r="B242" s="21" t="s">
        <v>6</v>
      </c>
      <c r="C242" s="21" t="s">
        <v>7</v>
      </c>
      <c r="D242" s="21" t="s">
        <v>8</v>
      </c>
      <c r="E242" s="23">
        <v>100</v>
      </c>
      <c r="F242" s="23">
        <f>_xlfn.NUMBERVALUE(MID(TRIM(Tabela2[[#This Row],[retranca]]), FIND("_", TRIM(Tabela2[[#This Row],[retranca]])) + 1, 1), ",", ".")</f>
        <v>5</v>
      </c>
      <c r="G242" s="23">
        <v>3</v>
      </c>
      <c r="H242" s="23"/>
      <c r="I242" s="24" t="s">
        <v>15</v>
      </c>
      <c r="J242" s="24"/>
      <c r="K242" s="23"/>
      <c r="L242" s="23"/>
      <c r="M242" s="24"/>
      <c r="N242" s="24"/>
      <c r="O242" s="27" t="s">
        <v>552</v>
      </c>
      <c r="P242" s="27"/>
      <c r="Q242" s="23"/>
      <c r="R242" s="25"/>
      <c r="S242" s="25"/>
      <c r="T242" s="25"/>
      <c r="U242" s="25"/>
      <c r="V242" s="25"/>
      <c r="W242" s="23" t="s">
        <v>61</v>
      </c>
      <c r="X242" s="32" t="str">
        <f>IF(Tabela2[[#This Row],[sigla]]="","",VLOOKUP(Tabela2[[#This Row],[sigla]],Tabela14[[#All],[Sigla Arte]:[Crédito]],2,0))</f>
        <v>THAMIRES PAREDES/ARQUIVO DA EDITORA</v>
      </c>
      <c r="Y242" s="24"/>
      <c r="Z242" s="24" t="str">
        <f>Tabela2[[#This Row],[ilustrador]]</f>
        <v>THAMIRES PAREDES/ARQUIVO DA EDITORA</v>
      </c>
      <c r="AA242" s="23"/>
      <c r="AB242" s="21"/>
      <c r="AC242" s="21"/>
      <c r="AD242" s="4" t="str">
        <f t="shared" si="6"/>
        <v>Pitanguá</v>
      </c>
      <c r="AE242" s="14" t="str">
        <f t="shared" si="7"/>
        <v>Ciências</v>
      </c>
    </row>
    <row r="243" spans="1:31" s="14" customFormat="1" ht="60" customHeight="1" x14ac:dyDescent="0.3">
      <c r="A243" s="14" t="s">
        <v>553</v>
      </c>
      <c r="B243" s="21" t="s">
        <v>6</v>
      </c>
      <c r="C243" s="21" t="s">
        <v>7</v>
      </c>
      <c r="D243" s="21" t="s">
        <v>8</v>
      </c>
      <c r="E243" s="23">
        <v>101</v>
      </c>
      <c r="F243" s="23">
        <f>_xlfn.NUMBERVALUE(MID(TRIM(Tabela2[[#This Row],[retranca]]), FIND("_", TRIM(Tabela2[[#This Row],[retranca]])) + 1, 1), ",", ".")</f>
        <v>5</v>
      </c>
      <c r="G243" s="23">
        <v>3</v>
      </c>
      <c r="H243" s="23"/>
      <c r="I243" s="24" t="s">
        <v>15</v>
      </c>
      <c r="J243" s="24"/>
      <c r="K243" s="23"/>
      <c r="L243" s="23"/>
      <c r="M243" s="24"/>
      <c r="N243" s="24"/>
      <c r="O243" s="27" t="s">
        <v>554</v>
      </c>
      <c r="P243" s="27"/>
      <c r="Q243" s="23"/>
      <c r="R243" s="25"/>
      <c r="S243" s="25"/>
      <c r="T243" s="25"/>
      <c r="U243" s="25"/>
      <c r="V243" s="25"/>
      <c r="W243" s="23" t="s">
        <v>61</v>
      </c>
      <c r="X243" s="32" t="str">
        <f>IF(Tabela2[[#This Row],[sigla]]="","",VLOOKUP(Tabela2[[#This Row],[sigla]],Tabela14[[#All],[Sigla Arte]:[Crédito]],2,0))</f>
        <v>THAMIRES PAREDES/ARQUIVO DA EDITORA</v>
      </c>
      <c r="Y243" s="24"/>
      <c r="Z243" s="24" t="str">
        <f>Tabela2[[#This Row],[ilustrador]]</f>
        <v>THAMIRES PAREDES/ARQUIVO DA EDITORA</v>
      </c>
      <c r="AA243" s="23"/>
      <c r="AB243" s="21"/>
      <c r="AC243" s="21"/>
      <c r="AD243" s="4" t="str">
        <f t="shared" si="6"/>
        <v>Pitanguá</v>
      </c>
      <c r="AE243" s="14" t="str">
        <f t="shared" si="7"/>
        <v>Ciências</v>
      </c>
    </row>
    <row r="244" spans="1:31" s="14" customFormat="1" ht="30" customHeight="1" x14ac:dyDescent="0.3">
      <c r="A244" s="14" t="s">
        <v>555</v>
      </c>
      <c r="B244" s="21" t="s">
        <v>6</v>
      </c>
      <c r="C244" s="21" t="s">
        <v>7</v>
      </c>
      <c r="D244" s="21" t="s">
        <v>8</v>
      </c>
      <c r="E244" s="23">
        <v>101</v>
      </c>
      <c r="F244" s="23">
        <f>_xlfn.NUMBERVALUE(MID(TRIM(Tabela2[[#This Row],[retranca]]), FIND("_", TRIM(Tabela2[[#This Row],[retranca]])) + 1, 1), ",", ".")</f>
        <v>5</v>
      </c>
      <c r="G244" s="23">
        <v>3</v>
      </c>
      <c r="H244" s="24"/>
      <c r="I244" s="24" t="s">
        <v>15</v>
      </c>
      <c r="J244" s="24"/>
      <c r="K244" s="23"/>
      <c r="L244" s="23"/>
      <c r="M244" s="24"/>
      <c r="N244" s="24"/>
      <c r="O244" s="27" t="s">
        <v>556</v>
      </c>
      <c r="P244" s="27"/>
      <c r="Q244" s="23"/>
      <c r="R244" s="25"/>
      <c r="S244" s="25"/>
      <c r="T244" s="25"/>
      <c r="U244" s="25"/>
      <c r="V244" s="25"/>
      <c r="W244" s="23" t="s">
        <v>78</v>
      </c>
      <c r="X244" s="32" t="str">
        <f>IF(Tabela2[[#This Row],[sigla]]="","",VLOOKUP(Tabela2[[#This Row],[sigla]],Tabela14[[#All],[Sigla Arte]:[Crédito]],2,0))</f>
        <v>HELOÍSA PINTARELLI/ARQUIVO DA EDITORA</v>
      </c>
      <c r="Y244" s="24"/>
      <c r="Z244" s="24" t="str">
        <f>Tabela2[[#This Row],[ilustrador]]</f>
        <v>HELOÍSA PINTARELLI/ARQUIVO DA EDITORA</v>
      </c>
      <c r="AA244" s="23"/>
      <c r="AB244" s="21"/>
      <c r="AC244" s="21"/>
      <c r="AD244" s="4" t="str">
        <f t="shared" si="6"/>
        <v>Pitanguá</v>
      </c>
      <c r="AE244" s="14" t="str">
        <f t="shared" si="7"/>
        <v>Ciências</v>
      </c>
    </row>
    <row r="245" spans="1:31" s="14" customFormat="1" ht="30" customHeight="1" x14ac:dyDescent="0.3">
      <c r="A245" s="14" t="s">
        <v>557</v>
      </c>
      <c r="B245" s="21" t="s">
        <v>6</v>
      </c>
      <c r="C245" s="21" t="s">
        <v>7</v>
      </c>
      <c r="D245" s="21" t="s">
        <v>8</v>
      </c>
      <c r="E245" s="23">
        <v>101</v>
      </c>
      <c r="F245" s="23">
        <f>_xlfn.NUMBERVALUE(MID(TRIM(Tabela2[[#This Row],[retranca]]), FIND("_", TRIM(Tabela2[[#This Row],[retranca]])) + 1, 1), ",", ".")</f>
        <v>5</v>
      </c>
      <c r="G245" s="23">
        <v>3</v>
      </c>
      <c r="H245" s="23"/>
      <c r="I245" s="24" t="s">
        <v>15</v>
      </c>
      <c r="J245" s="24"/>
      <c r="K245" s="23"/>
      <c r="L245" s="23"/>
      <c r="M245" s="24"/>
      <c r="N245" s="24"/>
      <c r="O245" s="27" t="s">
        <v>558</v>
      </c>
      <c r="P245" s="27"/>
      <c r="Q245" s="23"/>
      <c r="R245" s="25"/>
      <c r="S245" s="25"/>
      <c r="T245" s="25"/>
      <c r="U245" s="25"/>
      <c r="V245" s="25"/>
      <c r="W245" s="23" t="s">
        <v>78</v>
      </c>
      <c r="X245" s="32" t="str">
        <f>IF(Tabela2[[#This Row],[sigla]]="","",VLOOKUP(Tabela2[[#This Row],[sigla]],Tabela14[[#All],[Sigla Arte]:[Crédito]],2,0))</f>
        <v>HELOÍSA PINTARELLI/ARQUIVO DA EDITORA</v>
      </c>
      <c r="Y245" s="24"/>
      <c r="Z245" s="24" t="str">
        <f>Tabela2[[#This Row],[ilustrador]]</f>
        <v>HELOÍSA PINTARELLI/ARQUIVO DA EDITORA</v>
      </c>
      <c r="AA245" s="23"/>
      <c r="AB245" s="21"/>
      <c r="AC245" s="21"/>
      <c r="AD245" s="4" t="str">
        <f t="shared" si="6"/>
        <v>Pitanguá</v>
      </c>
      <c r="AE245" s="14" t="str">
        <f t="shared" si="7"/>
        <v>Ciências</v>
      </c>
    </row>
    <row r="246" spans="1:31" s="14" customFormat="1" ht="60" customHeight="1" x14ac:dyDescent="0.3">
      <c r="A246" s="14" t="s">
        <v>559</v>
      </c>
      <c r="B246" s="21" t="s">
        <v>6</v>
      </c>
      <c r="C246" s="21" t="s">
        <v>7</v>
      </c>
      <c r="D246" s="21" t="s">
        <v>8</v>
      </c>
      <c r="E246" s="23">
        <v>105</v>
      </c>
      <c r="F246" s="23">
        <f>_xlfn.NUMBERVALUE(MID(TRIM(Tabela2[[#This Row],[retranca]]), FIND("_", TRIM(Tabela2[[#This Row],[retranca]])) + 1, 1), ",", ".")</f>
        <v>5</v>
      </c>
      <c r="G246" s="23">
        <v>3</v>
      </c>
      <c r="H246" s="23"/>
      <c r="I246" s="24" t="s">
        <v>15</v>
      </c>
      <c r="J246" s="24"/>
      <c r="K246" s="23"/>
      <c r="L246" s="23"/>
      <c r="M246" s="24"/>
      <c r="N246" s="24"/>
      <c r="O246" s="27" t="s">
        <v>560</v>
      </c>
      <c r="P246" s="27"/>
      <c r="Q246" s="23"/>
      <c r="R246" s="25"/>
      <c r="S246" s="25"/>
      <c r="T246" s="25"/>
      <c r="U246" s="25"/>
      <c r="V246" s="25"/>
      <c r="W246" s="23" t="s">
        <v>61</v>
      </c>
      <c r="X246" s="32" t="str">
        <f>IF(Tabela2[[#This Row],[sigla]]="","",VLOOKUP(Tabela2[[#This Row],[sigla]],Tabela14[[#All],[Sigla Arte]:[Crédito]],2,0))</f>
        <v>THAMIRES PAREDES/ARQUIVO DA EDITORA</v>
      </c>
      <c r="Y246" s="24"/>
      <c r="Z246" s="24" t="str">
        <f>Tabela2[[#This Row],[ilustrador]]</f>
        <v>THAMIRES PAREDES/ARQUIVO DA EDITORA</v>
      </c>
      <c r="AA246" s="23"/>
      <c r="AB246" s="21"/>
      <c r="AC246" s="21"/>
      <c r="AD246" s="4" t="str">
        <f t="shared" si="6"/>
        <v>Pitanguá</v>
      </c>
      <c r="AE246" s="14" t="str">
        <f t="shared" si="7"/>
        <v>Ciências</v>
      </c>
    </row>
    <row r="247" spans="1:31" s="14" customFormat="1" ht="60" customHeight="1" x14ac:dyDescent="0.3">
      <c r="A247" s="14" t="s">
        <v>561</v>
      </c>
      <c r="B247" s="21" t="s">
        <v>6</v>
      </c>
      <c r="C247" s="21" t="s">
        <v>7</v>
      </c>
      <c r="D247" s="21" t="s">
        <v>8</v>
      </c>
      <c r="E247" s="23">
        <v>112</v>
      </c>
      <c r="F247" s="23">
        <f>_xlfn.NUMBERVALUE(MID(TRIM(Tabela2[[#This Row],[retranca]]), FIND("_", TRIM(Tabela2[[#This Row],[retranca]])) + 1, 1), ",", ".")</f>
        <v>5</v>
      </c>
      <c r="G247" s="23">
        <v>3</v>
      </c>
      <c r="H247" s="23"/>
      <c r="I247" s="24" t="s">
        <v>28</v>
      </c>
      <c r="J247" s="24"/>
      <c r="K247" s="23"/>
      <c r="L247" s="23"/>
      <c r="M247" s="24"/>
      <c r="N247" s="24"/>
      <c r="O247" s="27" t="s">
        <v>562</v>
      </c>
      <c r="P247" s="27"/>
      <c r="Q247" s="23">
        <v>5</v>
      </c>
      <c r="R247" s="25">
        <v>45807</v>
      </c>
      <c r="S247" s="25">
        <v>45811</v>
      </c>
      <c r="T247" s="25"/>
      <c r="U247" s="25"/>
      <c r="V247" s="25">
        <v>45812</v>
      </c>
      <c r="W247" s="23" t="s">
        <v>89</v>
      </c>
      <c r="X247" s="32" t="str">
        <f>IF(Tabela2[[#This Row],[sigla]]="","",VLOOKUP(Tabela2[[#This Row],[sigla]],Tabela14[[#All],[Sigla Arte]:[Crédito]],2,0))</f>
        <v>LISLLEY GOMES FEIGE/ARQUIVO DA EDITORA</v>
      </c>
      <c r="Y247" s="24" t="s">
        <v>194</v>
      </c>
      <c r="Z247" s="24" t="str">
        <f>Tabela2[[#This Row],[ilustrador]]</f>
        <v>LISLLEY GOMES FEIGE/ARQUIVO DA EDITORA</v>
      </c>
      <c r="AA247" s="23">
        <v>14</v>
      </c>
      <c r="AB247" s="21" t="s">
        <v>105</v>
      </c>
      <c r="AC247" s="21" t="s">
        <v>31</v>
      </c>
      <c r="AD247" s="4" t="str">
        <f t="shared" si="6"/>
        <v>Pitanguá</v>
      </c>
      <c r="AE247" s="14" t="str">
        <f t="shared" si="7"/>
        <v>Ciências</v>
      </c>
    </row>
    <row r="248" spans="1:31" s="14" customFormat="1" ht="45" customHeight="1" x14ac:dyDescent="0.3">
      <c r="A248" s="14" t="s">
        <v>563</v>
      </c>
      <c r="B248" s="21" t="s">
        <v>6</v>
      </c>
      <c r="C248" s="21" t="s">
        <v>7</v>
      </c>
      <c r="D248" s="21" t="s">
        <v>8</v>
      </c>
      <c r="E248" s="23">
        <v>112</v>
      </c>
      <c r="F248" s="23">
        <f>_xlfn.NUMBERVALUE(MID(TRIM(Tabela2[[#This Row],[retranca]]), FIND("_", TRIM(Tabela2[[#This Row],[retranca]])) + 1, 1), ",", ".")</f>
        <v>5</v>
      </c>
      <c r="G248" s="23">
        <v>3</v>
      </c>
      <c r="H248" s="23"/>
      <c r="I248" s="24" t="s">
        <v>15</v>
      </c>
      <c r="J248" s="24"/>
      <c r="K248" s="23"/>
      <c r="L248" s="23"/>
      <c r="M248" s="24"/>
      <c r="N248" s="24"/>
      <c r="O248" s="27" t="s">
        <v>564</v>
      </c>
      <c r="P248" s="27"/>
      <c r="Q248" s="23"/>
      <c r="R248" s="25"/>
      <c r="S248" s="25"/>
      <c r="T248" s="25"/>
      <c r="U248" s="25"/>
      <c r="V248" s="25"/>
      <c r="W248" s="23" t="s">
        <v>89</v>
      </c>
      <c r="X248" s="32" t="str">
        <f>IF(Tabela2[[#This Row],[sigla]]="","",VLOOKUP(Tabela2[[#This Row],[sigla]],Tabela14[[#All],[Sigla Arte]:[Crédito]],2,0))</f>
        <v>LISLLEY GOMES FEIGE/ARQUIVO DA EDITORA</v>
      </c>
      <c r="Y248" s="24"/>
      <c r="Z248" s="24" t="str">
        <f>Tabela2[[#This Row],[ilustrador]]</f>
        <v>LISLLEY GOMES FEIGE/ARQUIVO DA EDITORA</v>
      </c>
      <c r="AA248" s="23"/>
      <c r="AB248" s="21"/>
      <c r="AC248" s="21"/>
      <c r="AD248" s="4" t="str">
        <f t="shared" si="6"/>
        <v>Pitanguá</v>
      </c>
      <c r="AE248" s="14" t="str">
        <f t="shared" si="7"/>
        <v>Ciências</v>
      </c>
    </row>
    <row r="249" spans="1:31" s="14" customFormat="1" ht="45" customHeight="1" x14ac:dyDescent="0.3">
      <c r="A249" s="14" t="s">
        <v>565</v>
      </c>
      <c r="B249" s="21" t="s">
        <v>6</v>
      </c>
      <c r="C249" s="21" t="s">
        <v>7</v>
      </c>
      <c r="D249" s="21" t="s">
        <v>8</v>
      </c>
      <c r="E249" s="23">
        <v>113</v>
      </c>
      <c r="F249" s="23">
        <f>_xlfn.NUMBERVALUE(MID(TRIM(Tabela2[[#This Row],[retranca]]), FIND("_", TRIM(Tabela2[[#This Row],[retranca]])) + 1, 1), ",", ".")</f>
        <v>5</v>
      </c>
      <c r="G249" s="23">
        <v>3</v>
      </c>
      <c r="H249" s="23"/>
      <c r="I249" s="24" t="s">
        <v>28</v>
      </c>
      <c r="J249" s="24"/>
      <c r="K249" s="23"/>
      <c r="L249" s="23"/>
      <c r="M249" s="24"/>
      <c r="N249" s="24"/>
      <c r="O249" s="27" t="s">
        <v>566</v>
      </c>
      <c r="P249" s="27"/>
      <c r="Q249" s="23">
        <v>5</v>
      </c>
      <c r="R249" s="25">
        <v>45807</v>
      </c>
      <c r="S249" s="25">
        <v>45811</v>
      </c>
      <c r="T249" s="25"/>
      <c r="U249" s="25"/>
      <c r="V249" s="25">
        <v>45812</v>
      </c>
      <c r="W249" s="23" t="s">
        <v>89</v>
      </c>
      <c r="X249" s="32" t="str">
        <f>IF(Tabela2[[#This Row],[sigla]]="","",VLOOKUP(Tabela2[[#This Row],[sigla]],Tabela14[[#All],[Sigla Arte]:[Crédito]],2,0))</f>
        <v>LISLLEY GOMES FEIGE/ARQUIVO DA EDITORA</v>
      </c>
      <c r="Y249" s="24" t="s">
        <v>194</v>
      </c>
      <c r="Z249" s="24" t="str">
        <f>Tabela2[[#This Row],[ilustrador]]</f>
        <v>LISLLEY GOMES FEIGE/ARQUIVO DA EDITORA</v>
      </c>
      <c r="AA249" s="23">
        <v>14</v>
      </c>
      <c r="AB249" s="21" t="s">
        <v>105</v>
      </c>
      <c r="AC249" s="21" t="s">
        <v>31</v>
      </c>
      <c r="AD249" s="4" t="str">
        <f t="shared" si="6"/>
        <v>Pitanguá</v>
      </c>
      <c r="AE249" s="14" t="str">
        <f t="shared" si="7"/>
        <v>Ciências</v>
      </c>
    </row>
    <row r="250" spans="1:31" s="14" customFormat="1" ht="45" customHeight="1" x14ac:dyDescent="0.3">
      <c r="A250" s="14" t="s">
        <v>567</v>
      </c>
      <c r="B250" s="21" t="s">
        <v>6</v>
      </c>
      <c r="C250" s="21" t="s">
        <v>7</v>
      </c>
      <c r="D250" s="21" t="s">
        <v>8</v>
      </c>
      <c r="E250" s="23">
        <v>113</v>
      </c>
      <c r="F250" s="23">
        <f>_xlfn.NUMBERVALUE(MID(TRIM(Tabela2[[#This Row],[retranca]]), FIND("_", TRIM(Tabela2[[#This Row],[retranca]])) + 1, 1), ",", ".")</f>
        <v>5</v>
      </c>
      <c r="G250" s="23">
        <v>3</v>
      </c>
      <c r="H250" s="23"/>
      <c r="I250" s="24" t="s">
        <v>15</v>
      </c>
      <c r="J250" s="24"/>
      <c r="K250" s="23"/>
      <c r="L250" s="23"/>
      <c r="M250" s="24"/>
      <c r="N250" s="24"/>
      <c r="O250" s="27" t="s">
        <v>568</v>
      </c>
      <c r="P250" s="27"/>
      <c r="Q250" s="23"/>
      <c r="R250" s="25"/>
      <c r="S250" s="25"/>
      <c r="T250" s="25"/>
      <c r="U250" s="25"/>
      <c r="V250" s="25"/>
      <c r="W250" s="23" t="s">
        <v>89</v>
      </c>
      <c r="X250" s="32" t="str">
        <f>IF(Tabela2[[#This Row],[sigla]]="","",VLOOKUP(Tabela2[[#This Row],[sigla]],Tabela14[[#All],[Sigla Arte]:[Crédito]],2,0))</f>
        <v>LISLLEY GOMES FEIGE/ARQUIVO DA EDITORA</v>
      </c>
      <c r="Y250" s="24"/>
      <c r="Z250" s="24" t="str">
        <f>Tabela2[[#This Row],[ilustrador]]</f>
        <v>LISLLEY GOMES FEIGE/ARQUIVO DA EDITORA</v>
      </c>
      <c r="AA250" s="23"/>
      <c r="AB250" s="21"/>
      <c r="AC250" s="21"/>
      <c r="AD250" s="4" t="str">
        <f t="shared" si="6"/>
        <v>Pitanguá</v>
      </c>
      <c r="AE250" s="14" t="str">
        <f t="shared" si="7"/>
        <v>Ciências</v>
      </c>
    </row>
    <row r="251" spans="1:31" s="14" customFormat="1" ht="45" customHeight="1" x14ac:dyDescent="0.3">
      <c r="A251" s="14" t="s">
        <v>569</v>
      </c>
      <c r="B251" s="21" t="s">
        <v>6</v>
      </c>
      <c r="C251" s="21" t="s">
        <v>7</v>
      </c>
      <c r="D251" s="21" t="s">
        <v>8</v>
      </c>
      <c r="E251" s="23">
        <v>114</v>
      </c>
      <c r="F251" s="23">
        <f>_xlfn.NUMBERVALUE(MID(TRIM(Tabela2[[#This Row],[retranca]]), FIND("_", TRIM(Tabela2[[#This Row],[retranca]])) + 1, 1), ",", ".")</f>
        <v>5</v>
      </c>
      <c r="G251" s="23">
        <v>3</v>
      </c>
      <c r="H251" s="23"/>
      <c r="I251" s="24" t="s">
        <v>15</v>
      </c>
      <c r="J251" s="24"/>
      <c r="K251" s="23"/>
      <c r="L251" s="23"/>
      <c r="M251" s="24"/>
      <c r="N251" s="24"/>
      <c r="O251" s="27" t="s">
        <v>570</v>
      </c>
      <c r="P251" s="27"/>
      <c r="Q251" s="23">
        <v>9</v>
      </c>
      <c r="R251" s="25">
        <v>45873</v>
      </c>
      <c r="S251" s="25">
        <v>45874</v>
      </c>
      <c r="T251" s="25"/>
      <c r="U251" s="25"/>
      <c r="V251" s="25">
        <v>45874</v>
      </c>
      <c r="W251" s="23" t="s">
        <v>61</v>
      </c>
      <c r="X251" s="32" t="str">
        <f>IF(Tabela2[[#This Row],[sigla]]="","",VLOOKUP(Tabela2[[#This Row],[sigla]],Tabela14[[#All],[Sigla Arte]:[Crédito]],2,0))</f>
        <v>THAMIRES PAREDES/ARQUIVO DA EDITORA</v>
      </c>
      <c r="Y251" s="24" t="s">
        <v>571</v>
      </c>
      <c r="Z251" s="24" t="str">
        <f>Tabela2[[#This Row],[ilustrador]]</f>
        <v>THAMIRES PAREDES/ARQUIVO DA EDITORA</v>
      </c>
      <c r="AA251" s="23">
        <v>13</v>
      </c>
      <c r="AB251" s="21" t="s">
        <v>427</v>
      </c>
      <c r="AC251" s="21" t="s">
        <v>31</v>
      </c>
      <c r="AD251" s="4" t="str">
        <f t="shared" si="6"/>
        <v>Pitanguá</v>
      </c>
      <c r="AE251" s="14" t="str">
        <f t="shared" si="7"/>
        <v>Ciências</v>
      </c>
    </row>
    <row r="252" spans="1:31" s="14" customFormat="1" ht="90" customHeight="1" x14ac:dyDescent="0.3">
      <c r="A252" s="14" t="s">
        <v>572</v>
      </c>
      <c r="B252" s="21" t="s">
        <v>6</v>
      </c>
      <c r="C252" s="21" t="s">
        <v>7</v>
      </c>
      <c r="D252" s="21" t="s">
        <v>8</v>
      </c>
      <c r="E252" s="23">
        <v>114</v>
      </c>
      <c r="F252" s="23">
        <f>_xlfn.NUMBERVALUE(MID(TRIM(Tabela2[[#This Row],[retranca]]), FIND("_", TRIM(Tabela2[[#This Row],[retranca]])) + 1, 1), ",", ".")</f>
        <v>5</v>
      </c>
      <c r="G252" s="23">
        <v>3</v>
      </c>
      <c r="H252" s="23"/>
      <c r="I252" s="24" t="s">
        <v>28</v>
      </c>
      <c r="J252" s="24"/>
      <c r="K252" s="23"/>
      <c r="L252" s="23"/>
      <c r="M252" s="24"/>
      <c r="N252" s="24"/>
      <c r="O252" s="27" t="s">
        <v>573</v>
      </c>
      <c r="P252" s="27"/>
      <c r="Q252" s="23">
        <v>5</v>
      </c>
      <c r="R252" s="25">
        <v>45807</v>
      </c>
      <c r="S252" s="25">
        <v>45811</v>
      </c>
      <c r="T252" s="25"/>
      <c r="U252" s="25"/>
      <c r="V252" s="25">
        <v>45812</v>
      </c>
      <c r="W252" s="23" t="s">
        <v>61</v>
      </c>
      <c r="X252" s="32" t="str">
        <f>IF(Tabela2[[#This Row],[sigla]]="","",VLOOKUP(Tabela2[[#This Row],[sigla]],Tabela14[[#All],[Sigla Arte]:[Crédito]],2,0))</f>
        <v>THAMIRES PAREDES/ARQUIVO DA EDITORA</v>
      </c>
      <c r="Y252" s="24" t="s">
        <v>574</v>
      </c>
      <c r="Z252" s="24" t="str">
        <f>Tabela2[[#This Row],[ilustrador]]</f>
        <v>THAMIRES PAREDES/ARQUIVO DA EDITORA</v>
      </c>
      <c r="AA252" s="23">
        <v>14</v>
      </c>
      <c r="AB252" s="21" t="s">
        <v>105</v>
      </c>
      <c r="AC252" s="21" t="s">
        <v>31</v>
      </c>
      <c r="AD252" s="4" t="str">
        <f t="shared" si="6"/>
        <v>Pitanguá</v>
      </c>
      <c r="AE252" s="14" t="str">
        <f t="shared" si="7"/>
        <v>Ciências</v>
      </c>
    </row>
    <row r="253" spans="1:31" s="14" customFormat="1" ht="187.2" x14ac:dyDescent="0.3">
      <c r="A253" s="24" t="s">
        <v>575</v>
      </c>
      <c r="B253" s="21" t="s">
        <v>6</v>
      </c>
      <c r="C253" s="21" t="s">
        <v>7</v>
      </c>
      <c r="D253" s="21" t="s">
        <v>8</v>
      </c>
      <c r="E253" s="23">
        <v>134</v>
      </c>
      <c r="F253" s="23">
        <f>_xlfn.NUMBERVALUE(MID(TRIM(Tabela2[[#This Row],[retranca]]), FIND("_", TRIM(Tabela2[[#This Row],[retranca]])) + 1, 1), ",", ".")</f>
        <v>4</v>
      </c>
      <c r="G253" s="23">
        <v>4</v>
      </c>
      <c r="H253" s="23"/>
      <c r="I253" s="24" t="s">
        <v>28</v>
      </c>
      <c r="J253" s="24"/>
      <c r="K253" s="23"/>
      <c r="L253" s="23"/>
      <c r="M253" s="24"/>
      <c r="N253" s="24"/>
      <c r="O253" s="27" t="s">
        <v>576</v>
      </c>
      <c r="P253" s="27"/>
      <c r="Q253" s="23">
        <v>6</v>
      </c>
      <c r="R253" s="25">
        <v>45832</v>
      </c>
      <c r="S253" s="25">
        <v>45832</v>
      </c>
      <c r="T253" s="25"/>
      <c r="U253" s="25"/>
      <c r="V253" s="25">
        <v>45834</v>
      </c>
      <c r="W253" s="23" t="s">
        <v>36</v>
      </c>
      <c r="X253" s="32" t="str">
        <f>IF(Tabela2[[#This Row],[sigla]]="","",VLOOKUP(Tabela2[[#This Row],[sigla]],Tabela14[[#All],[Sigla Arte]:[Crédito]],2,0))</f>
        <v>WERLLEN HOLANDA/ARQUIVO DA EDITORA</v>
      </c>
      <c r="Y253" s="24" t="s">
        <v>330</v>
      </c>
      <c r="Z253" s="24" t="str">
        <f>Tabela2[[#This Row],[ilustrador]]</f>
        <v>WERLLEN HOLANDA/ARQUIVO DA EDITORA</v>
      </c>
      <c r="AA253" s="23">
        <v>14</v>
      </c>
      <c r="AB253" s="21" t="s">
        <v>105</v>
      </c>
      <c r="AC253" s="21" t="s">
        <v>31</v>
      </c>
      <c r="AD253" s="4" t="str">
        <f t="shared" si="6"/>
        <v>Pitanguá</v>
      </c>
      <c r="AE253" s="14" t="str">
        <f t="shared" si="7"/>
        <v>Ciências</v>
      </c>
    </row>
    <row r="254" spans="1:31" s="14" customFormat="1" ht="102" customHeight="1" x14ac:dyDescent="0.3">
      <c r="A254" s="14" t="s">
        <v>577</v>
      </c>
      <c r="B254" s="21" t="s">
        <v>6</v>
      </c>
      <c r="C254" s="21" t="s">
        <v>7</v>
      </c>
      <c r="D254" s="21" t="s">
        <v>8</v>
      </c>
      <c r="E254" s="23">
        <v>102</v>
      </c>
      <c r="F254" s="23">
        <f>_xlfn.NUMBERVALUE(MID(TRIM(Tabela2[[#This Row],[retranca]]), FIND("_", TRIM(Tabela2[[#This Row],[retranca]])) + 1, 1), ",", ".")</f>
        <v>4</v>
      </c>
      <c r="G254" s="23">
        <v>3</v>
      </c>
      <c r="H254" s="23"/>
      <c r="I254" s="24" t="s">
        <v>15</v>
      </c>
      <c r="J254" s="24"/>
      <c r="K254" s="23"/>
      <c r="L254" s="23"/>
      <c r="M254" s="24"/>
      <c r="N254" s="24"/>
      <c r="O254" s="27" t="s">
        <v>578</v>
      </c>
      <c r="P254" s="27"/>
      <c r="Q254" s="23"/>
      <c r="R254" s="25"/>
      <c r="S254" s="25"/>
      <c r="T254" s="25"/>
      <c r="U254" s="25"/>
      <c r="V254" s="25"/>
      <c r="W254" s="23" t="s">
        <v>26</v>
      </c>
      <c r="X254" s="32" t="str">
        <f>IF(Tabela2[[#This Row],[sigla]]="","",VLOOKUP(Tabela2[[#This Row],[sigla]],Tabela14[[#All],[Sigla Arte]:[Crédito]],2,0))</f>
        <v>SAULO NUNES/ARQUIVO DA EDITORA</v>
      </c>
      <c r="Y254" s="24"/>
      <c r="Z254" s="24" t="str">
        <f>Tabela2[[#This Row],[ilustrador]]</f>
        <v>SAULO NUNES/ARQUIVO DA EDITORA</v>
      </c>
      <c r="AA254" s="23"/>
      <c r="AB254" s="21"/>
      <c r="AC254" s="21"/>
      <c r="AD254" s="4" t="str">
        <f t="shared" si="6"/>
        <v>Pitanguá</v>
      </c>
      <c r="AE254" s="14" t="str">
        <f t="shared" si="7"/>
        <v>Ciências</v>
      </c>
    </row>
    <row r="255" spans="1:31" s="14" customFormat="1" ht="43.2" x14ac:dyDescent="0.3">
      <c r="A255" s="14" t="s">
        <v>579</v>
      </c>
      <c r="B255" s="21" t="s">
        <v>6</v>
      </c>
      <c r="C255" s="21" t="s">
        <v>7</v>
      </c>
      <c r="D255" s="21" t="s">
        <v>8</v>
      </c>
      <c r="E255" s="23">
        <v>102</v>
      </c>
      <c r="F255" s="23">
        <f>_xlfn.NUMBERVALUE(MID(TRIM(Tabela2[[#This Row],[retranca]]), FIND("_", TRIM(Tabela2[[#This Row],[retranca]])) + 1, 1), ",", ".")</f>
        <v>4</v>
      </c>
      <c r="G255" s="23">
        <v>3</v>
      </c>
      <c r="H255" s="23"/>
      <c r="I255" s="24" t="s">
        <v>15</v>
      </c>
      <c r="J255" s="24"/>
      <c r="K255" s="23"/>
      <c r="L255" s="23"/>
      <c r="M255" s="24"/>
      <c r="N255" s="24"/>
      <c r="O255" s="27" t="s">
        <v>580</v>
      </c>
      <c r="P255" s="27"/>
      <c r="Q255" s="23"/>
      <c r="R255" s="25"/>
      <c r="S255" s="25"/>
      <c r="T255" s="25"/>
      <c r="U255" s="25"/>
      <c r="V255" s="25"/>
      <c r="W255" s="23" t="s">
        <v>26</v>
      </c>
      <c r="X255" s="32" t="str">
        <f>IF(Tabela2[[#This Row],[sigla]]="","",VLOOKUP(Tabela2[[#This Row],[sigla]],Tabela14[[#All],[Sigla Arte]:[Crédito]],2,0))</f>
        <v>SAULO NUNES/ARQUIVO DA EDITORA</v>
      </c>
      <c r="Y255" s="24"/>
      <c r="Z255" s="24" t="str">
        <f>Tabela2[[#This Row],[ilustrador]]</f>
        <v>SAULO NUNES/ARQUIVO DA EDITORA</v>
      </c>
      <c r="AA255" s="23"/>
      <c r="AB255" s="21"/>
      <c r="AC255" s="21"/>
      <c r="AD255" s="4" t="str">
        <f t="shared" si="6"/>
        <v>Pitanguá</v>
      </c>
      <c r="AE255" s="14" t="str">
        <f t="shared" si="7"/>
        <v>Ciências</v>
      </c>
    </row>
    <row r="256" spans="1:31" s="14" customFormat="1" ht="36.75" customHeight="1" x14ac:dyDescent="0.3">
      <c r="A256" s="14" t="s">
        <v>581</v>
      </c>
      <c r="B256" s="21" t="s">
        <v>6</v>
      </c>
      <c r="C256" s="21" t="s">
        <v>7</v>
      </c>
      <c r="D256" s="21" t="s">
        <v>8</v>
      </c>
      <c r="E256" s="23">
        <v>142</v>
      </c>
      <c r="F256" s="23">
        <f>_xlfn.NUMBERVALUE(MID(TRIM(Tabela2[[#This Row],[retranca]]), FIND("_", TRIM(Tabela2[[#This Row],[retranca]])) + 1, 1), ",", ".")</f>
        <v>4</v>
      </c>
      <c r="G256" s="33" t="s">
        <v>582</v>
      </c>
      <c r="H256" s="33" t="s">
        <v>582</v>
      </c>
      <c r="I256" s="24" t="s">
        <v>15</v>
      </c>
      <c r="J256" s="24"/>
      <c r="K256" s="23"/>
      <c r="L256" s="23"/>
      <c r="M256" s="24"/>
      <c r="N256" s="24"/>
      <c r="O256" s="27" t="s">
        <v>583</v>
      </c>
      <c r="P256" s="27"/>
      <c r="Q256" s="23"/>
      <c r="R256" s="25"/>
      <c r="S256" s="25"/>
      <c r="T256" s="25"/>
      <c r="U256" s="25"/>
      <c r="V256" s="25"/>
      <c r="W256" s="23" t="s">
        <v>78</v>
      </c>
      <c r="X256" s="32" t="str">
        <f>IF(Tabela2[[#This Row],[sigla]]="","",VLOOKUP(Tabela2[[#This Row],[sigla]],Tabela14[[#All],[Sigla Arte]:[Crédito]],2,0))</f>
        <v>HELOÍSA PINTARELLI/ARQUIVO DA EDITORA</v>
      </c>
      <c r="Y256" s="24"/>
      <c r="Z256" s="24" t="str">
        <f>Tabela2[[#This Row],[ilustrador]]</f>
        <v>HELOÍSA PINTARELLI/ARQUIVO DA EDITORA</v>
      </c>
      <c r="AA256" s="23"/>
      <c r="AB256" s="21"/>
      <c r="AC256" s="21"/>
      <c r="AD256" s="4" t="str">
        <f t="shared" si="6"/>
        <v>Pitanguá</v>
      </c>
      <c r="AE256" s="14" t="str">
        <f t="shared" si="7"/>
        <v>Ciências</v>
      </c>
    </row>
    <row r="257" spans="1:31" s="14" customFormat="1" ht="43.2" x14ac:dyDescent="0.3">
      <c r="A257" s="24" t="s">
        <v>584</v>
      </c>
      <c r="B257" s="21" t="s">
        <v>6</v>
      </c>
      <c r="C257" s="21" t="s">
        <v>7</v>
      </c>
      <c r="D257" s="21" t="s">
        <v>8</v>
      </c>
      <c r="E257" s="23">
        <v>27</v>
      </c>
      <c r="F257" s="23">
        <f>_xlfn.NUMBERVALUE(MID(TRIM(Tabela2[[#This Row],[retranca]]), FIND("_", TRIM(Tabela2[[#This Row],[retranca]])) + 1, 1), ",", ".")</f>
        <v>5</v>
      </c>
      <c r="G257" s="23">
        <v>1</v>
      </c>
      <c r="H257" s="23"/>
      <c r="I257" s="24" t="s">
        <v>9</v>
      </c>
      <c r="J257" s="24"/>
      <c r="K257" s="23"/>
      <c r="L257" s="23"/>
      <c r="M257" s="24"/>
      <c r="N257" s="24"/>
      <c r="O257" s="27" t="s">
        <v>585</v>
      </c>
      <c r="P257" s="27"/>
      <c r="Q257" s="23">
        <v>6</v>
      </c>
      <c r="R257" s="25">
        <v>45853</v>
      </c>
      <c r="S257" s="25">
        <v>45853</v>
      </c>
      <c r="T257" s="25"/>
      <c r="U257" s="25"/>
      <c r="V257" s="25">
        <v>45854</v>
      </c>
      <c r="W257" s="23" t="s">
        <v>95</v>
      </c>
      <c r="X257" s="32" t="str">
        <f>IF(Tabela2[[#This Row],[sigla]]="","",VLOOKUP(Tabela2[[#This Row],[sigla]],Tabela14[[#All],[Sigla Arte]:[Crédito]],2,0))</f>
        <v>VER DOCUMENTO DE ILS. TÉCNICAS</v>
      </c>
      <c r="Y257" s="24" t="s">
        <v>54</v>
      </c>
      <c r="Z257" s="24" t="s">
        <v>403</v>
      </c>
      <c r="AA257" s="23">
        <v>13</v>
      </c>
      <c r="AB257" s="21" t="s">
        <v>586</v>
      </c>
      <c r="AC257" s="21" t="s">
        <v>31</v>
      </c>
      <c r="AD257" s="4" t="str">
        <f t="shared" si="6"/>
        <v>Pitanguá</v>
      </c>
      <c r="AE257" s="14" t="str">
        <f t="shared" si="7"/>
        <v>Ciências</v>
      </c>
    </row>
    <row r="258" spans="1:31" s="14" customFormat="1" ht="216" x14ac:dyDescent="0.3">
      <c r="A258" s="24" t="s">
        <v>587</v>
      </c>
      <c r="B258" s="21" t="s">
        <v>6</v>
      </c>
      <c r="C258" s="21" t="s">
        <v>135</v>
      </c>
      <c r="D258" s="21" t="s">
        <v>8</v>
      </c>
      <c r="E258" s="23">
        <v>95</v>
      </c>
      <c r="F258" s="23">
        <f>_xlfn.NUMBERVALUE(MID(TRIM(Tabela2[[#This Row],[retranca]]), FIND("_", TRIM(Tabela2[[#This Row],[retranca]])) + 1, 1), ",", ".")</f>
        <v>3</v>
      </c>
      <c r="G258" s="23">
        <v>3</v>
      </c>
      <c r="H258" s="23"/>
      <c r="I258" s="24" t="s">
        <v>9</v>
      </c>
      <c r="J258" s="24"/>
      <c r="K258" s="23"/>
      <c r="L258" s="23"/>
      <c r="M258" s="24"/>
      <c r="N258" s="24"/>
      <c r="O258" s="27" t="s">
        <v>588</v>
      </c>
      <c r="P258" s="27"/>
      <c r="Q258" s="23">
        <v>8</v>
      </c>
      <c r="R258" s="25">
        <v>45866</v>
      </c>
      <c r="S258" s="25">
        <v>45866</v>
      </c>
      <c r="T258" s="25"/>
      <c r="U258" s="25"/>
      <c r="V258" s="25">
        <v>45866</v>
      </c>
      <c r="W258" s="23" t="s">
        <v>589</v>
      </c>
      <c r="X258" s="32" t="str">
        <f>IF(Tabela2[[#This Row],[sigla]]="","",VLOOKUP(Tabela2[[#This Row],[sigla]],Tabela14[[#All],[Sigla Arte]:[Crédito]],2,0))</f>
        <v>CAUÊ ZUNCHINI/ARQUIVO DA EDITORA</v>
      </c>
      <c r="Y258" s="24" t="s">
        <v>590</v>
      </c>
      <c r="Z258" s="24" t="str">
        <f>Tabela2[[#This Row],[ilustrador]]</f>
        <v>CAUÊ ZUNCHINI/ARQUIVO DA EDITORA</v>
      </c>
      <c r="AA258" s="23">
        <v>14</v>
      </c>
      <c r="AB258" s="21" t="s">
        <v>591</v>
      </c>
      <c r="AC258" s="21" t="s">
        <v>31</v>
      </c>
      <c r="AD258" s="4" t="str">
        <f t="shared" ref="AD258:AD269" si="8">"Pitanguá"</f>
        <v>Pitanguá</v>
      </c>
      <c r="AE258" s="14" t="str">
        <f t="shared" ref="AE258:AE269" si="9">"Ciências"</f>
        <v>Ciências</v>
      </c>
    </row>
    <row r="259" spans="1:31" s="14" customFormat="1" ht="72" x14ac:dyDescent="0.3">
      <c r="A259" s="21" t="s">
        <v>592</v>
      </c>
      <c r="B259" s="21" t="s">
        <v>6</v>
      </c>
      <c r="C259" s="21" t="s">
        <v>252</v>
      </c>
      <c r="D259" s="21" t="s">
        <v>8</v>
      </c>
      <c r="E259" s="23">
        <v>63</v>
      </c>
      <c r="F259" s="23">
        <f>_xlfn.NUMBERVALUE(MID(TRIM(Tabela2[[#This Row],[retranca]]), FIND("_", TRIM(Tabela2[[#This Row],[retranca]])) + 1, 1), ",", ".")</f>
        <v>5</v>
      </c>
      <c r="G259" s="23">
        <v>2</v>
      </c>
      <c r="H259" s="23"/>
      <c r="I259" s="24" t="s">
        <v>28</v>
      </c>
      <c r="J259" s="24"/>
      <c r="K259" s="23"/>
      <c r="L259" s="23"/>
      <c r="M259" s="24"/>
      <c r="N259" s="24"/>
      <c r="O259" s="27" t="s">
        <v>593</v>
      </c>
      <c r="P259" s="27"/>
      <c r="Q259" s="23">
        <v>7</v>
      </c>
      <c r="R259" s="25">
        <v>45866</v>
      </c>
      <c r="S259" s="25">
        <v>45867</v>
      </c>
      <c r="T259" s="25"/>
      <c r="U259" s="25"/>
      <c r="V259" s="25">
        <v>45867</v>
      </c>
      <c r="W259" s="23" t="s">
        <v>78</v>
      </c>
      <c r="X259" s="32" t="str">
        <f>IF(Tabela2[[#This Row],[sigla]]="","",VLOOKUP(Tabela2[[#This Row],[sigla]],Tabela14[[#All],[Sigla Arte]:[Crédito]],2,0))</f>
        <v>HELOÍSA PINTARELLI/ARQUIVO DA EDITORA</v>
      </c>
      <c r="Y259" s="35" t="s">
        <v>590</v>
      </c>
      <c r="Z259" s="24" t="str">
        <f>Tabela2[[#This Row],[ilustrador]]</f>
        <v>HELOÍSA PINTARELLI/ARQUIVO DA EDITORA</v>
      </c>
      <c r="AA259" s="23">
        <v>14</v>
      </c>
      <c r="AB259" s="21" t="s">
        <v>591</v>
      </c>
      <c r="AC259" s="21" t="s">
        <v>31</v>
      </c>
      <c r="AD259" s="4" t="str">
        <f t="shared" si="8"/>
        <v>Pitanguá</v>
      </c>
      <c r="AE259" s="14" t="str">
        <f t="shared" si="9"/>
        <v>Ciências</v>
      </c>
    </row>
    <row r="260" spans="1:31" s="14" customFormat="1" ht="172.8" x14ac:dyDescent="0.3">
      <c r="A260" s="14" t="s">
        <v>594</v>
      </c>
      <c r="B260" s="21" t="s">
        <v>6</v>
      </c>
      <c r="C260" s="21" t="s">
        <v>135</v>
      </c>
      <c r="D260" s="21" t="s">
        <v>8</v>
      </c>
      <c r="E260" s="23">
        <v>95</v>
      </c>
      <c r="F260" s="23">
        <f>_xlfn.NUMBERVALUE(MID(TRIM(Tabela2[[#This Row],[retranca]]), FIND("_", TRIM(Tabela2[[#This Row],[retranca]])) + 1, 1), ",", ".")</f>
        <v>5</v>
      </c>
      <c r="G260" s="23">
        <v>3</v>
      </c>
      <c r="H260" s="23"/>
      <c r="I260" s="24" t="s">
        <v>9</v>
      </c>
      <c r="J260" s="24"/>
      <c r="K260" s="23"/>
      <c r="L260" s="23"/>
      <c r="M260" s="24"/>
      <c r="N260" s="24"/>
      <c r="O260" s="27" t="s">
        <v>595</v>
      </c>
      <c r="P260" s="27"/>
      <c r="Q260" s="23">
        <v>9</v>
      </c>
      <c r="R260" s="25">
        <v>45873</v>
      </c>
      <c r="S260" s="25">
        <v>45874</v>
      </c>
      <c r="T260" s="25"/>
      <c r="U260" s="25"/>
      <c r="V260" s="25">
        <v>45874</v>
      </c>
      <c r="W260" s="23" t="s">
        <v>137</v>
      </c>
      <c r="X260" s="32" t="str">
        <f>IF(Tabela2[[#This Row],[sigla]]="","",VLOOKUP(Tabela2[[#This Row],[sigla]],Tabela14[[#All],[Sigla Arte]:[Crédito]],2,0))</f>
        <v>INGRIDHI BORGES/ARQUIVO DA EDITORA</v>
      </c>
      <c r="Y260" s="24" t="s">
        <v>571</v>
      </c>
      <c r="Z260" s="24" t="str">
        <f>Tabela2[[#This Row],[ilustrador]]</f>
        <v>INGRIDHI BORGES/ARQUIVO DA EDITORA</v>
      </c>
      <c r="AA260" s="23">
        <v>12</v>
      </c>
      <c r="AB260" s="21" t="s">
        <v>404</v>
      </c>
      <c r="AC260" s="21" t="s">
        <v>31</v>
      </c>
      <c r="AD260" s="4" t="str">
        <f t="shared" si="8"/>
        <v>Pitanguá</v>
      </c>
      <c r="AE260" s="14" t="str">
        <f t="shared" si="9"/>
        <v>Ciências</v>
      </c>
    </row>
    <row r="261" spans="1:31" s="14" customFormat="1" ht="28.8" x14ac:dyDescent="0.3">
      <c r="A261" s="14" t="s">
        <v>596</v>
      </c>
      <c r="B261" s="21" t="s">
        <v>6</v>
      </c>
      <c r="C261" s="21" t="s">
        <v>7</v>
      </c>
      <c r="D261" s="21" t="s">
        <v>8</v>
      </c>
      <c r="E261" s="23">
        <v>93</v>
      </c>
      <c r="F261" s="23">
        <f>_xlfn.NUMBERVALUE(MID(TRIM(Tabela2[[#This Row],[retranca]]), FIND("_", TRIM(Tabela2[[#This Row],[retranca]])) + 1, 1), ",", ".")</f>
        <v>5</v>
      </c>
      <c r="G261" s="23">
        <v>3</v>
      </c>
      <c r="H261" s="23"/>
      <c r="I261" s="24" t="s">
        <v>15</v>
      </c>
      <c r="J261" s="24"/>
      <c r="K261" s="23"/>
      <c r="L261" s="23"/>
      <c r="M261" s="24"/>
      <c r="N261" s="24"/>
      <c r="O261" s="27" t="s">
        <v>359</v>
      </c>
      <c r="P261" s="27"/>
      <c r="Q261" s="23"/>
      <c r="R261" s="25"/>
      <c r="S261" s="25"/>
      <c r="T261" s="25"/>
      <c r="U261" s="25"/>
      <c r="V261" s="25"/>
      <c r="W261" s="23" t="s">
        <v>26</v>
      </c>
      <c r="X261" s="32" t="str">
        <f>IF(Tabela2[[#This Row],[sigla]]="","",VLOOKUP(Tabela2[[#This Row],[sigla]],Tabela14[[#All],[Sigla Arte]:[Crédito]],2,0))</f>
        <v>SAULO NUNES/ARQUIVO DA EDITORA</v>
      </c>
      <c r="Y261" s="24"/>
      <c r="Z261" s="24" t="str">
        <f>Tabela2[[#This Row],[ilustrador]]</f>
        <v>SAULO NUNES/ARQUIVO DA EDITORA</v>
      </c>
      <c r="AA261" s="23"/>
      <c r="AB261" s="21"/>
      <c r="AC261" s="21"/>
      <c r="AD261" s="4" t="str">
        <f t="shared" si="8"/>
        <v>Pitanguá</v>
      </c>
      <c r="AE261" s="14" t="str">
        <f t="shared" si="9"/>
        <v>Ciências</v>
      </c>
    </row>
    <row r="262" spans="1:31" s="14" customFormat="1" ht="43.2" x14ac:dyDescent="0.3">
      <c r="A262" s="14" t="s">
        <v>597</v>
      </c>
      <c r="B262" s="21" t="s">
        <v>6</v>
      </c>
      <c r="C262" s="21" t="s">
        <v>7</v>
      </c>
      <c r="D262" s="21" t="s">
        <v>8</v>
      </c>
      <c r="E262" s="23">
        <v>93</v>
      </c>
      <c r="F262" s="23">
        <f>_xlfn.NUMBERVALUE(MID(TRIM(Tabela2[[#This Row],[retranca]]), FIND("_", TRIM(Tabela2[[#This Row],[retranca]])) + 1, 1), ",", ".")</f>
        <v>5</v>
      </c>
      <c r="G262" s="23">
        <v>3</v>
      </c>
      <c r="H262" s="23"/>
      <c r="I262" s="24" t="s">
        <v>15</v>
      </c>
      <c r="J262" s="24"/>
      <c r="K262" s="23"/>
      <c r="L262" s="23"/>
      <c r="M262" s="24"/>
      <c r="N262" s="24"/>
      <c r="O262" s="27" t="s">
        <v>362</v>
      </c>
      <c r="P262" s="27"/>
      <c r="Q262" s="23"/>
      <c r="R262" s="25"/>
      <c r="S262" s="25"/>
      <c r="T262" s="25"/>
      <c r="U262" s="25"/>
      <c r="V262" s="25"/>
      <c r="W262" s="23" t="s">
        <v>26</v>
      </c>
      <c r="X262" s="32" t="str">
        <f>IF(Tabela2[[#This Row],[sigla]]="","",VLOOKUP(Tabela2[[#This Row],[sigla]],Tabela14[[#All],[Sigla Arte]:[Crédito]],2,0))</f>
        <v>SAULO NUNES/ARQUIVO DA EDITORA</v>
      </c>
      <c r="Y262" s="24"/>
      <c r="Z262" s="24" t="str">
        <f>Tabela2[[#This Row],[ilustrador]]</f>
        <v>SAULO NUNES/ARQUIVO DA EDITORA</v>
      </c>
      <c r="AA262" s="23"/>
      <c r="AB262" s="21"/>
      <c r="AC262" s="21"/>
      <c r="AD262" s="4" t="str">
        <f t="shared" si="8"/>
        <v>Pitanguá</v>
      </c>
      <c r="AE262" s="14" t="str">
        <f t="shared" si="9"/>
        <v>Ciências</v>
      </c>
    </row>
    <row r="263" spans="1:31" s="14" customFormat="1" ht="43.2" x14ac:dyDescent="0.3">
      <c r="A263" s="14" t="s">
        <v>598</v>
      </c>
      <c r="B263" s="21" t="s">
        <v>6</v>
      </c>
      <c r="C263" s="21" t="s">
        <v>7</v>
      </c>
      <c r="D263" s="21" t="s">
        <v>8</v>
      </c>
      <c r="E263" s="23">
        <v>93</v>
      </c>
      <c r="F263" s="23">
        <f>_xlfn.NUMBERVALUE(MID(TRIM(Tabela2[[#This Row],[retranca]]), FIND("_", TRIM(Tabela2[[#This Row],[retranca]])) + 1, 1), ",", ".")</f>
        <v>5</v>
      </c>
      <c r="G263" s="23">
        <v>3</v>
      </c>
      <c r="H263" s="23"/>
      <c r="I263" s="24" t="s">
        <v>15</v>
      </c>
      <c r="J263" s="24"/>
      <c r="K263" s="23"/>
      <c r="L263" s="23"/>
      <c r="M263" s="24"/>
      <c r="N263" s="24"/>
      <c r="O263" s="27" t="s">
        <v>364</v>
      </c>
      <c r="P263" s="27"/>
      <c r="Q263" s="23"/>
      <c r="R263" s="25"/>
      <c r="S263" s="25"/>
      <c r="T263" s="25"/>
      <c r="U263" s="25"/>
      <c r="V263" s="25"/>
      <c r="W263" s="23" t="s">
        <v>353</v>
      </c>
      <c r="X263" s="32" t="str">
        <f>IF(Tabela2[[#This Row],[sigla]]="","",VLOOKUP(Tabela2[[#This Row],[sigla]],Tabela14[[#All],[Sigla Arte]:[Crédito]],2,0))</f>
        <v>KEITHY MOSTACHI/ARQUIVO DA EDITORA</v>
      </c>
      <c r="Y263" s="24"/>
      <c r="Z263" s="24" t="str">
        <f>Tabela2[[#This Row],[ilustrador]]</f>
        <v>KEITHY MOSTACHI/ARQUIVO DA EDITORA</v>
      </c>
      <c r="AA263" s="23"/>
      <c r="AB263" s="21"/>
      <c r="AC263" s="21"/>
      <c r="AD263" s="4" t="str">
        <f t="shared" si="8"/>
        <v>Pitanguá</v>
      </c>
      <c r="AE263" s="14" t="str">
        <f t="shared" si="9"/>
        <v>Ciências</v>
      </c>
    </row>
    <row r="264" spans="1:31" s="14" customFormat="1" ht="43.2" x14ac:dyDescent="0.3">
      <c r="A264" s="14" t="s">
        <v>599</v>
      </c>
      <c r="B264" s="21" t="s">
        <v>6</v>
      </c>
      <c r="C264" s="21" t="s">
        <v>7</v>
      </c>
      <c r="D264" s="21" t="s">
        <v>8</v>
      </c>
      <c r="E264" s="23">
        <v>93</v>
      </c>
      <c r="F264" s="23">
        <f>_xlfn.NUMBERVALUE(MID(TRIM(Tabela2[[#This Row],[retranca]]), FIND("_", TRIM(Tabela2[[#This Row],[retranca]])) + 1, 1), ",", ".")</f>
        <v>5</v>
      </c>
      <c r="G264" s="23">
        <v>3</v>
      </c>
      <c r="H264" s="23"/>
      <c r="I264" s="24" t="s">
        <v>15</v>
      </c>
      <c r="J264" s="24"/>
      <c r="K264" s="23"/>
      <c r="L264" s="23"/>
      <c r="M264" s="24"/>
      <c r="N264" s="24"/>
      <c r="O264" s="27" t="s">
        <v>366</v>
      </c>
      <c r="P264" s="27"/>
      <c r="Q264" s="23"/>
      <c r="R264" s="25"/>
      <c r="S264" s="25"/>
      <c r="T264" s="25"/>
      <c r="U264" s="25"/>
      <c r="V264" s="25"/>
      <c r="W264" s="23" t="s">
        <v>353</v>
      </c>
      <c r="X264" s="32" t="str">
        <f>IF(Tabela2[[#This Row],[sigla]]="","",VLOOKUP(Tabela2[[#This Row],[sigla]],Tabela14[[#All],[Sigla Arte]:[Crédito]],2,0))</f>
        <v>KEITHY MOSTACHI/ARQUIVO DA EDITORA</v>
      </c>
      <c r="Y264" s="24"/>
      <c r="Z264" s="24" t="str">
        <f>Tabela2[[#This Row],[ilustrador]]</f>
        <v>KEITHY MOSTACHI/ARQUIVO DA EDITORA</v>
      </c>
      <c r="AA264" s="23"/>
      <c r="AB264" s="21"/>
      <c r="AC264" s="21"/>
      <c r="AD264" s="4" t="str">
        <f t="shared" si="8"/>
        <v>Pitanguá</v>
      </c>
      <c r="AE264" s="14" t="str">
        <f t="shared" si="9"/>
        <v>Ciências</v>
      </c>
    </row>
    <row r="265" spans="1:31" s="14" customFormat="1" ht="43.2" x14ac:dyDescent="0.3">
      <c r="A265" s="14" t="s">
        <v>600</v>
      </c>
      <c r="B265" s="21" t="s">
        <v>6</v>
      </c>
      <c r="C265" s="21" t="s">
        <v>7</v>
      </c>
      <c r="D265" s="21" t="s">
        <v>8</v>
      </c>
      <c r="E265" s="23">
        <v>94</v>
      </c>
      <c r="F265" s="23">
        <f>_xlfn.NUMBERVALUE(MID(TRIM(Tabela2[[#This Row],[retranca]]), FIND("_", TRIM(Tabela2[[#This Row],[retranca]])) + 1, 1), ",", ".")</f>
        <v>5</v>
      </c>
      <c r="G265" s="23">
        <v>3</v>
      </c>
      <c r="H265" s="23"/>
      <c r="I265" s="24" t="s">
        <v>15</v>
      </c>
      <c r="J265" s="24"/>
      <c r="K265" s="23"/>
      <c r="L265" s="23"/>
      <c r="M265" s="24"/>
      <c r="N265" s="24"/>
      <c r="O265" s="27" t="s">
        <v>369</v>
      </c>
      <c r="P265" s="27"/>
      <c r="Q265" s="23"/>
      <c r="R265" s="25"/>
      <c r="S265" s="25"/>
      <c r="T265" s="25"/>
      <c r="U265" s="25"/>
      <c r="V265" s="25"/>
      <c r="W265" s="23" t="s">
        <v>353</v>
      </c>
      <c r="X265" s="32" t="str">
        <f>IF(Tabela2[[#This Row],[sigla]]="","",VLOOKUP(Tabela2[[#This Row],[sigla]],Tabela14[[#All],[Sigla Arte]:[Crédito]],2,0))</f>
        <v>KEITHY MOSTACHI/ARQUIVO DA EDITORA</v>
      </c>
      <c r="Y265" s="24"/>
      <c r="Z265" s="24" t="str">
        <f>Tabela2[[#This Row],[ilustrador]]</f>
        <v>KEITHY MOSTACHI/ARQUIVO DA EDITORA</v>
      </c>
      <c r="AA265" s="23"/>
      <c r="AB265" s="21"/>
      <c r="AC265" s="21"/>
      <c r="AD265" s="4" t="str">
        <f t="shared" si="8"/>
        <v>Pitanguá</v>
      </c>
      <c r="AE265" s="14" t="str">
        <f t="shared" si="9"/>
        <v>Ciências</v>
      </c>
    </row>
    <row r="266" spans="1:31" s="14" customFormat="1" ht="72" x14ac:dyDescent="0.3">
      <c r="A266" s="14" t="s">
        <v>601</v>
      </c>
      <c r="B266" s="21" t="s">
        <v>338</v>
      </c>
      <c r="C266" s="21" t="s">
        <v>602</v>
      </c>
      <c r="D266" s="21" t="s">
        <v>8</v>
      </c>
      <c r="E266" s="23">
        <v>137</v>
      </c>
      <c r="F266" s="23">
        <f>_xlfn.NUMBERVALUE(MID(TRIM(Tabela2[[#This Row],[retranca]]), FIND("_", TRIM(Tabela2[[#This Row],[retranca]])) + 1, 1), ",", ".")</f>
        <v>5</v>
      </c>
      <c r="G266" s="23">
        <v>4</v>
      </c>
      <c r="H266" s="23"/>
      <c r="I266" s="24" t="s">
        <v>9</v>
      </c>
      <c r="J266" s="24"/>
      <c r="K266" s="23"/>
      <c r="L266" s="23"/>
      <c r="M266" s="24"/>
      <c r="N266" s="24"/>
      <c r="O266" s="27" t="s">
        <v>603</v>
      </c>
      <c r="P266" s="27"/>
      <c r="Q266" s="23">
        <v>10</v>
      </c>
      <c r="R266" s="25">
        <v>45874</v>
      </c>
      <c r="S266" s="25">
        <v>45880</v>
      </c>
      <c r="T266" s="25"/>
      <c r="U266" s="25"/>
      <c r="V266" s="25">
        <v>45880</v>
      </c>
      <c r="W266" s="23" t="s">
        <v>137</v>
      </c>
      <c r="X266" s="32" t="str">
        <f>IF(Tabela2[[#This Row],[sigla]]="","",VLOOKUP(Tabela2[[#This Row],[sigla]],Tabela14[[#All],[Sigla Arte]:[Crédito]],2,0))</f>
        <v>INGRIDHI BORGES/ARQUIVO DA EDITORA</v>
      </c>
      <c r="Y266" s="24"/>
      <c r="Z266" s="24" t="str">
        <f>Tabela2[[#This Row],[ilustrador]]</f>
        <v>INGRIDHI BORGES/ARQUIVO DA EDITORA</v>
      </c>
      <c r="AA266" s="23">
        <v>8</v>
      </c>
      <c r="AB266" s="21" t="s">
        <v>54</v>
      </c>
      <c r="AC266" s="21" t="s">
        <v>31</v>
      </c>
      <c r="AD266" s="4" t="str">
        <f t="shared" si="8"/>
        <v>Pitanguá</v>
      </c>
      <c r="AE266" s="14" t="str">
        <f t="shared" si="9"/>
        <v>Ciências</v>
      </c>
    </row>
    <row r="267" spans="1:31" s="14" customFormat="1" x14ac:dyDescent="0.3">
      <c r="A267" s="37" t="s">
        <v>604</v>
      </c>
      <c r="B267" s="38" t="s">
        <v>6</v>
      </c>
      <c r="C267" s="38" t="s">
        <v>7</v>
      </c>
      <c r="D267" s="38" t="s">
        <v>140</v>
      </c>
      <c r="E267" s="39">
        <v>127</v>
      </c>
      <c r="F267" s="39">
        <f>_xlfn.NUMBERVALUE(MID(TRIM(Tabela2[[#This Row],[retranca]]), FIND("_", TRIM(Tabela2[[#This Row],[retranca]])) + 1, 1), ",", ".")</f>
        <v>3</v>
      </c>
      <c r="G267" s="39">
        <v>4</v>
      </c>
      <c r="H267" s="39"/>
      <c r="I267" s="40" t="s">
        <v>15</v>
      </c>
      <c r="J267" s="40"/>
      <c r="K267" s="39"/>
      <c r="L267" s="39"/>
      <c r="M267" s="40"/>
      <c r="N267" s="40"/>
      <c r="O267" s="41" t="s">
        <v>605</v>
      </c>
      <c r="P267" s="27"/>
      <c r="Q267" s="23"/>
      <c r="R267" s="25"/>
      <c r="S267" s="25"/>
      <c r="T267" s="25"/>
      <c r="U267" s="25"/>
      <c r="V267" s="25"/>
      <c r="W267" s="23"/>
      <c r="X267" s="32" t="str">
        <f>IF(Tabela2[[#This Row],[sigla]]="","",VLOOKUP(Tabela2[[#This Row],[sigla]],Tabela14[[#All],[Sigla Arte]:[Crédito]],2,0))</f>
        <v/>
      </c>
      <c r="Y267" s="24"/>
      <c r="Z267" s="24" t="str">
        <f>Tabela2[[#This Row],[ilustrador]]</f>
        <v/>
      </c>
      <c r="AA267" s="23"/>
      <c r="AB267" s="21"/>
      <c r="AC267" s="21"/>
      <c r="AD267" s="4" t="str">
        <f t="shared" si="8"/>
        <v>Pitanguá</v>
      </c>
      <c r="AE267" s="14" t="str">
        <f t="shared" si="9"/>
        <v>Ciências</v>
      </c>
    </row>
    <row r="268" spans="1:31" s="14" customFormat="1" ht="72" x14ac:dyDescent="0.3">
      <c r="A268" s="14" t="s">
        <v>606</v>
      </c>
      <c r="B268" s="21" t="s">
        <v>231</v>
      </c>
      <c r="C268" s="21" t="s">
        <v>191</v>
      </c>
      <c r="D268" s="21" t="s">
        <v>8</v>
      </c>
      <c r="E268" s="23">
        <v>121</v>
      </c>
      <c r="F268" s="23">
        <f>_xlfn.NUMBERVALUE(MID(TRIM(Tabela2[[#This Row],[retranca]]), FIND("_", TRIM(Tabela2[[#This Row],[retranca]])) + 1, 1), ",", ".")</f>
        <v>4</v>
      </c>
      <c r="G268" s="23">
        <v>4</v>
      </c>
      <c r="H268" s="23"/>
      <c r="I268" s="24" t="s">
        <v>9</v>
      </c>
      <c r="J268" s="24"/>
      <c r="K268" s="23"/>
      <c r="L268" s="23"/>
      <c r="M268" s="24"/>
      <c r="N268" s="24"/>
      <c r="O268" s="27" t="s">
        <v>607</v>
      </c>
      <c r="P268" s="27"/>
      <c r="Q268" s="23">
        <v>12</v>
      </c>
      <c r="R268" s="25">
        <v>45880</v>
      </c>
      <c r="S268" s="25"/>
      <c r="T268" s="25"/>
      <c r="U268" s="25"/>
      <c r="V268" s="25"/>
      <c r="W268" s="23" t="s">
        <v>353</v>
      </c>
      <c r="X268" s="32" t="str">
        <f>IF(Tabela2[[#This Row],[sigla]]="","",VLOOKUP(Tabela2[[#This Row],[sigla]],Tabela14[[#All],[Sigla Arte]:[Crédito]],2,0))</f>
        <v>KEITHY MOSTACHI/ARQUIVO DA EDITORA</v>
      </c>
      <c r="Y268" s="24"/>
      <c r="Z268" s="24" t="str">
        <f>Tabela2[[#This Row],[ilustrador]]</f>
        <v>KEITHY MOSTACHI/ARQUIVO DA EDITORA</v>
      </c>
      <c r="AA268" s="23"/>
      <c r="AB268" s="21"/>
      <c r="AC268" s="21"/>
      <c r="AD268" s="4" t="str">
        <f t="shared" si="8"/>
        <v>Pitanguá</v>
      </c>
      <c r="AE268" s="14" t="str">
        <f t="shared" si="9"/>
        <v>Ciências</v>
      </c>
    </row>
    <row r="269" spans="1:31" s="14" customFormat="1" ht="72" x14ac:dyDescent="0.3">
      <c r="A269" s="14" t="s">
        <v>608</v>
      </c>
      <c r="B269" s="21" t="s">
        <v>231</v>
      </c>
      <c r="C269" s="21" t="s">
        <v>252</v>
      </c>
      <c r="D269" s="21" t="s">
        <v>8</v>
      </c>
      <c r="E269" s="23">
        <v>125</v>
      </c>
      <c r="F269" s="23">
        <f>_xlfn.NUMBERVALUE(MID(TRIM(Tabela2[[#This Row],[retranca]]), FIND("_", TRIM(Tabela2[[#This Row],[retranca]])) + 1, 1), ",", ".")</f>
        <v>4</v>
      </c>
      <c r="G269" s="23">
        <v>4</v>
      </c>
      <c r="H269" s="23"/>
      <c r="I269" s="24" t="s">
        <v>9</v>
      </c>
      <c r="J269" s="24"/>
      <c r="K269" s="23"/>
      <c r="L269" s="23"/>
      <c r="M269" s="24"/>
      <c r="N269" s="24"/>
      <c r="O269" s="27" t="s">
        <v>609</v>
      </c>
      <c r="P269" s="27"/>
      <c r="Q269" s="23">
        <v>12</v>
      </c>
      <c r="R269" s="25">
        <v>45880</v>
      </c>
      <c r="S269" s="25"/>
      <c r="T269" s="25"/>
      <c r="U269" s="25"/>
      <c r="V269" s="25"/>
      <c r="W269" s="23" t="s">
        <v>353</v>
      </c>
      <c r="X269" s="32" t="str">
        <f>IF(Tabela2[[#This Row],[sigla]]="","",VLOOKUP(Tabela2[[#This Row],[sigla]],Tabela14[[#All],[Sigla Arte]:[Crédito]],2,0))</f>
        <v>KEITHY MOSTACHI/ARQUIVO DA EDITORA</v>
      </c>
      <c r="Y269" s="24"/>
      <c r="Z269" s="24" t="str">
        <f>Tabela2[[#This Row],[ilustrador]]</f>
        <v>KEITHY MOSTACHI/ARQUIVO DA EDITORA</v>
      </c>
      <c r="AA269" s="23"/>
      <c r="AB269" s="21"/>
      <c r="AC269" s="21"/>
      <c r="AD269" s="4" t="str">
        <f t="shared" si="8"/>
        <v>Pitanguá</v>
      </c>
      <c r="AE269" s="14" t="str">
        <f t="shared" si="9"/>
        <v>Ciências</v>
      </c>
    </row>
  </sheetData>
  <sheetProtection formatCells="0" formatColumns="0" formatRows="0" sort="0" autoFilter="0" pivotTables="0"/>
  <dataValidations count="1">
    <dataValidation allowBlank="1" showErrorMessage="1" sqref="B1:D1" xr:uid="{1951654A-BA05-4955-A564-B9031B37370E}"/>
  </dataValidations>
  <pageMargins left="0.511811024" right="0.511811024" top="0.78740157499999996" bottom="0.78740157499999996" header="0.31496062000000002" footer="0.31496062000000002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5523F918-81A9-4C9C-8A33-77D97CC5CB57}">
          <x14:formula1>
            <xm:f>metadados!$A$1:$A$20</xm:f>
          </x14:formula1>
          <xm:sqref>B2:B269</xm:sqref>
        </x14:dataValidation>
        <x14:dataValidation type="list" allowBlank="1" showInputMessage="1" showErrorMessage="1" xr:uid="{E8715FE5-B4A0-4195-9011-6CA5621AFC68}">
          <x14:formula1>
            <xm:f>metadados!$B$1:$B$20</xm:f>
          </x14:formula1>
          <xm:sqref>C2:C269</xm:sqref>
        </x14:dataValidation>
        <x14:dataValidation type="list" allowBlank="1" showInputMessage="1" showErrorMessage="1" xr:uid="{E66D110D-3D2B-4F87-A692-DBBBD6A5868B}">
          <x14:formula1>
            <xm:f>metadados!$C$1:$C$20</xm:f>
          </x14:formula1>
          <xm:sqref>D2:D269</xm:sqref>
        </x14:dataValidation>
        <x14:dataValidation type="list" allowBlank="1" showInputMessage="1" showErrorMessage="1" xr:uid="{253241B2-2289-4207-A85E-01DF4AFCA291}">
          <x14:formula1>
            <xm:f>metadados!$E$1:$E$20</xm:f>
          </x14:formula1>
          <xm:sqref>I2:I269</xm:sqref>
        </x14:dataValidation>
        <x14:dataValidation type="list" allowBlank="1" showInputMessage="1" showErrorMessage="1" xr:uid="{531DED62-990B-4A0D-8A16-2776E576FEDB}">
          <x14:formula1>
            <xm:f>metadados!$H$1:$H$20</xm:f>
          </x14:formula1>
          <xm:sqref>AC2:AC269</xm:sqref>
        </x14:dataValidation>
        <x14:dataValidation type="list" allowBlank="1" showInputMessage="1" showErrorMessage="1" xr:uid="{D9082ACC-CFD9-4918-8485-A128B6AA8D04}">
          <x14:formula1>
            <xm:f>créditos_base!$B$3:$B$381</xm:f>
          </x14:formula1>
          <xm:sqref>W2:W1048576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34"/>
  <sheetViews>
    <sheetView topLeftCell="A289" workbookViewId="0">
      <selection activeCell="D85" sqref="D85"/>
    </sheetView>
  </sheetViews>
  <sheetFormatPr defaultRowHeight="14.4" x14ac:dyDescent="0.3"/>
  <cols>
    <col min="1" max="1" width="61" bestFit="1" customWidth="1"/>
    <col min="2" max="2" width="11.6640625" bestFit="1" customWidth="1"/>
    <col min="3" max="3" width="74.6640625" customWidth="1"/>
  </cols>
  <sheetData>
    <row r="1" spans="1:3" ht="50.25" customHeight="1" x14ac:dyDescent="0.4">
      <c r="A1" s="42" t="s">
        <v>610</v>
      </c>
      <c r="B1" s="43"/>
      <c r="C1" s="43"/>
    </row>
    <row r="2" spans="1:3" x14ac:dyDescent="0.3">
      <c r="A2" t="s">
        <v>611</v>
      </c>
      <c r="B2" t="s">
        <v>612</v>
      </c>
      <c r="C2" t="s">
        <v>613</v>
      </c>
    </row>
    <row r="3" spans="1:3" x14ac:dyDescent="0.3">
      <c r="A3" t="s">
        <v>611</v>
      </c>
      <c r="B3" t="s">
        <v>612</v>
      </c>
      <c r="C3" t="s">
        <v>613</v>
      </c>
    </row>
    <row r="4" spans="1:3" x14ac:dyDescent="0.3">
      <c r="A4" t="s">
        <v>614</v>
      </c>
      <c r="B4" t="s">
        <v>615</v>
      </c>
      <c r="C4" t="s">
        <v>616</v>
      </c>
    </row>
    <row r="5" spans="1:3" ht="30" customHeight="1" x14ac:dyDescent="0.3">
      <c r="A5" t="s">
        <v>617</v>
      </c>
      <c r="B5" t="s">
        <v>95</v>
      </c>
      <c r="C5" t="s">
        <v>618</v>
      </c>
    </row>
    <row r="6" spans="1:3" ht="28.8" x14ac:dyDescent="0.3">
      <c r="A6" t="s">
        <v>619</v>
      </c>
      <c r="B6" t="s">
        <v>620</v>
      </c>
      <c r="C6" s="12" t="s">
        <v>621</v>
      </c>
    </row>
    <row r="7" spans="1:3" x14ac:dyDescent="0.3">
      <c r="A7" t="s">
        <v>622</v>
      </c>
      <c r="B7" t="s">
        <v>623</v>
      </c>
      <c r="C7" t="s">
        <v>624</v>
      </c>
    </row>
    <row r="8" spans="1:3" x14ac:dyDescent="0.3">
      <c r="A8" t="s">
        <v>625</v>
      </c>
      <c r="B8" t="s">
        <v>626</v>
      </c>
      <c r="C8" t="s">
        <v>624</v>
      </c>
    </row>
    <row r="9" spans="1:3" x14ac:dyDescent="0.3">
      <c r="A9" t="s">
        <v>627</v>
      </c>
      <c r="B9" t="s">
        <v>628</v>
      </c>
      <c r="C9" t="s">
        <v>624</v>
      </c>
    </row>
    <row r="10" spans="1:3" x14ac:dyDescent="0.3">
      <c r="A10" t="s">
        <v>629</v>
      </c>
      <c r="B10" t="s">
        <v>630</v>
      </c>
      <c r="C10" t="s">
        <v>616</v>
      </c>
    </row>
    <row r="11" spans="1:3" x14ac:dyDescent="0.3">
      <c r="A11" t="s">
        <v>138</v>
      </c>
      <c r="B11" t="s">
        <v>631</v>
      </c>
      <c r="C11" t="s">
        <v>54</v>
      </c>
    </row>
    <row r="12" spans="1:3" x14ac:dyDescent="0.3">
      <c r="A12" t="s">
        <v>632</v>
      </c>
      <c r="B12" t="s">
        <v>633</v>
      </c>
      <c r="C12" s="7" t="s">
        <v>634</v>
      </c>
    </row>
    <row r="13" spans="1:3" x14ac:dyDescent="0.3">
      <c r="A13" t="s">
        <v>635</v>
      </c>
      <c r="B13" t="s">
        <v>636</v>
      </c>
      <c r="C13" s="7" t="s">
        <v>637</v>
      </c>
    </row>
    <row r="14" spans="1:3" x14ac:dyDescent="0.3">
      <c r="A14" t="s">
        <v>638</v>
      </c>
      <c r="B14" t="s">
        <v>639</v>
      </c>
      <c r="C14" s="7" t="s">
        <v>640</v>
      </c>
    </row>
    <row r="15" spans="1:3" x14ac:dyDescent="0.3">
      <c r="A15" t="s">
        <v>641</v>
      </c>
      <c r="B15" t="s">
        <v>642</v>
      </c>
      <c r="C15" s="7" t="s">
        <v>643</v>
      </c>
    </row>
    <row r="16" spans="1:3" x14ac:dyDescent="0.3">
      <c r="A16" t="s">
        <v>644</v>
      </c>
      <c r="B16" t="s">
        <v>645</v>
      </c>
      <c r="C16" s="7" t="s">
        <v>646</v>
      </c>
    </row>
    <row r="17" spans="1:3" x14ac:dyDescent="0.3">
      <c r="A17" t="s">
        <v>647</v>
      </c>
      <c r="B17" t="s">
        <v>648</v>
      </c>
      <c r="C17" s="7" t="s">
        <v>649</v>
      </c>
    </row>
    <row r="18" spans="1:3" x14ac:dyDescent="0.3">
      <c r="A18" t="s">
        <v>650</v>
      </c>
      <c r="B18" t="s">
        <v>651</v>
      </c>
      <c r="C18" s="7" t="s">
        <v>652</v>
      </c>
    </row>
    <row r="19" spans="1:3" x14ac:dyDescent="0.3">
      <c r="A19" t="s">
        <v>653</v>
      </c>
      <c r="B19" t="s">
        <v>654</v>
      </c>
      <c r="C19" s="7" t="s">
        <v>655</v>
      </c>
    </row>
    <row r="20" spans="1:3" x14ac:dyDescent="0.3">
      <c r="A20" t="s">
        <v>656</v>
      </c>
      <c r="B20" t="s">
        <v>657</v>
      </c>
      <c r="C20" s="7" t="s">
        <v>658</v>
      </c>
    </row>
    <row r="21" spans="1:3" x14ac:dyDescent="0.3">
      <c r="A21" t="s">
        <v>659</v>
      </c>
      <c r="B21" t="s">
        <v>660</v>
      </c>
      <c r="C21" s="7" t="s">
        <v>661</v>
      </c>
    </row>
    <row r="22" spans="1:3" x14ac:dyDescent="0.3">
      <c r="A22" t="s">
        <v>662</v>
      </c>
      <c r="B22" t="s">
        <v>663</v>
      </c>
      <c r="C22" s="7" t="s">
        <v>664</v>
      </c>
    </row>
    <row r="23" spans="1:3" x14ac:dyDescent="0.3">
      <c r="A23" t="s">
        <v>665</v>
      </c>
      <c r="B23" t="s">
        <v>666</v>
      </c>
      <c r="C23" s="7" t="s">
        <v>667</v>
      </c>
    </row>
    <row r="24" spans="1:3" x14ac:dyDescent="0.3">
      <c r="A24" t="s">
        <v>668</v>
      </c>
      <c r="B24" t="s">
        <v>669</v>
      </c>
      <c r="C24" s="7" t="s">
        <v>670</v>
      </c>
    </row>
    <row r="25" spans="1:3" x14ac:dyDescent="0.3">
      <c r="A25" t="s">
        <v>671</v>
      </c>
      <c r="B25" t="s">
        <v>672</v>
      </c>
      <c r="C25" s="7" t="s">
        <v>673</v>
      </c>
    </row>
    <row r="26" spans="1:3" x14ac:dyDescent="0.3">
      <c r="A26" t="s">
        <v>674</v>
      </c>
      <c r="B26" t="s">
        <v>675</v>
      </c>
      <c r="C26" s="7" t="s">
        <v>676</v>
      </c>
    </row>
    <row r="27" spans="1:3" x14ac:dyDescent="0.3">
      <c r="A27" t="s">
        <v>677</v>
      </c>
      <c r="B27" t="s">
        <v>678</v>
      </c>
      <c r="C27" s="7" t="s">
        <v>679</v>
      </c>
    </row>
    <row r="28" spans="1:3" x14ac:dyDescent="0.3">
      <c r="A28" t="s">
        <v>680</v>
      </c>
      <c r="B28" t="s">
        <v>681</v>
      </c>
      <c r="C28" s="7" t="s">
        <v>682</v>
      </c>
    </row>
    <row r="29" spans="1:3" x14ac:dyDescent="0.3">
      <c r="A29" t="s">
        <v>683</v>
      </c>
      <c r="B29" t="s">
        <v>684</v>
      </c>
      <c r="C29" s="7" t="s">
        <v>685</v>
      </c>
    </row>
    <row r="30" spans="1:3" x14ac:dyDescent="0.3">
      <c r="A30" t="s">
        <v>686</v>
      </c>
      <c r="B30" t="s">
        <v>687</v>
      </c>
      <c r="C30" s="7" t="s">
        <v>688</v>
      </c>
    </row>
    <row r="31" spans="1:3" x14ac:dyDescent="0.3">
      <c r="A31" t="s">
        <v>689</v>
      </c>
      <c r="B31" t="s">
        <v>690</v>
      </c>
      <c r="C31" s="7" t="s">
        <v>691</v>
      </c>
    </row>
    <row r="32" spans="1:3" x14ac:dyDescent="0.3">
      <c r="A32" t="s">
        <v>692</v>
      </c>
      <c r="B32" t="s">
        <v>693</v>
      </c>
      <c r="C32" s="7" t="s">
        <v>694</v>
      </c>
    </row>
    <row r="33" spans="1:3" x14ac:dyDescent="0.3">
      <c r="A33" t="s">
        <v>695</v>
      </c>
      <c r="B33" t="s">
        <v>696</v>
      </c>
      <c r="C33" s="7" t="s">
        <v>697</v>
      </c>
    </row>
    <row r="34" spans="1:3" x14ac:dyDescent="0.3">
      <c r="A34" t="s">
        <v>698</v>
      </c>
      <c r="B34" t="s">
        <v>699</v>
      </c>
      <c r="C34" s="7" t="s">
        <v>700</v>
      </c>
    </row>
    <row r="35" spans="1:3" x14ac:dyDescent="0.3">
      <c r="A35" t="s">
        <v>701</v>
      </c>
      <c r="B35" t="s">
        <v>702</v>
      </c>
      <c r="C35" s="7" t="s">
        <v>703</v>
      </c>
    </row>
    <row r="36" spans="1:3" x14ac:dyDescent="0.3">
      <c r="A36" t="s">
        <v>704</v>
      </c>
      <c r="B36" t="s">
        <v>705</v>
      </c>
      <c r="C36" s="7" t="s">
        <v>706</v>
      </c>
    </row>
    <row r="37" spans="1:3" x14ac:dyDescent="0.3">
      <c r="A37" t="s">
        <v>707</v>
      </c>
      <c r="B37" t="s">
        <v>708</v>
      </c>
      <c r="C37" s="7" t="s">
        <v>709</v>
      </c>
    </row>
    <row r="38" spans="1:3" x14ac:dyDescent="0.3">
      <c r="A38" t="s">
        <v>710</v>
      </c>
      <c r="B38" t="s">
        <v>711</v>
      </c>
      <c r="C38" s="7" t="s">
        <v>712</v>
      </c>
    </row>
    <row r="39" spans="1:3" x14ac:dyDescent="0.3">
      <c r="A39" t="s">
        <v>713</v>
      </c>
      <c r="B39" t="s">
        <v>714</v>
      </c>
      <c r="C39" s="7" t="s">
        <v>715</v>
      </c>
    </row>
    <row r="40" spans="1:3" x14ac:dyDescent="0.3">
      <c r="A40" t="s">
        <v>716</v>
      </c>
      <c r="B40" t="s">
        <v>717</v>
      </c>
      <c r="C40" s="7" t="s">
        <v>718</v>
      </c>
    </row>
    <row r="41" spans="1:3" x14ac:dyDescent="0.3">
      <c r="A41" t="s">
        <v>719</v>
      </c>
      <c r="B41" t="s">
        <v>720</v>
      </c>
      <c r="C41" s="7" t="s">
        <v>721</v>
      </c>
    </row>
    <row r="42" spans="1:3" x14ac:dyDescent="0.3">
      <c r="A42" t="s">
        <v>722</v>
      </c>
      <c r="B42" t="s">
        <v>723</v>
      </c>
      <c r="C42" s="7" t="s">
        <v>724</v>
      </c>
    </row>
    <row r="43" spans="1:3" x14ac:dyDescent="0.3">
      <c r="A43" t="s">
        <v>725</v>
      </c>
      <c r="B43" t="s">
        <v>726</v>
      </c>
      <c r="C43" s="7" t="s">
        <v>727</v>
      </c>
    </row>
    <row r="44" spans="1:3" x14ac:dyDescent="0.3">
      <c r="A44" t="s">
        <v>728</v>
      </c>
      <c r="B44" t="s">
        <v>729</v>
      </c>
      <c r="C44" s="7" t="s">
        <v>730</v>
      </c>
    </row>
    <row r="45" spans="1:3" x14ac:dyDescent="0.3">
      <c r="A45" t="s">
        <v>731</v>
      </c>
      <c r="B45" t="s">
        <v>732</v>
      </c>
      <c r="C45" s="7" t="s">
        <v>733</v>
      </c>
    </row>
    <row r="46" spans="1:3" x14ac:dyDescent="0.3">
      <c r="A46" t="s">
        <v>734</v>
      </c>
      <c r="B46" t="s">
        <v>735</v>
      </c>
      <c r="C46" s="7" t="s">
        <v>736</v>
      </c>
    </row>
    <row r="47" spans="1:3" x14ac:dyDescent="0.3">
      <c r="A47" t="s">
        <v>30</v>
      </c>
      <c r="B47" t="s">
        <v>737</v>
      </c>
      <c r="C47" s="7" t="s">
        <v>738</v>
      </c>
    </row>
    <row r="48" spans="1:3" x14ac:dyDescent="0.3">
      <c r="A48" t="s">
        <v>739</v>
      </c>
      <c r="B48" t="s">
        <v>740</v>
      </c>
      <c r="C48" s="7" t="s">
        <v>741</v>
      </c>
    </row>
    <row r="49" spans="1:3" x14ac:dyDescent="0.3">
      <c r="A49" t="s">
        <v>742</v>
      </c>
      <c r="B49" t="s">
        <v>743</v>
      </c>
      <c r="C49" s="7" t="s">
        <v>744</v>
      </c>
    </row>
    <row r="50" spans="1:3" x14ac:dyDescent="0.3">
      <c r="A50" t="s">
        <v>745</v>
      </c>
      <c r="B50" t="s">
        <v>746</v>
      </c>
      <c r="C50" s="7" t="s">
        <v>747</v>
      </c>
    </row>
    <row r="51" spans="1:3" x14ac:dyDescent="0.3">
      <c r="A51" t="s">
        <v>748</v>
      </c>
      <c r="B51" t="s">
        <v>749</v>
      </c>
      <c r="C51" s="7" t="s">
        <v>750</v>
      </c>
    </row>
    <row r="52" spans="1:3" x14ac:dyDescent="0.3">
      <c r="A52" t="s">
        <v>751</v>
      </c>
      <c r="B52" t="s">
        <v>752</v>
      </c>
      <c r="C52" s="7" t="s">
        <v>753</v>
      </c>
    </row>
    <row r="53" spans="1:3" x14ac:dyDescent="0.3">
      <c r="A53" t="s">
        <v>754</v>
      </c>
      <c r="B53" t="s">
        <v>755</v>
      </c>
      <c r="C53" s="7" t="s">
        <v>756</v>
      </c>
    </row>
    <row r="54" spans="1:3" x14ac:dyDescent="0.3">
      <c r="A54" t="s">
        <v>757</v>
      </c>
      <c r="B54" t="s">
        <v>758</v>
      </c>
      <c r="C54" s="8"/>
    </row>
    <row r="55" spans="1:3" x14ac:dyDescent="0.3">
      <c r="A55" t="s">
        <v>759</v>
      </c>
      <c r="B55" t="s">
        <v>760</v>
      </c>
      <c r="C55" s="7" t="s">
        <v>761</v>
      </c>
    </row>
    <row r="56" spans="1:3" x14ac:dyDescent="0.3">
      <c r="A56" t="s">
        <v>762</v>
      </c>
      <c r="B56" t="s">
        <v>763</v>
      </c>
      <c r="C56" s="7"/>
    </row>
    <row r="57" spans="1:3" x14ac:dyDescent="0.3">
      <c r="A57" t="s">
        <v>764</v>
      </c>
      <c r="B57" t="s">
        <v>765</v>
      </c>
      <c r="C57" s="7" t="s">
        <v>430</v>
      </c>
    </row>
    <row r="58" spans="1:3" x14ac:dyDescent="0.3">
      <c r="A58" t="s">
        <v>766</v>
      </c>
      <c r="B58" t="s">
        <v>767</v>
      </c>
      <c r="C58" s="7" t="s">
        <v>768</v>
      </c>
    </row>
    <row r="59" spans="1:3" x14ac:dyDescent="0.3">
      <c r="A59" t="s">
        <v>769</v>
      </c>
      <c r="B59" t="s">
        <v>770</v>
      </c>
      <c r="C59" s="7" t="s">
        <v>771</v>
      </c>
    </row>
    <row r="60" spans="1:3" x14ac:dyDescent="0.3">
      <c r="A60" t="s">
        <v>772</v>
      </c>
      <c r="B60" t="s">
        <v>773</v>
      </c>
      <c r="C60" s="7" t="s">
        <v>774</v>
      </c>
    </row>
    <row r="61" spans="1:3" x14ac:dyDescent="0.3">
      <c r="A61" t="s">
        <v>775</v>
      </c>
      <c r="B61" t="s">
        <v>776</v>
      </c>
      <c r="C61" s="7" t="s">
        <v>777</v>
      </c>
    </row>
    <row r="62" spans="1:3" x14ac:dyDescent="0.3">
      <c r="A62" t="s">
        <v>778</v>
      </c>
      <c r="B62" t="s">
        <v>779</v>
      </c>
      <c r="C62" s="7" t="s">
        <v>780</v>
      </c>
    </row>
    <row r="63" spans="1:3" x14ac:dyDescent="0.3">
      <c r="A63" t="s">
        <v>781</v>
      </c>
      <c r="B63" t="s">
        <v>782</v>
      </c>
      <c r="C63" s="7" t="s">
        <v>783</v>
      </c>
    </row>
    <row r="64" spans="1:3" x14ac:dyDescent="0.3">
      <c r="A64" t="s">
        <v>784</v>
      </c>
      <c r="B64" t="s">
        <v>785</v>
      </c>
      <c r="C64" s="7" t="s">
        <v>786</v>
      </c>
    </row>
    <row r="65" spans="1:3" x14ac:dyDescent="0.3">
      <c r="A65" t="s">
        <v>787</v>
      </c>
      <c r="B65" t="s">
        <v>788</v>
      </c>
      <c r="C65" s="7" t="s">
        <v>789</v>
      </c>
    </row>
    <row r="66" spans="1:3" x14ac:dyDescent="0.3">
      <c r="A66" t="s">
        <v>790</v>
      </c>
      <c r="B66" t="s">
        <v>791</v>
      </c>
      <c r="C66" s="7" t="s">
        <v>724</v>
      </c>
    </row>
    <row r="67" spans="1:3" x14ac:dyDescent="0.3">
      <c r="A67" t="s">
        <v>792</v>
      </c>
      <c r="B67" t="s">
        <v>793</v>
      </c>
      <c r="C67" s="7" t="s">
        <v>794</v>
      </c>
    </row>
    <row r="68" spans="1:3" x14ac:dyDescent="0.3">
      <c r="A68" t="s">
        <v>795</v>
      </c>
      <c r="B68" t="s">
        <v>796</v>
      </c>
      <c r="C68" s="7" t="s">
        <v>797</v>
      </c>
    </row>
    <row r="69" spans="1:3" x14ac:dyDescent="0.3">
      <c r="A69" t="s">
        <v>798</v>
      </c>
      <c r="B69" t="s">
        <v>799</v>
      </c>
      <c r="C69" s="7" t="s">
        <v>800</v>
      </c>
    </row>
    <row r="70" spans="1:3" x14ac:dyDescent="0.3">
      <c r="A70" t="s">
        <v>801</v>
      </c>
      <c r="B70" t="s">
        <v>589</v>
      </c>
      <c r="C70" s="7" t="s">
        <v>802</v>
      </c>
    </row>
    <row r="71" spans="1:3" x14ac:dyDescent="0.3">
      <c r="A71" t="s">
        <v>803</v>
      </c>
      <c r="B71" t="s">
        <v>804</v>
      </c>
      <c r="C71" s="7" t="s">
        <v>805</v>
      </c>
    </row>
    <row r="72" spans="1:3" x14ac:dyDescent="0.3">
      <c r="A72" t="s">
        <v>806</v>
      </c>
      <c r="B72" t="s">
        <v>807</v>
      </c>
      <c r="C72" s="7" t="s">
        <v>724</v>
      </c>
    </row>
    <row r="73" spans="1:3" x14ac:dyDescent="0.3">
      <c r="A73" t="s">
        <v>808</v>
      </c>
      <c r="B73" t="s">
        <v>809</v>
      </c>
      <c r="C73" s="7" t="s">
        <v>810</v>
      </c>
    </row>
    <row r="74" spans="1:3" x14ac:dyDescent="0.3">
      <c r="A74" t="s">
        <v>811</v>
      </c>
      <c r="B74" t="s">
        <v>812</v>
      </c>
      <c r="C74" s="7" t="s">
        <v>813</v>
      </c>
    </row>
    <row r="75" spans="1:3" x14ac:dyDescent="0.3">
      <c r="A75" t="s">
        <v>814</v>
      </c>
      <c r="B75" t="s">
        <v>815</v>
      </c>
      <c r="C75" s="7" t="s">
        <v>816</v>
      </c>
    </row>
    <row r="76" spans="1:3" ht="16.5" customHeight="1" x14ac:dyDescent="0.3">
      <c r="A76" t="s">
        <v>817</v>
      </c>
      <c r="B76" t="s">
        <v>818</v>
      </c>
      <c r="C76" s="7" t="s">
        <v>819</v>
      </c>
    </row>
    <row r="77" spans="1:3" x14ac:dyDescent="0.3">
      <c r="A77" s="28" t="s">
        <v>820</v>
      </c>
      <c r="B77" s="29" t="s">
        <v>821</v>
      </c>
      <c r="C77" s="29" t="s">
        <v>724</v>
      </c>
    </row>
    <row r="78" spans="1:3" x14ac:dyDescent="0.3">
      <c r="A78" t="s">
        <v>822</v>
      </c>
      <c r="B78" t="s">
        <v>823</v>
      </c>
      <c r="C78" s="7" t="s">
        <v>724</v>
      </c>
    </row>
    <row r="79" spans="1:3" x14ac:dyDescent="0.3">
      <c r="A79" t="s">
        <v>824</v>
      </c>
      <c r="B79" t="s">
        <v>825</v>
      </c>
      <c r="C79" s="7" t="s">
        <v>826</v>
      </c>
    </row>
    <row r="80" spans="1:3" x14ac:dyDescent="0.3">
      <c r="A80" t="s">
        <v>827</v>
      </c>
      <c r="B80" t="s">
        <v>828</v>
      </c>
      <c r="C80" s="7" t="s">
        <v>829</v>
      </c>
    </row>
    <row r="81" spans="1:3" x14ac:dyDescent="0.3">
      <c r="A81" t="s">
        <v>830</v>
      </c>
      <c r="B81" t="s">
        <v>831</v>
      </c>
      <c r="C81" s="7" t="s">
        <v>832</v>
      </c>
    </row>
    <row r="82" spans="1:3" x14ac:dyDescent="0.3">
      <c r="A82" t="s">
        <v>833</v>
      </c>
      <c r="B82" t="s">
        <v>834</v>
      </c>
      <c r="C82" s="7" t="s">
        <v>835</v>
      </c>
    </row>
    <row r="83" spans="1:3" x14ac:dyDescent="0.3">
      <c r="A83" t="s">
        <v>836</v>
      </c>
      <c r="B83" t="s">
        <v>837</v>
      </c>
      <c r="C83" s="7" t="s">
        <v>838</v>
      </c>
    </row>
    <row r="84" spans="1:3" x14ac:dyDescent="0.3">
      <c r="A84" t="s">
        <v>839</v>
      </c>
      <c r="B84" t="s">
        <v>840</v>
      </c>
      <c r="C84" s="7" t="s">
        <v>841</v>
      </c>
    </row>
    <row r="85" spans="1:3" x14ac:dyDescent="0.3">
      <c r="A85" t="s">
        <v>842</v>
      </c>
      <c r="B85" t="s">
        <v>843</v>
      </c>
      <c r="C85" s="36" t="s">
        <v>844</v>
      </c>
    </row>
    <row r="86" spans="1:3" x14ac:dyDescent="0.3">
      <c r="A86" t="s">
        <v>845</v>
      </c>
      <c r="B86" t="s">
        <v>846</v>
      </c>
      <c r="C86" s="7" t="s">
        <v>847</v>
      </c>
    </row>
    <row r="87" spans="1:3" x14ac:dyDescent="0.3">
      <c r="A87" t="s">
        <v>848</v>
      </c>
      <c r="B87" t="s">
        <v>849</v>
      </c>
      <c r="C87" s="7" t="s">
        <v>850</v>
      </c>
    </row>
    <row r="88" spans="1:3" x14ac:dyDescent="0.3">
      <c r="A88" t="s">
        <v>851</v>
      </c>
      <c r="B88" t="s">
        <v>852</v>
      </c>
      <c r="C88" s="7" t="s">
        <v>853</v>
      </c>
    </row>
    <row r="89" spans="1:3" x14ac:dyDescent="0.3">
      <c r="A89" t="s">
        <v>854</v>
      </c>
      <c r="B89" t="s">
        <v>855</v>
      </c>
      <c r="C89" s="7" t="s">
        <v>856</v>
      </c>
    </row>
    <row r="90" spans="1:3" x14ac:dyDescent="0.3">
      <c r="A90" t="s">
        <v>857</v>
      </c>
      <c r="B90" t="s">
        <v>858</v>
      </c>
      <c r="C90" s="7" t="s">
        <v>859</v>
      </c>
    </row>
    <row r="91" spans="1:3" x14ac:dyDescent="0.3">
      <c r="A91" t="s">
        <v>860</v>
      </c>
      <c r="B91" t="s">
        <v>861</v>
      </c>
      <c r="C91" s="7" t="s">
        <v>862</v>
      </c>
    </row>
    <row r="92" spans="1:3" x14ac:dyDescent="0.3">
      <c r="A92" t="s">
        <v>863</v>
      </c>
      <c r="B92" t="s">
        <v>864</v>
      </c>
      <c r="C92" s="7" t="s">
        <v>865</v>
      </c>
    </row>
    <row r="93" spans="1:3" x14ac:dyDescent="0.3">
      <c r="A93" t="s">
        <v>866</v>
      </c>
      <c r="B93" t="s">
        <v>867</v>
      </c>
      <c r="C93" s="7" t="s">
        <v>868</v>
      </c>
    </row>
    <row r="94" spans="1:3" x14ac:dyDescent="0.3">
      <c r="A94" t="s">
        <v>869</v>
      </c>
      <c r="B94" t="s">
        <v>870</v>
      </c>
      <c r="C94" s="7" t="s">
        <v>871</v>
      </c>
    </row>
    <row r="95" spans="1:3" x14ac:dyDescent="0.3">
      <c r="A95" t="s">
        <v>872</v>
      </c>
      <c r="B95" t="s">
        <v>873</v>
      </c>
      <c r="C95" s="7" t="s">
        <v>874</v>
      </c>
    </row>
    <row r="96" spans="1:3" x14ac:dyDescent="0.3">
      <c r="A96" t="s">
        <v>875</v>
      </c>
      <c r="B96" t="s">
        <v>876</v>
      </c>
      <c r="C96" s="7" t="s">
        <v>877</v>
      </c>
    </row>
    <row r="97" spans="1:3" x14ac:dyDescent="0.3">
      <c r="A97" t="s">
        <v>878</v>
      </c>
      <c r="B97" t="s">
        <v>879</v>
      </c>
      <c r="C97" s="7" t="s">
        <v>880</v>
      </c>
    </row>
    <row r="98" spans="1:3" x14ac:dyDescent="0.3">
      <c r="A98" t="s">
        <v>881</v>
      </c>
      <c r="B98" t="s">
        <v>882</v>
      </c>
      <c r="C98" s="7" t="s">
        <v>883</v>
      </c>
    </row>
    <row r="99" spans="1:3" x14ac:dyDescent="0.3">
      <c r="A99" t="s">
        <v>884</v>
      </c>
      <c r="B99" t="s">
        <v>885</v>
      </c>
      <c r="C99" s="7" t="s">
        <v>886</v>
      </c>
    </row>
    <row r="100" spans="1:3" x14ac:dyDescent="0.3">
      <c r="A100" t="s">
        <v>887</v>
      </c>
      <c r="B100" t="s">
        <v>193</v>
      </c>
      <c r="C100" s="7" t="s">
        <v>888</v>
      </c>
    </row>
    <row r="101" spans="1:3" x14ac:dyDescent="0.3">
      <c r="A101" t="s">
        <v>889</v>
      </c>
      <c r="B101" t="s">
        <v>890</v>
      </c>
      <c r="C101" s="7" t="s">
        <v>891</v>
      </c>
    </row>
    <row r="102" spans="1:3" x14ac:dyDescent="0.3">
      <c r="A102" t="s">
        <v>892</v>
      </c>
      <c r="B102" t="s">
        <v>893</v>
      </c>
      <c r="C102" s="7" t="s">
        <v>894</v>
      </c>
    </row>
    <row r="103" spans="1:3" x14ac:dyDescent="0.3">
      <c r="A103" t="s">
        <v>895</v>
      </c>
      <c r="B103" t="s">
        <v>896</v>
      </c>
      <c r="C103" s="7" t="s">
        <v>897</v>
      </c>
    </row>
    <row r="104" spans="1:3" x14ac:dyDescent="0.3">
      <c r="A104" t="s">
        <v>898</v>
      </c>
      <c r="B104" t="s">
        <v>899</v>
      </c>
      <c r="C104" s="7" t="s">
        <v>900</v>
      </c>
    </row>
    <row r="105" spans="1:3" x14ac:dyDescent="0.3">
      <c r="A105" t="s">
        <v>901</v>
      </c>
      <c r="B105" t="s">
        <v>902</v>
      </c>
      <c r="C105" s="7" t="s">
        <v>903</v>
      </c>
    </row>
    <row r="106" spans="1:3" x14ac:dyDescent="0.3">
      <c r="A106" t="s">
        <v>904</v>
      </c>
      <c r="B106" t="s">
        <v>905</v>
      </c>
      <c r="C106" s="7" t="s">
        <v>906</v>
      </c>
    </row>
    <row r="107" spans="1:3" x14ac:dyDescent="0.3">
      <c r="A107" t="s">
        <v>907</v>
      </c>
      <c r="B107" t="s">
        <v>908</v>
      </c>
      <c r="C107" s="7" t="s">
        <v>909</v>
      </c>
    </row>
    <row r="108" spans="1:3" x14ac:dyDescent="0.3">
      <c r="A108" t="s">
        <v>910</v>
      </c>
      <c r="B108" t="s">
        <v>911</v>
      </c>
      <c r="C108" s="7" t="s">
        <v>912</v>
      </c>
    </row>
    <row r="109" spans="1:3" x14ac:dyDescent="0.3">
      <c r="A109" t="s">
        <v>913</v>
      </c>
      <c r="B109" t="s">
        <v>914</v>
      </c>
      <c r="C109" s="7" t="s">
        <v>724</v>
      </c>
    </row>
    <row r="110" spans="1:3" x14ac:dyDescent="0.3">
      <c r="A110" t="s">
        <v>915</v>
      </c>
      <c r="B110" t="s">
        <v>916</v>
      </c>
      <c r="C110" s="7" t="s">
        <v>724</v>
      </c>
    </row>
    <row r="111" spans="1:3" x14ac:dyDescent="0.3">
      <c r="A111" t="s">
        <v>917</v>
      </c>
      <c r="B111" t="s">
        <v>918</v>
      </c>
      <c r="C111" s="7" t="s">
        <v>919</v>
      </c>
    </row>
    <row r="112" spans="1:3" x14ac:dyDescent="0.3">
      <c r="A112" t="s">
        <v>920</v>
      </c>
      <c r="B112" t="s">
        <v>921</v>
      </c>
      <c r="C112" s="7" t="s">
        <v>922</v>
      </c>
    </row>
    <row r="113" spans="1:3" x14ac:dyDescent="0.3">
      <c r="A113" t="s">
        <v>923</v>
      </c>
      <c r="B113" t="s">
        <v>924</v>
      </c>
      <c r="C113" s="7" t="s">
        <v>925</v>
      </c>
    </row>
    <row r="114" spans="1:3" x14ac:dyDescent="0.3">
      <c r="A114" t="s">
        <v>926</v>
      </c>
      <c r="B114" t="s">
        <v>927</v>
      </c>
      <c r="C114" s="7" t="s">
        <v>928</v>
      </c>
    </row>
    <row r="115" spans="1:3" x14ac:dyDescent="0.3">
      <c r="A115" t="s">
        <v>929</v>
      </c>
      <c r="B115" t="s">
        <v>930</v>
      </c>
      <c r="C115" s="7" t="s">
        <v>724</v>
      </c>
    </row>
    <row r="116" spans="1:3" x14ac:dyDescent="0.3">
      <c r="A116" t="s">
        <v>931</v>
      </c>
      <c r="B116" t="s">
        <v>932</v>
      </c>
      <c r="C116" s="7" t="s">
        <v>724</v>
      </c>
    </row>
    <row r="117" spans="1:3" x14ac:dyDescent="0.3">
      <c r="A117" t="s">
        <v>933</v>
      </c>
      <c r="B117" t="s">
        <v>17</v>
      </c>
      <c r="C117" s="7" t="s">
        <v>934</v>
      </c>
    </row>
    <row r="118" spans="1:3" x14ac:dyDescent="0.3">
      <c r="A118" t="s">
        <v>935</v>
      </c>
      <c r="B118" t="s">
        <v>936</v>
      </c>
      <c r="C118" s="7" t="s">
        <v>724</v>
      </c>
    </row>
    <row r="119" spans="1:3" x14ac:dyDescent="0.3">
      <c r="A119" t="s">
        <v>937</v>
      </c>
      <c r="B119" t="s">
        <v>938</v>
      </c>
      <c r="C119" s="7" t="s">
        <v>939</v>
      </c>
    </row>
    <row r="120" spans="1:3" x14ac:dyDescent="0.3">
      <c r="A120" t="s">
        <v>940</v>
      </c>
      <c r="B120" t="s">
        <v>941</v>
      </c>
      <c r="C120" s="7" t="s">
        <v>942</v>
      </c>
    </row>
    <row r="121" spans="1:3" x14ac:dyDescent="0.3">
      <c r="A121" t="s">
        <v>943</v>
      </c>
      <c r="B121" t="s">
        <v>944</v>
      </c>
      <c r="C121" s="7" t="s">
        <v>945</v>
      </c>
    </row>
    <row r="122" spans="1:3" x14ac:dyDescent="0.3">
      <c r="A122" t="s">
        <v>946</v>
      </c>
      <c r="B122" t="s">
        <v>947</v>
      </c>
      <c r="C122" s="7" t="s">
        <v>948</v>
      </c>
    </row>
    <row r="123" spans="1:3" x14ac:dyDescent="0.3">
      <c r="A123" t="s">
        <v>314</v>
      </c>
      <c r="B123" t="s">
        <v>949</v>
      </c>
      <c r="C123" s="7" t="s">
        <v>950</v>
      </c>
    </row>
    <row r="124" spans="1:3" x14ac:dyDescent="0.3">
      <c r="A124" t="s">
        <v>951</v>
      </c>
      <c r="B124" t="s">
        <v>952</v>
      </c>
      <c r="C124" s="7" t="s">
        <v>953</v>
      </c>
    </row>
    <row r="125" spans="1:3" x14ac:dyDescent="0.3">
      <c r="A125" t="s">
        <v>954</v>
      </c>
      <c r="B125" t="s">
        <v>955</v>
      </c>
      <c r="C125" s="7" t="s">
        <v>956</v>
      </c>
    </row>
    <row r="126" spans="1:3" x14ac:dyDescent="0.3">
      <c r="A126" t="s">
        <v>957</v>
      </c>
      <c r="B126" t="s">
        <v>958</v>
      </c>
      <c r="C126" s="7" t="s">
        <v>959</v>
      </c>
    </row>
    <row r="127" spans="1:3" x14ac:dyDescent="0.3">
      <c r="A127" t="s">
        <v>960</v>
      </c>
      <c r="B127" t="s">
        <v>961</v>
      </c>
      <c r="C127" s="7" t="s">
        <v>962</v>
      </c>
    </row>
    <row r="128" spans="1:3" x14ac:dyDescent="0.3">
      <c r="A128" t="s">
        <v>963</v>
      </c>
      <c r="B128" t="s">
        <v>964</v>
      </c>
      <c r="C128" s="7" t="s">
        <v>965</v>
      </c>
    </row>
    <row r="129" spans="1:3" x14ac:dyDescent="0.3">
      <c r="A129" t="s">
        <v>966</v>
      </c>
      <c r="B129" t="s">
        <v>967</v>
      </c>
      <c r="C129" s="7" t="s">
        <v>968</v>
      </c>
    </row>
    <row r="130" spans="1:3" x14ac:dyDescent="0.3">
      <c r="A130" t="s">
        <v>969</v>
      </c>
      <c r="B130" t="s">
        <v>970</v>
      </c>
      <c r="C130" s="7" t="s">
        <v>971</v>
      </c>
    </row>
    <row r="131" spans="1:3" x14ac:dyDescent="0.3">
      <c r="A131" t="s">
        <v>972</v>
      </c>
      <c r="B131" t="s">
        <v>973</v>
      </c>
      <c r="C131" s="7" t="s">
        <v>974</v>
      </c>
    </row>
    <row r="132" spans="1:3" x14ac:dyDescent="0.3">
      <c r="A132" t="s">
        <v>975</v>
      </c>
      <c r="B132" t="s">
        <v>976</v>
      </c>
      <c r="C132" s="7" t="s">
        <v>977</v>
      </c>
    </row>
    <row r="133" spans="1:3" x14ac:dyDescent="0.3">
      <c r="A133" t="s">
        <v>978</v>
      </c>
      <c r="B133" t="s">
        <v>979</v>
      </c>
      <c r="C133" s="7" t="s">
        <v>980</v>
      </c>
    </row>
    <row r="134" spans="1:3" x14ac:dyDescent="0.3">
      <c r="A134" t="s">
        <v>280</v>
      </c>
      <c r="B134" t="s">
        <v>981</v>
      </c>
      <c r="C134" s="7" t="s">
        <v>982</v>
      </c>
    </row>
    <row r="135" spans="1:3" x14ac:dyDescent="0.3">
      <c r="A135" t="s">
        <v>983</v>
      </c>
      <c r="B135" t="s">
        <v>984</v>
      </c>
      <c r="C135" s="7" t="s">
        <v>985</v>
      </c>
    </row>
    <row r="136" spans="1:3" x14ac:dyDescent="0.3">
      <c r="A136" t="s">
        <v>986</v>
      </c>
      <c r="B136" t="s">
        <v>987</v>
      </c>
      <c r="C136" s="7" t="s">
        <v>988</v>
      </c>
    </row>
    <row r="137" spans="1:3" x14ac:dyDescent="0.3">
      <c r="A137" t="s">
        <v>989</v>
      </c>
      <c r="B137" t="s">
        <v>990</v>
      </c>
      <c r="C137" s="7" t="s">
        <v>991</v>
      </c>
    </row>
    <row r="138" spans="1:3" x14ac:dyDescent="0.3">
      <c r="A138" t="s">
        <v>992</v>
      </c>
      <c r="B138" t="s">
        <v>993</v>
      </c>
      <c r="C138" s="7" t="s">
        <v>994</v>
      </c>
    </row>
    <row r="139" spans="1:3" x14ac:dyDescent="0.3">
      <c r="A139" t="s">
        <v>995</v>
      </c>
      <c r="B139" t="s">
        <v>996</v>
      </c>
      <c r="C139" s="7" t="s">
        <v>724</v>
      </c>
    </row>
    <row r="140" spans="1:3" x14ac:dyDescent="0.3">
      <c r="A140" t="s">
        <v>997</v>
      </c>
      <c r="B140" t="s">
        <v>998</v>
      </c>
      <c r="C140" s="7" t="s">
        <v>724</v>
      </c>
    </row>
    <row r="141" spans="1:3" x14ac:dyDescent="0.3">
      <c r="A141" t="s">
        <v>999</v>
      </c>
      <c r="B141" t="s">
        <v>1000</v>
      </c>
      <c r="C141" s="7" t="s">
        <v>1001</v>
      </c>
    </row>
    <row r="142" spans="1:3" x14ac:dyDescent="0.3">
      <c r="A142" t="s">
        <v>1002</v>
      </c>
      <c r="B142" t="s">
        <v>1003</v>
      </c>
      <c r="C142" s="7" t="s">
        <v>1004</v>
      </c>
    </row>
    <row r="143" spans="1:3" x14ac:dyDescent="0.3">
      <c r="A143" t="s">
        <v>1005</v>
      </c>
      <c r="B143" t="s">
        <v>1006</v>
      </c>
      <c r="C143" s="7" t="s">
        <v>1007</v>
      </c>
    </row>
    <row r="144" spans="1:3" x14ac:dyDescent="0.3">
      <c r="A144" t="s">
        <v>1008</v>
      </c>
      <c r="B144" t="s">
        <v>1009</v>
      </c>
      <c r="C144" s="7" t="s">
        <v>1010</v>
      </c>
    </row>
    <row r="145" spans="1:3" x14ac:dyDescent="0.3">
      <c r="A145" t="s">
        <v>1011</v>
      </c>
      <c r="B145" t="s">
        <v>1012</v>
      </c>
      <c r="C145" s="7" t="s">
        <v>1013</v>
      </c>
    </row>
    <row r="146" spans="1:3" x14ac:dyDescent="0.3">
      <c r="A146" t="s">
        <v>1014</v>
      </c>
      <c r="B146" t="s">
        <v>1015</v>
      </c>
      <c r="C146" s="7" t="s">
        <v>1016</v>
      </c>
    </row>
    <row r="147" spans="1:3" x14ac:dyDescent="0.3">
      <c r="A147" t="s">
        <v>1017</v>
      </c>
      <c r="B147" t="s">
        <v>1018</v>
      </c>
      <c r="C147" s="7" t="s">
        <v>1019</v>
      </c>
    </row>
    <row r="148" spans="1:3" x14ac:dyDescent="0.3">
      <c r="A148" t="s">
        <v>1020</v>
      </c>
      <c r="B148" t="s">
        <v>1021</v>
      </c>
      <c r="C148" s="7" t="s">
        <v>403</v>
      </c>
    </row>
    <row r="149" spans="1:3" x14ac:dyDescent="0.3">
      <c r="A149" t="s">
        <v>1022</v>
      </c>
      <c r="B149" t="s">
        <v>1023</v>
      </c>
      <c r="C149" s="7" t="s">
        <v>1024</v>
      </c>
    </row>
    <row r="150" spans="1:3" x14ac:dyDescent="0.3">
      <c r="A150" t="s">
        <v>1025</v>
      </c>
      <c r="B150" t="s">
        <v>1026</v>
      </c>
      <c r="C150" s="7" t="s">
        <v>1027</v>
      </c>
    </row>
    <row r="151" spans="1:3" x14ac:dyDescent="0.3">
      <c r="A151" t="s">
        <v>1028</v>
      </c>
      <c r="B151" t="s">
        <v>1029</v>
      </c>
      <c r="C151" s="7" t="s">
        <v>1030</v>
      </c>
    </row>
    <row r="152" spans="1:3" x14ac:dyDescent="0.3">
      <c r="A152" t="s">
        <v>1031</v>
      </c>
      <c r="B152" t="s">
        <v>1032</v>
      </c>
      <c r="C152" s="7" t="s">
        <v>1033</v>
      </c>
    </row>
    <row r="153" spans="1:3" x14ac:dyDescent="0.3">
      <c r="A153" t="s">
        <v>1034</v>
      </c>
      <c r="B153" t="s">
        <v>1035</v>
      </c>
      <c r="C153" s="7" t="s">
        <v>1036</v>
      </c>
    </row>
    <row r="154" spans="1:3" x14ac:dyDescent="0.3">
      <c r="A154" t="s">
        <v>1037</v>
      </c>
      <c r="B154" t="s">
        <v>1038</v>
      </c>
      <c r="C154" s="7" t="s">
        <v>1039</v>
      </c>
    </row>
    <row r="155" spans="1:3" x14ac:dyDescent="0.3">
      <c r="A155" t="s">
        <v>1040</v>
      </c>
      <c r="B155" t="s">
        <v>1041</v>
      </c>
      <c r="C155" s="7" t="s">
        <v>724</v>
      </c>
    </row>
    <row r="156" spans="1:3" x14ac:dyDescent="0.3">
      <c r="A156" t="s">
        <v>1042</v>
      </c>
      <c r="B156" t="s">
        <v>1043</v>
      </c>
      <c r="C156" s="7" t="s">
        <v>1044</v>
      </c>
    </row>
    <row r="157" spans="1:3" x14ac:dyDescent="0.3">
      <c r="A157" t="s">
        <v>1045</v>
      </c>
      <c r="B157" t="s">
        <v>1046</v>
      </c>
      <c r="C157" s="7" t="s">
        <v>1047</v>
      </c>
    </row>
    <row r="158" spans="1:3" x14ac:dyDescent="0.3">
      <c r="A158" t="s">
        <v>53</v>
      </c>
      <c r="B158" t="s">
        <v>137</v>
      </c>
      <c r="C158" s="7" t="s">
        <v>1048</v>
      </c>
    </row>
    <row r="159" spans="1:3" x14ac:dyDescent="0.3">
      <c r="A159" t="s">
        <v>1049</v>
      </c>
      <c r="B159" t="s">
        <v>1050</v>
      </c>
      <c r="C159" s="7" t="s">
        <v>724</v>
      </c>
    </row>
    <row r="160" spans="1:3" x14ac:dyDescent="0.3">
      <c r="A160" t="s">
        <v>1051</v>
      </c>
      <c r="B160" t="s">
        <v>1052</v>
      </c>
      <c r="C160" s="7" t="s">
        <v>1053</v>
      </c>
    </row>
    <row r="161" spans="1:3" x14ac:dyDescent="0.3">
      <c r="A161" t="s">
        <v>1054</v>
      </c>
      <c r="B161" t="s">
        <v>1055</v>
      </c>
      <c r="C161" s="7" t="s">
        <v>1056</v>
      </c>
    </row>
    <row r="162" spans="1:3" x14ac:dyDescent="0.3">
      <c r="A162" t="s">
        <v>1057</v>
      </c>
      <c r="B162" t="s">
        <v>1058</v>
      </c>
      <c r="C162" s="7" t="s">
        <v>1059</v>
      </c>
    </row>
    <row r="163" spans="1:3" x14ac:dyDescent="0.3">
      <c r="A163" t="s">
        <v>1060</v>
      </c>
      <c r="B163" t="s">
        <v>1061</v>
      </c>
      <c r="C163" s="7" t="s">
        <v>1062</v>
      </c>
    </row>
    <row r="164" spans="1:3" x14ac:dyDescent="0.3">
      <c r="A164" t="s">
        <v>1063</v>
      </c>
      <c r="B164" t="s">
        <v>1064</v>
      </c>
      <c r="C164" s="7" t="s">
        <v>1065</v>
      </c>
    </row>
    <row r="165" spans="1:3" x14ac:dyDescent="0.3">
      <c r="A165" t="s">
        <v>1066</v>
      </c>
      <c r="B165" t="s">
        <v>1067</v>
      </c>
      <c r="C165" s="7" t="s">
        <v>1068</v>
      </c>
    </row>
    <row r="166" spans="1:3" x14ac:dyDescent="0.3">
      <c r="A166" t="s">
        <v>1069</v>
      </c>
      <c r="B166" t="s">
        <v>1070</v>
      </c>
      <c r="C166" s="7" t="s">
        <v>1071</v>
      </c>
    </row>
    <row r="167" spans="1:3" x14ac:dyDescent="0.3">
      <c r="A167" t="s">
        <v>1072</v>
      </c>
      <c r="B167" t="s">
        <v>1073</v>
      </c>
      <c r="C167" s="7" t="s">
        <v>1074</v>
      </c>
    </row>
    <row r="168" spans="1:3" x14ac:dyDescent="0.3">
      <c r="A168" t="s">
        <v>1075</v>
      </c>
      <c r="B168" t="s">
        <v>1076</v>
      </c>
      <c r="C168" s="7" t="s">
        <v>1077</v>
      </c>
    </row>
    <row r="169" spans="1:3" x14ac:dyDescent="0.3">
      <c r="A169" t="s">
        <v>1078</v>
      </c>
      <c r="B169" t="s">
        <v>1079</v>
      </c>
      <c r="C169" s="7" t="s">
        <v>1080</v>
      </c>
    </row>
    <row r="170" spans="1:3" x14ac:dyDescent="0.3">
      <c r="A170" t="s">
        <v>1081</v>
      </c>
      <c r="B170" t="s">
        <v>1082</v>
      </c>
      <c r="C170" s="7" t="s">
        <v>1083</v>
      </c>
    </row>
    <row r="171" spans="1:3" x14ac:dyDescent="0.3">
      <c r="A171" t="s">
        <v>1084</v>
      </c>
      <c r="B171" t="s">
        <v>1085</v>
      </c>
      <c r="C171" s="7" t="s">
        <v>1086</v>
      </c>
    </row>
    <row r="172" spans="1:3" x14ac:dyDescent="0.3">
      <c r="A172" t="s">
        <v>1087</v>
      </c>
      <c r="B172" t="s">
        <v>1088</v>
      </c>
      <c r="C172" s="7" t="s">
        <v>1089</v>
      </c>
    </row>
    <row r="173" spans="1:3" x14ac:dyDescent="0.3">
      <c r="A173" t="s">
        <v>1090</v>
      </c>
      <c r="B173" t="s">
        <v>1091</v>
      </c>
      <c r="C173" s="7" t="s">
        <v>1092</v>
      </c>
    </row>
    <row r="174" spans="1:3" x14ac:dyDescent="0.3">
      <c r="A174" t="s">
        <v>1093</v>
      </c>
      <c r="B174" t="s">
        <v>1094</v>
      </c>
      <c r="C174" s="7" t="s">
        <v>1095</v>
      </c>
    </row>
    <row r="175" spans="1:3" x14ac:dyDescent="0.3">
      <c r="A175" t="s">
        <v>1096</v>
      </c>
      <c r="B175" t="s">
        <v>1097</v>
      </c>
      <c r="C175" s="7" t="s">
        <v>1098</v>
      </c>
    </row>
    <row r="176" spans="1:3" x14ac:dyDescent="0.3">
      <c r="A176" t="s">
        <v>1099</v>
      </c>
      <c r="B176" t="s">
        <v>1100</v>
      </c>
      <c r="C176" s="7" t="s">
        <v>1101</v>
      </c>
    </row>
    <row r="177" spans="1:3" x14ac:dyDescent="0.3">
      <c r="A177" t="s">
        <v>1102</v>
      </c>
      <c r="B177" t="s">
        <v>1103</v>
      </c>
      <c r="C177" s="7" t="s">
        <v>1104</v>
      </c>
    </row>
    <row r="178" spans="1:3" x14ac:dyDescent="0.3">
      <c r="A178" t="s">
        <v>1105</v>
      </c>
      <c r="B178" t="s">
        <v>1106</v>
      </c>
      <c r="C178" s="7" t="s">
        <v>1107</v>
      </c>
    </row>
    <row r="179" spans="1:3" x14ac:dyDescent="0.3">
      <c r="A179" t="s">
        <v>1108</v>
      </c>
      <c r="B179" t="s">
        <v>1109</v>
      </c>
      <c r="C179" s="7" t="s">
        <v>724</v>
      </c>
    </row>
    <row r="180" spans="1:3" x14ac:dyDescent="0.3">
      <c r="A180" t="s">
        <v>1110</v>
      </c>
      <c r="B180" t="s">
        <v>1111</v>
      </c>
      <c r="C180" s="7" t="s">
        <v>1112</v>
      </c>
    </row>
    <row r="181" spans="1:3" x14ac:dyDescent="0.3">
      <c r="A181" t="s">
        <v>1113</v>
      </c>
      <c r="B181" t="s">
        <v>1114</v>
      </c>
      <c r="C181" s="7" t="s">
        <v>1115</v>
      </c>
    </row>
    <row r="182" spans="1:3" x14ac:dyDescent="0.3">
      <c r="A182" t="s">
        <v>1116</v>
      </c>
      <c r="B182" t="s">
        <v>1117</v>
      </c>
      <c r="C182" s="7" t="s">
        <v>1118</v>
      </c>
    </row>
    <row r="183" spans="1:3" x14ac:dyDescent="0.3">
      <c r="A183" t="s">
        <v>1119</v>
      </c>
      <c r="B183" t="s">
        <v>1120</v>
      </c>
      <c r="C183" s="7" t="s">
        <v>1121</v>
      </c>
    </row>
    <row r="184" spans="1:3" x14ac:dyDescent="0.3">
      <c r="A184" t="s">
        <v>1122</v>
      </c>
      <c r="B184" t="s">
        <v>1123</v>
      </c>
      <c r="C184" s="7" t="s">
        <v>1124</v>
      </c>
    </row>
    <row r="185" spans="1:3" x14ac:dyDescent="0.3">
      <c r="A185" t="s">
        <v>1125</v>
      </c>
      <c r="B185" t="s">
        <v>1126</v>
      </c>
      <c r="C185" s="7" t="s">
        <v>1127</v>
      </c>
    </row>
    <row r="186" spans="1:3" x14ac:dyDescent="0.3">
      <c r="A186" t="s">
        <v>1128</v>
      </c>
      <c r="B186" t="s">
        <v>1129</v>
      </c>
      <c r="C186" s="7" t="s">
        <v>1130</v>
      </c>
    </row>
    <row r="187" spans="1:3" x14ac:dyDescent="0.3">
      <c r="A187" t="s">
        <v>1131</v>
      </c>
      <c r="B187" t="s">
        <v>1132</v>
      </c>
      <c r="C187" s="7" t="s">
        <v>724</v>
      </c>
    </row>
    <row r="188" spans="1:3" x14ac:dyDescent="0.3">
      <c r="A188" t="s">
        <v>1133</v>
      </c>
      <c r="B188" t="s">
        <v>1134</v>
      </c>
      <c r="C188" s="7" t="s">
        <v>1135</v>
      </c>
    </row>
    <row r="189" spans="1:3" x14ac:dyDescent="0.3">
      <c r="A189" t="s">
        <v>1136</v>
      </c>
      <c r="B189" t="s">
        <v>353</v>
      </c>
      <c r="C189" s="7" t="s">
        <v>1137</v>
      </c>
    </row>
    <row r="190" spans="1:3" x14ac:dyDescent="0.3">
      <c r="A190" t="s">
        <v>1138</v>
      </c>
      <c r="B190" t="s">
        <v>1139</v>
      </c>
      <c r="C190" s="7" t="s">
        <v>1140</v>
      </c>
    </row>
    <row r="191" spans="1:3" x14ac:dyDescent="0.3">
      <c r="A191" t="s">
        <v>1141</v>
      </c>
      <c r="B191" t="s">
        <v>1142</v>
      </c>
      <c r="C191" s="7" t="s">
        <v>1143</v>
      </c>
    </row>
    <row r="192" spans="1:3" x14ac:dyDescent="0.3">
      <c r="A192" t="s">
        <v>1144</v>
      </c>
      <c r="B192" t="s">
        <v>1145</v>
      </c>
      <c r="C192" s="7" t="s">
        <v>1146</v>
      </c>
    </row>
    <row r="193" spans="1:3" x14ac:dyDescent="0.3">
      <c r="A193" t="s">
        <v>1147</v>
      </c>
      <c r="B193" t="s">
        <v>1148</v>
      </c>
      <c r="C193" s="7" t="s">
        <v>1149</v>
      </c>
    </row>
    <row r="194" spans="1:3" x14ac:dyDescent="0.3">
      <c r="A194" t="s">
        <v>1150</v>
      </c>
      <c r="B194" t="s">
        <v>1151</v>
      </c>
      <c r="C194" s="7" t="s">
        <v>1152</v>
      </c>
    </row>
    <row r="195" spans="1:3" x14ac:dyDescent="0.3">
      <c r="A195" t="s">
        <v>1153</v>
      </c>
      <c r="B195" t="s">
        <v>1154</v>
      </c>
      <c r="C195" s="7" t="s">
        <v>1155</v>
      </c>
    </row>
    <row r="196" spans="1:3" x14ac:dyDescent="0.3">
      <c r="A196" t="s">
        <v>1156</v>
      </c>
      <c r="B196" t="s">
        <v>1157</v>
      </c>
      <c r="C196" s="7" t="s">
        <v>1158</v>
      </c>
    </row>
    <row r="197" spans="1:3" x14ac:dyDescent="0.3">
      <c r="A197" t="s">
        <v>1159</v>
      </c>
      <c r="B197" t="s">
        <v>1160</v>
      </c>
      <c r="C197" s="7" t="s">
        <v>1161</v>
      </c>
    </row>
    <row r="198" spans="1:3" x14ac:dyDescent="0.3">
      <c r="A198" t="s">
        <v>1162</v>
      </c>
      <c r="B198" t="s">
        <v>1163</v>
      </c>
      <c r="C198" s="7" t="s">
        <v>1164</v>
      </c>
    </row>
    <row r="199" spans="1:3" x14ac:dyDescent="0.3">
      <c r="A199" t="s">
        <v>1165</v>
      </c>
      <c r="B199" t="s">
        <v>1166</v>
      </c>
      <c r="C199" s="7" t="s">
        <v>1167</v>
      </c>
    </row>
    <row r="200" spans="1:3" x14ac:dyDescent="0.3">
      <c r="A200" t="s">
        <v>1168</v>
      </c>
      <c r="B200" t="s">
        <v>1169</v>
      </c>
      <c r="C200" s="7" t="s">
        <v>1170</v>
      </c>
    </row>
    <row r="201" spans="1:3" x14ac:dyDescent="0.3">
      <c r="A201" t="s">
        <v>1171</v>
      </c>
      <c r="B201" t="s">
        <v>11</v>
      </c>
      <c r="C201" s="7" t="s">
        <v>1172</v>
      </c>
    </row>
    <row r="202" spans="1:3" x14ac:dyDescent="0.3">
      <c r="A202" t="s">
        <v>1173</v>
      </c>
      <c r="B202" t="s">
        <v>1174</v>
      </c>
      <c r="C202" s="7" t="s">
        <v>1175</v>
      </c>
    </row>
    <row r="203" spans="1:3" x14ac:dyDescent="0.3">
      <c r="A203" t="s">
        <v>1176</v>
      </c>
      <c r="B203" t="s">
        <v>1177</v>
      </c>
      <c r="C203" s="7" t="s">
        <v>1178</v>
      </c>
    </row>
    <row r="204" spans="1:3" x14ac:dyDescent="0.3">
      <c r="A204" t="s">
        <v>1179</v>
      </c>
      <c r="B204" t="s">
        <v>1180</v>
      </c>
      <c r="C204" s="7" t="s">
        <v>1181</v>
      </c>
    </row>
    <row r="205" spans="1:3" x14ac:dyDescent="0.3">
      <c r="A205" t="s">
        <v>1182</v>
      </c>
      <c r="B205" t="s">
        <v>89</v>
      </c>
      <c r="C205" s="7" t="s">
        <v>1183</v>
      </c>
    </row>
    <row r="206" spans="1:3" x14ac:dyDescent="0.3">
      <c r="A206" t="s">
        <v>1184</v>
      </c>
      <c r="B206" t="s">
        <v>1185</v>
      </c>
      <c r="C206" s="7" t="s">
        <v>724</v>
      </c>
    </row>
    <row r="207" spans="1:3" x14ac:dyDescent="0.3">
      <c r="A207" t="s">
        <v>1186</v>
      </c>
      <c r="B207" t="s">
        <v>1187</v>
      </c>
      <c r="C207" s="7" t="s">
        <v>1188</v>
      </c>
    </row>
    <row r="208" spans="1:3" x14ac:dyDescent="0.3">
      <c r="A208" t="s">
        <v>1189</v>
      </c>
      <c r="B208" t="s">
        <v>1190</v>
      </c>
      <c r="C208" s="7" t="s">
        <v>1191</v>
      </c>
    </row>
    <row r="209" spans="1:3" x14ac:dyDescent="0.3">
      <c r="A209" t="s">
        <v>1192</v>
      </c>
      <c r="B209" t="s">
        <v>52</v>
      </c>
      <c r="C209" s="7" t="s">
        <v>1193</v>
      </c>
    </row>
    <row r="210" spans="1:3" x14ac:dyDescent="0.3">
      <c r="A210" t="s">
        <v>1194</v>
      </c>
      <c r="B210" t="s">
        <v>1195</v>
      </c>
      <c r="C210" s="7" t="s">
        <v>1196</v>
      </c>
    </row>
    <row r="211" spans="1:3" x14ac:dyDescent="0.3">
      <c r="A211" t="s">
        <v>1197</v>
      </c>
      <c r="B211" t="s">
        <v>1198</v>
      </c>
      <c r="C211" s="7" t="s">
        <v>1199</v>
      </c>
    </row>
    <row r="212" spans="1:3" x14ac:dyDescent="0.3">
      <c r="A212" t="s">
        <v>1200</v>
      </c>
      <c r="B212" t="s">
        <v>1201</v>
      </c>
      <c r="C212" s="7" t="s">
        <v>1202</v>
      </c>
    </row>
    <row r="213" spans="1:3" x14ac:dyDescent="0.3">
      <c r="A213" t="s">
        <v>1203</v>
      </c>
      <c r="B213" t="s">
        <v>1204</v>
      </c>
      <c r="C213" s="7" t="s">
        <v>1205</v>
      </c>
    </row>
    <row r="214" spans="1:3" x14ac:dyDescent="0.3">
      <c r="A214" t="s">
        <v>1206</v>
      </c>
      <c r="B214" t="s">
        <v>1207</v>
      </c>
      <c r="C214" s="7" t="s">
        <v>1208</v>
      </c>
    </row>
    <row r="215" spans="1:3" x14ac:dyDescent="0.3">
      <c r="A215" t="s">
        <v>1209</v>
      </c>
      <c r="B215" t="s">
        <v>1210</v>
      </c>
      <c r="C215" s="7" t="s">
        <v>1211</v>
      </c>
    </row>
    <row r="216" spans="1:3" x14ac:dyDescent="0.3">
      <c r="A216" t="s">
        <v>1212</v>
      </c>
      <c r="B216" t="s">
        <v>1213</v>
      </c>
      <c r="C216" s="7" t="s">
        <v>1214</v>
      </c>
    </row>
    <row r="217" spans="1:3" x14ac:dyDescent="0.3">
      <c r="A217" t="s">
        <v>1215</v>
      </c>
      <c r="B217" t="s">
        <v>1216</v>
      </c>
      <c r="C217" s="7" t="s">
        <v>1217</v>
      </c>
    </row>
    <row r="218" spans="1:3" x14ac:dyDescent="0.3">
      <c r="A218" t="s">
        <v>1218</v>
      </c>
      <c r="B218" t="s">
        <v>1219</v>
      </c>
      <c r="C218" s="7" t="s">
        <v>1220</v>
      </c>
    </row>
    <row r="219" spans="1:3" x14ac:dyDescent="0.3">
      <c r="A219" t="s">
        <v>1221</v>
      </c>
      <c r="B219" t="s">
        <v>1222</v>
      </c>
      <c r="C219" s="7" t="s">
        <v>1223</v>
      </c>
    </row>
    <row r="220" spans="1:3" x14ac:dyDescent="0.3">
      <c r="A220" t="s">
        <v>1224</v>
      </c>
      <c r="B220" t="s">
        <v>1225</v>
      </c>
      <c r="C220" s="7" t="s">
        <v>1226</v>
      </c>
    </row>
    <row r="221" spans="1:3" x14ac:dyDescent="0.3">
      <c r="A221" t="s">
        <v>1227</v>
      </c>
      <c r="B221" t="s">
        <v>1228</v>
      </c>
      <c r="C221" s="7" t="s">
        <v>1229</v>
      </c>
    </row>
    <row r="222" spans="1:3" x14ac:dyDescent="0.3">
      <c r="A222" t="s">
        <v>1230</v>
      </c>
      <c r="B222" t="s">
        <v>1231</v>
      </c>
      <c r="C222" s="7" t="s">
        <v>1232</v>
      </c>
    </row>
    <row r="223" spans="1:3" x14ac:dyDescent="0.3">
      <c r="A223" t="s">
        <v>1233</v>
      </c>
      <c r="B223" t="s">
        <v>1234</v>
      </c>
      <c r="C223" s="7" t="s">
        <v>1235</v>
      </c>
    </row>
    <row r="224" spans="1:3" x14ac:dyDescent="0.3">
      <c r="A224" t="s">
        <v>1236</v>
      </c>
      <c r="B224" t="s">
        <v>1237</v>
      </c>
      <c r="C224" s="7" t="s">
        <v>1238</v>
      </c>
    </row>
    <row r="225" spans="1:3" x14ac:dyDescent="0.3">
      <c r="A225" t="s">
        <v>1239</v>
      </c>
      <c r="B225" t="s">
        <v>1240</v>
      </c>
      <c r="C225" s="7" t="s">
        <v>1241</v>
      </c>
    </row>
    <row r="226" spans="1:3" x14ac:dyDescent="0.3">
      <c r="A226" t="s">
        <v>1242</v>
      </c>
      <c r="B226" t="s">
        <v>1243</v>
      </c>
      <c r="C226" s="7" t="s">
        <v>1244</v>
      </c>
    </row>
    <row r="227" spans="1:3" x14ac:dyDescent="0.3">
      <c r="A227" t="s">
        <v>1245</v>
      </c>
      <c r="B227" t="s">
        <v>1246</v>
      </c>
      <c r="C227" s="7" t="s">
        <v>1247</v>
      </c>
    </row>
    <row r="228" spans="1:3" x14ac:dyDescent="0.3">
      <c r="A228" t="s">
        <v>1248</v>
      </c>
      <c r="B228" t="s">
        <v>1249</v>
      </c>
      <c r="C228" s="7" t="s">
        <v>1250</v>
      </c>
    </row>
    <row r="229" spans="1:3" x14ac:dyDescent="0.3">
      <c r="A229" t="s">
        <v>194</v>
      </c>
      <c r="B229" t="s">
        <v>273</v>
      </c>
      <c r="C229" s="7" t="s">
        <v>1251</v>
      </c>
    </row>
    <row r="230" spans="1:3" x14ac:dyDescent="0.3">
      <c r="A230" t="s">
        <v>1252</v>
      </c>
      <c r="B230" t="s">
        <v>1253</v>
      </c>
      <c r="C230" s="7" t="s">
        <v>1254</v>
      </c>
    </row>
    <row r="231" spans="1:3" x14ac:dyDescent="0.3">
      <c r="A231" t="s">
        <v>1255</v>
      </c>
      <c r="B231" t="s">
        <v>1256</v>
      </c>
      <c r="C231" s="7" t="s">
        <v>1257</v>
      </c>
    </row>
    <row r="232" spans="1:3" x14ac:dyDescent="0.3">
      <c r="A232" t="s">
        <v>1258</v>
      </c>
      <c r="B232" t="s">
        <v>1259</v>
      </c>
      <c r="C232" s="7" t="s">
        <v>1260</v>
      </c>
    </row>
    <row r="233" spans="1:3" x14ac:dyDescent="0.3">
      <c r="A233" t="s">
        <v>1261</v>
      </c>
      <c r="B233" t="s">
        <v>1262</v>
      </c>
      <c r="C233" s="7" t="s">
        <v>1263</v>
      </c>
    </row>
    <row r="234" spans="1:3" x14ac:dyDescent="0.3">
      <c r="A234" t="s">
        <v>1264</v>
      </c>
      <c r="B234" t="s">
        <v>1265</v>
      </c>
      <c r="C234" s="7" t="s">
        <v>1266</v>
      </c>
    </row>
    <row r="235" spans="1:3" x14ac:dyDescent="0.3">
      <c r="A235" t="s">
        <v>1267</v>
      </c>
      <c r="B235" t="s">
        <v>1256</v>
      </c>
      <c r="C235" s="7" t="s">
        <v>1268</v>
      </c>
    </row>
    <row r="236" spans="1:3" x14ac:dyDescent="0.3">
      <c r="A236" t="s">
        <v>1269</v>
      </c>
      <c r="B236" t="s">
        <v>1270</v>
      </c>
      <c r="C236" s="7" t="s">
        <v>1271</v>
      </c>
    </row>
    <row r="237" spans="1:3" x14ac:dyDescent="0.3">
      <c r="A237" t="s">
        <v>1272</v>
      </c>
      <c r="B237" t="s">
        <v>1273</v>
      </c>
      <c r="C237" s="34" t="s">
        <v>1274</v>
      </c>
    </row>
    <row r="238" spans="1:3" x14ac:dyDescent="0.3">
      <c r="A238" t="s">
        <v>1275</v>
      </c>
      <c r="B238" t="s">
        <v>1276</v>
      </c>
      <c r="C238" s="7" t="s">
        <v>1277</v>
      </c>
    </row>
    <row r="239" spans="1:3" x14ac:dyDescent="0.3">
      <c r="A239" t="s">
        <v>1278</v>
      </c>
      <c r="B239" t="s">
        <v>1279</v>
      </c>
      <c r="C239" s="7" t="s">
        <v>1280</v>
      </c>
    </row>
    <row r="240" spans="1:3" x14ac:dyDescent="0.3">
      <c r="A240" t="s">
        <v>1281</v>
      </c>
      <c r="B240" t="s">
        <v>1282</v>
      </c>
      <c r="C240" s="7" t="s">
        <v>1283</v>
      </c>
    </row>
    <row r="241" spans="1:3" x14ac:dyDescent="0.3">
      <c r="A241" t="s">
        <v>1284</v>
      </c>
      <c r="B241" t="s">
        <v>1285</v>
      </c>
      <c r="C241" s="7" t="s">
        <v>928</v>
      </c>
    </row>
    <row r="242" spans="1:3" x14ac:dyDescent="0.3">
      <c r="A242" t="s">
        <v>1286</v>
      </c>
      <c r="B242" t="s">
        <v>1287</v>
      </c>
      <c r="C242" s="7" t="s">
        <v>1288</v>
      </c>
    </row>
    <row r="243" spans="1:3" x14ac:dyDescent="0.3">
      <c r="A243" t="s">
        <v>1289</v>
      </c>
      <c r="B243" t="s">
        <v>1290</v>
      </c>
      <c r="C243" s="7" t="s">
        <v>1291</v>
      </c>
    </row>
    <row r="244" spans="1:3" x14ac:dyDescent="0.3">
      <c r="A244" t="s">
        <v>1292</v>
      </c>
      <c r="B244" t="s">
        <v>1293</v>
      </c>
      <c r="C244" s="7" t="s">
        <v>1294</v>
      </c>
    </row>
    <row r="245" spans="1:3" x14ac:dyDescent="0.3">
      <c r="A245" t="s">
        <v>590</v>
      </c>
      <c r="B245" t="s">
        <v>1295</v>
      </c>
      <c r="C245" s="7" t="s">
        <v>1296</v>
      </c>
    </row>
    <row r="246" spans="1:3" x14ac:dyDescent="0.3">
      <c r="A246" t="s">
        <v>1297</v>
      </c>
      <c r="B246" t="s">
        <v>1298</v>
      </c>
      <c r="C246" s="7" t="s">
        <v>1299</v>
      </c>
    </row>
    <row r="247" spans="1:3" x14ac:dyDescent="0.3">
      <c r="A247" t="s">
        <v>1300</v>
      </c>
      <c r="B247" t="s">
        <v>1301</v>
      </c>
      <c r="C247" s="7" t="s">
        <v>1302</v>
      </c>
    </row>
    <row r="248" spans="1:3" x14ac:dyDescent="0.3">
      <c r="A248" t="s">
        <v>1303</v>
      </c>
      <c r="B248" t="s">
        <v>1304</v>
      </c>
      <c r="C248" s="7" t="s">
        <v>1305</v>
      </c>
    </row>
    <row r="249" spans="1:3" x14ac:dyDescent="0.3">
      <c r="A249" t="s">
        <v>1306</v>
      </c>
      <c r="B249" t="s">
        <v>1307</v>
      </c>
      <c r="C249" s="7" t="s">
        <v>1308</v>
      </c>
    </row>
    <row r="250" spans="1:3" x14ac:dyDescent="0.3">
      <c r="A250" t="s">
        <v>1309</v>
      </c>
      <c r="B250" t="s">
        <v>1310</v>
      </c>
      <c r="C250" s="7" t="s">
        <v>1311</v>
      </c>
    </row>
    <row r="251" spans="1:3" x14ac:dyDescent="0.3">
      <c r="A251" t="s">
        <v>1312</v>
      </c>
      <c r="B251" t="s">
        <v>1313</v>
      </c>
      <c r="C251" s="7" t="s">
        <v>1314</v>
      </c>
    </row>
    <row r="252" spans="1:3" x14ac:dyDescent="0.3">
      <c r="A252" t="s">
        <v>1315</v>
      </c>
      <c r="B252" t="s">
        <v>1316</v>
      </c>
      <c r="C252" s="7" t="s">
        <v>1317</v>
      </c>
    </row>
    <row r="253" spans="1:3" x14ac:dyDescent="0.3">
      <c r="A253" t="s">
        <v>1318</v>
      </c>
      <c r="B253" t="s">
        <v>1319</v>
      </c>
      <c r="C253" s="7" t="s">
        <v>1320</v>
      </c>
    </row>
    <row r="254" spans="1:3" x14ac:dyDescent="0.3">
      <c r="A254" t="s">
        <v>1321</v>
      </c>
      <c r="B254" t="s">
        <v>1322</v>
      </c>
      <c r="C254" s="7" t="s">
        <v>1323</v>
      </c>
    </row>
    <row r="255" spans="1:3" x14ac:dyDescent="0.3">
      <c r="A255" t="s">
        <v>1324</v>
      </c>
      <c r="B255" t="s">
        <v>1325</v>
      </c>
      <c r="C255" s="7" t="s">
        <v>1326</v>
      </c>
    </row>
    <row r="256" spans="1:3" x14ac:dyDescent="0.3">
      <c r="A256" t="s">
        <v>1327</v>
      </c>
      <c r="B256" t="s">
        <v>1328</v>
      </c>
      <c r="C256" s="7" t="s">
        <v>1329</v>
      </c>
    </row>
    <row r="257" spans="1:3" x14ac:dyDescent="0.3">
      <c r="A257" t="s">
        <v>1330</v>
      </c>
      <c r="B257" t="s">
        <v>1331</v>
      </c>
      <c r="C257" s="7" t="s">
        <v>1332</v>
      </c>
    </row>
    <row r="258" spans="1:3" x14ac:dyDescent="0.3">
      <c r="A258" t="s">
        <v>1333</v>
      </c>
      <c r="B258" t="s">
        <v>1334</v>
      </c>
      <c r="C258" s="7" t="s">
        <v>1335</v>
      </c>
    </row>
    <row r="259" spans="1:3" x14ac:dyDescent="0.3">
      <c r="A259" t="s">
        <v>1336</v>
      </c>
      <c r="B259" t="s">
        <v>1337</v>
      </c>
      <c r="C259" s="7" t="s">
        <v>1338</v>
      </c>
    </row>
    <row r="260" spans="1:3" x14ac:dyDescent="0.3">
      <c r="A260" t="s">
        <v>1339</v>
      </c>
      <c r="B260" t="s">
        <v>1340</v>
      </c>
      <c r="C260" s="7" t="s">
        <v>1341</v>
      </c>
    </row>
    <row r="261" spans="1:3" x14ac:dyDescent="0.3">
      <c r="A261" t="s">
        <v>1342</v>
      </c>
      <c r="B261" t="s">
        <v>1343</v>
      </c>
      <c r="C261" s="7" t="s">
        <v>1344</v>
      </c>
    </row>
    <row r="262" spans="1:3" x14ac:dyDescent="0.3">
      <c r="A262" t="s">
        <v>1345</v>
      </c>
      <c r="B262" t="s">
        <v>1346</v>
      </c>
      <c r="C262" s="7" t="s">
        <v>1347</v>
      </c>
    </row>
    <row r="263" spans="1:3" x14ac:dyDescent="0.3">
      <c r="A263" t="s">
        <v>1348</v>
      </c>
      <c r="B263" t="s">
        <v>1349</v>
      </c>
      <c r="C263" s="7" t="s">
        <v>1350</v>
      </c>
    </row>
    <row r="264" spans="1:3" x14ac:dyDescent="0.3">
      <c r="A264" t="s">
        <v>1351</v>
      </c>
      <c r="B264" t="s">
        <v>1352</v>
      </c>
      <c r="C264" s="7" t="s">
        <v>1353</v>
      </c>
    </row>
    <row r="265" spans="1:3" x14ac:dyDescent="0.3">
      <c r="A265" t="s">
        <v>1354</v>
      </c>
      <c r="B265" t="s">
        <v>1355</v>
      </c>
      <c r="C265" s="7" t="s">
        <v>1356</v>
      </c>
    </row>
    <row r="266" spans="1:3" x14ac:dyDescent="0.3">
      <c r="A266" t="s">
        <v>1357</v>
      </c>
      <c r="B266" t="s">
        <v>1358</v>
      </c>
      <c r="C266" s="7" t="s">
        <v>1359</v>
      </c>
    </row>
    <row r="267" spans="1:3" x14ac:dyDescent="0.3">
      <c r="A267" t="s">
        <v>1360</v>
      </c>
      <c r="B267" t="s">
        <v>1361</v>
      </c>
      <c r="C267" s="7" t="s">
        <v>1362</v>
      </c>
    </row>
    <row r="268" spans="1:3" x14ac:dyDescent="0.3">
      <c r="A268" t="s">
        <v>1363</v>
      </c>
      <c r="B268" t="s">
        <v>78</v>
      </c>
      <c r="C268" s="7" t="s">
        <v>403</v>
      </c>
    </row>
    <row r="269" spans="1:3" x14ac:dyDescent="0.3">
      <c r="A269" t="s">
        <v>1364</v>
      </c>
      <c r="B269" t="s">
        <v>1365</v>
      </c>
      <c r="C269" s="7" t="s">
        <v>1366</v>
      </c>
    </row>
    <row r="270" spans="1:3" x14ac:dyDescent="0.3">
      <c r="A270" t="s">
        <v>1367</v>
      </c>
      <c r="B270" t="s">
        <v>1368</v>
      </c>
      <c r="C270" s="7" t="s">
        <v>1369</v>
      </c>
    </row>
    <row r="271" spans="1:3" x14ac:dyDescent="0.3">
      <c r="A271" t="s">
        <v>1370</v>
      </c>
      <c r="B271" t="s">
        <v>1371</v>
      </c>
      <c r="C271" s="7" t="s">
        <v>1372</v>
      </c>
    </row>
    <row r="272" spans="1:3" x14ac:dyDescent="0.3">
      <c r="A272" t="s">
        <v>1373</v>
      </c>
      <c r="B272" t="s">
        <v>1374</v>
      </c>
      <c r="C272" s="7" t="s">
        <v>1375</v>
      </c>
    </row>
    <row r="273" spans="1:3" x14ac:dyDescent="0.3">
      <c r="A273" t="s">
        <v>1376</v>
      </c>
      <c r="B273" t="s">
        <v>1377</v>
      </c>
      <c r="C273" s="7" t="s">
        <v>1378</v>
      </c>
    </row>
    <row r="274" spans="1:3" x14ac:dyDescent="0.3">
      <c r="A274" t="s">
        <v>1379</v>
      </c>
      <c r="B274" t="s">
        <v>1380</v>
      </c>
      <c r="C274" s="7" t="s">
        <v>1381</v>
      </c>
    </row>
    <row r="275" spans="1:3" x14ac:dyDescent="0.3">
      <c r="A275" t="s">
        <v>1382</v>
      </c>
      <c r="B275" t="s">
        <v>1383</v>
      </c>
      <c r="C275" s="7" t="s">
        <v>1384</v>
      </c>
    </row>
    <row r="276" spans="1:3" x14ac:dyDescent="0.3">
      <c r="A276" t="s">
        <v>1385</v>
      </c>
      <c r="B276" t="s">
        <v>1386</v>
      </c>
      <c r="C276" s="7" t="s">
        <v>1387</v>
      </c>
    </row>
    <row r="277" spans="1:3" x14ac:dyDescent="0.3">
      <c r="A277" t="s">
        <v>1388</v>
      </c>
      <c r="B277" t="s">
        <v>1389</v>
      </c>
      <c r="C277" s="7" t="s">
        <v>1390</v>
      </c>
    </row>
    <row r="278" spans="1:3" x14ac:dyDescent="0.3">
      <c r="A278" t="s">
        <v>1391</v>
      </c>
      <c r="B278" t="s">
        <v>1392</v>
      </c>
      <c r="C278" s="7" t="s">
        <v>1039</v>
      </c>
    </row>
    <row r="279" spans="1:3" x14ac:dyDescent="0.3">
      <c r="A279" t="s">
        <v>1393</v>
      </c>
      <c r="B279" t="s">
        <v>1394</v>
      </c>
      <c r="C279" s="7" t="s">
        <v>1395</v>
      </c>
    </row>
    <row r="280" spans="1:3" x14ac:dyDescent="0.3">
      <c r="A280" t="s">
        <v>1396</v>
      </c>
      <c r="B280" t="s">
        <v>1397</v>
      </c>
      <c r="C280" s="7" t="s">
        <v>1398</v>
      </c>
    </row>
    <row r="281" spans="1:3" x14ac:dyDescent="0.3">
      <c r="A281" t="s">
        <v>1399</v>
      </c>
      <c r="B281" t="s">
        <v>1400</v>
      </c>
      <c r="C281" s="7" t="s">
        <v>1401</v>
      </c>
    </row>
    <row r="282" spans="1:3" x14ac:dyDescent="0.3">
      <c r="A282" t="s">
        <v>1402</v>
      </c>
      <c r="B282" t="s">
        <v>394</v>
      </c>
      <c r="C282" s="7" t="s">
        <v>1403</v>
      </c>
    </row>
    <row r="283" spans="1:3" x14ac:dyDescent="0.3">
      <c r="A283" t="s">
        <v>1404</v>
      </c>
      <c r="B283" t="s">
        <v>1405</v>
      </c>
      <c r="C283" s="7" t="s">
        <v>1406</v>
      </c>
    </row>
    <row r="284" spans="1:3" x14ac:dyDescent="0.3">
      <c r="A284" t="s">
        <v>1407</v>
      </c>
      <c r="B284" t="s">
        <v>1408</v>
      </c>
      <c r="C284" s="7" t="s">
        <v>1409</v>
      </c>
    </row>
    <row r="285" spans="1:3" x14ac:dyDescent="0.3">
      <c r="A285" t="s">
        <v>1410</v>
      </c>
      <c r="B285" t="s">
        <v>1411</v>
      </c>
      <c r="C285" s="7" t="s">
        <v>1412</v>
      </c>
    </row>
    <row r="286" spans="1:3" x14ac:dyDescent="0.3">
      <c r="A286" t="s">
        <v>1413</v>
      </c>
      <c r="B286" t="s">
        <v>1414</v>
      </c>
      <c r="C286" s="7" t="s">
        <v>1415</v>
      </c>
    </row>
    <row r="287" spans="1:3" x14ac:dyDescent="0.3">
      <c r="A287" t="s">
        <v>1416</v>
      </c>
      <c r="B287" t="s">
        <v>1417</v>
      </c>
      <c r="C287" s="7" t="s">
        <v>1418</v>
      </c>
    </row>
    <row r="288" spans="1:3" x14ac:dyDescent="0.3">
      <c r="A288" t="s">
        <v>1419</v>
      </c>
      <c r="B288" t="s">
        <v>1420</v>
      </c>
      <c r="C288" s="7" t="s">
        <v>1421</v>
      </c>
    </row>
    <row r="289" spans="1:3" x14ac:dyDescent="0.3">
      <c r="A289" t="s">
        <v>1422</v>
      </c>
      <c r="B289" t="s">
        <v>1423</v>
      </c>
      <c r="C289" s="7" t="s">
        <v>1424</v>
      </c>
    </row>
    <row r="290" spans="1:3" x14ac:dyDescent="0.3">
      <c r="A290" t="s">
        <v>1425</v>
      </c>
      <c r="B290" t="s">
        <v>1426</v>
      </c>
      <c r="C290" s="7" t="s">
        <v>1427</v>
      </c>
    </row>
    <row r="291" spans="1:3" x14ac:dyDescent="0.3">
      <c r="A291" t="s">
        <v>1428</v>
      </c>
      <c r="B291" t="s">
        <v>1429</v>
      </c>
      <c r="C291" s="7" t="s">
        <v>1430</v>
      </c>
    </row>
    <row r="292" spans="1:3" x14ac:dyDescent="0.3">
      <c r="A292" t="s">
        <v>1431</v>
      </c>
      <c r="B292" t="s">
        <v>1432</v>
      </c>
      <c r="C292" s="7" t="s">
        <v>1433</v>
      </c>
    </row>
    <row r="293" spans="1:3" x14ac:dyDescent="0.3">
      <c r="A293" t="s">
        <v>1434</v>
      </c>
      <c r="B293" t="s">
        <v>1435</v>
      </c>
      <c r="C293" s="7" t="s">
        <v>1436</v>
      </c>
    </row>
    <row r="294" spans="1:3" x14ac:dyDescent="0.3">
      <c r="A294" t="s">
        <v>1437</v>
      </c>
      <c r="B294" t="s">
        <v>1438</v>
      </c>
      <c r="C294" s="7" t="s">
        <v>1439</v>
      </c>
    </row>
    <row r="295" spans="1:3" x14ac:dyDescent="0.3">
      <c r="A295" t="s">
        <v>1440</v>
      </c>
      <c r="B295" t="s">
        <v>1441</v>
      </c>
      <c r="C295" s="7" t="s">
        <v>1442</v>
      </c>
    </row>
    <row r="296" spans="1:3" x14ac:dyDescent="0.3">
      <c r="A296" t="s">
        <v>1443</v>
      </c>
      <c r="B296" t="s">
        <v>1444</v>
      </c>
      <c r="C296" s="7" t="s">
        <v>1445</v>
      </c>
    </row>
    <row r="297" spans="1:3" x14ac:dyDescent="0.3">
      <c r="A297" t="s">
        <v>1446</v>
      </c>
      <c r="B297" t="s">
        <v>1447</v>
      </c>
      <c r="C297" s="7" t="s">
        <v>1448</v>
      </c>
    </row>
    <row r="298" spans="1:3" x14ac:dyDescent="0.3">
      <c r="A298" t="s">
        <v>1449</v>
      </c>
      <c r="B298" t="s">
        <v>26</v>
      </c>
      <c r="C298" s="7" t="s">
        <v>455</v>
      </c>
    </row>
    <row r="299" spans="1:3" x14ac:dyDescent="0.3">
      <c r="A299" t="s">
        <v>1450</v>
      </c>
      <c r="B299" t="s">
        <v>1451</v>
      </c>
      <c r="C299" s="7" t="s">
        <v>1452</v>
      </c>
    </row>
    <row r="300" spans="1:3" x14ac:dyDescent="0.3">
      <c r="A300" t="s">
        <v>1453</v>
      </c>
      <c r="B300" t="s">
        <v>1454</v>
      </c>
      <c r="C300" s="7" t="s">
        <v>1455</v>
      </c>
    </row>
    <row r="301" spans="1:3" x14ac:dyDescent="0.3">
      <c r="A301" t="s">
        <v>1456</v>
      </c>
      <c r="B301" t="s">
        <v>1457</v>
      </c>
      <c r="C301" s="7" t="s">
        <v>1458</v>
      </c>
    </row>
    <row r="302" spans="1:3" x14ac:dyDescent="0.3">
      <c r="A302" t="s">
        <v>1459</v>
      </c>
      <c r="B302" t="s">
        <v>1460</v>
      </c>
      <c r="C302" s="7" t="s">
        <v>1461</v>
      </c>
    </row>
    <row r="303" spans="1:3" x14ac:dyDescent="0.3">
      <c r="A303" t="s">
        <v>1462</v>
      </c>
      <c r="B303" t="s">
        <v>1463</v>
      </c>
      <c r="C303" s="7" t="s">
        <v>1464</v>
      </c>
    </row>
    <row r="304" spans="1:3" x14ac:dyDescent="0.3">
      <c r="A304" t="s">
        <v>1465</v>
      </c>
      <c r="B304" t="s">
        <v>1466</v>
      </c>
      <c r="C304" s="7" t="s">
        <v>1467</v>
      </c>
    </row>
    <row r="305" spans="1:3" x14ac:dyDescent="0.3">
      <c r="A305" t="s">
        <v>1468</v>
      </c>
      <c r="B305" t="s">
        <v>1469</v>
      </c>
      <c r="C305" s="7" t="s">
        <v>1470</v>
      </c>
    </row>
    <row r="306" spans="1:3" x14ac:dyDescent="0.3">
      <c r="A306" t="s">
        <v>1471</v>
      </c>
      <c r="B306" t="s">
        <v>1472</v>
      </c>
      <c r="C306" s="7" t="s">
        <v>1473</v>
      </c>
    </row>
    <row r="307" spans="1:3" x14ac:dyDescent="0.3">
      <c r="A307" t="s">
        <v>1474</v>
      </c>
      <c r="B307" t="s">
        <v>1475</v>
      </c>
      <c r="C307" s="7" t="s">
        <v>1476</v>
      </c>
    </row>
    <row r="308" spans="1:3" x14ac:dyDescent="0.3">
      <c r="A308" t="s">
        <v>1477</v>
      </c>
      <c r="B308" t="s">
        <v>1478</v>
      </c>
      <c r="C308" s="7" t="s">
        <v>1479</v>
      </c>
    </row>
    <row r="309" spans="1:3" x14ac:dyDescent="0.3">
      <c r="A309" t="s">
        <v>1480</v>
      </c>
      <c r="B309" t="s">
        <v>1481</v>
      </c>
      <c r="C309" s="7" t="s">
        <v>1482</v>
      </c>
    </row>
    <row r="310" spans="1:3" x14ac:dyDescent="0.3">
      <c r="A310" t="s">
        <v>1483</v>
      </c>
      <c r="B310" t="s">
        <v>1484</v>
      </c>
      <c r="C310" s="7" t="s">
        <v>1485</v>
      </c>
    </row>
    <row r="311" spans="1:3" x14ac:dyDescent="0.3">
      <c r="A311" t="s">
        <v>1486</v>
      </c>
      <c r="B311" t="s">
        <v>1487</v>
      </c>
      <c r="C311" s="7" t="s">
        <v>1488</v>
      </c>
    </row>
    <row r="312" spans="1:3" x14ac:dyDescent="0.3">
      <c r="A312" t="s">
        <v>1489</v>
      </c>
      <c r="B312" t="s">
        <v>1490</v>
      </c>
      <c r="C312" s="7" t="s">
        <v>1491</v>
      </c>
    </row>
    <row r="313" spans="1:3" x14ac:dyDescent="0.3">
      <c r="A313" t="s">
        <v>1492</v>
      </c>
      <c r="B313" t="s">
        <v>1493</v>
      </c>
      <c r="C313" s="7" t="s">
        <v>1494</v>
      </c>
    </row>
    <row r="314" spans="1:3" x14ac:dyDescent="0.3">
      <c r="A314" t="s">
        <v>1495</v>
      </c>
      <c r="B314" t="s">
        <v>1496</v>
      </c>
      <c r="C314" s="7" t="s">
        <v>1497</v>
      </c>
    </row>
    <row r="315" spans="1:3" x14ac:dyDescent="0.3">
      <c r="A315" t="s">
        <v>574</v>
      </c>
      <c r="B315" t="s">
        <v>1498</v>
      </c>
      <c r="C315" s="7" t="s">
        <v>1499</v>
      </c>
    </row>
    <row r="316" spans="1:3" x14ac:dyDescent="0.3">
      <c r="A316" t="s">
        <v>330</v>
      </c>
      <c r="B316" t="s">
        <v>1500</v>
      </c>
      <c r="C316" s="7" t="s">
        <v>1501</v>
      </c>
    </row>
    <row r="317" spans="1:3" x14ac:dyDescent="0.3">
      <c r="A317" t="s">
        <v>1502</v>
      </c>
      <c r="B317" t="s">
        <v>1503</v>
      </c>
      <c r="C317" s="7" t="s">
        <v>1504</v>
      </c>
    </row>
    <row r="318" spans="1:3" x14ac:dyDescent="0.3">
      <c r="A318" t="s">
        <v>1505</v>
      </c>
      <c r="B318" t="s">
        <v>61</v>
      </c>
      <c r="C318" s="7" t="s">
        <v>1506</v>
      </c>
    </row>
    <row r="319" spans="1:3" x14ac:dyDescent="0.3">
      <c r="A319" t="s">
        <v>1507</v>
      </c>
      <c r="B319" t="s">
        <v>1508</v>
      </c>
      <c r="C319" s="7" t="s">
        <v>1509</v>
      </c>
    </row>
    <row r="320" spans="1:3" x14ac:dyDescent="0.3">
      <c r="A320" t="s">
        <v>1510</v>
      </c>
      <c r="B320" t="s">
        <v>1511</v>
      </c>
      <c r="C320" s="7" t="s">
        <v>1512</v>
      </c>
    </row>
    <row r="321" spans="1:3" x14ac:dyDescent="0.3">
      <c r="A321" t="s">
        <v>1513</v>
      </c>
      <c r="B321" t="s">
        <v>1514</v>
      </c>
      <c r="C321" s="7" t="s">
        <v>1515</v>
      </c>
    </row>
    <row r="322" spans="1:3" x14ac:dyDescent="0.3">
      <c r="A322" t="s">
        <v>1516</v>
      </c>
      <c r="B322" t="s">
        <v>1517</v>
      </c>
      <c r="C322" s="7" t="s">
        <v>1518</v>
      </c>
    </row>
    <row r="323" spans="1:3" x14ac:dyDescent="0.3">
      <c r="A323" t="s">
        <v>1519</v>
      </c>
      <c r="B323" t="s">
        <v>1520</v>
      </c>
      <c r="C323" s="7" t="s">
        <v>1521</v>
      </c>
    </row>
    <row r="324" spans="1:3" x14ac:dyDescent="0.3">
      <c r="A324" t="s">
        <v>1522</v>
      </c>
      <c r="B324" t="s">
        <v>1523</v>
      </c>
      <c r="C324" s="7" t="s">
        <v>1241</v>
      </c>
    </row>
    <row r="325" spans="1:3" x14ac:dyDescent="0.3">
      <c r="A325" t="s">
        <v>1524</v>
      </c>
      <c r="B325" t="s">
        <v>1525</v>
      </c>
      <c r="C325" s="7" t="s">
        <v>1526</v>
      </c>
    </row>
    <row r="326" spans="1:3" x14ac:dyDescent="0.3">
      <c r="A326" t="s">
        <v>1527</v>
      </c>
      <c r="B326" t="s">
        <v>1528</v>
      </c>
      <c r="C326" s="7" t="s">
        <v>1529</v>
      </c>
    </row>
    <row r="327" spans="1:3" x14ac:dyDescent="0.3">
      <c r="A327" t="s">
        <v>1530</v>
      </c>
      <c r="B327" t="s">
        <v>1531</v>
      </c>
      <c r="C327" s="7" t="s">
        <v>1532</v>
      </c>
    </row>
    <row r="328" spans="1:3" x14ac:dyDescent="0.3">
      <c r="A328" t="s">
        <v>460</v>
      </c>
      <c r="B328" t="s">
        <v>1533</v>
      </c>
      <c r="C328" s="7" t="s">
        <v>96</v>
      </c>
    </row>
    <row r="329" spans="1:3" x14ac:dyDescent="0.3">
      <c r="A329" t="s">
        <v>1534</v>
      </c>
      <c r="B329" t="s">
        <v>1535</v>
      </c>
      <c r="C329" s="7" t="s">
        <v>1536</v>
      </c>
    </row>
    <row r="330" spans="1:3" x14ac:dyDescent="0.3">
      <c r="A330" t="s">
        <v>1537</v>
      </c>
      <c r="B330" t="s">
        <v>1538</v>
      </c>
      <c r="C330" s="7" t="s">
        <v>1539</v>
      </c>
    </row>
    <row r="331" spans="1:3" x14ac:dyDescent="0.3">
      <c r="A331" t="s">
        <v>1540</v>
      </c>
      <c r="B331" t="s">
        <v>1541</v>
      </c>
      <c r="C331" s="7" t="s">
        <v>1542</v>
      </c>
    </row>
    <row r="332" spans="1:3" x14ac:dyDescent="0.3">
      <c r="A332" t="s">
        <v>1543</v>
      </c>
      <c r="B332" t="s">
        <v>1544</v>
      </c>
      <c r="C332" s="7" t="s">
        <v>1545</v>
      </c>
    </row>
    <row r="333" spans="1:3" x14ac:dyDescent="0.3">
      <c r="A333" t="s">
        <v>1546</v>
      </c>
      <c r="B333" t="s">
        <v>1547</v>
      </c>
      <c r="C333" s="7" t="s">
        <v>1548</v>
      </c>
    </row>
    <row r="334" spans="1:3" x14ac:dyDescent="0.3">
      <c r="A334" t="s">
        <v>1549</v>
      </c>
      <c r="B334" t="s">
        <v>36</v>
      </c>
      <c r="C334" s="7" t="s">
        <v>1550</v>
      </c>
    </row>
  </sheetData>
  <sheetProtection sheet="1" objects="1" scenarios="1"/>
  <mergeCells count="1">
    <mergeCell ref="A1:C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workbookViewId="0">
      <selection activeCell="C13" sqref="C13"/>
    </sheetView>
  </sheetViews>
  <sheetFormatPr defaultRowHeight="14.4" x14ac:dyDescent="0.3"/>
  <cols>
    <col min="1" max="1" width="21.109375" customWidth="1"/>
    <col min="2" max="2" width="18.6640625" customWidth="1"/>
    <col min="3" max="3" width="20.88671875" customWidth="1"/>
    <col min="4" max="4" width="6.6640625" bestFit="1" customWidth="1"/>
    <col min="5" max="5" width="8.5546875" bestFit="1" customWidth="1"/>
    <col min="6" max="6" width="16.44140625" customWidth="1"/>
    <col min="7" max="7" width="3" bestFit="1" customWidth="1"/>
    <col min="8" max="8" width="16.33203125" bestFit="1" customWidth="1"/>
  </cols>
  <sheetData>
    <row r="1" spans="1:8" x14ac:dyDescent="0.3">
      <c r="A1" t="s">
        <v>1551</v>
      </c>
      <c r="B1" s="1" t="s">
        <v>7</v>
      </c>
      <c r="C1" s="2" t="s">
        <v>1552</v>
      </c>
      <c r="D1" s="3">
        <v>1</v>
      </c>
      <c r="E1" s="4" t="s">
        <v>28</v>
      </c>
      <c r="F1" s="5" t="s">
        <v>1553</v>
      </c>
      <c r="G1" s="4">
        <v>1</v>
      </c>
      <c r="H1" s="4" t="s">
        <v>1554</v>
      </c>
    </row>
    <row r="2" spans="1:8" x14ac:dyDescent="0.3">
      <c r="A2" s="2" t="s">
        <v>1555</v>
      </c>
      <c r="B2" s="1" t="s">
        <v>252</v>
      </c>
      <c r="C2" s="2" t="s">
        <v>1556</v>
      </c>
      <c r="D2" s="3">
        <v>2</v>
      </c>
      <c r="E2" s="4" t="s">
        <v>9</v>
      </c>
      <c r="F2" s="5" t="s">
        <v>1557</v>
      </c>
      <c r="G2" s="4">
        <v>2</v>
      </c>
      <c r="H2" s="4" t="s">
        <v>31</v>
      </c>
    </row>
    <row r="3" spans="1:8" x14ac:dyDescent="0.3">
      <c r="A3" s="2" t="s">
        <v>1558</v>
      </c>
      <c r="B3" s="2" t="s">
        <v>602</v>
      </c>
      <c r="C3" s="2" t="s">
        <v>1559</v>
      </c>
      <c r="D3" s="3">
        <v>3</v>
      </c>
      <c r="E3" s="4" t="s">
        <v>15</v>
      </c>
      <c r="F3" s="5" t="s">
        <v>1560</v>
      </c>
      <c r="G3" s="4">
        <v>3</v>
      </c>
      <c r="H3" s="4" t="s">
        <v>1561</v>
      </c>
    </row>
    <row r="4" spans="1:8" x14ac:dyDescent="0.3">
      <c r="A4" s="2" t="s">
        <v>1562</v>
      </c>
      <c r="B4" s="2" t="s">
        <v>191</v>
      </c>
      <c r="C4" s="2" t="s">
        <v>1563</v>
      </c>
      <c r="D4" s="3">
        <v>4</v>
      </c>
      <c r="E4" s="4"/>
      <c r="F4" s="5" t="s">
        <v>1564</v>
      </c>
      <c r="G4" s="4">
        <v>4</v>
      </c>
      <c r="H4" s="4" t="s">
        <v>13</v>
      </c>
    </row>
    <row r="5" spans="1:8" x14ac:dyDescent="0.3">
      <c r="A5" s="2" t="s">
        <v>338</v>
      </c>
      <c r="B5" s="2" t="s">
        <v>135</v>
      </c>
      <c r="C5" s="2" t="s">
        <v>8</v>
      </c>
      <c r="D5" s="3">
        <v>5</v>
      </c>
      <c r="E5" s="4"/>
      <c r="F5" s="5" t="s">
        <v>1565</v>
      </c>
      <c r="G5" s="4">
        <v>5</v>
      </c>
      <c r="H5" s="4" t="s">
        <v>1566</v>
      </c>
    </row>
    <row r="6" spans="1:8" x14ac:dyDescent="0.3">
      <c r="A6" s="2" t="s">
        <v>42</v>
      </c>
      <c r="B6" s="1" t="s">
        <v>1567</v>
      </c>
      <c r="C6" s="2" t="s">
        <v>1568</v>
      </c>
      <c r="D6" s="3">
        <v>6</v>
      </c>
      <c r="E6" s="4"/>
      <c r="F6" s="5" t="s">
        <v>1569</v>
      </c>
      <c r="G6" s="4">
        <v>6</v>
      </c>
      <c r="H6" s="4"/>
    </row>
    <row r="7" spans="1:8" x14ac:dyDescent="0.3">
      <c r="A7" s="2" t="s">
        <v>1570</v>
      </c>
      <c r="B7" s="1" t="s">
        <v>1571</v>
      </c>
      <c r="C7" s="2" t="s">
        <v>1572</v>
      </c>
      <c r="D7" s="6" t="s">
        <v>1573</v>
      </c>
      <c r="E7" s="4"/>
      <c r="F7" s="5" t="s">
        <v>1574</v>
      </c>
      <c r="G7" s="4">
        <v>7</v>
      </c>
      <c r="H7" s="4"/>
    </row>
    <row r="8" spans="1:8" x14ac:dyDescent="0.3">
      <c r="A8" s="2" t="s">
        <v>231</v>
      </c>
      <c r="C8" s="2" t="s">
        <v>140</v>
      </c>
      <c r="D8" s="4"/>
      <c r="E8" s="4"/>
      <c r="F8" s="5" t="s">
        <v>1575</v>
      </c>
      <c r="G8" s="4">
        <v>8</v>
      </c>
      <c r="H8" s="4"/>
    </row>
    <row r="9" spans="1:8" x14ac:dyDescent="0.3">
      <c r="A9" s="2" t="s">
        <v>6</v>
      </c>
      <c r="C9" s="2"/>
      <c r="D9" s="4"/>
      <c r="E9" s="4"/>
      <c r="F9" s="5" t="s">
        <v>1576</v>
      </c>
      <c r="G9" s="4">
        <v>9</v>
      </c>
      <c r="H9" s="4"/>
    </row>
    <row r="10" spans="1:8" x14ac:dyDescent="0.3">
      <c r="A10" s="2" t="s">
        <v>63</v>
      </c>
      <c r="C10" s="2"/>
      <c r="D10" s="4"/>
      <c r="E10" s="4"/>
      <c r="F10" s="5" t="s">
        <v>1577</v>
      </c>
      <c r="G10" s="4">
        <v>10</v>
      </c>
      <c r="H10" s="4"/>
    </row>
    <row r="11" spans="1:8" x14ac:dyDescent="0.3">
      <c r="A11" s="2"/>
      <c r="B11" s="4"/>
      <c r="C11" s="4"/>
      <c r="D11" s="4"/>
      <c r="E11" s="4"/>
      <c r="F11" s="5" t="s">
        <v>1578</v>
      </c>
      <c r="G11" s="4">
        <v>11</v>
      </c>
      <c r="H11" s="4"/>
    </row>
    <row r="12" spans="1:8" x14ac:dyDescent="0.3">
      <c r="A12" s="2"/>
      <c r="B12" s="4"/>
      <c r="C12" s="4"/>
      <c r="D12" s="4"/>
      <c r="E12" s="4"/>
      <c r="F12" s="5" t="s">
        <v>1579</v>
      </c>
      <c r="G12" s="4">
        <v>12</v>
      </c>
      <c r="H12" s="4"/>
    </row>
    <row r="13" spans="1:8" x14ac:dyDescent="0.3">
      <c r="A13" s="4"/>
      <c r="B13" s="4"/>
      <c r="C13" s="4"/>
      <c r="D13" s="4"/>
      <c r="E13" s="4"/>
      <c r="F13" s="5" t="s">
        <v>1580</v>
      </c>
      <c r="G13" s="4">
        <v>13</v>
      </c>
      <c r="H13" s="4"/>
    </row>
    <row r="14" spans="1:8" x14ac:dyDescent="0.3">
      <c r="A14" s="4"/>
      <c r="B14" s="4"/>
      <c r="C14" s="4"/>
      <c r="D14" s="4"/>
      <c r="E14" s="4"/>
      <c r="F14" s="4"/>
      <c r="G14" s="4">
        <v>14</v>
      </c>
      <c r="H14" s="4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7AE5FD4E922E14CAFE7AD42DA61D019" ma:contentTypeVersion="17" ma:contentTypeDescription="Crie um novo documento." ma:contentTypeScope="" ma:versionID="d612fddf1c75288bd96813a5e9d160a4">
  <xsd:schema xmlns:xsd="http://www.w3.org/2001/XMLSchema" xmlns:xs="http://www.w3.org/2001/XMLSchema" xmlns:p="http://schemas.microsoft.com/office/2006/metadata/properties" xmlns:ns2="4898c11a-2dff-4f3b-be30-bf5e6f7537e0" xmlns:ns3="c5a27415-2a14-4757-8bb8-5765f45029e7" targetNamespace="http://schemas.microsoft.com/office/2006/metadata/properties" ma:root="true" ma:fieldsID="2fa031e9a58b61315363df3570b75385" ns2:_="" ns3:_="">
    <xsd:import namespace="4898c11a-2dff-4f3b-be30-bf5e6f7537e0"/>
    <xsd:import namespace="c5a27415-2a14-4757-8bb8-5765f45029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status" minOccurs="0"/>
                <xsd:element ref="ns2:Atribu_x00ed_do_x00e0_" minOccurs="0"/>
                <xsd:element ref="ns2:Observa_x00e7__x00e3_o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98c11a-2dff-4f3b-be30-bf5e6f7537e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ce2da107-056a-4cf5-838a-03c65b5add9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status" ma:index="20" nillable="true" ma:displayName="status" ma:format="Dropdown" ma:internalName="status">
      <xsd:simpleType>
        <xsd:restriction base="dms:Choice">
          <xsd:enumeration value="Produzir"/>
          <xsd:enumeration value="Em produção"/>
          <xsd:enumeration value="Concluído"/>
          <xsd:enumeration value="Em uso"/>
          <xsd:enumeration value="Liberado para uso"/>
        </xsd:restriction>
      </xsd:simpleType>
    </xsd:element>
    <xsd:element name="Atribu_x00ed_do_x00e0_" ma:index="21" nillable="true" ma:displayName="Atribuído à" ma:format="Dropdown" ma:list="UserInfo" ma:SharePointGroup="0" ma:internalName="Atribu_x00ed_do_x00e0_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bserva_x00e7__x00e3_o" ma:index="22" nillable="true" ma:displayName="Observação" ma:format="Dropdown" ma:internalName="Observa_x00e7__x00e3_o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a27415-2a14-4757-8bb8-5765f45029e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c94c9e24-c3dc-4f2e-b29c-7e677ee7c878}" ma:internalName="TaxCatchAll" ma:showField="CatchAllData" ma:web="c5a27415-2a14-4757-8bb8-5765f45029e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tribu_x00ed_do_x00e0_ xmlns="4898c11a-2dff-4f3b-be30-bf5e6f7537e0">
      <UserInfo>
        <DisplayName/>
        <AccountId xsi:nil="true"/>
        <AccountType/>
      </UserInfo>
    </Atribu_x00ed_do_x00e0_>
    <Observa_x00e7__x00e3_o xmlns="4898c11a-2dff-4f3b-be30-bf5e6f7537e0" xsi:nil="true"/>
    <status xmlns="4898c11a-2dff-4f3b-be30-bf5e6f7537e0" xsi:nil="true"/>
    <lcf76f155ced4ddcb4097134ff3c332f xmlns="4898c11a-2dff-4f3b-be30-bf5e6f7537e0">
      <Terms xmlns="http://schemas.microsoft.com/office/infopath/2007/PartnerControls"/>
    </lcf76f155ced4ddcb4097134ff3c332f>
    <TaxCatchAll xmlns="c5a27415-2a14-4757-8bb8-5765f45029e7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CB12059-D7CF-4B52-ACE1-58FABF24231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98c11a-2dff-4f3b-be30-bf5e6f7537e0"/>
    <ds:schemaRef ds:uri="c5a27415-2a14-4757-8bb8-5765f45029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39544B3-E21C-45C0-88DA-000F92633A10}">
  <ds:schemaRefs>
    <ds:schemaRef ds:uri="http://schemas.microsoft.com/office/2006/metadata/properties"/>
    <ds:schemaRef ds:uri="http://purl.org/dc/elements/1.1/"/>
    <ds:schemaRef ds:uri="http://purl.org/dc/terms/"/>
    <ds:schemaRef ds:uri="http://www.w3.org/XML/1998/namespace"/>
    <ds:schemaRef ds:uri="http://schemas.microsoft.com/office/2006/documentManagement/types"/>
    <ds:schemaRef ds:uri="c5a27415-2a14-4757-8bb8-5765f45029e7"/>
    <ds:schemaRef ds:uri="http://schemas.microsoft.com/office/infopath/2007/PartnerControls"/>
    <ds:schemaRef ds:uri="http://schemas.openxmlformats.org/package/2006/metadata/core-properties"/>
    <ds:schemaRef ds:uri="4898c11a-2dff-4f3b-be30-bf5e6f7537e0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EFB59A1-E715-4291-8166-91223935542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ilustração</vt:lpstr>
      <vt:lpstr>créditos_base</vt:lpstr>
      <vt:lpstr>metadados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 Moniz das Neves</dc:creator>
  <cp:keywords/>
  <dc:description/>
  <cp:lastModifiedBy>Junior F. Dias</cp:lastModifiedBy>
  <cp:revision/>
  <dcterms:created xsi:type="dcterms:W3CDTF">2024-11-11T13:23:41Z</dcterms:created>
  <dcterms:modified xsi:type="dcterms:W3CDTF">2025-11-14T20:14:06Z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0x01010057AE5FD4E922E14CAFE7AD42DA61D019</vt:lpwstr>
  </property>
  <property fmtid="{D5CDD505-2E9C-101B-9397-08002B2CF9AE}" pid="3" name="MediaServiceImageTags">
    <vt:lpwstr/>
  </property>
</Properties>
</file>