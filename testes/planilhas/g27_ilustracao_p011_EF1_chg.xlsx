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ensinolivre.sharepoint.com/sites/G27_E001_EF1/Documentos Compartilhados/G27_E001_EF1/zCONTROLES/ilustracao/"/>
    </mc:Choice>
  </mc:AlternateContent>
  <xr:revisionPtr revIDLastSave="6536" documentId="8_{79878613-4919-4A63-AF5B-7641896E566B}" xr6:coauthVersionLast="47" xr6:coauthVersionMax="47" xr10:uidLastSave="{E4BA674C-5289-4D6A-B10C-3576C2370BFC}"/>
  <bookViews>
    <workbookView xWindow="-120" yWindow="-120" windowWidth="29040" windowHeight="1584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67" i="1" l="1"/>
  <c r="Z567" i="1" s="1"/>
  <c r="X568" i="1"/>
  <c r="Z568" i="1" s="1"/>
  <c r="X569" i="1"/>
  <c r="Z569" i="1" s="1"/>
  <c r="X570" i="1"/>
  <c r="Z570" i="1" s="1"/>
  <c r="X571" i="1"/>
  <c r="Z571" i="1" s="1"/>
  <c r="X572" i="1"/>
  <c r="Z572" i="1" s="1"/>
  <c r="X573" i="1"/>
  <c r="Z573" i="1" s="1"/>
  <c r="X574" i="1"/>
  <c r="Z574" i="1" s="1"/>
  <c r="X575" i="1"/>
  <c r="Z575" i="1" s="1"/>
  <c r="X576" i="1"/>
  <c r="Z576" i="1" s="1"/>
  <c r="X577" i="1"/>
  <c r="Z577" i="1" s="1"/>
  <c r="X578" i="1"/>
  <c r="Z578" i="1" s="1"/>
  <c r="X579" i="1"/>
  <c r="Z579" i="1" s="1"/>
  <c r="X580" i="1"/>
  <c r="Z580" i="1" s="1"/>
  <c r="X581" i="1"/>
  <c r="Z581" i="1" s="1"/>
  <c r="X582" i="1"/>
  <c r="Z582" i="1" s="1"/>
  <c r="X583" i="1"/>
  <c r="Z583" i="1" s="1"/>
  <c r="X584" i="1"/>
  <c r="Z584" i="1" s="1"/>
  <c r="X585" i="1"/>
  <c r="Z585" i="1" s="1"/>
  <c r="X586" i="1"/>
  <c r="Z586" i="1" s="1"/>
  <c r="X587" i="1"/>
  <c r="Z587" i="1" s="1"/>
  <c r="X588" i="1"/>
  <c r="Z588" i="1" s="1"/>
  <c r="X589" i="1"/>
  <c r="Z589" i="1" s="1"/>
  <c r="X590" i="1"/>
  <c r="Z590" i="1" s="1"/>
  <c r="X591" i="1"/>
  <c r="Z591" i="1" s="1"/>
  <c r="X592" i="1"/>
  <c r="Z592" i="1" s="1"/>
  <c r="X593" i="1"/>
  <c r="Z593" i="1" s="1"/>
  <c r="X594" i="1"/>
  <c r="Z594" i="1" s="1"/>
  <c r="X595" i="1"/>
  <c r="Z595" i="1" s="1"/>
  <c r="X596" i="1"/>
  <c r="Z596" i="1" s="1"/>
  <c r="X597" i="1"/>
  <c r="Z597" i="1" s="1"/>
  <c r="X598" i="1"/>
  <c r="Z598" i="1" s="1"/>
  <c r="X599" i="1"/>
  <c r="Z599" i="1" s="1"/>
  <c r="X600" i="1"/>
  <c r="Z600" i="1" s="1"/>
  <c r="AD587" i="1"/>
  <c r="AD588" i="1"/>
  <c r="AD589" i="1"/>
  <c r="AD590" i="1"/>
  <c r="AD591" i="1"/>
  <c r="AD592" i="1"/>
  <c r="AD593" i="1"/>
  <c r="X513" i="1"/>
  <c r="Z513" i="1" s="1"/>
  <c r="X514" i="1"/>
  <c r="Z514" i="1" s="1"/>
  <c r="X515" i="1"/>
  <c r="Z515" i="1" s="1"/>
  <c r="X516" i="1"/>
  <c r="Z516" i="1" s="1"/>
  <c r="X517" i="1"/>
  <c r="Z517" i="1" s="1"/>
  <c r="X518" i="1"/>
  <c r="Z518" i="1" s="1"/>
  <c r="X519" i="1"/>
  <c r="Z519" i="1" s="1"/>
  <c r="X520" i="1"/>
  <c r="Z520" i="1" s="1"/>
  <c r="X521" i="1"/>
  <c r="Z521" i="1" s="1"/>
  <c r="X522" i="1"/>
  <c r="Z522" i="1" s="1"/>
  <c r="X523" i="1"/>
  <c r="Z523" i="1" s="1"/>
  <c r="X524" i="1"/>
  <c r="Z524" i="1" s="1"/>
  <c r="X525" i="1"/>
  <c r="X526" i="1"/>
  <c r="Z526" i="1" s="1"/>
  <c r="X527" i="1"/>
  <c r="Z527" i="1" s="1"/>
  <c r="X528" i="1"/>
  <c r="Z528" i="1" s="1"/>
  <c r="X529" i="1"/>
  <c r="Z529" i="1" s="1"/>
  <c r="X530" i="1"/>
  <c r="Z530" i="1" s="1"/>
  <c r="X531" i="1"/>
  <c r="Z531" i="1" s="1"/>
  <c r="X532" i="1"/>
  <c r="Z532" i="1" s="1"/>
  <c r="X533" i="1"/>
  <c r="Z533" i="1" s="1"/>
  <c r="X534" i="1"/>
  <c r="Z534" i="1" s="1"/>
  <c r="X535" i="1"/>
  <c r="Z535" i="1" s="1"/>
  <c r="X536" i="1"/>
  <c r="Z536" i="1" s="1"/>
  <c r="X537" i="1"/>
  <c r="Z537" i="1" s="1"/>
  <c r="X538" i="1"/>
  <c r="Z538" i="1" s="1"/>
  <c r="X539" i="1"/>
  <c r="Z539" i="1" s="1"/>
  <c r="X540" i="1"/>
  <c r="Z540" i="1" s="1"/>
  <c r="X541" i="1"/>
  <c r="Z541" i="1" s="1"/>
  <c r="X542" i="1"/>
  <c r="Z542" i="1" s="1"/>
  <c r="X543" i="1"/>
  <c r="Z543" i="1" s="1"/>
  <c r="X544" i="1"/>
  <c r="Z544" i="1" s="1"/>
  <c r="X545" i="1"/>
  <c r="Z545" i="1" s="1"/>
  <c r="X546" i="1"/>
  <c r="Z546" i="1" s="1"/>
  <c r="X547" i="1"/>
  <c r="Z547" i="1" s="1"/>
  <c r="X548" i="1"/>
  <c r="Z548" i="1" s="1"/>
  <c r="X549" i="1"/>
  <c r="Z549" i="1" s="1"/>
  <c r="X550" i="1"/>
  <c r="Z550" i="1" s="1"/>
  <c r="X551" i="1"/>
  <c r="Z551" i="1" s="1"/>
  <c r="X552" i="1"/>
  <c r="Z552" i="1" s="1"/>
  <c r="X553" i="1"/>
  <c r="Z553" i="1" s="1"/>
  <c r="X554" i="1"/>
  <c r="Z554" i="1" s="1"/>
  <c r="X555" i="1"/>
  <c r="Z555" i="1" s="1"/>
  <c r="X556" i="1"/>
  <c r="Z556" i="1" s="1"/>
  <c r="X557" i="1"/>
  <c r="Z557" i="1" s="1"/>
  <c r="X558" i="1"/>
  <c r="Z558" i="1" s="1"/>
  <c r="X559" i="1"/>
  <c r="Z559" i="1" s="1"/>
  <c r="X560" i="1"/>
  <c r="Z560" i="1" s="1"/>
  <c r="X561" i="1"/>
  <c r="Z561" i="1" s="1"/>
  <c r="X562" i="1"/>
  <c r="Z562" i="1" s="1"/>
  <c r="X563" i="1"/>
  <c r="Z563" i="1" s="1"/>
  <c r="X564" i="1"/>
  <c r="Z564" i="1" s="1"/>
  <c r="X565" i="1"/>
  <c r="Z565" i="1" s="1"/>
  <c r="X566" i="1"/>
  <c r="Z566" i="1" s="1"/>
  <c r="X601" i="1"/>
  <c r="Z601" i="1" s="1"/>
  <c r="AD562" i="1"/>
  <c r="AD563" i="1"/>
  <c r="AD564" i="1"/>
  <c r="AD565" i="1"/>
  <c r="AD566" i="1"/>
  <c r="AD567" i="1"/>
  <c r="AD568" i="1"/>
  <c r="AD569" i="1"/>
  <c r="AD570" i="1"/>
  <c r="AD571" i="1"/>
  <c r="AD572" i="1"/>
  <c r="AD573" i="1"/>
  <c r="AD574" i="1"/>
  <c r="AD575" i="1"/>
  <c r="AD576" i="1"/>
  <c r="AD577" i="1"/>
  <c r="AD531" i="1"/>
  <c r="AD518" i="1"/>
  <c r="AD519" i="1"/>
  <c r="AD520" i="1"/>
  <c r="AD521" i="1"/>
  <c r="AD522" i="1"/>
  <c r="AD523" i="1"/>
  <c r="AD524" i="1"/>
  <c r="AD525" i="1"/>
  <c r="AD526" i="1"/>
  <c r="AD527" i="1"/>
  <c r="AD528" i="1"/>
  <c r="AD529" i="1"/>
  <c r="AD530" i="1"/>
  <c r="AD532" i="1"/>
  <c r="AD533" i="1"/>
  <c r="AD534" i="1"/>
  <c r="AD535" i="1"/>
  <c r="AD536" i="1"/>
  <c r="AD537" i="1"/>
  <c r="AD538" i="1"/>
  <c r="AD539" i="1"/>
  <c r="AD540" i="1"/>
  <c r="AD541" i="1"/>
  <c r="AD542" i="1"/>
  <c r="AD543" i="1"/>
  <c r="AD544" i="1"/>
  <c r="AD545" i="1"/>
  <c r="AD546" i="1"/>
  <c r="AD547" i="1"/>
  <c r="AD515" i="1"/>
  <c r="AD516" i="1"/>
  <c r="AD517" i="1"/>
  <c r="AD548" i="1"/>
  <c r="AD549" i="1"/>
  <c r="AD550" i="1"/>
  <c r="AD551" i="1"/>
  <c r="AD552" i="1"/>
  <c r="AD553" i="1"/>
  <c r="AD554" i="1"/>
  <c r="AD555" i="1"/>
  <c r="AD556" i="1"/>
  <c r="AD557" i="1"/>
  <c r="AD558" i="1"/>
  <c r="AD559" i="1"/>
  <c r="AD560" i="1"/>
  <c r="AD583" i="1"/>
  <c r="AD584" i="1"/>
  <c r="AD585" i="1"/>
  <c r="AD586" i="1"/>
  <c r="AD594" i="1"/>
  <c r="X512" i="1"/>
  <c r="Z512" i="1" s="1"/>
  <c r="AD561" i="1"/>
  <c r="AD578" i="1"/>
  <c r="AD579" i="1"/>
  <c r="AD580" i="1"/>
  <c r="AD581" i="1"/>
  <c r="AD582" i="1"/>
  <c r="X501" i="1"/>
  <c r="Z501" i="1" s="1"/>
  <c r="X503" i="1"/>
  <c r="Z503" i="1" s="1"/>
  <c r="X502" i="1"/>
  <c r="Z502" i="1" s="1"/>
  <c r="AD600" i="1"/>
  <c r="AD601" i="1"/>
  <c r="AD597" i="1"/>
  <c r="AD598" i="1"/>
  <c r="AD596" i="1"/>
  <c r="X510" i="1"/>
  <c r="Z510" i="1" s="1"/>
  <c r="X509" i="1"/>
  <c r="Z509" i="1" s="1"/>
  <c r="X508" i="1"/>
  <c r="Z508" i="1" s="1"/>
  <c r="X507" i="1"/>
  <c r="Z507" i="1" s="1"/>
  <c r="X506" i="1"/>
  <c r="Z506" i="1" s="1"/>
  <c r="X505" i="1"/>
  <c r="Z505" i="1" s="1"/>
  <c r="X511" i="1"/>
  <c r="Z511" i="1" s="1"/>
  <c r="X504" i="1"/>
  <c r="Z504" i="1" s="1"/>
  <c r="X500" i="1"/>
  <c r="Z500" i="1" s="1"/>
  <c r="AD514" i="1"/>
  <c r="AD595" i="1"/>
  <c r="AD599" i="1"/>
  <c r="AD513" i="1"/>
  <c r="AD512" i="1"/>
  <c r="AD511" i="1"/>
  <c r="AD510" i="1"/>
  <c r="AD509" i="1"/>
  <c r="AD508" i="1"/>
  <c r="AD507" i="1"/>
  <c r="AD501" i="1"/>
  <c r="AD502" i="1"/>
  <c r="AD503" i="1"/>
  <c r="AD504" i="1"/>
  <c r="AD505" i="1"/>
  <c r="AD506"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X499" i="1"/>
  <c r="Z499" i="1" s="1"/>
  <c r="X498" i="1"/>
  <c r="Z498" i="1" s="1"/>
  <c r="X497" i="1"/>
  <c r="Z497" i="1" s="1"/>
  <c r="X496" i="1"/>
  <c r="Z496" i="1" s="1"/>
  <c r="X495" i="1"/>
  <c r="Z495" i="1" s="1"/>
  <c r="X494" i="1"/>
  <c r="Z494" i="1" s="1"/>
  <c r="X493" i="1"/>
  <c r="Z493" i="1" s="1"/>
  <c r="X492" i="1"/>
  <c r="Z492" i="1" s="1"/>
  <c r="X491" i="1"/>
  <c r="Z491" i="1" s="1"/>
  <c r="X490" i="1"/>
  <c r="Z490" i="1" s="1"/>
  <c r="X489" i="1"/>
  <c r="Z489" i="1" s="1"/>
  <c r="X488" i="1"/>
  <c r="Z488" i="1" s="1"/>
  <c r="X487" i="1"/>
  <c r="Z487" i="1" s="1"/>
  <c r="X486" i="1"/>
  <c r="Z486" i="1" s="1"/>
  <c r="X485" i="1"/>
  <c r="Z485" i="1" s="1"/>
  <c r="X484" i="1"/>
  <c r="Z484" i="1" s="1"/>
  <c r="X483" i="1"/>
  <c r="Z483" i="1" s="1"/>
  <c r="X482" i="1"/>
  <c r="Z482" i="1" s="1"/>
  <c r="X481" i="1"/>
  <c r="Z481" i="1" s="1"/>
  <c r="X480" i="1"/>
  <c r="Z480" i="1" s="1"/>
  <c r="X479" i="1"/>
  <c r="Z479" i="1" s="1"/>
  <c r="X478" i="1"/>
  <c r="Z478" i="1" s="1"/>
  <c r="X477" i="1"/>
  <c r="Z477" i="1" s="1"/>
  <c r="X476" i="1"/>
  <c r="Z476" i="1" s="1"/>
  <c r="X475" i="1"/>
  <c r="Z475" i="1" s="1"/>
  <c r="X474" i="1"/>
  <c r="Z474" i="1" s="1"/>
  <c r="X473" i="1"/>
  <c r="Z473" i="1" s="1"/>
  <c r="X472" i="1"/>
  <c r="Z472" i="1" s="1"/>
  <c r="X471" i="1"/>
  <c r="Z471" i="1" s="1"/>
  <c r="X470" i="1"/>
  <c r="Z470" i="1" s="1"/>
  <c r="X469" i="1"/>
  <c r="Z469" i="1" s="1"/>
  <c r="X468" i="1"/>
  <c r="Z468" i="1" s="1"/>
  <c r="X467" i="1"/>
  <c r="Z467" i="1" s="1"/>
  <c r="X466" i="1"/>
  <c r="Z466" i="1" s="1"/>
  <c r="X465" i="1"/>
  <c r="Z465" i="1" s="1"/>
  <c r="X464" i="1"/>
  <c r="Z464" i="1" s="1"/>
  <c r="X463" i="1"/>
  <c r="Z463" i="1" s="1"/>
  <c r="X462" i="1"/>
  <c r="Z462" i="1" s="1"/>
  <c r="X461" i="1"/>
  <c r="Z461" i="1" s="1"/>
  <c r="X460" i="1"/>
  <c r="Z460" i="1" s="1"/>
  <c r="X459" i="1"/>
  <c r="Z459" i="1" s="1"/>
  <c r="X458" i="1"/>
  <c r="Z458" i="1" s="1"/>
  <c r="X457" i="1"/>
  <c r="Z457" i="1" s="1"/>
  <c r="X456" i="1"/>
  <c r="Z456" i="1" s="1"/>
  <c r="X455" i="1"/>
  <c r="Z455" i="1" s="1"/>
  <c r="X454" i="1"/>
  <c r="Z454" i="1" s="1"/>
  <c r="X453" i="1"/>
  <c r="Z453" i="1" s="1"/>
  <c r="X452" i="1"/>
  <c r="Z452" i="1" s="1"/>
  <c r="X451" i="1"/>
  <c r="Z451" i="1" s="1"/>
  <c r="X450" i="1"/>
  <c r="Z450" i="1" s="1"/>
  <c r="X449" i="1"/>
  <c r="Z449" i="1" s="1"/>
  <c r="X448" i="1"/>
  <c r="Z448" i="1" s="1"/>
  <c r="X447" i="1"/>
  <c r="Z447" i="1" s="1"/>
  <c r="X446" i="1"/>
  <c r="Z446" i="1" s="1"/>
  <c r="X445" i="1"/>
  <c r="Z445" i="1" s="1"/>
  <c r="X444" i="1"/>
  <c r="Z444" i="1" s="1"/>
  <c r="X443" i="1"/>
  <c r="Z443" i="1" s="1"/>
  <c r="X442" i="1"/>
  <c r="Z442" i="1" s="1"/>
  <c r="X441" i="1"/>
  <c r="Z441" i="1" s="1"/>
  <c r="X440" i="1"/>
  <c r="Z440" i="1" s="1"/>
  <c r="X439" i="1"/>
  <c r="Z439" i="1" s="1"/>
  <c r="X438" i="1"/>
  <c r="Z438" i="1" s="1"/>
  <c r="X437" i="1"/>
  <c r="Z437" i="1" s="1"/>
  <c r="X436" i="1"/>
  <c r="Z436" i="1" s="1"/>
  <c r="X435" i="1"/>
  <c r="Z435" i="1" s="1"/>
  <c r="X434" i="1"/>
  <c r="Z434" i="1" s="1"/>
  <c r="X433" i="1"/>
  <c r="Z433" i="1" s="1"/>
  <c r="X432" i="1"/>
  <c r="Z432" i="1" s="1"/>
  <c r="X431" i="1"/>
  <c r="Z431" i="1" s="1"/>
  <c r="X430" i="1"/>
  <c r="Z430" i="1" s="1"/>
  <c r="X429" i="1"/>
  <c r="Z429" i="1" s="1"/>
  <c r="X428" i="1"/>
  <c r="Z428" i="1" s="1"/>
  <c r="X427" i="1"/>
  <c r="Z427" i="1" s="1"/>
  <c r="X426" i="1"/>
  <c r="Z426" i="1" s="1"/>
  <c r="X425" i="1"/>
  <c r="Z425" i="1" s="1"/>
  <c r="X424" i="1"/>
  <c r="Z424" i="1" s="1"/>
  <c r="X423" i="1"/>
  <c r="Z423" i="1" s="1"/>
  <c r="X422" i="1"/>
  <c r="Z422" i="1" s="1"/>
  <c r="X421" i="1"/>
  <c r="Z421" i="1" s="1"/>
  <c r="X420" i="1"/>
  <c r="Z420" i="1" s="1"/>
  <c r="X419" i="1"/>
  <c r="Z419" i="1" s="1"/>
  <c r="X418" i="1"/>
  <c r="Z418" i="1" s="1"/>
  <c r="X417" i="1"/>
  <c r="Z417" i="1" s="1"/>
  <c r="X416" i="1"/>
  <c r="Z416" i="1" s="1"/>
  <c r="X415" i="1"/>
  <c r="Z415" i="1" s="1"/>
  <c r="X414" i="1"/>
  <c r="Z414" i="1" s="1"/>
  <c r="X413" i="1"/>
  <c r="Z413" i="1" s="1"/>
  <c r="X412" i="1"/>
  <c r="Z412" i="1" s="1"/>
  <c r="X411" i="1"/>
  <c r="Z411" i="1" s="1"/>
  <c r="X410" i="1"/>
  <c r="Z410" i="1" s="1"/>
  <c r="X409" i="1"/>
  <c r="Z409" i="1" s="1"/>
  <c r="X408" i="1"/>
  <c r="Z408" i="1" s="1"/>
  <c r="X407" i="1"/>
  <c r="Z407" i="1" s="1"/>
  <c r="X406" i="1"/>
  <c r="Z406" i="1" s="1"/>
  <c r="X405" i="1"/>
  <c r="Z405" i="1" s="1"/>
  <c r="X404" i="1"/>
  <c r="Z404" i="1" s="1"/>
  <c r="X403" i="1"/>
  <c r="Z403" i="1" s="1"/>
  <c r="X402" i="1"/>
  <c r="Z402" i="1" s="1"/>
  <c r="X401" i="1"/>
  <c r="Z401" i="1" s="1"/>
  <c r="X400" i="1"/>
  <c r="Z400" i="1" s="1"/>
  <c r="X399" i="1"/>
  <c r="Z399" i="1" s="1"/>
  <c r="X398" i="1"/>
  <c r="Z398" i="1" s="1"/>
  <c r="X397" i="1"/>
  <c r="Z397" i="1" s="1"/>
  <c r="X396" i="1"/>
  <c r="Z396" i="1" s="1"/>
  <c r="X395" i="1"/>
  <c r="X394" i="1"/>
  <c r="X393" i="1"/>
  <c r="Z393" i="1" s="1"/>
  <c r="X392" i="1"/>
  <c r="Z392" i="1" s="1"/>
  <c r="X391" i="1"/>
  <c r="Z391" i="1" s="1"/>
  <c r="X390" i="1"/>
  <c r="Z390" i="1" s="1"/>
  <c r="X389" i="1"/>
  <c r="Z389" i="1" s="1"/>
  <c r="X388" i="1"/>
  <c r="Z388" i="1" s="1"/>
  <c r="X387" i="1"/>
  <c r="Z387" i="1" s="1"/>
  <c r="X386" i="1"/>
  <c r="Z386" i="1" s="1"/>
  <c r="X385" i="1"/>
  <c r="Z385" i="1" s="1"/>
  <c r="X384" i="1"/>
  <c r="Z384" i="1" s="1"/>
  <c r="X383" i="1"/>
  <c r="Z383" i="1" s="1"/>
  <c r="X382" i="1"/>
  <c r="Z382" i="1" s="1"/>
  <c r="X381" i="1"/>
  <c r="Z381" i="1" s="1"/>
  <c r="X380" i="1"/>
  <c r="Z380" i="1" s="1"/>
  <c r="X379" i="1"/>
  <c r="Z379" i="1" s="1"/>
  <c r="X378" i="1"/>
  <c r="Z378" i="1" s="1"/>
  <c r="X377" i="1"/>
  <c r="Z377" i="1" s="1"/>
  <c r="X376" i="1"/>
  <c r="Z376" i="1" s="1"/>
  <c r="X375" i="1"/>
  <c r="Z375" i="1" s="1"/>
  <c r="X374" i="1"/>
  <c r="Z374" i="1" s="1"/>
  <c r="X373" i="1"/>
  <c r="Z373" i="1" s="1"/>
  <c r="X372" i="1"/>
  <c r="Z372" i="1" s="1"/>
  <c r="X371" i="1"/>
  <c r="Z371" i="1" s="1"/>
  <c r="X370" i="1"/>
  <c r="Z370" i="1" s="1"/>
  <c r="X369" i="1"/>
  <c r="Z369" i="1" s="1"/>
  <c r="X368" i="1"/>
  <c r="Z368" i="1" s="1"/>
  <c r="X367" i="1"/>
  <c r="Z367" i="1" s="1"/>
  <c r="X366" i="1"/>
  <c r="Z366" i="1" s="1"/>
  <c r="X365" i="1"/>
  <c r="Z365" i="1" s="1"/>
  <c r="X364" i="1"/>
  <c r="Z364" i="1" s="1"/>
  <c r="X363" i="1"/>
  <c r="Z363" i="1" s="1"/>
  <c r="X362" i="1"/>
  <c r="Z362" i="1" s="1"/>
  <c r="X361" i="1"/>
  <c r="Z361" i="1" s="1"/>
  <c r="X360" i="1"/>
  <c r="Z360" i="1" s="1"/>
  <c r="X359" i="1"/>
  <c r="Z359" i="1" s="1"/>
  <c r="X358" i="1"/>
  <c r="Z358" i="1" s="1"/>
  <c r="X357" i="1"/>
  <c r="Z357" i="1" s="1"/>
  <c r="X356" i="1"/>
  <c r="Z356" i="1" s="1"/>
  <c r="X355" i="1"/>
  <c r="Z355" i="1" s="1"/>
  <c r="X354" i="1"/>
  <c r="Z354" i="1" s="1"/>
  <c r="X353" i="1"/>
  <c r="Z353" i="1" s="1"/>
  <c r="X352" i="1"/>
  <c r="Z352" i="1" s="1"/>
  <c r="X351" i="1"/>
  <c r="Z351" i="1" s="1"/>
  <c r="X350" i="1"/>
  <c r="Z350" i="1" s="1"/>
  <c r="X349" i="1"/>
  <c r="Z349" i="1" s="1"/>
  <c r="X348" i="1"/>
  <c r="Z348" i="1" s="1"/>
  <c r="X347" i="1"/>
  <c r="Z347" i="1" s="1"/>
  <c r="X346" i="1"/>
  <c r="Z346" i="1" s="1"/>
  <c r="X345" i="1"/>
  <c r="Z345" i="1" s="1"/>
  <c r="X344" i="1"/>
  <c r="Z344" i="1" s="1"/>
  <c r="X343" i="1"/>
  <c r="Z343" i="1" s="1"/>
  <c r="X342" i="1"/>
  <c r="Z342" i="1" s="1"/>
  <c r="X341" i="1"/>
  <c r="Z341" i="1" s="1"/>
  <c r="X340" i="1"/>
  <c r="Z340" i="1" s="1"/>
  <c r="X339" i="1"/>
  <c r="Z339" i="1" s="1"/>
  <c r="X338" i="1"/>
  <c r="Z338" i="1" s="1"/>
  <c r="X337" i="1"/>
  <c r="Z337" i="1" s="1"/>
  <c r="X336" i="1"/>
  <c r="Z336" i="1" s="1"/>
  <c r="X335" i="1"/>
  <c r="Z335" i="1" s="1"/>
  <c r="X334" i="1"/>
  <c r="Z334" i="1" s="1"/>
  <c r="X333" i="1"/>
  <c r="Z333" i="1" s="1"/>
  <c r="X332" i="1"/>
  <c r="Z332" i="1" s="1"/>
  <c r="X331" i="1"/>
  <c r="Z331" i="1" s="1"/>
  <c r="X330" i="1"/>
  <c r="Z330" i="1" s="1"/>
  <c r="X329" i="1"/>
  <c r="Z329" i="1" s="1"/>
  <c r="X328" i="1"/>
  <c r="Z328" i="1" s="1"/>
  <c r="X327" i="1"/>
  <c r="Z327" i="1" s="1"/>
  <c r="X326" i="1"/>
  <c r="Z326" i="1" s="1"/>
  <c r="X325" i="1"/>
  <c r="Z325" i="1" s="1"/>
  <c r="X324" i="1"/>
  <c r="Z324" i="1" s="1"/>
  <c r="X323" i="1"/>
  <c r="Z323" i="1" s="1"/>
  <c r="X322" i="1"/>
  <c r="Z322" i="1" s="1"/>
  <c r="X321" i="1"/>
  <c r="Z321" i="1" s="1"/>
  <c r="X320" i="1"/>
  <c r="Z320" i="1" s="1"/>
  <c r="X319" i="1"/>
  <c r="Z319" i="1" s="1"/>
  <c r="X318" i="1"/>
  <c r="Z318" i="1" s="1"/>
  <c r="X317" i="1"/>
  <c r="Z317" i="1" s="1"/>
  <c r="X316" i="1"/>
  <c r="Z316" i="1" s="1"/>
  <c r="X315" i="1"/>
  <c r="Z315" i="1" s="1"/>
  <c r="X314" i="1"/>
  <c r="Z314" i="1" s="1"/>
  <c r="X313" i="1"/>
  <c r="Z313" i="1" s="1"/>
  <c r="X312" i="1"/>
  <c r="Z312" i="1" s="1"/>
  <c r="X311" i="1"/>
  <c r="Z311" i="1" s="1"/>
  <c r="X310" i="1"/>
  <c r="Z310" i="1" s="1"/>
  <c r="X309" i="1"/>
  <c r="Z309" i="1" s="1"/>
  <c r="X308" i="1"/>
  <c r="Z308" i="1" s="1"/>
  <c r="X307" i="1"/>
  <c r="X306" i="1"/>
  <c r="Z306" i="1" s="1"/>
  <c r="X305" i="1"/>
  <c r="Z305" i="1" s="1"/>
  <c r="X304" i="1"/>
  <c r="Z304" i="1" s="1"/>
  <c r="X303" i="1"/>
  <c r="Z303" i="1" s="1"/>
  <c r="X302" i="1"/>
  <c r="Z302" i="1" s="1"/>
  <c r="X301" i="1"/>
  <c r="Z301" i="1" s="1"/>
  <c r="X300" i="1"/>
  <c r="Z300" i="1" s="1"/>
  <c r="X299" i="1"/>
  <c r="Z299" i="1" s="1"/>
  <c r="X298" i="1"/>
  <c r="Z298" i="1" s="1"/>
  <c r="X297" i="1"/>
  <c r="Z297" i="1" s="1"/>
  <c r="X296" i="1"/>
  <c r="Z296" i="1" s="1"/>
  <c r="X295" i="1"/>
  <c r="Z295" i="1" s="1"/>
  <c r="X294" i="1"/>
  <c r="Z294" i="1" s="1"/>
  <c r="X293" i="1"/>
  <c r="Z293" i="1" s="1"/>
  <c r="X292" i="1"/>
  <c r="Z292" i="1" s="1"/>
  <c r="X291" i="1"/>
  <c r="Z291" i="1" s="1"/>
  <c r="X290" i="1"/>
  <c r="Z290" i="1" s="1"/>
  <c r="X289" i="1"/>
  <c r="Z289" i="1" s="1"/>
  <c r="X288" i="1"/>
  <c r="Z288" i="1" s="1"/>
  <c r="X287" i="1"/>
  <c r="Z287" i="1" s="1"/>
  <c r="X286" i="1"/>
  <c r="Z286" i="1" s="1"/>
  <c r="X285" i="1"/>
  <c r="Z285" i="1" s="1"/>
  <c r="X284" i="1"/>
  <c r="Z284" i="1" s="1"/>
  <c r="X283" i="1"/>
  <c r="Z283" i="1" s="1"/>
  <c r="X282" i="1"/>
  <c r="Z282" i="1" s="1"/>
  <c r="X281" i="1"/>
  <c r="Z281" i="1" s="1"/>
  <c r="X280" i="1"/>
  <c r="Z280" i="1" s="1"/>
  <c r="X279" i="1"/>
  <c r="Z279" i="1" s="1"/>
  <c r="X278" i="1"/>
  <c r="Z278" i="1" s="1"/>
  <c r="X277" i="1"/>
  <c r="Z277" i="1" s="1"/>
  <c r="X276" i="1"/>
  <c r="Z276" i="1" s="1"/>
  <c r="X275" i="1"/>
  <c r="Z275" i="1" s="1"/>
  <c r="X274" i="1"/>
  <c r="Z274" i="1" s="1"/>
  <c r="X273" i="1"/>
  <c r="Z273" i="1" s="1"/>
  <c r="X272" i="1"/>
  <c r="Z272" i="1" s="1"/>
  <c r="X271" i="1"/>
  <c r="Z271" i="1" s="1"/>
  <c r="X270" i="1"/>
  <c r="Z270" i="1" s="1"/>
  <c r="X269" i="1"/>
  <c r="Z269" i="1" s="1"/>
  <c r="X268" i="1"/>
  <c r="Z268" i="1" s="1"/>
  <c r="X267" i="1"/>
  <c r="Z267" i="1" s="1"/>
  <c r="X266" i="1"/>
  <c r="Z266" i="1" s="1"/>
  <c r="X265" i="1"/>
  <c r="Z265" i="1" s="1"/>
  <c r="X264" i="1"/>
  <c r="Z264" i="1" s="1"/>
  <c r="X263" i="1"/>
  <c r="Z263" i="1" s="1"/>
  <c r="X262" i="1"/>
  <c r="Z262" i="1" s="1"/>
  <c r="X261" i="1"/>
  <c r="Z261" i="1" s="1"/>
  <c r="X260" i="1"/>
  <c r="Z260" i="1" s="1"/>
  <c r="X259" i="1"/>
  <c r="Z259" i="1" s="1"/>
  <c r="X258" i="1"/>
  <c r="Z258" i="1" s="1"/>
  <c r="X257" i="1"/>
  <c r="Z257" i="1" s="1"/>
  <c r="X256" i="1"/>
  <c r="Z256" i="1" s="1"/>
  <c r="X255" i="1"/>
  <c r="Z255" i="1" s="1"/>
  <c r="X254" i="1"/>
  <c r="Z254" i="1" s="1"/>
  <c r="X253" i="1"/>
  <c r="Z253" i="1" s="1"/>
  <c r="X252" i="1"/>
  <c r="Z252" i="1" s="1"/>
  <c r="X251" i="1"/>
  <c r="Z251" i="1" s="1"/>
  <c r="X250" i="1"/>
  <c r="Z250" i="1" s="1"/>
  <c r="X249" i="1"/>
  <c r="Z249" i="1" s="1"/>
  <c r="X248" i="1"/>
  <c r="Z248" i="1" s="1"/>
  <c r="X247" i="1"/>
  <c r="Z247" i="1" s="1"/>
  <c r="X246" i="1"/>
  <c r="Z246" i="1" s="1"/>
  <c r="X245" i="1"/>
  <c r="Z245" i="1" s="1"/>
  <c r="X244" i="1"/>
  <c r="Z244" i="1" s="1"/>
  <c r="X243" i="1"/>
  <c r="Z243" i="1" s="1"/>
  <c r="X242" i="1"/>
  <c r="Z242" i="1" s="1"/>
  <c r="X241" i="1"/>
  <c r="Z241" i="1" s="1"/>
  <c r="X240" i="1"/>
  <c r="X239" i="1"/>
  <c r="Z239" i="1" s="1"/>
  <c r="X238" i="1"/>
  <c r="Z238" i="1" s="1"/>
  <c r="X237" i="1"/>
  <c r="Z237" i="1" s="1"/>
  <c r="X236" i="1"/>
  <c r="Z236" i="1" s="1"/>
  <c r="X235" i="1"/>
  <c r="Z235" i="1" s="1"/>
  <c r="X234" i="1"/>
  <c r="Z234" i="1" s="1"/>
  <c r="X233" i="1"/>
  <c r="Z233" i="1" s="1"/>
  <c r="X232" i="1"/>
  <c r="Z232" i="1" s="1"/>
  <c r="X231" i="1"/>
  <c r="Z231" i="1" s="1"/>
  <c r="X230" i="1"/>
  <c r="Z230" i="1" s="1"/>
  <c r="X229" i="1"/>
  <c r="Z229" i="1" s="1"/>
  <c r="X228" i="1"/>
  <c r="Z228" i="1" s="1"/>
  <c r="X227" i="1"/>
  <c r="Z227" i="1" s="1"/>
  <c r="X226" i="1"/>
  <c r="Z226" i="1" s="1"/>
  <c r="X225" i="1"/>
  <c r="Z225" i="1" s="1"/>
  <c r="X224" i="1"/>
  <c r="Z224" i="1" s="1"/>
  <c r="X223" i="1"/>
  <c r="Z223" i="1" s="1"/>
  <c r="X222" i="1"/>
  <c r="Z222" i="1" s="1"/>
  <c r="X221" i="1"/>
  <c r="Z221" i="1" s="1"/>
  <c r="X220" i="1"/>
  <c r="Z220" i="1" s="1"/>
  <c r="X219" i="1"/>
  <c r="Z219" i="1" s="1"/>
  <c r="X218" i="1"/>
  <c r="Z218" i="1" s="1"/>
  <c r="X217" i="1"/>
  <c r="Z217" i="1" s="1"/>
  <c r="X216" i="1"/>
  <c r="Z216" i="1" s="1"/>
  <c r="X215" i="1"/>
  <c r="Z215" i="1" s="1"/>
  <c r="X214" i="1"/>
  <c r="Z214" i="1" s="1"/>
  <c r="X213" i="1"/>
  <c r="Z213" i="1" s="1"/>
  <c r="X212" i="1"/>
  <c r="Z212" i="1" s="1"/>
  <c r="X211" i="1"/>
  <c r="Z211" i="1" s="1"/>
  <c r="X210" i="1"/>
  <c r="Z210" i="1" s="1"/>
  <c r="X209" i="1"/>
  <c r="Z209" i="1" s="1"/>
  <c r="X208" i="1"/>
  <c r="Z208" i="1" s="1"/>
  <c r="X207" i="1"/>
  <c r="Z207" i="1" s="1"/>
  <c r="X206" i="1"/>
  <c r="Z206" i="1" s="1"/>
  <c r="X205" i="1"/>
  <c r="Z205" i="1" s="1"/>
  <c r="X204" i="1"/>
  <c r="Z204" i="1" s="1"/>
  <c r="X203" i="1"/>
  <c r="Z203" i="1" s="1"/>
  <c r="X202" i="1"/>
  <c r="Z202" i="1" s="1"/>
  <c r="X201" i="1"/>
  <c r="Z201" i="1" s="1"/>
  <c r="X200" i="1"/>
  <c r="Z200" i="1" s="1"/>
  <c r="X199" i="1"/>
  <c r="Z199" i="1" s="1"/>
  <c r="X198" i="1"/>
  <c r="Z198" i="1" s="1"/>
  <c r="X197" i="1"/>
  <c r="Z197" i="1" s="1"/>
  <c r="X196" i="1"/>
  <c r="Z196" i="1" s="1"/>
  <c r="X195" i="1"/>
  <c r="Z195" i="1" s="1"/>
  <c r="X194" i="1"/>
  <c r="Z194" i="1" s="1"/>
  <c r="X193" i="1"/>
  <c r="Z193" i="1" s="1"/>
  <c r="X192" i="1"/>
  <c r="Z192" i="1" s="1"/>
  <c r="X191" i="1"/>
  <c r="Z191" i="1" s="1"/>
  <c r="X190" i="1"/>
  <c r="Z190" i="1" s="1"/>
  <c r="X189" i="1"/>
  <c r="Z189" i="1" s="1"/>
  <c r="X188" i="1"/>
  <c r="Z188" i="1" s="1"/>
  <c r="X187" i="1"/>
  <c r="Z187" i="1" s="1"/>
  <c r="X186" i="1"/>
  <c r="Z186" i="1" s="1"/>
  <c r="X185" i="1"/>
  <c r="Z185" i="1" s="1"/>
  <c r="X184" i="1"/>
  <c r="Z184" i="1" s="1"/>
  <c r="X183" i="1"/>
  <c r="Z183" i="1" s="1"/>
  <c r="X182" i="1"/>
  <c r="Z182" i="1" s="1"/>
  <c r="X181" i="1"/>
  <c r="Z181" i="1" s="1"/>
  <c r="X180" i="1"/>
  <c r="Z180" i="1" s="1"/>
  <c r="X179" i="1"/>
  <c r="Z179" i="1" s="1"/>
  <c r="X178" i="1"/>
  <c r="Z178" i="1" s="1"/>
  <c r="X177" i="1"/>
  <c r="Z177" i="1" s="1"/>
  <c r="X176" i="1"/>
  <c r="Z176" i="1" s="1"/>
  <c r="X175" i="1"/>
  <c r="Z175" i="1" s="1"/>
  <c r="X174" i="1"/>
  <c r="Z174" i="1" s="1"/>
  <c r="X173" i="1"/>
  <c r="Z173" i="1" s="1"/>
  <c r="X172" i="1"/>
  <c r="Z172" i="1" s="1"/>
  <c r="X171" i="1"/>
  <c r="Z171" i="1" s="1"/>
  <c r="X170" i="1"/>
  <c r="Z170" i="1" s="1"/>
  <c r="X169" i="1"/>
  <c r="Z169" i="1" s="1"/>
  <c r="X168" i="1"/>
  <c r="Z168" i="1" s="1"/>
  <c r="X167" i="1"/>
  <c r="Z167" i="1" s="1"/>
  <c r="X166" i="1"/>
  <c r="Z166" i="1" s="1"/>
  <c r="X165" i="1"/>
  <c r="Z165" i="1" s="1"/>
  <c r="X164" i="1"/>
  <c r="Z164" i="1" s="1"/>
  <c r="X163" i="1"/>
  <c r="Z163" i="1" s="1"/>
  <c r="X162" i="1"/>
  <c r="Z162" i="1" s="1"/>
  <c r="X161" i="1"/>
  <c r="Z161" i="1" s="1"/>
  <c r="X160" i="1"/>
  <c r="Z160" i="1" s="1"/>
  <c r="X159" i="1"/>
  <c r="Z159" i="1" s="1"/>
  <c r="X158" i="1"/>
  <c r="Z158" i="1" s="1"/>
  <c r="X157" i="1"/>
  <c r="Z157" i="1" s="1"/>
  <c r="X156" i="1"/>
  <c r="Z156" i="1" s="1"/>
  <c r="X155" i="1"/>
  <c r="X154" i="1"/>
  <c r="X153" i="1"/>
  <c r="Z153" i="1" s="1"/>
  <c r="X152" i="1"/>
  <c r="Z152" i="1" s="1"/>
  <c r="X151" i="1"/>
  <c r="Z151" i="1" s="1"/>
  <c r="X150" i="1"/>
  <c r="Z150" i="1" s="1"/>
  <c r="X149" i="1"/>
  <c r="X148" i="1"/>
  <c r="Z148" i="1" s="1"/>
  <c r="X147" i="1"/>
  <c r="Z147" i="1" s="1"/>
  <c r="X146" i="1"/>
  <c r="Z146" i="1" s="1"/>
  <c r="X145" i="1"/>
  <c r="Z145" i="1" s="1"/>
  <c r="X144" i="1"/>
  <c r="Z144" i="1" s="1"/>
  <c r="X143" i="1"/>
  <c r="Z143" i="1" s="1"/>
  <c r="X142" i="1"/>
  <c r="Z142" i="1" s="1"/>
  <c r="X141" i="1"/>
  <c r="Z141" i="1" s="1"/>
  <c r="X140" i="1"/>
  <c r="Z140" i="1" s="1"/>
  <c r="X139" i="1"/>
  <c r="Z139" i="1" s="1"/>
  <c r="X138" i="1"/>
  <c r="Z138" i="1" s="1"/>
  <c r="X137" i="1"/>
  <c r="Z137" i="1" s="1"/>
  <c r="X136" i="1"/>
  <c r="Z136" i="1" s="1"/>
  <c r="X135" i="1"/>
  <c r="Z135" i="1" s="1"/>
  <c r="X134" i="1"/>
  <c r="Z134" i="1" s="1"/>
  <c r="X133" i="1"/>
  <c r="Z133" i="1" s="1"/>
  <c r="X132" i="1"/>
  <c r="Z132" i="1" s="1"/>
  <c r="X131" i="1"/>
  <c r="X130" i="1"/>
  <c r="X129" i="1"/>
  <c r="Z129" i="1" s="1"/>
  <c r="X128" i="1"/>
  <c r="Z128" i="1" s="1"/>
  <c r="X127" i="1"/>
  <c r="Z127" i="1" s="1"/>
  <c r="X126" i="1"/>
  <c r="Z126" i="1" s="1"/>
  <c r="X125" i="1"/>
  <c r="Z125" i="1" s="1"/>
  <c r="X124" i="1"/>
  <c r="Z124" i="1" s="1"/>
  <c r="X123" i="1"/>
  <c r="Z123" i="1" s="1"/>
  <c r="X122" i="1"/>
  <c r="Z122" i="1" s="1"/>
  <c r="X121" i="1"/>
  <c r="Z121" i="1" s="1"/>
  <c r="X120" i="1"/>
  <c r="Z120" i="1" s="1"/>
  <c r="X119" i="1"/>
  <c r="Z119" i="1" s="1"/>
  <c r="X118" i="1"/>
  <c r="Z118" i="1" s="1"/>
  <c r="X117" i="1"/>
  <c r="Z117" i="1" s="1"/>
  <c r="X116" i="1"/>
  <c r="Z116" i="1" s="1"/>
  <c r="X115" i="1"/>
  <c r="Z115" i="1" s="1"/>
  <c r="X114" i="1"/>
  <c r="Z114" i="1" s="1"/>
  <c r="X113" i="1"/>
  <c r="Z113" i="1" s="1"/>
  <c r="X112" i="1"/>
  <c r="Z112" i="1" s="1"/>
  <c r="X111" i="1"/>
  <c r="Z111" i="1" s="1"/>
  <c r="X110" i="1"/>
  <c r="Z110" i="1" s="1"/>
  <c r="X109" i="1"/>
  <c r="Z109" i="1" s="1"/>
  <c r="X108" i="1"/>
  <c r="Z108" i="1" s="1"/>
  <c r="X107" i="1"/>
  <c r="Z107" i="1" s="1"/>
  <c r="X106" i="1"/>
  <c r="Z106" i="1" s="1"/>
  <c r="X105" i="1"/>
  <c r="Z105" i="1" s="1"/>
  <c r="X104" i="1"/>
  <c r="Z104" i="1" s="1"/>
  <c r="X103" i="1"/>
  <c r="Z103" i="1" s="1"/>
  <c r="X102" i="1"/>
  <c r="Z102" i="1" s="1"/>
  <c r="X101" i="1"/>
  <c r="Z101" i="1" s="1"/>
  <c r="X100" i="1"/>
  <c r="Z100" i="1" s="1"/>
  <c r="X99" i="1"/>
  <c r="Z99" i="1" s="1"/>
  <c r="X98" i="1"/>
  <c r="Z98" i="1" s="1"/>
  <c r="X97" i="1"/>
  <c r="Z97" i="1" s="1"/>
  <c r="X96" i="1"/>
  <c r="Z96" i="1" s="1"/>
  <c r="X95" i="1"/>
  <c r="Z95" i="1" s="1"/>
  <c r="X94" i="1"/>
  <c r="Z94" i="1" s="1"/>
  <c r="X93" i="1"/>
  <c r="Z93" i="1" s="1"/>
  <c r="X92" i="1"/>
  <c r="Z92" i="1" s="1"/>
  <c r="X91" i="1"/>
  <c r="Z91" i="1" s="1"/>
  <c r="X90" i="1"/>
  <c r="Z90" i="1" s="1"/>
  <c r="X89" i="1"/>
  <c r="Z89" i="1" s="1"/>
  <c r="X88" i="1"/>
  <c r="Z88" i="1" s="1"/>
  <c r="X87" i="1"/>
  <c r="Z87" i="1" s="1"/>
  <c r="X86" i="1"/>
  <c r="Z86" i="1" s="1"/>
  <c r="X85" i="1"/>
  <c r="Z85" i="1" s="1"/>
  <c r="X84" i="1"/>
  <c r="Z84" i="1" s="1"/>
  <c r="X83" i="1"/>
  <c r="Z83" i="1" s="1"/>
  <c r="X82" i="1"/>
  <c r="Z82" i="1" s="1"/>
  <c r="X81" i="1"/>
  <c r="Z81" i="1" s="1"/>
  <c r="X80" i="1"/>
  <c r="Z80" i="1" s="1"/>
  <c r="X79" i="1"/>
  <c r="Z79" i="1" s="1"/>
  <c r="X78" i="1"/>
  <c r="Z78" i="1" s="1"/>
  <c r="X77" i="1"/>
  <c r="Z77" i="1" s="1"/>
  <c r="X76" i="1"/>
  <c r="Z76" i="1" s="1"/>
  <c r="X75" i="1"/>
  <c r="Z75" i="1" s="1"/>
  <c r="X74" i="1"/>
  <c r="Z74" i="1" s="1"/>
  <c r="X73" i="1"/>
  <c r="Z73" i="1" s="1"/>
  <c r="X72" i="1"/>
  <c r="Z72" i="1" s="1"/>
  <c r="X71" i="1"/>
  <c r="Z71" i="1" s="1"/>
  <c r="X70" i="1"/>
  <c r="Z70" i="1" s="1"/>
  <c r="X69" i="1"/>
  <c r="Z69" i="1" s="1"/>
  <c r="X68" i="1"/>
  <c r="Z68" i="1" s="1"/>
  <c r="X67" i="1"/>
  <c r="Z67" i="1" s="1"/>
  <c r="X66" i="1"/>
  <c r="Z66" i="1" s="1"/>
  <c r="X65" i="1"/>
  <c r="Z65" i="1" s="1"/>
  <c r="X64" i="1"/>
  <c r="Z64" i="1" s="1"/>
  <c r="X63" i="1"/>
  <c r="Z63" i="1" s="1"/>
  <c r="X62" i="1"/>
  <c r="Z62" i="1" s="1"/>
  <c r="X61" i="1"/>
  <c r="Z61" i="1" s="1"/>
  <c r="X60" i="1"/>
  <c r="Z60" i="1" s="1"/>
  <c r="X59" i="1"/>
  <c r="Z59" i="1" s="1"/>
  <c r="X58" i="1"/>
  <c r="Z58" i="1" s="1"/>
  <c r="X57" i="1"/>
  <c r="Z57" i="1" s="1"/>
  <c r="X56" i="1"/>
  <c r="Z56" i="1" s="1"/>
  <c r="X55" i="1"/>
  <c r="Z55" i="1" s="1"/>
  <c r="X54" i="1"/>
  <c r="Z54" i="1" s="1"/>
  <c r="X53" i="1"/>
  <c r="Z53" i="1" s="1"/>
  <c r="X52" i="1"/>
  <c r="Z52" i="1" s="1"/>
  <c r="X51" i="1"/>
  <c r="Z51" i="1" s="1"/>
  <c r="X50" i="1"/>
  <c r="Z50" i="1" s="1"/>
  <c r="X49" i="1"/>
  <c r="Z49" i="1" s="1"/>
  <c r="X48" i="1"/>
  <c r="Z48" i="1" s="1"/>
  <c r="X47" i="1"/>
  <c r="Z47" i="1" s="1"/>
  <c r="X46" i="1"/>
  <c r="Z46" i="1" s="1"/>
  <c r="X45" i="1"/>
  <c r="Z45" i="1" s="1"/>
  <c r="X44" i="1"/>
  <c r="Z44" i="1" s="1"/>
  <c r="X43" i="1"/>
  <c r="Z43" i="1" s="1"/>
  <c r="X42" i="1"/>
  <c r="Z42" i="1" s="1"/>
  <c r="X41" i="1"/>
  <c r="Z41" i="1" s="1"/>
  <c r="X40" i="1"/>
  <c r="Z40" i="1" s="1"/>
  <c r="X39" i="1"/>
  <c r="Z39" i="1" s="1"/>
  <c r="X38" i="1"/>
  <c r="Z38" i="1" s="1"/>
  <c r="X37" i="1"/>
  <c r="Z37" i="1" s="1"/>
  <c r="X36" i="1"/>
  <c r="Z36" i="1" s="1"/>
  <c r="X35" i="1"/>
  <c r="Z35" i="1" s="1"/>
  <c r="X34" i="1"/>
  <c r="Z34" i="1" s="1"/>
  <c r="X33" i="1"/>
  <c r="Z33" i="1" s="1"/>
  <c r="X32" i="1"/>
  <c r="Z32" i="1" s="1"/>
  <c r="X31" i="1"/>
  <c r="Z31" i="1" s="1"/>
  <c r="X30" i="1"/>
  <c r="Z30" i="1" s="1"/>
  <c r="X29" i="1"/>
  <c r="Z29" i="1" s="1"/>
  <c r="X28" i="1"/>
  <c r="Z28" i="1" s="1"/>
  <c r="X27" i="1"/>
  <c r="Z27" i="1" s="1"/>
  <c r="X26" i="1"/>
  <c r="Z26" i="1" s="1"/>
  <c r="X25" i="1"/>
  <c r="Z25" i="1" s="1"/>
  <c r="X24" i="1"/>
  <c r="Z24" i="1" s="1"/>
  <c r="X23" i="1"/>
  <c r="Z23" i="1" s="1"/>
  <c r="X22" i="1"/>
  <c r="Z22" i="1" s="1"/>
  <c r="X21" i="1"/>
  <c r="Z21" i="1" s="1"/>
  <c r="X20" i="1"/>
  <c r="Z20" i="1" s="1"/>
  <c r="X19" i="1"/>
  <c r="Z19" i="1" s="1"/>
  <c r="X18" i="1"/>
  <c r="Z18" i="1" s="1"/>
  <c r="X17" i="1"/>
  <c r="Z17" i="1" s="1"/>
  <c r="X16" i="1"/>
  <c r="Z16" i="1" s="1"/>
  <c r="X15" i="1"/>
  <c r="Z15" i="1" s="1"/>
  <c r="X14" i="1"/>
  <c r="Z14" i="1" s="1"/>
  <c r="X13" i="1"/>
  <c r="Z13" i="1" s="1"/>
  <c r="X12" i="1"/>
  <c r="Z12" i="1" s="1"/>
  <c r="X11" i="1"/>
  <c r="Z11" i="1" s="1"/>
  <c r="X10" i="1"/>
  <c r="Z10" i="1" s="1"/>
  <c r="X9" i="1"/>
  <c r="Z9" i="1" s="1"/>
  <c r="X8" i="1"/>
  <c r="Z8" i="1" s="1"/>
  <c r="X7" i="1"/>
  <c r="Z7" i="1" s="1"/>
  <c r="X6" i="1"/>
  <c r="Z6" i="1" s="1"/>
  <c r="X5" i="1"/>
  <c r="Z5" i="1" s="1"/>
  <c r="X4" i="1"/>
  <c r="Z4" i="1" s="1"/>
  <c r="X3" i="1"/>
  <c r="Z3" i="1" s="1"/>
  <c r="X2" i="1"/>
  <c r="Z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P1" authorId="0" shapeId="0" xr:uid="{E94920A2-613D-4D8E-845D-9EA24DC69025}">
      <text>
        <r>
          <rPr>
            <sz val="9"/>
            <color indexed="81"/>
            <rFont val="Segoe UI"/>
            <family val="2"/>
          </rPr>
          <t>Anotações gerais/adicionais da equipe/núcleo sobre a produção da imagem.</t>
        </r>
      </text>
    </comment>
    <comment ref="Q1" authorId="0" shapeId="0" xr:uid="{6989CC06-6230-488E-AF1D-D020B76B671B}">
      <text>
        <r>
          <rPr>
            <sz val="9"/>
            <color indexed="81"/>
            <rFont val="Segoe UI"/>
            <family val="2"/>
          </rPr>
          <t xml:space="preserve">Número do lote de acordo com a data de liberação para arte.
</t>
        </r>
      </text>
    </comment>
    <comment ref="R1" authorId="0" shapeId="0" xr:uid="{3C8056B6-6D56-4ABC-8D5E-133F73C05996}">
      <text>
        <r>
          <rPr>
            <sz val="9"/>
            <color indexed="81"/>
            <rFont val="Segoe UI"/>
            <family val="2"/>
          </rPr>
          <t xml:space="preserve">Data que o lote foi liberado para edição de arte.
</t>
        </r>
      </text>
    </comment>
    <comment ref="S1" authorId="0" shapeId="0" xr:uid="{3C167E04-A371-47C4-8717-D873AD4E9FC7}">
      <text>
        <r>
          <rPr>
            <sz val="9"/>
            <color indexed="81"/>
            <rFont val="Segoe UI"/>
            <family val="2"/>
          </rPr>
          <t>Data de envio da edição de arte para o ilustrador.</t>
        </r>
      </text>
    </comment>
    <comment ref="T1" authorId="0" shapeId="0" xr:uid="{69C14C76-27F2-41AF-852D-CB92E57EA4BB}">
      <text>
        <r>
          <rPr>
            <sz val="9"/>
            <color indexed="81"/>
            <rFont val="Segoe UI"/>
            <family val="2"/>
          </rPr>
          <t xml:space="preserve">Data de recebimento 
do rafe do ilustrador.
</t>
        </r>
      </text>
    </comment>
    <comment ref="U1" authorId="0" shapeId="0" xr:uid="{04B50519-2510-4909-864C-EB1E440194CF}">
      <text>
        <r>
          <rPr>
            <sz val="9"/>
            <color indexed="81"/>
            <rFont val="Segoe UI"/>
            <family val="2"/>
          </rPr>
          <t xml:space="preserve">Data de envio para finalizar a ilustração.
</t>
        </r>
      </text>
    </comment>
    <comment ref="V1" authorId="0" shapeId="0" xr:uid="{CEA43B39-7373-4A67-A7FA-E74EABB032A8}">
      <text>
        <r>
          <rPr>
            <sz val="9"/>
            <color indexed="81"/>
            <rFont val="Segoe UI"/>
            <family val="2"/>
          </rPr>
          <t>Data de retorno da ilustração finalizada pelo ilustrador.</t>
        </r>
      </text>
    </comment>
    <comment ref="W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X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Y1" authorId="0" shapeId="0" xr:uid="{58AED824-409A-41E8-BF67-1959D1B97CC0}">
      <text>
        <r>
          <rPr>
            <sz val="9"/>
            <color indexed="81"/>
            <rFont val="Segoe UI"/>
            <family val="2"/>
          </rPr>
          <t>Nome de quem ajustou ou coloriu a ilustração.</t>
        </r>
      </text>
    </comment>
    <comment ref="Z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A75A1E6C-CE82-4039-B5E4-8415AFD6F938}">
      <text>
        <r>
          <rPr>
            <sz val="9"/>
            <color indexed="81"/>
            <rFont val="Segoe UI"/>
            <family val="2"/>
          </rPr>
          <t xml:space="preserve">Selecione na lista suspensa em cada célula a classificação da ilustração.
</t>
        </r>
      </text>
    </comment>
    <comment ref="AB1" authorId="0" shapeId="0" xr:uid="{B96AFB6E-62C6-4112-AC4A-77C048F5CEC2}">
      <text>
        <r>
          <rPr>
            <sz val="9"/>
            <color indexed="81"/>
            <rFont val="Segoe UI"/>
            <family val="2"/>
          </rPr>
          <t>Anotações gerais/adicionais do designer sobre a produção da imagem.</t>
        </r>
      </text>
    </comment>
    <comment ref="AC1" authorId="0" shapeId="0" xr:uid="{71499792-448C-4233-8683-C2F2FA803FED}">
      <text>
        <r>
          <rPr>
            <sz val="9"/>
            <color indexed="81"/>
            <rFont val="Segoe UI"/>
            <family val="2"/>
          </rPr>
          <t>Anotações para fechamento dos pagamentos mensais das ilustrações.</t>
        </r>
      </text>
    </comment>
  </commentList>
</comments>
</file>

<file path=xl/sharedStrings.xml><?xml version="1.0" encoding="utf-8"?>
<sst xmlns="http://schemas.openxmlformats.org/spreadsheetml/2006/main" count="5244" uniqueCount="2142">
  <si>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</si>
  <si>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</si>
  <si>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</si>
  <si>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</si>
  <si>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</si>
  <si>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</si>
  <si>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</si>
  <si>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</si>
  <si>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</si>
  <si>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</si>
  <si>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</si>
  <si>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</si>
  <si>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</si>
  <si>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</si>
  <si>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</si>
  <si>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</si>
  <si>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</si>
  <si>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</si>
  <si>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</si>
  <si>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</si>
  <si>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</si>
  <si>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</si>
  <si>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</si>
  <si>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</si>
  <si>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</si>
  <si>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</si>
  <si>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</si>
  <si>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</si>
  <si>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</si>
  <si>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</si>
  <si>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i0102_1p011chg_g27_e001</t>
  </si>
  <si>
    <t>APLICADA</t>
  </si>
  <si>
    <t>ILUSTRAÇÃO</t>
  </si>
  <si>
    <t>MIOLO</t>
  </si>
  <si>
    <t>RESGATE</t>
  </si>
  <si>
    <t>Resgatar ilustração de menino com balão de pensamento, no balão tem um martelo, uma pera e 3
pontos de interrogação. Veio do 1NPI_G23_LT_MDN, P. 14, código antigo: i0242id_1npg_g23_mdn</t>
  </si>
  <si>
    <t>id</t>
  </si>
  <si>
    <t>if0103_1p011chg_g27_e001</t>
  </si>
  <si>
    <t>AJUSTE</t>
  </si>
  <si>
    <t>Ilustração com foto da professora na sala de aula com os alunos, apresentando as partes do corpo
de um menino página 12, g23_mdn_lt_1npc, código antigo i0206ly_1pmc_g19_mdn_ef
Vem do 1npc_g23_mdn p. 12.
Ajuste: inserir um aparelho auditivo no menino da esquerda, parte inferior da ilustração</t>
  </si>
  <si>
    <t>ly</t>
  </si>
  <si>
    <t>Felipe Grigoli</t>
  </si>
  <si>
    <t>Ajuste Simples</t>
  </si>
  <si>
    <t>FINALIZADO</t>
  </si>
  <si>
    <t>if0104_1p011chg_g27_e001</t>
  </si>
  <si>
    <t>Resgatar ilustração com foto da professora em pé na sala de aula, apresentando as partes do corpo
de um menino, g23_mdn_lt_1npc, código antigo i0207ly_1pmc_g19_mdn_ef. Vem do
1 NPC_G23_MDN_LT, página 13</t>
  </si>
  <si>
    <t>i0105_1p011chg_g27_e001</t>
  </si>
  <si>
    <t>Resgatar ilustração do boné. Vem do 1 NPC G23_MDN_LT página 14, g23_mdn_lt_1npc, código
antigo i0208ec_1pmc_g19_mdn</t>
  </si>
  <si>
    <t>ec</t>
  </si>
  <si>
    <t>i0106_1p011chg_g27_e001</t>
  </si>
  <si>
    <t>Resgatar ilustração de camiseta. Vem do 1 NPC G23_MDN_LT página 14, g23_mdn_lt_1npc, código
antigo i0209ec_1pmc_g19_mdn</t>
  </si>
  <si>
    <t>i0107_1p011chg_g27_e001</t>
  </si>
  <si>
    <t>Resgatar ilustração de bermuda. Vem do 1 NPC G23_MDN_LT página 14, g23_mdn_lt_1npc, código
antigo i0210ec_1pmc_g19_mdn</t>
  </si>
  <si>
    <t>i0108_1p011chg_g27_e001</t>
  </si>
  <si>
    <t>Resgatar ilustração de tênis. Vem do 1 NPC G23_MDN_LT página 14, g23_mdn_lt_1npc, código antigo i0211ec_1pmc_g19_mdn</t>
  </si>
  <si>
    <t>i0109_1p011chg_g27_e001</t>
  </si>
  <si>
    <t>Resgatar ilustração de um menino de cueca. Vem do 1 NPC G23_MDN_LT página 14,  g23_mdn_lt_1npc, código antigo i0212ec_1pmc_g19_mdn</t>
  </si>
  <si>
    <t>i0111_1p011chg_g27_e001</t>
  </si>
  <si>
    <t>Resgatar ilustração de menina com perspectiva de frente. Código antigo: i0203dd_1pmg_g19_mdn Vem do 1NPI_G23_MDN_LT P. 22</t>
  </si>
  <si>
    <t>dd</t>
  </si>
  <si>
    <t>i0112_1p011chg_g27_e001</t>
  </si>
  <si>
    <t>Resgatar Ilustração de menina com perspectiva de costa. Código antigo: i0204dd_1pmg_g19_mdn. Vem do 1NPI_G23_MDN_LT P. 22</t>
  </si>
  <si>
    <t>i0113_1p011chg_g27_e001</t>
  </si>
  <si>
    <t>Resgatar ilustração de menino com perspectiva de frente. Código antigo: i0205dd_1pmg_g19_mdn. Vem do 1NPI_G23_MDN_LT P. 23</t>
  </si>
  <si>
    <t>i0114_1p011chg_g27_e001</t>
  </si>
  <si>
    <t>Resgatar ilustração de menino com perspectiva de costa. Código antigo: i0206dd_1pmg_g19_mdn. Vem do 1NPC G23 P. 23</t>
  </si>
  <si>
    <t>i0115_1p011chg_g27_e001</t>
  </si>
  <si>
    <t>PRONTA</t>
  </si>
  <si>
    <t>Resgatar ilustração de mão esquerda. Código antigo: i0261co_1npg_g23_mdn_aj  Veio do g23_mdn_lt_1npi_p25</t>
  </si>
  <si>
    <t>co</t>
  </si>
  <si>
    <t xml:space="preserve">Rafaela Panissa </t>
  </si>
  <si>
    <t>Resgate ajuste</t>
  </si>
  <si>
    <t>i0116_1p011chg_g27_e001</t>
  </si>
  <si>
    <t xml:space="preserve">Resgatar ilustração de mão direita i0264co_1npg_g23_mdn_aj
Veio do g23_mdn_lt_1npi_p25 </t>
  </si>
  <si>
    <t>i0117_1p011chg_g27_e001</t>
  </si>
  <si>
    <t>Resgatar ilustração de mão esquerda i0262co_1npg_g23_mdn_aj
Veio do g23_mdn_lt_1npi_p25</t>
  </si>
  <si>
    <t>i0118_1p011chg_g27_e001</t>
  </si>
  <si>
    <t>Resgatar ilustração de mão esquerda. Código antigo: i0259co_1npg_g23_mdn_aj  Veio do g23_mdn_lt_1npi_p25</t>
  </si>
  <si>
    <t>i0119_1p011chg_g27_e001</t>
  </si>
  <si>
    <t>Resgatar ilustração de mão direita. Código antigo: i0263co_1npg_g23_mdn_aj   -  Veio do g23_mdn_lt_1npi_p25</t>
  </si>
  <si>
    <t>i0120_1p011chg_g27_e001</t>
  </si>
  <si>
    <t>Resgatar ilustração de mão direita. Código antigo: i0260co_1npg_g23_mdn_aj - Veio do g23_mdn_lt_1npi_p25</t>
  </si>
  <si>
    <t>i0123_1p011chg_g27_e001</t>
  </si>
  <si>
    <t>EXCLUIDA</t>
  </si>
  <si>
    <t>Resgatar ilustração de uma menina de costas.
Vem do 1NPC G23 _LT página 15, código antigo: i0213ly_1pmc_g19_mdn</t>
  </si>
  <si>
    <t xml:space="preserve">i0124_1p011chg_g27_e001 </t>
  </si>
  <si>
    <t>Resgatar ilustração de crianças uma deitada em cima de um papel e a outra fazendo um mapa do
corpo. Código antigo: i0286dd_1pmg_g19_mdn. Vem do 1NPI G23 LT P. 26</t>
  </si>
  <si>
    <t>i0125_1p011chg_g27_e001</t>
  </si>
  <si>
    <t>Resgatar ilustração de professora segurando o papel que as crianças da ilustração anterior
desenharam, código antigo: i0287dd_1pmg_g19_mdn.
Vem do 1NPC_LT_G23_MDN_P.27</t>
  </si>
  <si>
    <t>i0126_1p011chg_g27_e001</t>
  </si>
  <si>
    <t>Resgatar ilustração de professora com crianças colorindo o desenho que fizeram, código antigo:
i0288dd_1pmg_g19_mdn
Vem do 1NPC_LT_G23_MDN_P.27</t>
  </si>
  <si>
    <t>i0127_1p011chg_g27_e001</t>
  </si>
  <si>
    <t>Resgatar ilustração de menino de frente e costas com uma linha no meio separando os lados, código
antigo: i0320dd_1pmg_g19_mdn. Vem do 1NPC_LT_G23_MDN_P.28
Ajuste: ajustar a cor do boneco para deixar na mesma tonalidade da pele do boneco da ilustração anterior: i0126_1p011chg_g27_e001.</t>
  </si>
  <si>
    <t>i0128_1p011chg_g27_e001</t>
  </si>
  <si>
    <t>Resgatar ilustração de menina tomando café da manhã veio do g23_mdn_lt_1npc_p038, código
antigo i0453aec_1pmc_g19_mdn. Vem do 1NPC_G23_LT_MDN_P38</t>
  </si>
  <si>
    <t>i0129_1p011chg_g27_e001</t>
  </si>
  <si>
    <t>Resgatar ilustração de crianças brincando veio do g23_mdn_lt_1npc_p038 código antigo
i0453bec_1pmc_g19_mdn. Vem do 1NPC_G23_LT_MDN_P38</t>
  </si>
  <si>
    <t>i0130_1p011chg_g27_e001</t>
  </si>
  <si>
    <t>Resgatar ilustração de menina brincando com cachorro veio do g23_mdn_lt_1npc_p038, código
antigo i0453cec_1pmc_g19_mdn. Vem do 1NPC_G23_LT_MDN_P38</t>
  </si>
  <si>
    <t>i0131_1p011chg_g27_e00</t>
  </si>
  <si>
    <t>Resgatar ilustração de menina dando descarga veio do g23_mdn_lt_1npc_p038, código antigo
i0453dec_1pmc_g19_mdn. Vem do 1NPC_G23_LT_MDN_P38</t>
  </si>
  <si>
    <t>i0132_1p011chg_g27_e001</t>
  </si>
  <si>
    <t>Resgatar ilustração de menina escovando os dentes veio do g23_mdn_lt_1npc_p039, código antigo
i0454bec_1pmc_g19_mdn. Vem do 1NPC_G23_LT_MDN_P39</t>
  </si>
  <si>
    <t>i0133_1p011chg_g27_e001</t>
  </si>
  <si>
    <t>Resgatar ilustração de menina tomando banho veio do g23_mdn_lt_1npc_p039 código antigo - i0454aec_1pmc_g19_mdn. Vem do 1NPC_G23_LT_MDN_P39.  Ajuste: retirar a água que está saindo do chuveiro e as gotinhas de água ao redor da cabeça da personagem.</t>
  </si>
  <si>
    <t>i0134_1p011chg_g27_e001</t>
  </si>
  <si>
    <t>Resgatar Ilustração de mãe de menina cortando as unhas da sua filha veio do
g23_mdn_lt_1npc_p039, código antigo i0454cec_1pmc_g19_mdn.
Vem do 1NPC_G23_LT_MDN_P39</t>
  </si>
  <si>
    <t>i0139_1p011chg_g27_e001</t>
  </si>
  <si>
    <t>Resgatar ilustração de menino indo escovar os dentes veio do g23_mdn_lt_1npc_p042, código
antigo: i0631ly_1npc_g23_mdn_aj</t>
  </si>
  <si>
    <t>i0140_1p011chg_g27_e001</t>
  </si>
  <si>
    <t>Resgatar ilustração de pessoa escovando os dentes de cima para baixo, veio do
g23_mdn_lt_1npc_p043, código antigo: i0456alu_1pmc_g19_mdn</t>
  </si>
  <si>
    <t>lu</t>
  </si>
  <si>
    <t>i0141_1p011chg_g27_e001</t>
  </si>
  <si>
    <t>Resgatar ilustração de pessoa escovando os dentes de baixo para cima, veio do
g23_mdn_lt_1npc_p043, código antigo: i0456blu_1pmc_g19_mdn</t>
  </si>
  <si>
    <t>i0142_1p011chg_g27_e001</t>
  </si>
  <si>
    <t>Resgatar ilustração de pessoa escovando os dentes com movimento vai e Vem veio do
g23_mdn_lt_1npc_p043, código antigo: i0456clu_1pmc_g19_mdn</t>
  </si>
  <si>
    <t>i0143_1p011chg_g27_e001</t>
  </si>
  <si>
    <t>Resgatar ilustração de pessoa escovando os dentes de com o movimento sobe e desce, veio do
g23_mdn_lt_1npc_p043, código antigo: i0456dlu_1pmc_g19_mdn</t>
  </si>
  <si>
    <t>i0144_1p011chg_g27_e001</t>
  </si>
  <si>
    <t>Resgatar ilustração de pessoa segurando o fio dental veio do g23_mdn_lt_1npc_p043, código
antigo: i0457alu_1pmc_g19_mdn</t>
  </si>
  <si>
    <t>i0145_1p011chg_g27_e001</t>
  </si>
  <si>
    <t>Resgatar ilustração de pessoa passando o fio dental veio do g23_mdn_lt_1npc_p043, código antigo:
i0457blu_1pmc_g19_mdn</t>
  </si>
  <si>
    <t>i0146_1p011chg_g27_e001</t>
  </si>
  <si>
    <t>Resgatar ilustração de menino tomando banho veio do g23_mdn_lt_1npc_p044, código antigo:
i0409ly_1pmc_g19_mdn</t>
  </si>
  <si>
    <t>i0147_1p011chg_g27_e001</t>
  </si>
  <si>
    <t>Resgatar ilustração de traço de uma toalha veio do g23_mdn_lt_1npc_p044, código antigo:
i0410bly_1pmc_g19_mdn</t>
  </si>
  <si>
    <t>i0148_1p011chg_g27_e001</t>
  </si>
  <si>
    <t>Resgatar ilustração de traço de uma escova de dentes veio do g23_mdn_lt_1npc_p044, código
antigo: i0478km_1pmc_g19_mdn</t>
  </si>
  <si>
    <t>i0149_1p011chg_g27_e001</t>
  </si>
  <si>
    <t>Resgatar ilustração de traço de um papel higiênico veio do g23_mdn_lt_1npc_p044, código antigo:
i0410fly_1pmc_g19_mdn</t>
  </si>
  <si>
    <t>i0150_1p011chg_g27_e001</t>
  </si>
  <si>
    <t>Resgatar ilustração de traço de um sabonete veio do g23_mdn_lt_1npc_p044, código antigo:
i0410hly_1pmc_g19_mdn</t>
  </si>
  <si>
    <t>i0151_1p011chg_g27_e001</t>
  </si>
  <si>
    <t>Resgatar ilustração de traço de uma esponja veio do g23_mdn_lt_1npc_p044, código antigo:
i0410dly_1pmc_g19_mdn</t>
  </si>
  <si>
    <t>i0152_1p011chg_g27_e001</t>
  </si>
  <si>
    <t>Resgatar ilustração de traço de um xampu veio do g23_mdn_lt_1npc_p044, código antigo:
i0410cly_1pmc_g19_mdn</t>
  </si>
  <si>
    <t>i0153_1p011chg_g27_e001</t>
  </si>
  <si>
    <t>Resgatar ilustração de traço de um creme dental veio do g23_mdn_lt_1npc_p044, código antigo:
i0410gly_1pmc_g19_mdn</t>
  </si>
  <si>
    <t>i0154_1p011chg_g27_e001</t>
  </si>
  <si>
    <t>Resgatar ilustração de pessoa começando a lavar as mãos veio do g23_mdn_lt_1npc_p046, código
antigo: i0635alu_1npc_g23_mdn_aj</t>
  </si>
  <si>
    <t>i0155_1p011chg_g27_e001</t>
  </si>
  <si>
    <t>Resgatar ilustração de pessoa ensaboando as duas mãos veio do g23_mdn_lt_1npc_p046, código
antigo: i0635blu_1npc_g23_mdn_aj</t>
  </si>
  <si>
    <t>i0156_1p011chg_g27_e001</t>
  </si>
  <si>
    <t>Resgatar ilustração de pessoa esfregando as mãos veio do g23_mdn_lt_1npc_p046, código antigo:
i0635clu_1npc_g23_mdn_aj</t>
  </si>
  <si>
    <t>i0157_1p011chg_g27_e001</t>
  </si>
  <si>
    <t>Resgatar ilustração de pessoa esfregando os dedos veio do g23_mdn_lt_1npc_p046, código antigo:
i0635dlu_1npc_g23_mdn_aj</t>
  </si>
  <si>
    <t>i0158_1p011chg_g27_e001</t>
  </si>
  <si>
    <t>Resgatar ilustração de pessoa esfregando as pontas dos dedos veio do g23_mdn_lt_1npc_p046,
código antigo: i0635elu_1npc_g23_mdn_aj</t>
  </si>
  <si>
    <t>i0159_1p011chg_g27_e001</t>
  </si>
  <si>
    <t>Resgatar ilustração de pessoa lavando os punhos veio do g23_mdn_lt_1npc_p046, código antigo:
i0635flu_1npc_g23_mdn_aj</t>
  </si>
  <si>
    <t>i0160_1p011chg_g27_e001</t>
  </si>
  <si>
    <t>Resgatar ilustração de pessoa secando as mãos veio do g23_mdn_lt_1npc_p046, código antigo:
i0635glu_1npc_g23_mdn_aj</t>
  </si>
  <si>
    <t>i0187_1p011chg_g27_e001</t>
  </si>
  <si>
    <t>Resgatar ilustração de menino, código antigo: i0231vf_1nph_g23_mdn
VEM DO 1 NPI_G23_MDN_LT_P 33</t>
  </si>
  <si>
    <t>vf</t>
  </si>
  <si>
    <t>i0188_1p011chg_g27_e001</t>
  </si>
  <si>
    <t>Resgatar ilustração de idosa, código antigo: i0232vf_1nph_g23_mdn
VEM DO 1 NPI_G23_MDN_LT_P 33
Ajustar: Fazer a idosa sem o cabelo grisalho, pode ser umas mechas (para não estereotiparmos os idosos). Mas é importante que as rugas sejam evidentes, para não prejudicar a realização da
atividade.</t>
  </si>
  <si>
    <t>i0189_1p011chg_g27_e001</t>
  </si>
  <si>
    <t>Resgatar ilustração de menina, código antigo: i0233vf_1nph_g23_mdn - VEM DO 1 NPI_G23_MDN_LT_P 33</t>
  </si>
  <si>
    <t>i0190_1p011chg_g27_e001</t>
  </si>
  <si>
    <t>Resgatar ilustração de idoso, código antigo: i0234vf_1nph_g23_mdn
VEM DO 1 NPI_G23_MDN_LT_P 33</t>
  </si>
  <si>
    <t>i0191_1p011chg_g27_e001</t>
  </si>
  <si>
    <t>Resgatar ilustração de bebê, código antigo: i0235vf_1nph_g23_mdn_ef
VEM DO 1 NPI_G23_MDN_LT_P 33</t>
  </si>
  <si>
    <t>i0192_1p011chg_g27_e001</t>
  </si>
  <si>
    <t>Resgatar ilustração de mulher, código antigo: i0236vf_1nph_g23_mdn
VEM DO 1 NPI_G23_MDN_LT_P 33</t>
  </si>
  <si>
    <t>i0201_1p011chg_g27_e001</t>
  </si>
  <si>
    <t>Resgatar ilustração de crianças comendo frutas e fazendo suco com o apoio do professor, veio do
g23_mdn_lt_1npc_p047, código antigo: i0421ec_1pmc_g19_mdn_ly</t>
  </si>
  <si>
    <t>i0301_1p011chg_g27_e001</t>
  </si>
  <si>
    <t>Resgatar il de um menino recortano uma folha, uma garota na cadeira de rodas segurando um livro ao fundo, página 38, g23_mdn_lt_1nph. Código antigo: i0415gr_1pmh_g19_mdn
AJUSTAR: ajustar cadeira de rodas de acordo com a cadeira padrão, inserir freio, ajustar o pegador e aro de impusão - Cadeira de Rodas Genesys Ultra-lite "X" Infantil Ortobras - Mobility Brasil - Maior Especialista em Cadeira de Rodas do Brasil</t>
  </si>
  <si>
    <t>gr</t>
  </si>
  <si>
    <t>Keithy Mostachi</t>
  </si>
  <si>
    <t>Resgate com ajuste</t>
  </si>
  <si>
    <t>i0302_1p011chg_g27_e001</t>
  </si>
  <si>
    <t>Resgatar ilustração com os mesmos personagens da il anterior, fazendo um cartaz, colando os recortes , página 39, g23_mdn_lt_1nph. Código antigo: i0416gr_1pmh_g19_mdn</t>
  </si>
  <si>
    <t>i0303_1p011chg_g27_e001</t>
  </si>
  <si>
    <t>AJUSTANDO</t>
  </si>
  <si>
    <t>i0304_1p011chg_g27_e001</t>
  </si>
  <si>
    <t>NOVA</t>
  </si>
  <si>
    <t>Reilustrar a antiga Ilustração de crianças brincando com um quebra cabeça no chão da sala, código antigo: i0605hj_1pmg_g19_mdn, veio do 1NPI_G23, p. 50</t>
  </si>
  <si>
    <t>vc</t>
  </si>
  <si>
    <t>Arte</t>
  </si>
  <si>
    <t>i0305_1p011chg_g27_e001</t>
  </si>
  <si>
    <t>Reilustrar a antiga Ilustração de uma família sentados a mesa fazendo uma refeição, código antigo: i0606hj_1pmg_g19_mdn, veio do 1NPI_G23, p. 50</t>
  </si>
  <si>
    <t>i0306_1p011chg_g27_e001</t>
  </si>
  <si>
    <t xml:space="preserve">Resgatar ilustração de um quarto, código antigo: i0613dd_1pmg_g19_mdn_ef_LOcopy2.
Veio 1NPI_G23, p. 52.
Ajuste: separar a ilustração do quarto das demais imagens.
</t>
  </si>
  <si>
    <t>i0307_1p011chg_g27_e001</t>
  </si>
  <si>
    <t>Resgatar ilustração de uma sala, código antigo: i0613dd_1pmg_g19_mdn_ef_LOcopy2.
Veio 1NPI_G23, p. 52.
Ajuste: separar a ilustração da sala das demais imagens</t>
  </si>
  <si>
    <t>i0308_1p011chg_g27_e001</t>
  </si>
  <si>
    <t xml:space="preserve">Resgatar ilustração de uma cozinha, código antigo: i0613dd_1pmg_g19_mdn_ef_LOcopy1.
Veio 1NPI_G23, p. 52.
Ajuste: separar a ilustração da cozinha das demais imagens.
</t>
  </si>
  <si>
    <t>i0309_1p011chg_g27_e001</t>
  </si>
  <si>
    <t xml:space="preserve">Resgatar ilustração de um banheiro, código antigo: i0613dd_1pmg_g19_mdn_ef_LOcopy1.
Veio 1NPI_G23, p. 52.
Ajuste: separar a ilustração do banheiro das demais imagens.
</t>
  </si>
  <si>
    <t>i0310_1p011chg_g27_e001</t>
  </si>
  <si>
    <t>Ilustração de uma cama, código antigo: i0617mk_1pmg_g19_mdn. Veio do 1NPI_G23, p. 53.</t>
  </si>
  <si>
    <t>mk</t>
  </si>
  <si>
    <t>i0311_1p011chg_g27_e001</t>
  </si>
  <si>
    <t>Ilustração de um chuveiro, código antigo: i0618mk_1pmg_g19_mdn. Veio do 1NPI_G23, p. 53.</t>
  </si>
  <si>
    <t>i0312_1p011chg_g27_e001</t>
  </si>
  <si>
    <t>Ilustração de um sofá, código antigo: i0619mk_1pmg_g19_mdn. Veio do 1NPI_G23, p. 53.</t>
  </si>
  <si>
    <t>i0313_1p011chg_g27_e001</t>
  </si>
  <si>
    <t>Ilustração de uma geladeira, código antigo: i0620mk_1pmg_g19_mdn. Veio do 1NPI_G23, p. 53.</t>
  </si>
  <si>
    <t>i0314_1p011chg_g27_e001</t>
  </si>
  <si>
    <t>Resgatar ilustração de criança com um baú de brinquedos, código antigo: i0637dd_1pmg_g19_mdn. Veio do 1NPI_G23, p. 62.</t>
  </si>
  <si>
    <t>i0315_1p011chg_g27_e001</t>
  </si>
  <si>
    <t>Resgatar ilustração de menina e homem dando banho em um cachorro, código antigo: i0638dd_1pmg_g19_mdn. Veio do 1NPI_G23, p. 62.</t>
  </si>
  <si>
    <t>i0316_1p011chg_g27_e001</t>
  </si>
  <si>
    <t>Resgatar ilustração de menino arrumando sua cama, código antigo: i0639dd_1pmg_g19_mdn. Veio do 1NPI_G23, p. 62.</t>
  </si>
  <si>
    <t>i0317_1p011chg_g27_e001</t>
  </si>
  <si>
    <t>Resgatar ilustração de menina guardando seus sapatos, código antigo: i0640dd_1pmg_g19_mdn. Veio do 1NPI_G23, p. 62.</t>
  </si>
  <si>
    <t>i0318_1p011chg_g27_e001</t>
  </si>
  <si>
    <t>Resgatar ilustração de menina guardando seus brinquedos. Veio do g23_mdn_lt_1npc_p058, código antigo i0443ly_1pmc_g19_mdn</t>
  </si>
  <si>
    <t>i0319_1p011chg_g27_e001</t>
  </si>
  <si>
    <t>Resgatar ilustração de menino guardando sua roupa. Veio do g23_mdn_lt_1npc_p058, código antigo i0444ly_1pmc_g19_mdn</t>
  </si>
  <si>
    <t>i0320_1p011chg_g27_e001</t>
  </si>
  <si>
    <t>Resgatar ilustração de menino arrumando sua cama. Veio do g23_mdn_lt_1npc_p058, código antigo i0445ly_1pmc_g19_mdn</t>
  </si>
  <si>
    <t>i0321_1p011chg_g27_e001</t>
  </si>
  <si>
    <t>Resgatar ilustração de menina jogando lixo no lixo. Veio do g23_mdn_lt_1npc_p058, código antigo i0446ly_1pmc_g19_mdn
AJUSTE: inserir adulto ao lado da garota</t>
  </si>
  <si>
    <t>i0322_1p011chg_g27_e001</t>
  </si>
  <si>
    <t>Resgatar ilustração de símbolo de plástico reciclável. Veio do g23_mdn_lt_1npc_p059, código antigo i0448mk_1pmc_g19_mdn - AJUSTE - REMOVER A ESCRITA “PET”</t>
  </si>
  <si>
    <t>i0323_1p011chg_g27_e001</t>
  </si>
  <si>
    <t>Resgatar ilustração de símbolo de alumínio reciclável. Veio do g23_mdn_lt_1npc_p059, código antigo i0449mk_1pmc_g19_mdn</t>
  </si>
  <si>
    <t>i0324_1p011chg_g27_e001</t>
  </si>
  <si>
    <t>Resgatar ilustração de símbolo de vidro reciclável. Veio do g23_mdn_lt_1npc_p059, código antigo i0450mk_1pmc_g19_mdn</t>
  </si>
  <si>
    <t>i0325_1p011chg_g27_e001</t>
  </si>
  <si>
    <t xml:space="preserve">Resgatar ilustração de homem e criança limpando uma sala, código antigo: i0618vf_1nph_g23_mdn_aj. Veio de 1NPI_G23, p. 63.
Ajuste: colocar fio de força (para representar que estaria ligado na energia) no aspirador.
</t>
  </si>
  <si>
    <t>i0326_1p011chg_g27_e001</t>
  </si>
  <si>
    <t>Resgatar ilustração de homem lavando a louca e duas crianças sentadas a mesa, código antigo: i0645vs_1m2seh_m20_stl_re. Veio de 1NPI_G23, p. 63.</t>
  </si>
  <si>
    <t>vs</t>
  </si>
  <si>
    <t>i0327_1p011chg_g27_e001</t>
  </si>
  <si>
    <t>Resgatar ilustração de menina, código antigo: i0440hj_1pmh_g19_mdn_ef. Veio de 1NPI_G23, p. 66.</t>
  </si>
  <si>
    <t>hj</t>
  </si>
  <si>
    <t>i0328_1p011chg_g27_e001</t>
  </si>
  <si>
    <t>Resgatar ilustração de uma família sentado no sofá, código antigo: i0441hj_1pmh_g19_mdn_ef. Veio de 1NPI_G23, p. 66.</t>
  </si>
  <si>
    <t>i0329_1p011chg_g27_e001</t>
  </si>
  <si>
    <t xml:space="preserve">Resgatar ilustração de pai e mãe repreendendo sua filha, código antigo: i0442hj_1pmh_g19_mdn_ef. Veio de 1NPI_G23, p. 66.
Ajuste: Trocar cena. Ao invés de ter sujado a casa, a criança deve ser repreendida por deixar os brinquedos jogados na sala. Precisa ficar evidente que os brinquedos não estão sendo usados e a criança esqueceu de guardar.
Combinado com a Tati, retirar a sujeira de lama do chão e da menina, recortar os brinquedos da ilustração i0330_1p011chg_g27_e001 (código antigo: i0443hj_1pmh_g19_mdn_ef ) e aplicar nessa cena. Caso não for possível, ilustrar um vaso quebrado.
</t>
  </si>
  <si>
    <t>i0330_1p011chg_g27_e001</t>
  </si>
  <si>
    <t>Resgatar ilustração de crianças brincando, código antigo: i0443hj_1pmh_g19_mdn_ef. Veio de 1NPI_G23, p. 67.</t>
  </si>
  <si>
    <t>i0331_1p011chg_g27_e001</t>
  </si>
  <si>
    <t>Resgatar ilustração de criança machucada, código antigo: i0444hj_1pmh_g19_mdn_ef. Veio de 1NPI_G23, p. 67.
Ajuste1: ao invés de chinelos, a menina deve estar usando sapatos, igual ao irmão.
Ajuste2: Fazer Ajuste: Inserir Um Muro Mais Ou Menos Na Direção Da Pedra, Para Dar Ideia De Que As Crianças Estão Em Um Quintal Fechado</t>
  </si>
  <si>
    <t>i0332_1p011chg_g27_e001</t>
  </si>
  <si>
    <t>Resgatar ilustração de carinha alegre, código antigo: i0445Aba_1pmh_g19_mdn. Veio de 1NPI_G23, p. 67.</t>
  </si>
  <si>
    <t>ba</t>
  </si>
  <si>
    <t>i0333_1p011chg_g27_e001</t>
  </si>
  <si>
    <t>Resgatar ilustração de carinha triste, código antigo: i0445Bba_1pmh_g19_mdn. Veio de 1NPI_G23, p. 67.</t>
  </si>
  <si>
    <t>i0334_1p011chg_g27_e001</t>
  </si>
  <si>
    <t>Resgatar ilustração de senhor e crianças, código antigo: i0614gr_1nph_g23_mdn_aj. Veio de 1NPI_G23, p. 70.</t>
  </si>
  <si>
    <t>i0335_1p011chg_g27_e001</t>
  </si>
  <si>
    <t>Resgatar ilustração de menino dando tchau para outra criança dentro de um carro, código antigo: i0420gr_1pmh_g19_mdn_ef. Veio de 1NPI_G23, p. 70.</t>
  </si>
  <si>
    <t>Ilustração planilhada duas vezes a que está valendo é a da linha 151</t>
  </si>
  <si>
    <t>i0336_1p011chg_g27_e001</t>
  </si>
  <si>
    <t>Resgatar ilustração mulher e homem, código antigo: i0421gr_1pmh_g19_mdn. Veio de 1NPI_G23, p. 71.</t>
  </si>
  <si>
    <t>i0337_1p011chg_g27_e001</t>
  </si>
  <si>
    <t>Resgatar ilustração de homem e mulher abraçando uma senhora, código antigo: i0422gr_1pmh_g19_mdn_ef. Veio de 1NPI_G23, p. 71.</t>
  </si>
  <si>
    <t>i0338_1p011chg_g27_e001</t>
  </si>
  <si>
    <t>Resgatar ilustração de mulher e homem se olhando, código antigo: i0423gr_1pmh_g19_mdn_ef. Veio de 1NPI_G23, p. 71.</t>
  </si>
  <si>
    <t>i0339_1p011chg_g27_e001</t>
  </si>
  <si>
    <t xml:space="preserve">Resgatar ilustração de uma cozinha Veio do g23_mdn_lt_1npc_p091, código antigo i0807ly_1pmc_g19_mdn
Ajuste: Melhorar um pouco a perspectiva conforme sugestão da Arte: Retirar um pedaço da pia (do jeito que estava, nem fazia sentido as portas abrirem). Reformar toda a mesa e cadeiras ao centro, de forma que combinem com o resto da perspectiva da ilustra.
</t>
  </si>
  <si>
    <t>i0340_1p011chg_g27_e001</t>
  </si>
  <si>
    <t xml:space="preserve">Resgatar ilustração de menino escolhendo uma calça. Veio do g23_mdn_lt_1npc_p098, código antigo i0831aly_1pmc_g19_mdn_ly
Recado leitura plástica: Ajustar o recorte da ilustração se colocar um fundo cor já melhora
</t>
  </si>
  <si>
    <t>i0341_1p011chg_g27_e001</t>
  </si>
  <si>
    <t xml:space="preserve">Resgatar ilustração de menino finalizando uma compra. Veio do g23_mdn_lt_1npc_p098, código antigo i0831bly_1pmc_g19_mdn_ly
Recado leitura plástica: Ajustar o recorte da ilustração se colocar um fundo cor já melhora
</t>
  </si>
  <si>
    <t>i0342_1p011chg_g27_e001</t>
  </si>
  <si>
    <t xml:space="preserve">Resgatar ilustração de menino com um brinquedo na mão. Veio do g23_mdn_lt_1npc_p099, código antigo i0831cly_1pmc_g19_mdn_ly
Recado leitura plástica: Ajustar o recorte da ilustração se colocar um fundo cor já melhora
</t>
  </si>
  <si>
    <t>i0343_1p011chg_g27_e001</t>
  </si>
  <si>
    <t xml:space="preserve">Resgatar ilustração de menino separando lixo. Veio do g23_mdn_lt_1npc_p099, código antigo i0831dly_1pmc_g19_mdn_ly
Recado leitura plástica: Ajustar o recorte da ilustração se colocar um fundo cor já melhora
</t>
  </si>
  <si>
    <t>i0344_1p011chg_g27_e001</t>
  </si>
  <si>
    <t xml:space="preserve">Resgatar ilustração de menino escolhendo um produto Veio do g23_mdn_lt_1npc_p099 código antigo i0831ely_1pmc_g19_mdn_ly
Recado leitura plástica: Ajustar o recorte da ilustração se colocar um fundo cor já melhora
</t>
  </si>
  <si>
    <t>i0345_1p011chg_g27_e001</t>
  </si>
  <si>
    <t>Resgatar ilustração de menina ruiva, código antigo: i0610Avf_1m2seh_m20_stl_ly. Veio de 1NPI_G23, p. 75.</t>
  </si>
  <si>
    <t>i0346_1p011chg_g27_e001</t>
  </si>
  <si>
    <t>Resgatar ilustração de menino moreno, código antigo: i0611Avf_1m2seh_m20_stl_ly. Veio de 1NPI_G23, p. 75.</t>
  </si>
  <si>
    <t>i0347_1p011chg_g27_e001</t>
  </si>
  <si>
    <t>Resgatar ilustração de menina morena, código antigo: i0612Avf_1m2seh_m20_stl_ef. Veio de 1NPI_G23, p. 75.</t>
  </si>
  <si>
    <t>i0348_1p011chg_g27_e001</t>
  </si>
  <si>
    <t>Resgatar ilustração de pai, mãe e menina, código antigo: i0611Bvf_1m2seh_m20_stl_ly. Veio de 1NPI_G23, p. 75.</t>
  </si>
  <si>
    <t>i0349_1p011chg_g27_e001</t>
  </si>
  <si>
    <t>Resgatar ilustração de família grande, código antigo: i0612Bvf_1m2seh_m20_stl_ly_ef. Veio de 1NPI_G23, p. 75.</t>
  </si>
  <si>
    <t>i0350_1p011chg_g27_e001</t>
  </si>
  <si>
    <t>Resgatar ilustração de homem e mulher, código antigo: i0610Bvf_1m2seh_m20_stl_ly. Veio de 1NPI_G23, p. 75.</t>
  </si>
  <si>
    <t>i0351_1p011chg_g27_e001</t>
  </si>
  <si>
    <t>Ilustração de travesseiro, código antigo: i1023rm_1npg_g23_mdn. Veio de 1NPI_G23, p. 77.</t>
  </si>
  <si>
    <t>rm</t>
  </si>
  <si>
    <t>i0352_1p011chg_g27_e001</t>
  </si>
  <si>
    <t>Ilustração de garfo e faca, código antigo: i1024rm_1npg_g23_mdn. Veio de 1NPI_G23, p. 77.</t>
  </si>
  <si>
    <t>i0353_1p011chg_g27_e001</t>
  </si>
  <si>
    <t>Ilustração de panela, código antigo: i1025rm_1npg_g23_mdn. Veio de 1NPI_G23, p. 77.</t>
  </si>
  <si>
    <t>i0354_1p011chg_g27_e001</t>
  </si>
  <si>
    <t>Ilustração de pasta de dente e escova, código antigo: i1026rm_1npg_g23_mdn. Veio de 1NPI_G23, p. 77.</t>
  </si>
  <si>
    <t>i0355_1p011chg_g27_e001</t>
  </si>
  <si>
    <t>Ilustração de cachorro, casinha de cachorro, árvore e uma plantação, código antigo: i0642dd_1pmg_g19_mdn_ef. Veio de 1NPI_G23, p. 77.</t>
  </si>
  <si>
    <t>i0356_1p011chg_g27_e001</t>
  </si>
  <si>
    <t>Ilustração mesma cena da ilustração anterior, porém com algumas bagunças, código antigo: i0643dd_1pmg_g19_mdn_ef. Veio de 1NPI_G23, p. 77.</t>
  </si>
  <si>
    <t>i0701_1p011chg_g27_e001</t>
  </si>
  <si>
    <t>Resgatar ilustração de crianças brincando no quintal. Veio do g23_mdn_lt_1npc_p066. 
Código antigo: i1002ly_1npc_g23_mdn_aj</t>
  </si>
  <si>
    <t>i0702_1p011chg_g27_e001</t>
  </si>
  <si>
    <t>Resgatar ilustração de menino dormindo. Veio do g23_mdn_lt_1npc_p066. 
Código antigo: i1003ly_1npc_g23_mdn_aj</t>
  </si>
  <si>
    <t>i0703_1p011chg_g27_e001</t>
  </si>
  <si>
    <t>Resgatar ilustração de menino acordando. Veio do g23_mdn_lt_1npc_p067,
código antigo: i0606wh_1pmc_g19_mdn_LOcopy4</t>
  </si>
  <si>
    <t>wh</t>
  </si>
  <si>
    <t>i0704_1p011chg_g27_e001</t>
  </si>
  <si>
    <t>Resgatar ilustração de menino sendo acompanhado pela mãe para ir a escola. Veio do
g23_mdn_lt_1npc_p067, código antigo: i0606wh_1pmc_g19_mdn_LOcopy3</t>
  </si>
  <si>
    <t>i0705_1p011chg_g27_e001</t>
  </si>
  <si>
    <t>Resgatar ilustração de crianças brincando de bola. Veio do g23_mdn_lt_1npc_p067,
código antigo: i0606wh_1pmc_g19_mdn_LOcopy2</t>
  </si>
  <si>
    <t>i0706_1p011chg_g27_e001</t>
  </si>
  <si>
    <t>Resgatar ilustração de menino dormindo. Veio do g23_mdn_lt_1npc_p067,
código antigo: i0606wh_1pmc_g19_mdn_LOcopy1</t>
  </si>
  <si>
    <t>i0707_1p011chg_g27_e001</t>
  </si>
  <si>
    <t>Resgatar ilustração de menina tomando banho. Veio do g23_mdn_lt_1npc_p070,
código antigo: i0613ly_1pmc_g19_mdn</t>
  </si>
  <si>
    <t>i0708_1p011chg_g27_e001</t>
  </si>
  <si>
    <t>Resgatar ilustração de menino dormindo. Veio do g23_mdn_lt_1npc_p070,
código antigo: i0614ly_1pmc_g19_mdn</t>
  </si>
  <si>
    <t>i0709_1p011chg_g27_e001</t>
  </si>
  <si>
    <t>Resgatar ilustração de pai e filho fazendo a tarefa escolar Veio do g23_mdn_lt_1npc_p070,
código antigo: i0615ly_1pmc_g19_mdn</t>
  </si>
  <si>
    <t>i0710_1p011chg_g27_e001</t>
  </si>
  <si>
    <t>Resgatar ilustração de um ambiente com vários animais durante o dia. Veio do
g23_mdn_lt_1npc_p081, código antigo: i0644ec_1pmc_g19_mdn</t>
  </si>
  <si>
    <t>i0711_1p011chg_g27_e001</t>
  </si>
  <si>
    <t>Resgatar ilustração de um ambiente com vários animais durante a noite. Veio do
g23_mdn_lt_1npc_p081, código antigo: i0645ec_1pmc_g19_mdn</t>
  </si>
  <si>
    <t>i0712_1p011chg_g27_e001</t>
  </si>
  <si>
    <t>Resgatar ilustração de professora e alunos em sala de aula Veio do g23_mdn_lt_1npc_p074,
código antigo: i1006asq_1npc_g23_mdn_aj
Ajuste: Retirar a seta que “linkava” o calendário da página par com o calendário da página ímpar e
atualizar o calendário para setembro de 2027</t>
  </si>
  <si>
    <t>sq</t>
  </si>
  <si>
    <t>Bruna Campos</t>
  </si>
  <si>
    <t>i0713_1p011chg_g27_e001</t>
  </si>
  <si>
    <t>Resgatar ilustração de calendário de set de 2023 Veio do g23_mdn_lt_1npc_p075, código antigo:
i1006Bsq_1npc_g23_mdn_aj]
Ajuste: ajustar o calendário para setembro de 2027</t>
  </si>
  <si>
    <t>i0714_1p011chg_g27_e001</t>
  </si>
  <si>
    <t>Resgatar ilustração de calendário de 2023. Veio do g23_mdn_lt_1npc_p076, código antigo:
i1007zz_1npc_g23_mdn_aj
Ajustar o calendário para o ano de 2027
dia 20 novembro incluir  tembém o feriado do Dia Nacional de Zumbi</t>
  </si>
  <si>
    <t>ca</t>
  </si>
  <si>
    <t>CAMILA CARMONA/ARQUIVO DA EDITORA</t>
  </si>
  <si>
    <t>i0715_1p011chg_g27_e001</t>
  </si>
  <si>
    <t>Resgatar ilustração de calendário de nov de 2023 Veio do g23_mdn_lt_1npc_p079, código antigo:
i1009zz_1npc_g23_mdn_aj
Ajuste: Atualizar calendário para o mês de novembro de 2027. Além dos feriados do dia 2 e do dia
15, incluir o feriado do Dia Nacional de Zumbi e da Consciência Negra (dia 20)</t>
  </si>
  <si>
    <t>i0716_1p011chg_g27_e001</t>
  </si>
  <si>
    <t>Ilustração de sol, código antigo: i0849mk_1pmg_g19_mdn
Vem do 1NPI_G23_LT_MDN, p. 148</t>
  </si>
  <si>
    <t>i0717_1p011chg_g27_e001</t>
  </si>
  <si>
    <t>Ilustração de sol e nuvem, código antigo: i0850mk_1pmg_g19_mdn
Vem do 1NPI_G23_LT_MDN, p. 148</t>
  </si>
  <si>
    <t>i0718_1p011chg_g27_e001</t>
  </si>
  <si>
    <t>Ilustração de nuvens, código antigo: i0851mk_1pmg_g19_mdn
Vem do 1NPI_G23_LT_MDN, p. 148</t>
  </si>
  <si>
    <t>i0719_1p011chg_g27_e001</t>
  </si>
  <si>
    <t>Ilustração de nuvem e gotas de água caindo dela, código antigo: i0852mk_1pmg_g19_mdn
Vem do 1NPI_G23_LT_MDN, p. 148</t>
  </si>
  <si>
    <t>i0720_1p011chg_g27_e001</t>
  </si>
  <si>
    <t>Ilustração de crianças observando a natureza, código antigo: i0853gr_1pmg_g19_mdn_ef,
Vem do 1NPI_G23_LT_Mdn, p. 149</t>
  </si>
  <si>
    <t>i0721_1p011chg_g27_e001</t>
  </si>
  <si>
    <t xml:space="preserve">A - Ilustração de menina de cerca de 7 anos acordando, desligando o despertador que indica 6h30. A janela do quarto deverá ser transparente e apareça o dia ensolarado. 
B - Ilustração da mesma menina de cerca de 7 anos da il anterior na escola uniformizada, estudando, sentada em uma carteira perto da janela, mostrar que o dia ficou nublado. 
C - Ilustração da mesma menina de cerca de 7 anos da il anterior dentro de um ônibus com seu pai, dando a impressão que está voltando da escola para casa, da janela do ônibus, ver chuva. Ilustrar a menina com o uniforme escolar e agora com uma jaqueta de manga longa. 
D - Ilustração da mesma menina de cerca de 7 anos da il anterior no quintal de sua casa, chutando uma bola, ela deve estar com roupas frescas, como bermuda e camiseta, mostrar o dia ensolarado e o chão do quintal molhado – a menina deverá estar na varanda, protegida do sol. 
Atenção: a representação do chão do quintal molhado e da menina brincando pode não ser adequado pelo risco de acidente, por isso ela não deve estar sobre a poça de água.  </t>
  </si>
  <si>
    <t>rv</t>
  </si>
  <si>
    <t>R: 07/04 ; F: 09/04</t>
  </si>
  <si>
    <t>PAGO</t>
  </si>
  <si>
    <t>i0722_1p011chg_g27_e001</t>
  </si>
  <si>
    <t>Ilustração da mesma menina de cerca de 7 anos da il anterior na escola uniformizada, estudando,
sentada em uma carteira perto da janela, mostrar que o dia ficou nublado.</t>
  </si>
  <si>
    <t>juntou tudo na i0721_1p011chg_g27_e001</t>
  </si>
  <si>
    <t>i0723_1p011chg_g27_e001</t>
  </si>
  <si>
    <t>Ilustração da mesma menina de cerca de 7 anos da il anterior dentro de um ônibus com seu pai,
dando a impressão que está voltando da escola para casa, da janela do ônibus, ver chuva. Ilustrar a
menina com o uniforme escolar e agora com uma jaqueta de manga longa.</t>
  </si>
  <si>
    <t>juntou tudo na i0721_1p011chg_g27_e002</t>
  </si>
  <si>
    <t>i0724_1p011chg_g27_e001</t>
  </si>
  <si>
    <t>Ilustração da mesma menina de cerca de 7 anos da il anterior no quintal de sua casa, chutando uma
bola, ela deve estar com roupas frescas, como bermuda e camiseta, mostrar o dia ensolarado e o
chão do quintal molhado – a menina deverá estar na varanda, protegida do sol.
Atenção: a representação do chão do quintal molhado e da menina brincando pode não ser
adequado pelo risco de acidente, por isso ela não deve estar sobre a poça de água.</t>
  </si>
  <si>
    <t>juntou tudo na i0721_1p011chg_g27_e003</t>
  </si>
  <si>
    <t>i0725_1p011chg_g27_e001</t>
  </si>
  <si>
    <t>Ilustração de sol, código antigo: i0854mk_1pmg_g19
_mdn Vem do 1NPI_G23_LT_mdn , p. 150</t>
  </si>
  <si>
    <t>i0726_1p011chg_g27_e001</t>
  </si>
  <si>
    <t>Ilustração de sol e nuvem, código antigo: i0855mk_1pmg_g19_
mdn Vem do 1NPI_G23_LT_mdn , p. 150</t>
  </si>
  <si>
    <t>i0727_1p011chg_g27_e001</t>
  </si>
  <si>
    <t>Ilustração de nuvens, código antigo: i0856mk_1pmg_g19_
mdn Vem do 1NPI_G23_LT_mdn , p. 150</t>
  </si>
  <si>
    <t>i0728_1p011chg_g27_e001</t>
  </si>
  <si>
    <t>Ilustração de nuvem e gotas de água caindo dela, código
antigo: i0857mk_1pmg_g19 _mdn Vem do 1NPI_G23_LT_mdn, p. 150</t>
  </si>
  <si>
    <t>i0729_1p011chg_g27_e001</t>
  </si>
  <si>
    <t>Resgatar ilustração de menino dormindo Veio do g23_mdn_lt_1npc_p087,
código antigo: i1003ly_1npc_g23_mdn_aj</t>
  </si>
  <si>
    <t>i0730_1p011chg_g27_e001</t>
  </si>
  <si>
    <t>Resgatar ilustração de criança e mãe comemorando o aniversário Veio do g23_mdn_lt_1npc_p087,
código antigo: i1025ly_1npc_g23_mdn_ly
Ajuste: ajustar o contraste e aumentar os textos da il.</t>
  </si>
  <si>
    <t>if0731_1p011chg_g27_e001</t>
  </si>
  <si>
    <t>IL + FOTO</t>
  </si>
  <si>
    <t>Ilustração de criança brincando com areia, código antigo: i0867dd_1pmg_g19_md e f0858_1pmg_g19_mdn. Ajuste: juntar os arquivos .</t>
  </si>
  <si>
    <t>if0732_1p011chg_g27_e001</t>
  </si>
  <si>
    <t>Ilustração de uma menina com roupas de frio, código antigo: i0868dd_1pmg_g19_mdn e f0861_1pmg_g19_mdn . Ajuste: juntar os arquivos .</t>
  </si>
  <si>
    <t>g0236_1p011chg_g27_e001</t>
  </si>
  <si>
    <t>LINHA TEMPO</t>
  </si>
  <si>
    <t xml:space="preserve">resgatar e ajustar linha do tempo no padrão do projeto gráfico para se adequar ao digital.
AJUSTE: separar linha do tempo em A e B para se adequar ao digital. veio do 1npi_g23_mdn_lt_p34
</t>
  </si>
  <si>
    <t>zz</t>
  </si>
  <si>
    <t>Rebecca Baniski</t>
  </si>
  <si>
    <t>VINICIUS COSTA \ ARQUIVO DA EDITORA</t>
  </si>
  <si>
    <t>PADRÃO</t>
  </si>
  <si>
    <t>g0237_1p011chg_g27_e001</t>
  </si>
  <si>
    <t>Compor a segunda parte da linha do tempo no padrão da obra. Ver referência</t>
  </si>
  <si>
    <t>Excluído. Faz parte da g0236.</t>
  </si>
  <si>
    <t xml:space="preserve">Ilustração de menino dando tchau para outra criança dentro de um carro.
Ajustes: Encostar o carro no chão, ilustrar a menina sentada corretamente no banco, levemente virada para trás, acenando para o menino; fechar um pouco a abertura da parte traseira do carro; fazer um risquinho simulando o número da placa; se necessário após o ajuste da menina, ilustrar uma silhueta representando o motorista do carro. 
 código antigo: i0420gr_1pmh_g19_mdn_ef. Veio de 1NPI_G23, p. 70.
</t>
  </si>
  <si>
    <t>i0243_1p011chg_g27_e001</t>
  </si>
  <si>
    <t>Resgatar ilustração de crianças brincando de roda Veio do g23_mdn_lt_1npc_p068, código antigo: i0611ec_1pmc_g19_mdn</t>
  </si>
  <si>
    <t>i0244_ 1p011chg_g27_e001</t>
  </si>
  <si>
    <t>Ilustração de três crianças correndo em um espaço como uma quadra da escola, com grades/muro ao fundo.</t>
  </si>
  <si>
    <t>g0238_1p011chg_g27_e001</t>
  </si>
  <si>
    <t xml:space="preserve">resgatar e ajustar linha do tempo conforme projeto gráfico fazendo as devidas alterações para de adequar ao digital. Linha do tempo resgate - 1NPI_G23-MDN_LT_P30
&lt;Ajustar anos da linha do tempo: 2014 até 2025&gt;
</t>
  </si>
  <si>
    <t>g0239_1p011chg_g27_e001</t>
  </si>
  <si>
    <t xml:space="preserve">resgatar e ajustar linha do tempo conforme projeto gráfico fazendo as devidas alterações para se adequar ao digital. Linha do tempo da vida de uma pessoa (mãe da Adriana)
Resgatar em 1 NPI_G23_MDN_LT_p34
</t>
  </si>
  <si>
    <t>i0501_1p011chg_g27_e001</t>
  </si>
  <si>
    <t>Resgatar ilustração de família, a mulher está com um livro em suas mãos e todos observam. Veio do g23_mdn_lt_1npi_p080. Código antigo: i1002vf_1nph_g23_mdn</t>
  </si>
  <si>
    <t>i0502_1p011chg_g27_e001</t>
  </si>
  <si>
    <t>Resgatar ilustração de professora com alunos em sala de aula. Veio do g23_mdn_lt_1npi_p080. Código antigo: i1003vf_1nph_g23_mdn</t>
  </si>
  <si>
    <t>i0503_1p011chg_g27_e001</t>
  </si>
  <si>
    <t>Resgatar ilustração de parte de uma cidade com várias pessoas Veio do g23_mdn_lt_1npi_p081. Código antigo: i1004vf_1nph_g23_mdn</t>
  </si>
  <si>
    <t>i0504_1p011chg_g27_e001</t>
  </si>
  <si>
    <t>Ilustração de mãos infantis fazendo desenhos em uma folha. Veio do g23_mdn_lt_1npi_p082. Código antigo: i0625vf_1npg_g23_mdn</t>
  </si>
  <si>
    <t>i0505_1p011chg_g27_e001</t>
  </si>
  <si>
    <t xml:space="preserve">Resgatar ilustração de menina cadeirante com livro nas mãos. Veio do g23_mdn_lt_1npi_p083. Código antigo: i0402dd_1pmg_g19_mdn
ajustar a cadeira conforme o padrão correto, conforme modelo do link a seguir:
https://www.mobilitybrasil.com.br/cadeira-de-rodas-genesys-ultra-lite-x-infantil-ortobras
</t>
  </si>
  <si>
    <t>Regaste com ajuste</t>
  </si>
  <si>
    <t>i0506_1p011chg_g27_e001</t>
  </si>
  <si>
    <t>Resgatar ilustração de menino escrevendo em caderno. Veio do g23_mdn_lt_1npi_p083. Código antigo: i0403dd_1pmg_g19_mdn</t>
  </si>
  <si>
    <t>i0507_1p011chg_g27_e001</t>
  </si>
  <si>
    <t>Resgatar ilustração de menino jogando. Veio do g23_mdn_lt_1npi_p083. Código antigo: i0405dd_1pmg_g19_mdn_ef</t>
  </si>
  <si>
    <t>i0508_1p011chg_g27_e001</t>
  </si>
  <si>
    <t>Resgatar ilustração de menina fazendo um desenho em uma folha. Veio do g23_mdn_lt_1npi_p083. Código antigo: i0406dd_1pmg_g19_mdn_ef</t>
  </si>
  <si>
    <t>i0509_1p011chg_g27_e001</t>
  </si>
  <si>
    <t>Resgatar ilustração de uma escola código antigo i0606kw_1pmh_g19_mdn. Veio do g23_mdn_lt_1npi_p090_p091
AJUSTES: - adequar o espelho ao digital, separar em A e B
 - alterar os lanches do refeitório (parecem salgados fritos/assados). O ideal é que tivesse um passa-prato para a cozinha da escola
 - ajustar os pratos das crianças, como estivessem comendo refeição (arroz, feijão, salada, etc). Essas mudanças se justificaria pelo guia alimentar.
 - Fazer inserção de diversidade –obeso/sobrepeso/com gesso. Sugestão do obeso e sobrepeso poderia ser o menino no banheiro e a menina correndo, e com gesso poderia ser algum aluno da sala de aula.
- No funcionário do refeitório inserir luva e máscara</t>
  </si>
  <si>
    <t>kw</t>
  </si>
  <si>
    <t>i0510_1p011chg_g27_e001</t>
  </si>
  <si>
    <t xml:space="preserve">Resgatar ilustração de crianças brincado, código antigo: i0612gr_1pmh_g19_mdn
Veio do g23_mdn_lt_1npi_p093
Ajustes:
•	ajustar a cadeira de rodas totalmente fora do padrão (sem suporte de pé, estrutura da cadeira, aro de impulsão, apoios laterais, pegadores traseiros, rodas dianteiras, etc).
•	Inserir pernas no menino na cadeira de rodas 
•	Excluir a bola flutuando 
</t>
  </si>
  <si>
    <t>i0565_1p011chg_g27_e001</t>
  </si>
  <si>
    <t>Resgatar ilustração de família, código antigo: i0613gr_1pmh_g19_mdn
Veio do g23_mdn_lt_1npi_p093
Ajuste: diminuir um pouco o nariz do homem</t>
  </si>
  <si>
    <t>i0511_1p011chg_g27_e001</t>
  </si>
  <si>
    <t>Resgatar ilustração de professora brincando com alunos, código antigo: i0615lb_1npg_g23_mdn_aj
Veio do g23_mdn_lt_1npi_p096</t>
  </si>
  <si>
    <t>lb</t>
  </si>
  <si>
    <t>i0512_1p011chg_g27_e001</t>
  </si>
  <si>
    <t>Resgatar ilustração de uma mulher, código antigo: i0652lb_1npg_g23_mdn_aj
Veio do g23_mdn_lt_1npi_p097</t>
  </si>
  <si>
    <t>i0513_1p011chg_g27_e001</t>
  </si>
  <si>
    <t>Resgatar ilustração de uma cozinheira, código antigo: i0653lb_1npg_g23_mdn_aj
Veio do g23_mdn_lt_1npi_p097
AJUSTE: ajustar para pessoa homem, principalmente na parte do busto. E não pode ser negro.</t>
  </si>
  <si>
    <t>i0514_1p011chg_g27_e001</t>
  </si>
  <si>
    <t>Resgatar ilustração de um zelador, código antigo: i0654lb_1npg_g23_mdn_aj
Veio do g23_mdn_lt_1npi_p097</t>
  </si>
  <si>
    <t>i0515_1p011chg_g27_e001</t>
  </si>
  <si>
    <t>Resgatar e ajustar ilustração de dois homens e uma criança na porta da escola, código antigo: i0655lb_1npg_g23_mdn_aj
Veio do g23_mdn_lt_1npi_p097
Ajuste: Deixar o porteiro como uma mulher branca e inserir óculos para contemplar inclusão de diversidade.</t>
  </si>
  <si>
    <t>i0516_1p011chg_g27_e001</t>
  </si>
  <si>
    <t xml:space="preserve">Resgatar ilustração de um zelador e uma criança jogando o lixo corretamente na lixeira, código antigo: i0626gr_1pmh_g19_mdn
Veio do g23_mdn_lt_1npi_p100
</t>
  </si>
  <si>
    <t>i0517_1p011chg_g27_e001</t>
  </si>
  <si>
    <t>Resgatar ilustração de crianças conversando, código antigo: i0656lb_1npg_g23_mdn_aj
Veio do g23_mdn_lt_1npi_p102</t>
  </si>
  <si>
    <t>i0518_1p011chg_g27_e001</t>
  </si>
  <si>
    <t>Resgatar ilustração de professora em sala de aula aparecendo 3 crianças, código antigo: i0657lb_1npg_g23_mdn_aj
Veio do g23_mdn_lt_1npi_p102</t>
  </si>
  <si>
    <t>i0519_1p011chg_g27_e001</t>
  </si>
  <si>
    <t>Resgatar ilustração de crianças em sala de aula conversando, código antigo:   
Ajustar a roda grande do lado direito, a roda está para fora e o aro de propulsão está para dentro.
i0658lb_1npg_g23_mdn_aj
Veio do g23_mdn_lt_1npi_p103</t>
  </si>
  <si>
    <t>i0520_1p011chg_g27_e001</t>
  </si>
  <si>
    <t>Resgatar ilustração de crianças apresentando um trabalho escolar, duas delas estão jogando coisas no lixo, veio do g23_mdn_lt_1npi_p103. Código antigo: i0659lb_1npg_g23_mdn_aj</t>
  </si>
  <si>
    <t>i0521_1p011chg_g27_e001</t>
  </si>
  <si>
    <t>Resgatar ilustração de crianças arrumando a sala de aula, código antigo: i0457dd_1pmg_g19_mdn. Veio do g23_mdn_lt_1npi_p106</t>
  </si>
  <si>
    <t>i0522_1p011chg_g27_e001</t>
  </si>
  <si>
    <t>AVALIANDO</t>
  </si>
  <si>
    <t>Resgatar ilustração de criança devolvendo livro para bibliotecária, código antigo: i0458dd_1pmg_g19_mdn. Veio do g23_mdn_lt_1npi_p106</t>
  </si>
  <si>
    <t>i0523_1p011chg_g27_e001</t>
  </si>
  <si>
    <t>Resgatar ilustração de crianças varrendo a sala de aula, código antigo: i0459dd_1pmg_g19_mdn. Veio do g23_mdn_lt_1npi_p107</t>
  </si>
  <si>
    <t>i0524_1p011chg_g27_e001</t>
  </si>
  <si>
    <t>Resgatar ilustração de crianças sentadas na mesa escolar, código antigo: i0460dd_1pmg_g19_mdn
Veio do g23_mdn_lt_1npi_p107</t>
  </si>
  <si>
    <t>i0525_1p011chg_g27_e001</t>
  </si>
  <si>
    <t xml:space="preserve">Resgatar ilustração de observando o ambiente escolar, código antigo i0442ec_1pmc_g19_mdn_ly, veio do g23_mdn_lt_1npc_p057
AJUSTAR as palavras papel, vidro, plástico e metal utilizando o Contrast Checker </t>
  </si>
  <si>
    <t>i0526_1p011chg_g27_e001</t>
  </si>
  <si>
    <t>Resgatar ilustração de carteira escolar, código antigo i0806ly_1pmc_g19_mdn
Veio do g23_mdn_lt_1npc_p090
Ajustar para melhorar um pouco a perspectiva da ilustração, conforme sugestão da arte. Deixar a cadeira mais para trás, trazendo os pés frontais da carteira mais para frente.</t>
  </si>
  <si>
    <t>i0528_1p011chg_g27_e001</t>
  </si>
  <si>
    <t>Resgatar ilustração de caderno colorido Código antigo: i0461dd_1pmg_g19_mdn. Veio do g23_mdn_lt_1npg_p053</t>
  </si>
  <si>
    <t>i0529_1p011chg_g27_e001</t>
  </si>
  <si>
    <t>Resgatar ilustração de lápis colorido Código antigo: i0462dd_1pmg_g19_mdn. Veio do g23_mdn_lt_1npg_p053</t>
  </si>
  <si>
    <t>i0530_1p011chg_g27_e001</t>
  </si>
  <si>
    <t>Resgatar ilustração de apontador vermelho Código antigo: i0463dd_1pmg_g19_mdn. Veio do g23_mdn_lt_1npg_p053</t>
  </si>
  <si>
    <t>i0531_1p011chg_g27_e001</t>
  </si>
  <si>
    <t>Resgatar ilustração de tesoura roxa Código antigo: i0464dd_1pmg_g19_mdn. Veio do g23_mdn_lt_1npg_p053</t>
  </si>
  <si>
    <t>i0532_1p011chg_g27_e001</t>
  </si>
  <si>
    <t>Resgatar ilustração de apontador azul Código antigo: i0465dd_1pmg_g19_mdn. Veio do g23_mdn_lt_1npg_p053</t>
  </si>
  <si>
    <t>i0533_1p011chg_g27_e001</t>
  </si>
  <si>
    <t>Resgatar ilustração de caderno azul Código antigo: i0466dd_1pmg_g19_mdn. Veio do g23_mdn_lt_1npg_p053</t>
  </si>
  <si>
    <t>i0534_1p011chg_g27_e001</t>
  </si>
  <si>
    <t>Resgatar ilustração de tesoura azul Código antigo: i0467dd_1pmg_g19_mdn. Veio do g23_mdn_lt_1npg_p053</t>
  </si>
  <si>
    <t>i0535_1p011chg_g27_e001</t>
  </si>
  <si>
    <t>Resgatar ilustração de lápis azul Código antigo: i0468dd_1pmg_g19_mdn. Veio do g23_mdn_lt_1npg_p053</t>
  </si>
  <si>
    <t>i0536_1p011chg_g27_e001</t>
  </si>
  <si>
    <t>Resgatar ilustração de pessoas acenando uma para outra, código antigo: i0620vf_1nph_g23_mdn
Veio do g23_mdn_lt_1npi_p118</t>
  </si>
  <si>
    <t>i0537_1p011chg_g27_e001</t>
  </si>
  <si>
    <t>Resgatar ilustração de criança jogando lixo na lixeira correta, código antigo: i0621vf_1nph_g23_mdn. Veio do g23_mdn_lt_1npi_p118
Ajustar – inserir um adulto próximo a criança</t>
  </si>
  <si>
    <t>i0538_1p011chg_g27_e001</t>
  </si>
  <si>
    <t>Resgatar ilustração de mulher e criança atravessando a rua na faixa de pedestre, código antigo: i0622vf_1nph_g23_mdn
Veio do g23_mdn_lt_1npi_p119</t>
  </si>
  <si>
    <t>i0539_1p011chg_g27_e001</t>
  </si>
  <si>
    <t>Resgatar ilustração de um quadro negro, código antigo: i0806mk_1pmh_g19_mdn
Veio do g23_mdn_lt_1npi_p130</t>
  </si>
  <si>
    <t>i0540_1p011chg_g27_e001</t>
  </si>
  <si>
    <t xml:space="preserve">Resgatar ilustração de um quadro negro desenhado um gráfico nele, código antigo: i0807mk_1pmh_g19_mdn
Veio do g23_mdn_lt_1npi_p131
Inserir um título e a fonte do gráfico.
Título: Brincadeiras preferidas da turma
Fonte: Turma do 1º ano
</t>
  </si>
  <si>
    <t>i0541_1p011chg_g27_e001</t>
  </si>
  <si>
    <t>Resgatar ilustração de crianças brincando de esconde-esconde, código antigo: i0850gr_1pmh_g19_mdn_ef_LOcopy2
Veio do g23_mdn_lt_1npi_p132
AJUSTE: Separar as ils</t>
  </si>
  <si>
    <t>i0542_1p011chg_g27_e001</t>
  </si>
  <si>
    <t>Resgatar ilustração de crianças brincando de esconde-esconde, código antigo: i0850gr_1pmh_g19_mdn_ef_LOcopy1
Veio do g23_mdn_lt_1npi_p132
AJUSTE: Separar as ils</t>
  </si>
  <si>
    <t>i0543_1p011chg_g27_e001</t>
  </si>
  <si>
    <t>Resgatar ilustração de parte de uma cidade, uma mulher e uma menina andando de bicicleta, código antigo: i1430lb_1npg_g23_mdn_aj
Veio do g23_mdn_lt_1npi_p140
Ajustar:
- Na ciclovia incluir sinalização horizontal e vertical como faixa de divisa e placas. 
- Na menina inserir cotoveleira e joelheira .</t>
  </si>
  <si>
    <t>i0544_1p011chg_g27_e001</t>
  </si>
  <si>
    <t>Resgatar ilustração de uma árvore, código antigo: i0803lb_1pmg_g19_mdn
Veio do g23_mdn_lt_1npi_p141</t>
  </si>
  <si>
    <t>i0545_1p011chg_g27_e001</t>
  </si>
  <si>
    <t>Resgatar ilustração de uma indústria, código antigo: i0806lb_1pmg_g19_mdn
Veio do g23_mdn_lt_1npi_p141</t>
  </si>
  <si>
    <t>i0546_1p011chg_g27_e001</t>
  </si>
  <si>
    <t>Resgatar ilustração de um chafariz, código antigo: i0809lb_1pmg_g19_mdn_ef
Veio do g23_mdn_lt_1npi_p141</t>
  </si>
  <si>
    <t>i0547_1p011chg_g27_e001</t>
  </si>
  <si>
    <t>Resgatar ilustração de uma farmácia, código antigo: i0804lb_1pmg_g19_mdn
Veio do g23_mdn_lt_1npi_p141</t>
  </si>
  <si>
    <t>i0548_1p011chg_g27_e001</t>
  </si>
  <si>
    <t>Resgatar illustração de uma casa, código antigo: i0807lb_1pmg_g19_mdn_ef
Veio do g23_mdn_lt_1npi_p141</t>
  </si>
  <si>
    <t>i0549_1p011chg_g27_e001</t>
  </si>
  <si>
    <t>Resgatar ilustração de uma ponte, código antigo: i0810lb_1pmg_g19_mdn
Veio do g23_mdn_lt_1npi_p141</t>
  </si>
  <si>
    <t>i0550_1p011chg_g27_e001</t>
  </si>
  <si>
    <t>Resgatar ilustração de uma padaria, código antigo: i0805lb_1pmg_g19_mdn_ef
Veio do g23_mdn_lt_1npi_p141</t>
  </si>
  <si>
    <t>i0551_1p011chg_g27_e001</t>
  </si>
  <si>
    <t>Resgatar ilustração de um rio, código antigo: i0808lb_1pmg_g19_mdn
Veio do g23_mdn_lt_1npi_p141</t>
  </si>
  <si>
    <t>i0552_1p011chg_g27_e001</t>
  </si>
  <si>
    <t>Resgatar ilustração de uma igreja, código antigo: i0811lb_1pmg_g19_mdn
Veio do g23_mdn_lt_1npi_p141</t>
  </si>
  <si>
    <t>i0553_1p011chg_g27_e001</t>
  </si>
  <si>
    <t>Resgatar ilustração de uma cidade, código antigo: i0812dd_1pmg_g19_mdn. Veio do g23_mdn_lt_1npi_p142
AJUSTE: - Inserir um adulto atrás/próximo da criança. Verificar se é possível encaixar o homem da il i0414dd_2npg_m20_mdn_aj.psd. 
- Na menina (na imagem geral e seu zoom) inserir um aparelho dentário
- Inserir piso tátil nas calçadas e rampas de acesso</t>
  </si>
  <si>
    <t>i0554_1p011chg_g27_e001</t>
  </si>
  <si>
    <t>Resgatar ilustração de cinema, código antigo: i0814dd_1pmg_g19_mdn
Veio do g23_mdn_lt_1npi_p143</t>
  </si>
  <si>
    <t>i0555_1p011chg_g27_e001</t>
  </si>
  <si>
    <t>Resgatar ilustração de posto de gasolina, código antigo: i0813dd_1pmg_g19_mdn
Veio do g23_mdn_lt_1npi_p143</t>
  </si>
  <si>
    <t>i0556_1p011chg_g27_e001</t>
  </si>
  <si>
    <t>Resgatar ilustração de um hospital, código antigo: i0815dd_1pmg_g19_mdn
Veio do g23_mdn_lt_1npi_p143</t>
  </si>
  <si>
    <t>i0557_1p011chg_g27_e001</t>
  </si>
  <si>
    <t>Resgatar ilustração de correio, código antigo: i1402dd_1npg_g23_mdn_aj
Veio do g23_mdn_lt_1npi_p143</t>
  </si>
  <si>
    <t>i0558_1p011chg_g27_e001</t>
  </si>
  <si>
    <t>Resgatar ilustração de escola, código antigo: i0816dd_1pmg_g19_mdn
Veio do g23_mdn_lt_1npi_p143</t>
  </si>
  <si>
    <t>i0559_1p011chg_g27_e001</t>
  </si>
  <si>
    <t>Resgatar ilustração de padaria, código antigo: i0818dd_1pmg_g19_mdn
Veio do g23_mdn_lt_1npi_p143</t>
  </si>
  <si>
    <t>i0560_1p011chg_g27_e001</t>
  </si>
  <si>
    <t>Resgatar ilustração de farmácia, código antigo: i0820dd_1pmg_g19_mdn
Veio do g23_mdn_lt_1npi_p143</t>
  </si>
  <si>
    <t>i0561_1p011chg_g27_e001</t>
  </si>
  <si>
    <t>Resgatar ilustração de mercado, código antigo: i0819dd_1pmg_g19_mdn
Veio do g23_mdn_lt_1npi_p143</t>
  </si>
  <si>
    <t>i0562_1p011chg_g27_e001</t>
  </si>
  <si>
    <t>Resgatar ilustração de apontador, código antigo: i0642rm_1npg_g23_mdn
Veio do g23_mdn_lt_1npi_p112</t>
  </si>
  <si>
    <t>i0563_1p011chg_g27_e001</t>
  </si>
  <si>
    <t>Resgatar ilustração de caderno, código antigo: i0643rm_1npg_g23_mdn
Veio do g23_mdn_lt_1npi_p112</t>
  </si>
  <si>
    <t>i0564_1p011chg_g27_e001</t>
  </si>
  <si>
    <t>Resgatar ilustração de borracha, código antigo: i0644rm_1npg_g23_mdn
Veio do g23_mdn_lt_1npi_p112</t>
  </si>
  <si>
    <t>i0278_1p011chg_g27_e001</t>
  </si>
  <si>
    <t>O q vc já sabe?</t>
  </si>
  <si>
    <t>Ilustração de menino com os braços abertos, embaixo do braço esquerdo um patins e um carrinho, embaixo do braço direito um vaso e uma bola – 1NPI g23 p10 - i0243ct_1npg_g23_mdn_LOcopy5</t>
  </si>
  <si>
    <t>ct</t>
  </si>
  <si>
    <t>i0279_1p011chg_g27_e001</t>
  </si>
  <si>
    <t xml:space="preserve">Recortar Ilustração de bola i0243ct_1npg_g23_mdn_LOcopy1
1NPI g23 p10
</t>
  </si>
  <si>
    <t>resgate ajuste</t>
  </si>
  <si>
    <t>i0280_1p011chg_g27_e001</t>
  </si>
  <si>
    <t xml:space="preserve">Recortar Ilustração de carrinho  i0243ct_1npg_g23_mdn_LOcopy3    1NPI g23 p10
</t>
  </si>
  <si>
    <t>i0281_1p011chg_g27_e001</t>
  </si>
  <si>
    <t xml:space="preserve">Recortar Ilustração de patins i0243ct_1npg_g23_mdn_LOcopy4
1NPI g23 p10
</t>
  </si>
  <si>
    <t>i0282_1p011chg_g27_e001</t>
  </si>
  <si>
    <t xml:space="preserve">Recortar Ilustração de vaso de flor i0243ct_1npg_g23_mdn_LOcopy2        1NPI g23 p10
</t>
  </si>
  <si>
    <t>i0283_1p011chg_g27_e001</t>
  </si>
  <si>
    <t>Ilustração de família sentada a mesa fazendo uma refeição
Código g23: i0287_vf_1nph_g23_mdn</t>
  </si>
  <si>
    <t>i0284_1p011chg_g27_e001</t>
  </si>
  <si>
    <t>Ilustração de crianças em sala de aula
Código g23:  i0288vf_1nph_g23_mdn</t>
  </si>
  <si>
    <t>i0291_1p011chg_g27_e001</t>
  </si>
  <si>
    <t xml:space="preserve">1NPC_lt_G23 – p7
Il de uma mesa com um relógio digital marcando 21h00. próxima a uma janela aberta em que seja possível ver estrelas no céu
Cód. Antigo: i0234th_1npc_g23_mdn
</t>
  </si>
  <si>
    <t>th</t>
  </si>
  <si>
    <t>i0292_1p011chg_g27_e001</t>
  </si>
  <si>
    <t xml:space="preserve">1NPC G23 – p7
Il mesmo ambiente da il anterior de uma mesa com um relógio digital marcando 9h00. próxima a uma janela aberta em que seja possível ver o sol  -  Cód. Antigo: i0235th_1npc_g23_mdn
</t>
  </si>
  <si>
    <t>i0293_1p011chg_g27_e001</t>
  </si>
  <si>
    <t xml:space="preserve">1NPC G23 – p7
Il mesmo ambiente da il anterior de uma mesa com um relógio digital marcando 15h00. próxima a uma janela aberta
Cód. Antigo: i0236th_1npc_g23_mdn
</t>
  </si>
  <si>
    <t>i0294_1p011chg_g27_e001</t>
  </si>
  <si>
    <t xml:space="preserve">Ilustração de menina sentada em uma mesa de escola- g23_mdn_lt_1npg_pag 7
Cód. Antigo: i0248Aza_1npg_g23_mdn
</t>
  </si>
  <si>
    <t>za</t>
  </si>
  <si>
    <t>i0295_1p011chg_g27_e001</t>
  </si>
  <si>
    <t xml:space="preserve">Ilustração de família fazendo um piquenique - g23_mdn_lt_1npg_pag 7
Cód. Antigo:  i0248Bza_1npg_g23_mdn
</t>
  </si>
  <si>
    <t>i0296_1p011chg_g27_e001</t>
  </si>
  <si>
    <t xml:space="preserve">Ilustração de médica consultando uma criança - g23_mdn_lt_1npg_pag 7
Cód. Antigo:  i0248Cza_1npg_g23_mdn
</t>
  </si>
  <si>
    <t>i0297_1p011chg_g27_e001</t>
  </si>
  <si>
    <t xml:space="preserve">Ilustração de um hospital - g23_mdn_lt_1npg_pag 7
Cód. Antigo:  i0248Dza_1npg_g23_mdn
</t>
  </si>
  <si>
    <t>i0298_1p011chg_g27_e001</t>
  </si>
  <si>
    <t xml:space="preserve">Ilustração de escola - g23_mdn_lt_1npg_pag 7
Cód. Antigo:  i0248Eza_1npg_g23_mdn
</t>
  </si>
  <si>
    <t>i0299_1p011chg_g27_e001</t>
  </si>
  <si>
    <t xml:space="preserve">Ilustração de parque- g23_mdn_lt_1npg_pag 7
Cód. Antigo:  i0248Fza_1npg_g23_mdn
</t>
  </si>
  <si>
    <t>i0300_1p011chg_g27_e001</t>
  </si>
  <si>
    <t xml:space="preserve">Ilustração de sol - g23_mdn_lt_1npg_pag 6
Cód. Antigo: i0246ct_1npg_g23_mdn 
</t>
  </si>
  <si>
    <t>i0901_1p011chg_g27_e001</t>
  </si>
  <si>
    <t xml:space="preserve">Ilustração de lua - g23_mdn_lt_1npg_pag 6
Cód. Antigo:  i0247ct_1npg_g23_mdn
</t>
  </si>
  <si>
    <t>i0904_1p011chg_g27_e001</t>
  </si>
  <si>
    <t>O q vc já aprendeu?</t>
  </si>
  <si>
    <t>Ilustração de menina com as mãos levantadas i1428ct_1npg_g23_mdn</t>
  </si>
  <si>
    <t>i0907_1p011chg_g27_e001</t>
  </si>
  <si>
    <t>Hora do teste</t>
  </si>
  <si>
    <t>Calendário do padrão mê de novembro 2027 - ajuste dia 20 novembro incluir  tembém o feriado do Dia Nacional de Zumbi</t>
  </si>
  <si>
    <t>arte</t>
  </si>
  <si>
    <t xml:space="preserve">i0733_1p011chg_g27_e001 </t>
  </si>
  <si>
    <t xml:space="preserve">Ajustar calendário para 2027 
Reaplicar i0714_1p011chg_g27_e001 ajustada, da página 234 deste arquivo. Ver a necessidade de mudar de cor. </t>
  </si>
  <si>
    <t>era resgate</t>
  </si>
  <si>
    <t>i0242_1p011chg_g27_e001</t>
  </si>
  <si>
    <t>Ilustração nova de professora escrevendo na lousa as informações obtidas da pesquisa sobre o número de calçados da turma. O texto acima deve ser manuscrito em CXA que indica o levantamento da numeração do calçado.</t>
  </si>
  <si>
    <t>RAFE: 25/04/2025
FINAL:30/04/2025</t>
  </si>
  <si>
    <t>i0267_1p011chg_g27_e001</t>
  </si>
  <si>
    <t>Ilustração de um montinho de areia com um palito de pontas arredondadas, tipo sorvete, fixado nesse montinho. Ao redor dele, ilustrar 4 crianças de aproximadamente 6 anos agachadas (não precisa aparecer o corpo todo delas) e só 1 delas com a mãozinha com os dedos em pinça tirando um pouquinho de areia</t>
  </si>
  <si>
    <t>g0245_1p011chg_g27_e001</t>
  </si>
  <si>
    <t>GRÁFICO</t>
  </si>
  <si>
    <t xml:space="preserve">Gráfico de coluna com as informações apresentadas na tabela acima. No eixo x indicar o número do calçado. No eixo y, indicar no número de alunos (0 a 15)
O gráfico deve ter 5 colunas e cada uma delas deve ser segmentada em 20 partes.
Os quadrinhos devem ser coloridos conforme o número de calçados.
Pintar 2 quadrinhos da coluna dos alunos que usam número de calçado 28.
Pintar 5 quadrinhos da coluna dos alunos que usam número de calçado 29.
Pintar 6 quadrinhos da coluna dos alunos que usam número de calçado 30.
Pintar 3 quadrinhos da coluna dos alunos que usam número de calçado 31.
Deixar em branco os quadrinhos da coluna dos alunos que usam número de calçado 32 ou mais.
</t>
  </si>
  <si>
    <t>ib</t>
  </si>
  <si>
    <t>ARTE</t>
  </si>
  <si>
    <t>g0246_1p011chg_g27_e001</t>
  </si>
  <si>
    <t xml:space="preserve">Gráfico de coluna para o aluno preencher. No eixo x indicar o número do calçado. No eixo y, indicar no número de alunos (0 a 20)
O gráfico deve ter 5 colunas, representadas por 28, 29, 30, 31, 32 ou mais respectivamente, e cada uma delas deve ser segmentada em 20 partes.
Deixar em branco os quadrinhos de cada coluna para os alunos pintarem. Os quadrinhos não devem ser muito estreito para facilitar o preenchimento pelos alunos.
</t>
  </si>
  <si>
    <t>i0251_1p011chg_g27_e001</t>
  </si>
  <si>
    <t xml:space="preserve">Ilustração em espelho total nas páginas 18 e 19
Vem DA PÁGINA 18 e 19, G23_MDN_LT_1NPC. Código antigo: i0215ec_1pmc_g19_mdn_ly
Ajuste: Retirar os textos dos rótulos dos alimentos (do tamanho que vai entrar não dará leitura), ajustar a il do espelho para que seja aplicada em uma única página (par), substituir o personagem Júlio por outra criança não cadeirante (como se ela estivesse indo em direção à Marcela).
</t>
  </si>
  <si>
    <t>Ingridhi Borges</t>
  </si>
  <si>
    <t>i0252_1p011chg_g27_e001</t>
  </si>
  <si>
    <t>Resgatar ilustração de pedestres atravessando a rua, página 21, g23_mdn_lt_1npc Código antigo i0219ec_1pmc_g19_mdn</t>
  </si>
  <si>
    <t>i0253_1p011chg_g27_e001</t>
  </si>
  <si>
    <t>resgatar ilustração de semáforo, página 21, g23_mdn_lt_1npc Código antigo i0220mk_1pmc_g19_mdn</t>
  </si>
  <si>
    <t>i0255_1p011chg_g27_e001</t>
  </si>
  <si>
    <t xml:space="preserve">Ilustração em espelho de crianças jogando e brincando em uma quadra página 28, g23_mdn_lt_1npc código antigo i0222ec_1pmc_g19_mdn_aj
Vem do 1NPC_G23_LT_MDN_P28. 
Ajustar a il para remover o menino empurrando a cadeirante (para dar autonomia ao cadeirante); a cadeirante deve estar realizando alguma atividade, como fazendo o circuito com cones (ela girando a roda); atentar para que o espaçamento entre os cones seja adequado para a cadeira passar. O menino que estava empurrando a cadeira deve ser excluído ou estar segurando uma bola nas mãos. 
</t>
  </si>
  <si>
    <t>i0258_1p011chg_g27_e001</t>
  </si>
  <si>
    <t xml:space="preserve">Ilustração de menino sentado em um sofá com vários brinquedos i0258ct_1npg_g23_mdn_LOcopy7
 VEM DO G23_MDN_LT_1NPI_P040
</t>
  </si>
  <si>
    <t>i0259_1p011chg_g27_e001</t>
  </si>
  <si>
    <t xml:space="preserve">Ilustração de uma pipa i0258ct_1npg_g23_mdn_LOcopy4
VEM DO G23_MDN_LT_1NPI_P040
</t>
  </si>
  <si>
    <t>Tatiane Galheiro</t>
  </si>
  <si>
    <t>i0260_1p011chg_g27_e001</t>
  </si>
  <si>
    <t xml:space="preserve">Ilustração de um vaso de flor i0258ct_1npg_g23_mdn_LOcopy6
VEM DO G23_MDN_LT_1NPI_P040
</t>
  </si>
  <si>
    <t>i0261_1p011chg_g27_e001</t>
  </si>
  <si>
    <t xml:space="preserve">Ilustração de um carrinho i0258ct_1npg_g23_mdn_LOcopy2
VEM DO G23_MDN_LT_1NPI_P040
</t>
  </si>
  <si>
    <t>i0262_1p011chg_g27_e001</t>
  </si>
  <si>
    <t xml:space="preserve">Ilustração de uma pipa i0258ct_1npg_g23_mdn_LOcopy4
 VEM DO G23_MDN_LT_1NPI_P040
</t>
  </si>
  <si>
    <t>i0263_1p011chg_g27_e001</t>
  </si>
  <si>
    <t>i0264_1p011chg_g27_e001</t>
  </si>
  <si>
    <t>i0265_1p011chg_g27_e001</t>
  </si>
  <si>
    <t xml:space="preserve">Ilustração de peixes i0257ct_1npg_g23_mdn
VEM DO G23_MDN_LT_1NPI_P039
</t>
  </si>
  <si>
    <t>i0268_1p011chg_g27_e001</t>
  </si>
  <si>
    <t xml:space="preserve">Inserir recortes da ilustração i0251_1p011chg_g27_e001. Menino comendo maçã
</t>
  </si>
  <si>
    <t>i0269_1p011chg_g27_e001</t>
  </si>
  <si>
    <t xml:space="preserve">Inserir recortes da ilustração i0251_1p011chg_g27_e001. Menina comendo sanduíche
</t>
  </si>
  <si>
    <t>i0270_1p011chg_g27_e001</t>
  </si>
  <si>
    <t xml:space="preserve">Inserir recortes da ilustração i0251_1p011chg_g27_e001. Menina tomando suco
</t>
  </si>
  <si>
    <t>i0271_1p011chg_g27_e001</t>
  </si>
  <si>
    <t xml:space="preserve">Inserir recortes da ilustração i0251_1p011chg_g27_e001. Menino ruivo
</t>
  </si>
  <si>
    <t>i0272_1p011chg_g27_e001</t>
  </si>
  <si>
    <t xml:space="preserve">Inserir recortes da ilustração i0251_1p011chg_g27_e001. Duas crianças correndo
</t>
  </si>
  <si>
    <t>i0381_1p011chg_g27_e001</t>
  </si>
  <si>
    <t>Ilustração de um sofá visto de frente, código antigo: i0622dd_1pmg_g19_mdn. Veio do 1NPI_G23, p. 54.</t>
  </si>
  <si>
    <t>i0382_1p011chg_g27_e001</t>
  </si>
  <si>
    <t>Ilustração de um sofá visto de cima para baixo, código antigo: i0622dd_1pmg_g19_mdn. Veio do 1NPI_G23, p. 54.</t>
  </si>
  <si>
    <t>i0383_1p011chg_g27_e001</t>
  </si>
  <si>
    <t xml:space="preserve"> AJUSTAR PARA MUDAR A PERSPECITVA EM QUE O FOGÃO É OBSERVADO. ELE DEVE SER ILUSTRADO DE FRENTE PARA NÃO APARECER AS BOCAS. Código antigo: i0624dd_1pmg_g19_mdn. Veio do 1NPI_G23, p. 54.</t>
  </si>
  <si>
    <t>i0384_1p011chg_g27_e001</t>
  </si>
  <si>
    <t>Ilustração de fogão visto do alto e de cima para baixo, código antigo: i0626dd_1pmg_g19_mdn. Veio do 1NPI_G23</t>
  </si>
  <si>
    <t>i0385_1p011chg_g27_e001</t>
  </si>
  <si>
    <t xml:space="preserve"> ajustar Ilustração da geladeira. Mudar a perspectiva de observação para não mostrar a parte superior. Ela deve ser observada de frente, mostrando apenas a suas portas.  código antigo: i0621dd_1pmg_g19_mdn. Veio do 1NPI_G23, p. 54</t>
  </si>
  <si>
    <t>i0389_1p011chg_g27_e001</t>
  </si>
  <si>
    <t>Resgatar Ilustração de peteca veio do g23_mdn_lt_1npg_p070. Código antigo: i0636mk_1pmg_g19_mdn</t>
  </si>
  <si>
    <t>i0390_1p011chg_g27_e001</t>
  </si>
  <si>
    <t>Resgatar ilustração de bola veio do g23_mdn_lt_1npg_p070. Código antigo: i0631mk_1pmg_g19_mdn</t>
  </si>
  <si>
    <t>i0391_1p011chg_g27_e001</t>
  </si>
  <si>
    <t>Resgatar ilustração de bicicleta veio do g23_mdn_lt_1npg_p070. Código antigo: i0633mk_1pmg_g19_mdn</t>
  </si>
  <si>
    <t>i0398_1p011chg_g27_e001</t>
  </si>
  <si>
    <t xml:space="preserve">Compor Ilustração de criança com seus familiares em frente a uma casa com boa estrutura. A casa pode ser popular e as crianças podem estar brincando na entrada da casa. O objetivo é passar a ideia de que todas as pessoas têm o direito a uma moradia adequada e digna para viver.
Inserir uma pessoa no quadro de diversidade – sobrepeso, vitiligo, prótese ortopédica, o que melhor encaixar na posposta da ilustração.
Ref: https://www.cohapar.pr.gov.br/sites/cohapar/arquivos_restritos/files/styles/escala_1140_largura_/public/imagem/2021-11/cantagalo_-_119_casas_nossa_gente_2.webp?itok=Flt5AWnG
</t>
  </si>
  <si>
    <t>la</t>
  </si>
  <si>
    <t>R:06/05 F:12/05</t>
  </si>
  <si>
    <t>i0402_1p011chg_g27_e001</t>
  </si>
  <si>
    <t>Resgatar Ilustração de oca, código antigo: i1027rm_1npg_g23_mdn. Veio do 1NPI_G23, p. 61</t>
  </si>
  <si>
    <t>i0403_1p011chg_g27_e001</t>
  </si>
  <si>
    <t>Resgatar ilustração de casa sobrado, código antigo: i1028rm_1npg_g23_mdn. Veio do 1NPI_G23, p. 61</t>
  </si>
  <si>
    <t>i0404_1p011chg_g27_e001</t>
  </si>
  <si>
    <t>Resgatar ilustração de palafita, código antigo: i1029rm_1npg_g23_mdn. Veio do 1NPI_G23, p. 61</t>
  </si>
  <si>
    <t>i0405_1p011chg_g27_e001</t>
  </si>
  <si>
    <t>Resgatar ilustração de prédio, código antigo: i1030rm_1npg_g23_mdn. Veio do 1NPI_G23, p. 61</t>
  </si>
  <si>
    <t>i0406_1p011chg_g27_e001</t>
  </si>
  <si>
    <t>Resgatar ilustração de gravetos, folha e terra, código antigo: i0657dd_1pmg_g19_mdn. Veio do 1NPI_G23, p. 61.</t>
  </si>
  <si>
    <t>i0407_1p011chg_g27_e001</t>
  </si>
  <si>
    <t>i0408_1p011chg_g27_e001</t>
  </si>
  <si>
    <t>Resgatar ilustração de casa de tijolo, código antigo: i0654dd_1pmg_g19_mdn. Veio do 1NPI_G23, p. 61</t>
  </si>
  <si>
    <t>i0409_1p011chg_g27_e001</t>
  </si>
  <si>
    <t>Resgatar ilustração de casa de madeira, código antigo: i0655dd_1pmg_g19_mdn. Veio do 1NPI_G23, p. 61</t>
  </si>
  <si>
    <t>i0410_1p011chg_g27_e001</t>
  </si>
  <si>
    <t>Resgatar ilustração de telha e madeira, código antigo: i0659dd_1pmg_g19_mdn. Veio do 1NPI_G23, p. 61.</t>
  </si>
  <si>
    <t>i0411_1p011chg_g27_e001</t>
  </si>
  <si>
    <t>Resgatar ilustração de casa de terra e madeira, código antigo: i0656dd_1pmg_g19_mdn. Veio do 1NPI_G23, p. 61.</t>
  </si>
  <si>
    <t>i0413_1p011chg_g27_e001</t>
  </si>
  <si>
    <t>Resgatar ilustração de menina varrendo o quintal. Veio do g23_mdn_lt_1npc_p055, código antigo i0463ly_1pmc_g19_mdn</t>
  </si>
  <si>
    <t>i0414_1p011chg_g27_e001</t>
  </si>
  <si>
    <t>Resgatar ilustração de menino guardando os brinquedos. Veio do g23_mdn_lt_1npc_p055, código antigo i0464ly_1pmc_g19_mdn</t>
  </si>
  <si>
    <t>i0415_1p011chg_g27_e001</t>
  </si>
  <si>
    <t>Resgatar ilustração de mulher jogando lixo no lixo. Veio do g23_mdn_lt_1npc_p055, código antigo i0466ly_1pmc_g19_mdn</t>
  </si>
  <si>
    <t>i0416_1p011chg_g27_e001</t>
  </si>
  <si>
    <t>Resgatar ilustração de homem secando a louça. Veio do g23_mdn_lt_1npc_p055, código antigo i0465ly_1pmc_g19_mdn</t>
  </si>
  <si>
    <t>i0417_1p011chg_g27_e001</t>
  </si>
  <si>
    <t>Resgatar ilustração de menino em seu quarto. Veio do g23_mdn_lt_1npc_p056, código antigo i0636ec_1npc_g23_mdn_aj</t>
  </si>
  <si>
    <t>i0423_1p011chg_g27_e001</t>
  </si>
  <si>
    <t>Ilustração de um quarto todo bagunçado, código antigo: i0641Add_1pmg_g19_mdn. Veio de 1NPI_G23, p. 64.</t>
  </si>
  <si>
    <t>i0481_1p011chg_g27_e001</t>
  </si>
  <si>
    <t xml:space="preserve">Resgatar ilustração de mulher arrumando a cama e crianças varrendo o chão
Veio de 1NPH_G23, p. 46.
</t>
  </si>
  <si>
    <t>i0114_2p011chg_g27_e001</t>
  </si>
  <si>
    <t>resgatar ilustração de crianças brincando de algumas brincadeiras i0220Akw_2pmh_g19_mdn_ef</t>
  </si>
  <si>
    <t>i0115_2p011chg_g27_e001</t>
  </si>
  <si>
    <t>resgatar Ilustração de crianças com vários brinquedos i0220Bkw_2pmh_g19_mdn_ef</t>
  </si>
  <si>
    <t>i0301_2p011chg_g27_e001</t>
  </si>
  <si>
    <t xml:space="preserve"> ilustração de senhor com uma menina sentados em um banco veio do 2NPI g23 - U3 p84 i0204Agr_2pmh_g19_mdn
Ajuste: diminuir um pouco o nariz e o queixo do senhor.
</t>
  </si>
  <si>
    <t>i0302_2p011chg_g27_e001</t>
  </si>
  <si>
    <t xml:space="preserve">Resgatar ilustração de mulher observando fotografias veio do 2NPI g23 - U3 p84 i0204Bgr_2pmh_g19_mdn_ef
</t>
  </si>
  <si>
    <t>i0303_2p011chg_g27_e001</t>
  </si>
  <si>
    <t>Resgatar ilustração de menina lendo livros i0204Cgr_2pmh_g19_mdn_ef</t>
  </si>
  <si>
    <t>i0304_2p011chg_g27_e001</t>
  </si>
  <si>
    <t>Resgatar ilustração de menina com vários livros i0204Dgr_2pmh_g19_mdn_ef</t>
  </si>
  <si>
    <t>i0305_2p011chg_g27_e001</t>
  </si>
  <si>
    <t xml:space="preserve"> ilustração de quarto de criança
 i0636_2nph_g23_mdn
Ajuste: diminuir um pouco a orelha da menina (todas as ocorrências)
</t>
  </si>
  <si>
    <t>g0306_2p011chg_g27_e001</t>
  </si>
  <si>
    <t xml:space="preserve"> linha do tempo com os acontecimentos da vida do Mateus.
Ajuste: atualizar a linha do tempo para o padrão
</t>
  </si>
  <si>
    <t>VINÍCIUS COSTA/ARQUIVO DA EDITORA</t>
  </si>
  <si>
    <t>i0307_2p011chg_g27_e001</t>
  </si>
  <si>
    <t xml:space="preserve">Resgatar ilustração de mãe amamentando seu bebê 
i0460Avf_2pmh_g19_mdn
</t>
  </si>
  <si>
    <t>i0308_2p011chg_g27_e001</t>
  </si>
  <si>
    <t>Resgatar ilustração de menino andando i0460Bvf_2pmh_g19_mdn</t>
  </si>
  <si>
    <t>i0309_2p011chg_g27_e001</t>
  </si>
  <si>
    <t>Resgatar ilustração de menino jogando bola i0460Cvf_2pmh_g19_mdn</t>
  </si>
  <si>
    <t>i0310_2p011chg_g27_e001</t>
  </si>
  <si>
    <t>Resgatar ilustração de menino na escola i0460Dvf_2pmh_g19_mdn</t>
  </si>
  <si>
    <t>i0311_2p011chg_g27_e001</t>
  </si>
  <si>
    <t>Resgatar ilustração de menino com um gatinho i0460Evf_2pmh_g19_mdn</t>
  </si>
  <si>
    <t>i0312_2p011chg_g27_e001</t>
  </si>
  <si>
    <t>Resgatar ilustração de mãe com menino e um bebê i0460Fvf_2pmh_g19_mdn</t>
  </si>
  <si>
    <t>i0313_2p011chg_g27_e001</t>
  </si>
  <si>
    <t>Resgatar ilustração de menino escrevendo em um papel i0460Gvf_2pmh_g19_mdn</t>
  </si>
  <si>
    <t>i0314_2p011chg_g27_e001</t>
  </si>
  <si>
    <t>Resgatar ilustração de menino com um amigo na escola i0460Hvf_2pmh_g19_mdn</t>
  </si>
  <si>
    <t>i0316_2p011chg_g27_e001</t>
  </si>
  <si>
    <t>Ilustração do calendário do padrão do ano de 2027</t>
  </si>
  <si>
    <t>i0317_2p011chg_g27_e001</t>
  </si>
  <si>
    <t xml:space="preserve">Resgatar ilustração de mulher e menino e um relógio antigo i0423gr_2pmh_g19_mdn
Ajuste: diminuir um pouco a orelha do menino e pedir para cobrir a parte superior do corpo do menino (estilo túnica diagnal)
</t>
  </si>
  <si>
    <t>i0318_2p011chg_g27_e001</t>
  </si>
  <si>
    <t>Resgatar ilustração de relógio na pedra antigo I0424fe_2pmh_g19_mdn</t>
  </si>
  <si>
    <t>fe</t>
  </si>
  <si>
    <t>i0319_2p011chg_g27_e001</t>
  </si>
  <si>
    <t>Resgatar ilustração de relógio de água I0425fe_2pmh_g19_mdn</t>
  </si>
  <si>
    <t>i0320_2p011chg_g27_e001</t>
  </si>
  <si>
    <t>Resgatar ilustração de ampulheta I0426fe_2pmh_g19_mdn</t>
  </si>
  <si>
    <t>i0321_2p011chg_g27_e001</t>
  </si>
  <si>
    <t>Resgatar ilustração de vela I0427fe_2pmh_g19_mdn</t>
  </si>
  <si>
    <t>i0322_2p011chg_g27_e001</t>
  </si>
  <si>
    <t>Resgatar ilustração de relógio de pêndulo I0428_2pmh_g19_mdn</t>
  </si>
  <si>
    <t>i0323_2p011chg_g27_e001</t>
  </si>
  <si>
    <t>Resgatar ilustração de relógio de pulso I0429fe_2pmh_g19_mdn</t>
  </si>
  <si>
    <t>i0324_2p011chg_g27_e001</t>
  </si>
  <si>
    <t>Resgatar ilustração de relógio digital I0430fe_2pmh_g19_mdn</t>
  </si>
  <si>
    <t>i0325_2p011chg_g27_e001</t>
  </si>
  <si>
    <t>Resgatar ilustração de relógio marcando as 8 horas da manhã -i0417rr_2nph_m20_mdn
converter pra ai</t>
  </si>
  <si>
    <t>rr</t>
  </si>
  <si>
    <t>i0326_2p011chg_g27_e001</t>
  </si>
  <si>
    <t>Resgatar ilustração de relógio marcando meio dia - i0418rr_2nph_m20_mdn
converter pra ai</t>
  </si>
  <si>
    <t>i0327_2p011chg_g27_e001</t>
  </si>
  <si>
    <t>Resgatar ilustração de relógio  i0419rr_2nph_m20_mdn</t>
  </si>
  <si>
    <t>i0328_2p011chg_g27_e001</t>
  </si>
  <si>
    <t xml:space="preserve">Resgatar ilustração de relógio  i0420rr_2nph_m20_mdn
</t>
  </si>
  <si>
    <t>i0329_2p011chg_g27_e001</t>
  </si>
  <si>
    <t xml:space="preserve">Resgatar ilustração de relógio  i0421rr_2nph_m20_mdn
</t>
  </si>
  <si>
    <t>i0330_2p011chg_g27_e001</t>
  </si>
  <si>
    <t xml:space="preserve">Resgatar ilustração de uma senhora e uma criança sentadas em um sofá, a criança deitada com a cabeça no colo da senhora
Ajuste: remover o cesto com rolos de linha
 i0636Avf_2pmh_g19_mdn
</t>
  </si>
  <si>
    <t>i0331_2p011chg_g27_e001</t>
  </si>
  <si>
    <t>Resgatar ilustração de álbum de fotos aberto i1022vf_2nph_g23_mdn_a</t>
  </si>
  <si>
    <t>i0332_2p011chg_g27_e001</t>
  </si>
  <si>
    <t>Resgatar ilustração do rosto da senhora da imagem anterior i0636Evf_2pmh_g19_mdn</t>
  </si>
  <si>
    <t>i0333_2p011chg_g27_e001</t>
  </si>
  <si>
    <t xml:space="preserve">Resgatar ilustração de baú de brinquedos aberto i0636Cvf_2pmh_g19_mdn- Ajuste: remover o chinelo
</t>
  </si>
  <si>
    <t>i0334_2p011chg_g27_e001</t>
  </si>
  <si>
    <t>Resgatar ilustração de um baú aberto, um ferro de passar roupa antigo, um relógio de bolso, um telefone antigo, uma boneca, um peão e umas moedas antigas i0640vf_2pmh_g19_mdn</t>
  </si>
  <si>
    <t>i0335_2p011chg_g27_e001</t>
  </si>
  <si>
    <t>Resgatar ilustração do rosto da senhora da imagem anterior i0636Dvf_2pmh_g19_mdn</t>
  </si>
  <si>
    <t>i0345_2p011chg_g27_e001</t>
  </si>
  <si>
    <t>Resgatar ilustração de fotografias i0622ll_2pmh_g19_mdn</t>
  </si>
  <si>
    <t>ll</t>
  </si>
  <si>
    <t>i0346_2p011chg_g27_e001</t>
  </si>
  <si>
    <t>Resgatar ilustração de materiais i0623ll_2pmh_g19_mdn</t>
  </si>
  <si>
    <t>i0347_2p011chg_g27_e001</t>
  </si>
  <si>
    <t>Resgatar ilustração de mão escrevendo em uma folha i0624ll_2pmh_g19_mdn</t>
  </si>
  <si>
    <t>i0348_2p011chg_g27_e001</t>
  </si>
  <si>
    <t>Resgatar ilustração de mão colando fotos em um papel i0625ll_2pmh_g19_mdn</t>
  </si>
  <si>
    <t>i0349_2p011chg_g27_e001</t>
  </si>
  <si>
    <t>Resgatar ilustração de mão escrevendo embaixo de algumas fotos i0626ll_2pmh_g19_mdn</t>
  </si>
  <si>
    <t>i0350_2p011chg_g27_e001</t>
  </si>
  <si>
    <t>Resgatar ilustração de um mini livro i0627ll_2pmh_g19_mdn</t>
  </si>
  <si>
    <t>i0351_2p011chg_g27_e001</t>
  </si>
  <si>
    <t>Resgatar Ilustração de uma mão grampeando o livro da imagem anterior i0628ll_2pmh_g19_mdn</t>
  </si>
  <si>
    <t>i0354_2p011chg_g27_e001</t>
  </si>
  <si>
    <t xml:space="preserve"> ilustração da carteira de trabalho digital –
ver ref: https://www.gov.br/trabalho-e-emprego/pt-br/noticias-e-conteudo/2023/novembro/documento-alcanca-mais-de-1-6-bilhao-de-acessos-em-4-anos-de-lancamento
</t>
  </si>
  <si>
    <t>Finalizada: 16/05</t>
  </si>
  <si>
    <t>i0355_2p011chg_g27_e001</t>
  </si>
  <si>
    <t xml:space="preserve">Ilustrar documento de passaporte impresso atualizado, conforme referência:
https://agenciabrasil.ebc.com.br/geral/noticia/2023-10/novo-modelo-de-passaporte-comeca-ser-emitido-pelo-governo
</t>
  </si>
  <si>
    <t>i0356_2p011chg_g27_e001</t>
  </si>
  <si>
    <t xml:space="preserve">Carteira de motorista, ilustrar de acordo com o modelo novo, usar os dados da il antiga i0616ll_2pmh_g19_mdn. 
Ajuste:  manter il da foto da mulher negra cabelo blackpower, mas sem faixa, sem qualquer acessório.
 compor conforme novo modelo de CNH: https://seucreditodigital.com.br/wp-content/uploads/2024/10/seucreditodigital.com.br-descubra-como-obter-sua-cnh-gratuita-atraves-do-cadunico-cnh-gratuita-1.jpg
</t>
  </si>
  <si>
    <t>i0357_2p011chg_g27_e001</t>
  </si>
  <si>
    <t xml:space="preserve">Cédula de identidade de um estrangeiro - i0617ll_2pmh_g19_mdn
Ajuste: atualizar a data de validade para o ano de 2030
</t>
  </si>
  <si>
    <t>i0360_2p011chg_g27_e001</t>
  </si>
  <si>
    <t xml:space="preserve">ajustar ilustração de duas pessoas que fazem parte da mesma comunidade, 
Ajustar para que as duas pessoas estejam na porta de suas casas – as janelas não possuem itens de segurança. Ref: shutter - 10933330
</t>
  </si>
  <si>
    <t>Rafe: 21/05
Final: 29/05</t>
  </si>
  <si>
    <t>i0361_2p011chg_g27_e001</t>
  </si>
  <si>
    <t>Resgatar ilustração de dois roqueiros i0802Asd_2pmh_g19_mdn</t>
  </si>
  <si>
    <t>sd</t>
  </si>
  <si>
    <t>Vinícius Costa</t>
  </si>
  <si>
    <t>resgate com ajuste</t>
  </si>
  <si>
    <t>i0362_2p011chg_g27_e001</t>
  </si>
  <si>
    <t>Resgatar ilustração de professora em sala de aula i0802Bsd_2pmh_g19_mdn</t>
  </si>
  <si>
    <t>i0363_2p011chg_g27_e001</t>
  </si>
  <si>
    <t>Resgatar ilustração de pessoas torcendo em uma arquibancada i0802Csd_2pmh_g19_mdn</t>
  </si>
  <si>
    <t>i0364_2p011chg_g27_e001</t>
  </si>
  <si>
    <t>Resgatar ilustração de uma cidade i0802Dsd_2pmh_g19_mdn</t>
  </si>
  <si>
    <t>i0365_2p011chg_g27_e001</t>
  </si>
  <si>
    <t>Resgatar de cozinheira conversando com alunos i0810id_2pmh_g19_mdn</t>
  </si>
  <si>
    <t>i0366_2p011chg_g27_e001</t>
  </si>
  <si>
    <t>Resgate Ilustração título de eleitor digital  - 2nph_g23_mdn- Cód. Antigo: i1024vf_2nph_g23_mdn</t>
  </si>
  <si>
    <t>i0501_2p011chg_g27_e001</t>
  </si>
  <si>
    <t>Resgatar ilustração de um desenho de um vaso de planta Veio do g23_mdn_lt_2npc_p022, código antigo: i0216ly_2pmc_g19_mdn</t>
  </si>
  <si>
    <t>i0504_2p011chg_g27_e001</t>
  </si>
  <si>
    <t>Resgatar ilustração de aguapé Veio do g23_mdn_lt_2npc_p024 código antigo i0297lu_2pmc_g19_mdn_ly</t>
  </si>
  <si>
    <t>i0509_2p011chg_g27_e001</t>
  </si>
  <si>
    <t>Resgatar ilustração de uma casa mostrando a sala e parte da cozinha Veio do g23_mdn_lt_2npc_p027 código antigo i0228la_2pmc_g19_mdn_ef</t>
  </si>
  <si>
    <t>i0510_2p011chg_g27_e001</t>
  </si>
  <si>
    <t>Resgatar ilustração de uma casa com jardim e pomar Veio do g23_mdn_lt_2npc_p029 código antigo i0230la_2pmc_g19_mdn</t>
  </si>
  <si>
    <t>i0511_2p011chg_g27_e001</t>
  </si>
  <si>
    <t>Resgatar ilustração de menino arando o solo. Veio do g23_mdn_lt_2npc_p032, código antigo: i0235la_2pmc_g19_mdn_ef</t>
  </si>
  <si>
    <t>i0512_2p011chg_g27_e001</t>
  </si>
  <si>
    <t>Resgatar ilustração de rapaz regando a plantação de rabanete. Veio do g23_mdn_lt_2npc_p032, código antigo: i0236la_2pmc_g19_mdn</t>
  </si>
  <si>
    <t>i0513_2p011chg_g27_e001</t>
  </si>
  <si>
    <t>Resgatar ilustração de rapaz retirando outras plantas que nasceram entre os rabanetes. Veio do g23_mdn_lt_2npc_p032, código antigo i0237la_2pmc_g19_mdn_ef</t>
  </si>
  <si>
    <t>i0514_2p011chg_g27_e001</t>
  </si>
  <si>
    <t>Resgatar ilustração de rapaz colhendo os rabanetes. Veio do g23_mdn_lt_2npc_p032, código antigo: i0238la_2pmc_g19_mdn</t>
  </si>
  <si>
    <t>i0517_2p011chg_g27_e001</t>
  </si>
  <si>
    <t>Resgatar ilustração de menina regando as plantas. Veio do g23_mdn_lt_2npc_p032, código antigo: i0247ly_2pmc_g19_mdn</t>
  </si>
  <si>
    <t>i0518_2p011chg_g27_e001</t>
  </si>
  <si>
    <t>Resgatar ilustração de menino cuidando de sua horta. Veio do g23_mdn_lt_2npc_p032, código antigo i0248ly_2pmc_g19_mdn</t>
  </si>
  <si>
    <t>i0523_2p011chg_g27_e001</t>
  </si>
  <si>
    <t xml:space="preserve"> il do fundo de fotomontagem de um álbum de fotos, código antigo: i0435ly_2pmc_g19_mdn_ly. Veio do g23_mdn_lt_2npc_p060
AJUSTE: dividir a ilustração para que essa parte fique na pág (par).
</t>
  </si>
  <si>
    <t>i0527_2p011chg_g27_e001</t>
  </si>
  <si>
    <t xml:space="preserve">il de fundo da página do álbum de hélio, código antigo: i0435ly_2pmc_g19_mdn_ly. Veio do g23_mdn_lt_2npc_p061
AJUSTE: dividir a ilustração para que essa parte fique na pág (ímpar)
</t>
  </si>
  <si>
    <t>i0536_2p011chg_g27_e001</t>
  </si>
  <si>
    <t>Resgatar ilustração de silhueta de pinguim, código antigo: i0431rm_2pmc_g19_mdn. Veio do g23_mdn_lt_2npc_p064</t>
  </si>
  <si>
    <t>i0537_2p011chg_g27_e001</t>
  </si>
  <si>
    <t>Resgatar ilustração de silhueta de leopardo, código antigo: i0432rm_2pmc_g19_mdn. Veio do g23_mdn_lt_2npc_p064</t>
  </si>
  <si>
    <t>i0538_2p011chg_g27_e001</t>
  </si>
  <si>
    <t>Resgatar ilustração de silhueta de cavalo marinho, código antigo i0433rm_2pmc_g19_mdn. Veio do g23_mdn_lt_2npc_p064</t>
  </si>
  <si>
    <t>i0542_2p011chg_g27_e001</t>
  </si>
  <si>
    <t>Resgatar il de fazenda com animais, código antigo: i0633la_2npc_g23_mdn_aj. Veio do g23_mdn_lt_2npc_p066</t>
  </si>
  <si>
    <t>i0545_2p011chg_g27_e001</t>
  </si>
  <si>
    <t>Resgatar il de lousa com informações sobre animais de estimação, código antigo: i0421rm_2pmc_g19_mdn. Veio do g23_mdn_lt_2npc_p069</t>
  </si>
  <si>
    <t>i0546_2p011chg_g27_e001</t>
  </si>
  <si>
    <t>Resgatar il de lousa com gráfico sobre animais de estimação código antigo i0422rm_2pmc_g19_mdn Veio do g23_mdn_lt_2npc_p069</t>
  </si>
  <si>
    <t>Gabriella Imai</t>
  </si>
  <si>
    <t>i0551_2p011chg_g27_e001</t>
  </si>
  <si>
    <t xml:space="preserve"> il de animais silvestres na mata atlântica. Veio do g23_mdn_lt_2npc_p072, código antigo: i0424lu_2pmc_g19_mdn
AJUSTE: separar a ilustração. Primeira parte fica na página par.
</t>
  </si>
  <si>
    <t>i0552_2p011chg_g27_e001</t>
  </si>
  <si>
    <t xml:space="preserve"> il de animais silvestres na mata atlântica. Veio do g23_mdn_lt_2npc_p072, código antigo: i0424lu_2pmc_g19_mdn
Ajuste: separar a ilustração. Segunda parte fica na página ímpar
</t>
  </si>
  <si>
    <t>i0556_2p011chg_g27_e001</t>
  </si>
  <si>
    <t>il de três cachorros em diferentes fase da vida. Veio do g23_mdn_lt_2npc_p076, código antigo i0634sq_2npc_g23_mdn</t>
  </si>
  <si>
    <t>i0626_1p011chg_g27_e001</t>
  </si>
  <si>
    <t xml:space="preserve">Resgatar ilustração de mapa feito em forma de desenho em uma folha, código antigo: i0821lb_1pmg_g19_mdn
Veio do g23_mdn_lt_1npi_pp144_p145
</t>
  </si>
  <si>
    <t>i0586_1p011chg_g27_e001</t>
  </si>
  <si>
    <t>ILUSTRAÇÃO NOVA EM PB PARA OS ESTUDANTES COLORIREM.
Ilustração que contextualize uma sala de aula sendo organizada pelos estudantes após concluírem
uma atividade de recorte e colagem para a produção de cartazes. Na sala deve aparecer duas
crianças, um menino e uma menina, de aproximadamente 7 anos com características físicas
diferentes. A menina pode ser mestiça e cabelos pretos.
Não é necessário mostrar a sala de aula inteira, apenas duas ou três carteiras com cartazes em cima
da mesa. Ilustrar também cola, cartolina, tesoura sem ponta sobre a mesa. Alguns lápis estão sobre
a mesa, mas a menina está colocando um punhado deles em um porta‐lápis. O menino deve estar
com a pá cheia de papéis picados, jogando na lixeira e a menina colocando lápis coloridos em um
porta lápis. A ideia é demostrar que os estudantes terminaram a atividade e estão organizando a
sala de aula e não fazendo limpeza. Não esquecer que a ilus é PB.</t>
  </si>
  <si>
    <t>R:13/06 F:18/06</t>
  </si>
  <si>
    <t>i0587_1p011chg_g27_e001</t>
  </si>
  <si>
    <t>ilustração de um grupo com três crianças
(incluir uma criança com crachá de
girassol) de cerca de 7 ou 8 anos
uniformizadas. Uma delas deve estar
segurando um lápis grafite, a outra duas
folhas de papel sulfite e a terceira
criança, segurando uma prancheta (sem
papel).</t>
  </si>
  <si>
    <t>i0591_1p011chg_g27_e001</t>
  </si>
  <si>
    <t>Ilustração de um tubo de cola visto de frente. Ele deve ser ilustrado dentro de um
quadriculado passando a ideia de que ele está sendo representado em tamanho ampliado em
relação a ilustração do quadro B (o estudante precisa perceber que o objeto está sendo
representado em tamanho ampliado, por isso, cada quadradinho deve ter área maior que o
quadradinho que será produzido para na ilustração a seguir).
O traçado do tubo de cola deve passar pelos vértices ou lados de cada quadrado.
Ver modelo do quadrante a seguir (desconsiderar a imagem do barco ao fundo na quadrícula
modelo).</t>
  </si>
  <si>
    <t>F: 13/06</t>
  </si>
  <si>
    <t>i0592_1p011chg_g27_e001</t>
  </si>
  <si>
    <t>Ilustrar o mesmo tubo de cola visto de frente dentro de uma quadrícula proporcionalmente
menor que a quadrícula da imagem A (o número de quadrinhos precisa ser preservado, porém
com área reduzida da imagem anterior). A imagem precisa passar a ideia de que o tubo de
cola está sendo representado em tamanho menor/reduzido.
Ver modelo do quadrante a seguir (desconsiderar a imagem da casa ao fundo da quadrícula).</t>
  </si>
  <si>
    <t>i0593_1p011chg_g27_e001</t>
  </si>
  <si>
    <t>Ilustração de um caderno de brochura representado de frente, “em pé”, ou seja, de sua capa.
Ele deve ser ilustrado dentro de uma quadrícula passando a ideia de que ele está sendo
representado em tamanho menor que o tamanho representado na quadrícula do quadro D. (o
estudante precisa perceber que o objeto está sendo representado em tamanho reduzido).
O traçado do caderno deve passar pelos vértices ou lados de cada quadrado
Representar na ilustração a etiqueta do caderno na forma de um retângulo que precisa ser
traçado seguindo os lados dos quadrinhos.</t>
  </si>
  <si>
    <t>i0594_1p011chg_g27_e001</t>
  </si>
  <si>
    <t>Ilustração de uma quadrícula proporcionalmente maior que a quadrícula anterior (o número de
quadrinhos precisa ser preservado, porém com área maior). A imagem precisa passar a ideia de
que o caderno será representado pelo estudante em tamanho maior/ampliado.
O aluno irá desenhar o caderno seguindo a quantidade de quadriculado da imagem anterior.
O fio dos quadrinhos na quadrícula não pode ser preto, mas em tom mais claro para que seja
possível verificar o traçado do lápis dos estudantes.</t>
  </si>
  <si>
    <t>i0639_1p011chg_g27_e001</t>
  </si>
  <si>
    <t>Ilustração de três crianças observando o ambiente escolar,
Três crianças deverão estar observando o ambiente atentamente, enquanto a terceira criança (com crachá de girassol) faz anotações na folha sulfite presa na prancheta.</t>
  </si>
  <si>
    <t>Equipe (Cabral), liberou pedido de il diretamente para Keithy</t>
  </si>
  <si>
    <t>i0738_1p011chg_g27_e001</t>
  </si>
  <si>
    <t>ilustração de menina dormindo e retratos de pai e mãe da menina. Veio do g23_mdn_lt_1npc_p072
código antigo: i1005ly_1npc_g23_mdn_aj
Ajuste: Separar os retratos dos pais de Renata como ilustrações distintas, separar retranca em A e B.</t>
  </si>
  <si>
    <t>i0739_1p011chg_g27_e001</t>
  </si>
  <si>
    <t>ilustração de menina dormindo e retratos de pai e mãe da menina. Veio do g23_mdn_lt_1npc_p072
código antigo: i1005ly_1npc_g23_mdn_aj
Ajuste: Separa a menina dormindo do restante das ilustrações, deixar como o print.</t>
  </si>
  <si>
    <t>i0757_1p011chg_g27_e001</t>
  </si>
  <si>
    <t>Ajustar a criança do mês de Junho, Mês do frio – inserir características de uma criança indígena Resgatar ilustração de representação de um
calendário pataxó Veio do g23_mdn_lt_1npc_p080 código antigo: i0628ly_1pmc_g19_mdn</t>
  </si>
  <si>
    <t>i0777_1p011chg_g27_e001</t>
  </si>
  <si>
    <t>Ilustrar duas taquaras feitas de bambu, que deverão entrar ao lado do texto.
Referência: Biblioteca ABC H12100071 (página 6)</t>
  </si>
  <si>
    <t>R:16/06 F:20/06. Rafe não foi aprovado. Irá enviar novo rafe em 20/06.</t>
  </si>
  <si>
    <t>i0780_1p011chg_g27_e001</t>
  </si>
  <si>
    <t>Produzir uma ilustração de um casaco de frio de criança de aproximadamente 7 anos.</t>
  </si>
  <si>
    <t>R:16/06 F:20/06</t>
  </si>
  <si>
    <t>i0781_1p011chg_g27_e001</t>
  </si>
  <si>
    <t>Produzir uma ilustração de uma camiseta e um shorts de uma criança de aproximadamente 7 anos.</t>
  </si>
  <si>
    <t>i0782_1p011chg_g27_e001</t>
  </si>
  <si>
    <t>Produzir uma ilustração de um guarda‐chuvas de criança.</t>
  </si>
  <si>
    <t>i0783_1p011chg_g27_e001</t>
  </si>
  <si>
    <t>Produzir uma ilustração de um gorro e um cachecol de criança.</t>
  </si>
  <si>
    <t>i0784_1p011chg_g27_e001</t>
  </si>
  <si>
    <t>Produzir uma ilustração de óculos de sol de criança.</t>
  </si>
  <si>
    <t>i0789_1p011chg_g27_e001</t>
  </si>
  <si>
    <t>Vem do 1NPI_G23_LT_mdn, p. 150
Resgatar calendário e realizar os seguintes ajustes
Inserir o símbolo do sol desenhado por uma criança de aproximadamente 7 anos no quadro
referente ao dia 1;  Inserir o símbolo do sol coberto por nuvens desenhado por uma criança de aproximadamente 7 anos
no quadro referente ao dia 2;  Inserir o símbolo das nuvens (nublado) desenhado por uma criança de aproximadamente 7 anos no  quadro referente ao dia 3;  Inserir o símbolo da chuva (nuvens + gotas d’água) desenhado por uma criança de aproximadamente  7 anos no quadro referente ao dia 4;</t>
  </si>
  <si>
    <t>Não encontrei a imagem nem a retranca anterior</t>
  </si>
  <si>
    <t>km</t>
  </si>
  <si>
    <t>i0822_1p011chg_g27_e001</t>
  </si>
  <si>
    <t>RESGATAR A IMAGEM i0712_1p011chg_g27_e001 da página 232 que já foi ajustada para caber em
uma única página e fazer o seguintes AJUSTES para entrar nessa página 246
Usar a mesma ilustração da professora da página 232. A ilustração original veio do
g23_mdn_lt_1npc_p074,
código antigo: i1006asq_1npc_g23_mdn_aj
AJUSTE: substituir a lista da GINCANA pela lista das datas comemorativas
ARTE: Atenção, a imagem i0712, será usada como foi
aprovada.
Apenas ,é para a partir dela ajustar para ser usada também
com a retranca i0822</t>
  </si>
  <si>
    <t>i0827 _1p011chg_g27_e001</t>
  </si>
  <si>
    <t>Inserir ícone carinha feliz (do projeto gráfico)
Deixar em Preto e Branco para o aluno pintar
Reaplicar em todos os tópicos</t>
  </si>
  <si>
    <t>KEITHY MOSTACHI/ARQUIVO DA EDITORA</t>
  </si>
  <si>
    <t>PADRÃO PROJETO GRÁFICO</t>
  </si>
  <si>
    <t>i0828_1p011chg_g27_e001</t>
  </si>
  <si>
    <t>Inserir ícone carinha triste (do projeto gráfico)
Deixar em Preto e Branco para o aluno pintar
Reaplicar em todos os tópicos</t>
  </si>
  <si>
    <t>i0824_1p011chg_g27_e001</t>
  </si>
  <si>
    <t>Reaplicar i0714_1p011chg_g27_e001 ajustada,
página 234 deste arquivo.</t>
  </si>
  <si>
    <t>i0372_2p011chg_g27_e001</t>
  </si>
  <si>
    <t>Ilustrar um smartphone mostrando um relógio digital. Fazer do mesmo “estilo” das imagens da página.</t>
  </si>
  <si>
    <t>R:18/06 F:24/06</t>
  </si>
  <si>
    <t>i0394_2p011chg_g27_e001</t>
  </si>
  <si>
    <t>resgatar il de menino saindo de uma piscina Veio do g23_mdn_lt_2npc_p111 código antigo i0855ly_2pmc_g19_mdn</t>
  </si>
  <si>
    <t>i0559_2p011chg_g27_e001</t>
  </si>
  <si>
    <t>Ilustração de fazenda, crianças brincando, casa, árvores, animais, planta. Código antigo: i0802kb_2pmg_g19_mdn, vem do 2npi_lt_g23_P.116</t>
  </si>
  <si>
    <t>kb</t>
  </si>
  <si>
    <t>i0701_2p011chg_g27_e001</t>
  </si>
  <si>
    <t>218-219</t>
  </si>
  <si>
    <t xml:space="preserve">il de duas pessoas cuidando do jardim no quintal Veio do g23_mdn_lt_2npc_p082 código antigo i0602la_2pmc_g19_mdn_ef 
Ajuste: separar a ilustração para que cada parte fique em uma página (pedido da Arte), separar retranca A e B
</t>
  </si>
  <si>
    <t>Maryane Vioto Silva</t>
  </si>
  <si>
    <t>i0702_2p011chg_g27_e001</t>
  </si>
  <si>
    <t>Resgatar il de representação de um sitio Veio do g23_mdn_lt_2npc_p091 código antigo i0618wh_i0619_i0620_2pmc_g19_mdn</t>
  </si>
  <si>
    <t>i0704_2p011chg_g27_e001</t>
  </si>
  <si>
    <t xml:space="preserve"> il de criança no quintal a noite 
Veio do g23_mdn_lt_2npc_p084 código antigo i603ly_2pmc_g19_mdn 
Ajuste: fazer a sombra da garota (Ver comentário Tati Arte)
</t>
  </si>
  <si>
    <t>i0705_2p011chg_g27_e001</t>
  </si>
  <si>
    <t>i0706_2p011chg_g27_e001</t>
  </si>
  <si>
    <t xml:space="preserve">AJUSTAR
 il do movimento da terra ao redor do sol Veio do g23_mdn_lt_2npc_p085 código antigo i0608rm_2pmc_g19_mdn
Ajuste: fazer a órbita menos elíptica, ver ref. anexo
</t>
  </si>
  <si>
    <t>RESGATE COM AJUSTE</t>
  </si>
  <si>
    <t>i0707_2p011chg_g27_e001</t>
  </si>
  <si>
    <t>resgatar il de representação da inclinação da terra Veio do g23_mdn_lt_2npc_p086 código antigo i0607rm_2pmc_g19_mdn_ef</t>
  </si>
  <si>
    <t>i0708_2p011chg_g27_e001</t>
  </si>
  <si>
    <t xml:space="preserve">Resgatar il representando sentido de movimento da terra Veio do g23_mdn_lt_2npc_p087 código antigo i0610rm_2pmc_g19_mdn_ef </t>
  </si>
  <si>
    <t>i0709_2p011chg_g27_e001</t>
  </si>
  <si>
    <t xml:space="preserve">il de menino indo para a piscina Veio do g23_mdn_lt_2npc_p091 código antigo i0619wh_2pmc_g19_mdn
Ajuste: inserir um adulto sentado observando o garoto, fazer um senhor idoso ( pois ele está na casa do avô). Fazer o homem com roupas leves (camiseta, bermuda, chinelo e de boné) sentado em cadeira observando o garoto.
O idoso não pode ser muito “velho”, deve parecer que tem 60 anos , mas com boa aparência.
</t>
  </si>
  <si>
    <t>Werllen Holanda</t>
  </si>
  <si>
    <t xml:space="preserve"> Observação: Será inserido um personagem novo na ilustração. Por favor pagar para o ilustrador normalmente. </t>
  </si>
  <si>
    <t>i0710_2p011chg_g27_e001</t>
  </si>
  <si>
    <t xml:space="preserve">il do menino voltando da piscina Veio do g23_mdn_lt_2npc_p091 código antigo i0620wh_2pmc_g19_mdn
Ajuste: inserir o mesmo adulto idoso da i0709, , atenção com as sombras.
</t>
  </si>
  <si>
    <t xml:space="preserve"> Observação: Será inserido um personagem novo na ilustração. Por favor pagar para o ilustrador normalmente.</t>
  </si>
  <si>
    <t>i0711_2p011chg_g27_e001</t>
  </si>
  <si>
    <t>resgatar il de arvore com duas bolas no jardim Veio do g23_mdn_lt_2npc_p085 código antigo i0609ly_2pmc_g19_mdn</t>
  </si>
  <si>
    <t>i0806_2p011chg_g27_e001</t>
  </si>
  <si>
    <t>Ilustração de crianças na escola i0210id_2pmg_g19_mdn</t>
  </si>
  <si>
    <t>i0807_2p011chg_g27_e001</t>
  </si>
  <si>
    <t>Ilustração de menina dormindo i0212id_2pmg_g19_mdn</t>
  </si>
  <si>
    <t>i0808_2p011chg_g27_e001</t>
  </si>
  <si>
    <t>Ilustração de crianças brincando de pular corda i0211id_2pmg_g19_mdn</t>
  </si>
  <si>
    <t>i0720_2p011chg_g27_e001</t>
  </si>
  <si>
    <t>Resgatar il de menina retirando caixa de papelão da grama Veio do g23_mdn_lt_2npc_p091 código antigo i0624ly_2pmc_g19_mdn</t>
  </si>
  <si>
    <t>i0722_2p011chg_g27_e001</t>
  </si>
  <si>
    <t>Resgatar ilustração de menino plantando grãos de feijão Veio do g23_mdn_lt_2npc_p026 código antigo i0219ly_2pmc_g19_mdn</t>
  </si>
  <si>
    <t>i0723_2p011chg_g27_e001</t>
  </si>
  <si>
    <t>Resgatar ilustração de parte do ciclo de um feijoeiro Veio do g23_mdn_lt_2npc_p026 código antigo i0224rm_2pmc_g19_mdn</t>
  </si>
  <si>
    <t>i0724_2p011chg_g27_e001</t>
  </si>
  <si>
    <t>Resgatar il de menina colocando alguns feijões em uma tampa Veio do g23_mdn_lt_2npc_p099 código antigo i0634asq_2pmc_g19_mdn</t>
  </si>
  <si>
    <t>i0725_2p011chg_g27_e001</t>
  </si>
  <si>
    <t>Resgatar il de menina colocando a tampa com feijões em uma caixa Veio do g23_mdn_lt_2npc_p099 código antigo i0634bsq_2pmc_g19_mdn</t>
  </si>
  <si>
    <t>i0727_2p011chg_g27_e001</t>
  </si>
  <si>
    <t>240-241</t>
  </si>
  <si>
    <t xml:space="preserve">Resgatar il de arvore mostrando raiz e frutos Veio do g23_mdn_lt_2npc_p040 código antigo i0298rm_2pmc_g19_mdn_ly.
Ajuste1: ajustar ilustração para caber apenas em meia página. 
Ajuste2: recortar partes da planta referentes aos textos: caule, raiz, folha, flor, fruto, semente. Separar retrancas em A, B, C...
</t>
  </si>
  <si>
    <t>i0729_2p011chg_g27_e001</t>
  </si>
  <si>
    <t>Resgatar ilustração de laranjeira em época da floração Veio do g23_mdn_lt_2npc_p042 código antigo i0253Arm_2pmc_g19_mdn_ef_LOcopy2</t>
  </si>
  <si>
    <t>i0730_2p011chg_g27_e001</t>
  </si>
  <si>
    <t xml:space="preserve">ilustração de laranja cortada ao meio Veio do g23_mdn_lt_2npc_p042 código antigo i0253Arm_2pmc_g19_mdn_ef_LOcopy1
Ajuste: separar a laranja em outra retranca, para ela ser aplicada um pouquinho maior na página, tem que dar para ver as sementes com nitidez.
</t>
  </si>
  <si>
    <t>i0755_2p011chg_g27_e001</t>
  </si>
  <si>
    <t xml:space="preserve">Resgatar ilustração de criança coletando folhas Veio do g23_mdn_lt_2npc_p046 código antigo i0310sq_2pmc_g19_mdn </t>
  </si>
  <si>
    <t>i0756_2p011chg_g27_e001</t>
  </si>
  <si>
    <t>Resgatar ilustração de criança colocando folhas de arvore em um jornal Veio do g23_mdn_lt_2npc_p046 código antigo i0295sq_2pmc_g19_mdn_aj
ajustar o fundo da il</t>
  </si>
  <si>
    <t>i0757_2p011chg_g27_e001</t>
  </si>
  <si>
    <t>Resgatar ilustração de garotinha colando folhas da arvore em cartolina Veio do g23_mdn_lt_2npc_p047 código antigo i0296sq_2pmc_g19_mdn_aj
ajustar o fundo da il</t>
  </si>
  <si>
    <t>i0765_2p011chg_g27_e001</t>
  </si>
  <si>
    <t>262-263</t>
  </si>
  <si>
    <t xml:space="preserve">il em espelho de uma cozinha, a mulher cozinhando e o homem cortando tomate Veio do g23_mdn_lt_2npc_p111 código antigo i0838ly_2pmc_g19_mdn_ly
Ajuste: dividir a imagem em duas partes: página par deixa os armários e geladeira; página ímpar deixa a mulher e homem cozinhando. Ver referências. 
</t>
  </si>
  <si>
    <t>i0772_2p011chg_g27_e001</t>
  </si>
  <si>
    <t>Resgatar il de pessoas passeando e curtindo a praia Veio do RESGATE/AJUSTE
VER COM A RAFAELA PANISSA CASO HAJA DUVIDAS SOBRE O AJUSTE.
A ilustração precisa ter um foco, “cuidados com o sol”, vai precisar colocar alguns óculos
dar destaque ao guarda sol e se possível, algo relacionado à protetor solar e hidratação.
a ilustração vai entrar na horizontal, aproximadamente 1/3 de página. (se utilizar a barraquinha de suco, remover os valores na frente da barraca).
Resgatar il de pessoas passeando e curtindo a praia Veio do código antigo i0236ci_3pmm_g19_mdn_ef_ly.psd</t>
  </si>
  <si>
    <t>i0777_2p011chg_g27_e001</t>
  </si>
  <si>
    <t>Resgatar il de menino na praia Veio do g23_mdn_lt_2npc_p098 código antigo i0633ly_2pmc_g19_mdn_ly_LOcopy1
Inserir um adulto na cena, vf se pode aproveitar algo da il da adulta da página espelho</t>
  </si>
  <si>
    <t>i0780_2p011chg_g27_e001</t>
  </si>
  <si>
    <t>Resgatar il de de cones em diferentes horarios do dia Veio do g23_mdn_lt_2npc_p101 código antigo i1026sq_2npc_g23_mdn_ly</t>
  </si>
  <si>
    <t>i0781_2p011chg_g27_e001</t>
  </si>
  <si>
    <t>Resgatar il de crianças na horta Veio do g23_mdn_lt_2npc_p101 código antigo i1027sq_2npc_g23_mdn_ly</t>
  </si>
  <si>
    <t>i0566_2p011chg_g27_e001</t>
  </si>
  <si>
    <t xml:space="preserve">Ilustrar crianças com uniforme escolar brincando em um parquinho de escola.
Fazer balanço, escorregador, caixa de areia, uma árvore, flores, grama e passarinhos.
Inserir professora de jaleco, observando as crianças. 
No balanço: fazer uma menina pele clara, de cabelos lisos preto, com uma perninha mecânica e um menino pele morena escura com cabelos encaracolados.
No escorregador: fazer um garoto de pele moreno claro, de cabelos enrolados marrom de óculos.
Na caixa de areia: fazer uma menina pele morena escura com cabelo black power e um menino mestiço de japonês.
Seguir a ideia da referência abaixo. Fazer a ilustração de forma que posteriormente seja possível inserir as caixas de texto sem ficar sobrepondo elementos que não seja referentes aquela legenda
</t>
  </si>
  <si>
    <t>R:02/07 F:07/07</t>
  </si>
  <si>
    <t>i0935_1p011chg_g27_e001</t>
  </si>
  <si>
    <t>ilustração de menina amarrando o tênis, conforme a referência da foto&gt;
&lt;não precisa fazer a calça rasgada, o importante é mostrar bem o ato de amarrar o tênis&gt;</t>
  </si>
  <si>
    <t>R:14/07 F:16/07</t>
  </si>
  <si>
    <t>i0938_1p011chg_g27_e001</t>
  </si>
  <si>
    <t>&lt;Compor ilustração de três crianças de mãos dadas em uma escola e indicar os nomes - fazer conforme a referência na página&gt;</t>
  </si>
  <si>
    <t>m0939_1p011chg_g27_e001</t>
  </si>
  <si>
    <t>MAPA</t>
  </si>
  <si>
    <t>Mapa das regiões do IBGE, cada uma de uma cor, usar mesma do 4ano FTD. O mapa deve ter divisão dos estados e nome dos estados por extenso. Legenda com a cor das regiões.
resgatar o mapa m0533_4p011g_g27_e001 (ele está no g27_4_ano_p86)</t>
  </si>
  <si>
    <t>i0755_1p011chg_g27_e001</t>
  </si>
  <si>
    <t>Ilustração de uma quadrícula composta de 7 quadrinhos na horizontal e 8 quadrinhos na vertical (7x8). Os quadrinhos representam o caminho que os personagens irão percorrer até o destino.</t>
  </si>
  <si>
    <t>Finalizada vai chegar dia 28/07, pois teve um segundo rafe para aprovar.</t>
  </si>
  <si>
    <t>i0644_1p011chg_g27_e001</t>
  </si>
  <si>
    <t>Ilustração nova. 
Il de menina de 8 anos (traços orientais) passando cola branca, com um pincel, ao redor de uma embalagem vazia de margarina. . A menina deverá estar sentada em grupo com três integrantes no total e todos uniformizados (negra, branca e parda). Sobre as três carteiras agrupadas, ilustrar revistas, um pote de cola branca.</t>
  </si>
  <si>
    <t>R:18/07 F:22/07</t>
  </si>
  <si>
    <t>i0645_1p011chg_g27_e001</t>
  </si>
  <si>
    <t>Ilustração nova. 
Ilustração da mesma menina de 8 anos da il anterior com o grupo, terminando de colar imagens recortadas de revista ao redor da embalagem de margarina.</t>
  </si>
  <si>
    <t>juntou com a 0644</t>
  </si>
  <si>
    <t>Ilustração excluída, juntou com a i0644</t>
  </si>
  <si>
    <t>i0646_1p011chg_g27_e001</t>
  </si>
  <si>
    <t>Ilustração de porta objetos feito com pote de margarina. Ilustrar o pote de margarina coberto por imagens de revistas, recortadas com as mãos. A tampa do pote também deve estar decorada. Ilustrar o porta objetos aberto. Dentro do porta objetos ilustrar duas borrachas, um apontador, alguns clipes.</t>
  </si>
  <si>
    <t>i0652_1p011chg_g27_e001</t>
  </si>
  <si>
    <t>Ilustração de criança de 8 anos (parda, com aparelho de dentes)  uniformizada percorrendo o caminho de casa até a escola, a pé, ao lado de um adulto.
A criança deverá estar anotando os elementos que observa nesse trajeto em uma folha de sulfite. Para isso, deve estar utilizando um lápis de escrever. O adulto pode estar ajudando na escrita, apontando para o elemento observado, por exemplo, o banco de uma praça.</t>
  </si>
  <si>
    <t>i0653_1p011chg_g27_e001</t>
  </si>
  <si>
    <t xml:space="preserve">Ilustração da mesma criança de 8 anos da il anterior uniformizada com o livro aberto na página 205 e olhando a lista com elementos que observou e anotou no caminho de casa até a escola. Criança sentada em uma carteira de escola.
</t>
  </si>
  <si>
    <t xml:space="preserve">
i0845_1p011chg_g27_e001</t>
  </si>
  <si>
    <t xml:space="preserve">Ilustração nova. 
Ilustração de menino de 8 anos colando duas folhas de sulfite branca, seguindo o comprimento delas, para obter uma tira com o dobro de comprimento da folha </t>
  </si>
  <si>
    <t>dz</t>
  </si>
  <si>
    <t>R:22/07 F:24/07</t>
  </si>
  <si>
    <t>i0832_1p011chg_g27_e001</t>
  </si>
  <si>
    <t xml:space="preserve">Ilustração nova. 
Ilustração do mesmo menino da foto anterior, dividindo a folha de sulfite em quadros, com a régua e lápis de escrever, formando 7 quadros
</t>
  </si>
  <si>
    <t>juntou com a 0845</t>
  </si>
  <si>
    <t>17/072025</t>
  </si>
  <si>
    <t>i0833_1p011chg_g27_e001</t>
  </si>
  <si>
    <t>ilustração nova. 
Ilustração de agenda semanal produzida na atividade com indicações de atividades diárias. A agenda semanal deve estar fixada em um mural de uma parede que possa representar o quarto de um menino de 8 anos. Veja a seguir uma sugestão de preenchimento de agenda
Ilustração do mesmo menino da foto anterior, dividindo a folha de sulfite em quadros, com a régua e lápis de escrever, formando 7 quadros</t>
  </si>
  <si>
    <t>i0838_1p011chg_g27_e001</t>
  </si>
  <si>
    <t xml:space="preserve">Ilustrar menina de 8 anos, ruiva, com síndrome de down.
Podemos seguir fielmente a referencia da imagem
</t>
  </si>
  <si>
    <t>i0846_1p011chg_g27_e001</t>
  </si>
  <si>
    <t>Ilustração NOVA
Ilustração de uma criança desenhando em uma folha de papel, apoiada em uma prancheta, na companhia de um adulto, em ambiente aberto no período do dia. Deve passar a ideia de que a criança está observando o ambiente e desenhando</t>
  </si>
  <si>
    <t>i0844_1p011chg_g27_e001</t>
  </si>
  <si>
    <t>ilustração NOVA
Ilustração da mesma criança da foto anterior desenhando em uma folha de papel, apoiada em uma prancheta, na companhia de um adulto, no mesmo ambiente aberto no período noturno. Deve passar a ideia de que a criança está observando o ambiente e desenhando</t>
  </si>
  <si>
    <t>i0830_1p011chg_g27_e001</t>
  </si>
  <si>
    <t xml:space="preserve">Ilustração de criança de 7 anos colocando quatro 
grãos de feijão sobre um tufo de algodão umedecido com água </t>
  </si>
  <si>
    <t xml:space="preserve">i0831_1p011chg_g27_e001 </t>
  </si>
  <si>
    <t xml:space="preserve">Ilustração da mesma criança de 7 anos da foto anterior, colocando a tampa da caixa de sapatos puxar </t>
  </si>
  <si>
    <t>i0499_1p011chg_g27_e001</t>
  </si>
  <si>
    <t>Inserir ilus emoji em Preto e Branco, com cara alegre e triste resgatar imagem usada na página 119 U2 fazer em PB, com fios mais grossos para o estudante pintar)</t>
  </si>
  <si>
    <t>Nicolas Furtado</t>
  </si>
  <si>
    <t>ajuste padrão</t>
  </si>
  <si>
    <t>i0499b_1p011chg_g27_e001</t>
  </si>
  <si>
    <t>Inserir ilus de emoji em Preto e Branco, com cara triste (resgatar imagem usada na página 119 U2 fazer em PB, com fios mais grossos para o estudante pintar)</t>
  </si>
  <si>
    <t>24/072025</t>
  </si>
  <si>
    <t>i0198a_2p011chg_g27_e001</t>
  </si>
  <si>
    <t xml:space="preserve">ilustração de lista sobre seres vivos </t>
  </si>
  <si>
    <t>i0198b_2p011chg_g27_e001</t>
  </si>
  <si>
    <t>ilustração de lista sobre elementos não vivos</t>
  </si>
  <si>
    <t>i0199_2p011chg_g27_e001</t>
  </si>
  <si>
    <t>Ilustração de professor com várias crianças sentadas, uma está em pé ao seu lado</t>
  </si>
  <si>
    <t>r:31/07 f:04/08</t>
  </si>
  <si>
    <t>i0200_2p011chg_g27_e001</t>
  </si>
  <si>
    <t>ilustração de uma escola</t>
  </si>
  <si>
    <t>i0201_2p011chg_g27_e001</t>
  </si>
  <si>
    <t xml:space="preserve">resgatar Ilustração de professora em sala de aula com alunos </t>
  </si>
  <si>
    <t>i0202_2p011chg_g27_e001</t>
  </si>
  <si>
    <t xml:space="preserve">il de sala de aula </t>
  </si>
  <si>
    <t>i0203_2p011chg_g27_e001</t>
  </si>
  <si>
    <t xml:space="preserve">Ilustração de sala de aula e carteiras em semicírculo </t>
  </si>
  <si>
    <t>i0204_2p011chg_g27_e001</t>
  </si>
  <si>
    <t xml:space="preserve">Ilustração de sala de aula e carteiras em fileiras </t>
  </si>
  <si>
    <t>i0205_2p011chg_g27_e001</t>
  </si>
  <si>
    <t xml:space="preserve">Ilustração de sala de aula e carteiras em grupo </t>
  </si>
  <si>
    <t>i0206_2p011chg_g27_e001</t>
  </si>
  <si>
    <t xml:space="preserve">Ilustração de prateleira </t>
  </si>
  <si>
    <t>i0207_2p011chg_g27_e001</t>
  </si>
  <si>
    <t xml:space="preserve">Ilustração de uma mulher olhando para um vaso </t>
  </si>
  <si>
    <t>i0208_2p011chg_g27_e001</t>
  </si>
  <si>
    <t xml:space="preserve">Ilustração do vaso visto de frente </t>
  </si>
  <si>
    <t>i0209_2p011chg_g27_e001</t>
  </si>
  <si>
    <t xml:space="preserve">Ilustração de mulher olhando para um vaso </t>
  </si>
  <si>
    <t>i0210_2p011chg_g27_e001</t>
  </si>
  <si>
    <t xml:space="preserve">Ilustração do vaso visto de frente e do alto </t>
  </si>
  <si>
    <t>i0211_2p011chg_g27_e001</t>
  </si>
  <si>
    <t xml:space="preserve">Ilustração de mulher olhando um vaso </t>
  </si>
  <si>
    <t>i0212_2p011chg_g27_e001</t>
  </si>
  <si>
    <t xml:space="preserve">Ilustração de vaso visto do alto e de cima para baixo </t>
  </si>
  <si>
    <t>i0213_2p011chg_g27_e001</t>
  </si>
  <si>
    <t xml:space="preserve">Ilustração de cadeira vista de cima </t>
  </si>
  <si>
    <t>i0214_2p011chg_g27_e001</t>
  </si>
  <si>
    <t xml:space="preserve">Ilustração de livro visto de frente </t>
  </si>
  <si>
    <t>i0215_2p011chg_g27_e001</t>
  </si>
  <si>
    <t xml:space="preserve">Ilustração de livro visto de cima </t>
  </si>
  <si>
    <t>i0216_2p011chg_g27_e001</t>
  </si>
  <si>
    <t xml:space="preserve">Ilustração de cadeira vista de frente </t>
  </si>
  <si>
    <t>i0217_2p011chg_g27_e001</t>
  </si>
  <si>
    <t xml:space="preserve">Ilustração de mesa vista de frente </t>
  </si>
  <si>
    <t>i0218_2p011chg_g27_e001</t>
  </si>
  <si>
    <t xml:space="preserve">Ilustração de tubo de cola visto de frente  </t>
  </si>
  <si>
    <t>i0219_2p011chg_g27_e001</t>
  </si>
  <si>
    <t xml:space="preserve">Ilustração de cola vista de cima </t>
  </si>
  <si>
    <t>i0220_2p011chg_g27_e001</t>
  </si>
  <si>
    <t xml:space="preserve">Ilustração de mesa vista de cima </t>
  </si>
  <si>
    <t>i0221_2p011chg_g27_e001</t>
  </si>
  <si>
    <t xml:space="preserve">Ilustração de mão segurando uma tesoura e recortando uma caixa de papelão </t>
  </si>
  <si>
    <t>i0222_2p011chg_g27_e001</t>
  </si>
  <si>
    <t xml:space="preserve">Ilustração de mão, caixa de papelão e várias caixinhas e tampinhas </t>
  </si>
  <si>
    <t>i0223_2p011chg_g27_e001</t>
  </si>
  <si>
    <t xml:space="preserve">Ilustração de maquete finalizada </t>
  </si>
  <si>
    <t>i0243_2p011chg_g27_e001</t>
  </si>
  <si>
    <t xml:space="preserve">Ilustração de menina olhando a maqueta de vista de cima </t>
  </si>
  <si>
    <t>i0224_2p011chg_g27_e001</t>
  </si>
  <si>
    <t xml:space="preserve">Ilustração de maquete vista de cima </t>
  </si>
  <si>
    <t>i0225_2p011chg_g27_e001</t>
  </si>
  <si>
    <t xml:space="preserve">Ilustração de um desenho da maquete </t>
  </si>
  <si>
    <t>i0226_2p011chg_g27_e001</t>
  </si>
  <si>
    <t xml:space="preserve">Ilustração de um desenho de uma carteira </t>
  </si>
  <si>
    <t>i0227_2p011chg_g27_e001</t>
  </si>
  <si>
    <t xml:space="preserve">Ilustração de um desenho de um coletor de resíduos </t>
  </si>
  <si>
    <t>i0228_2p011chg_g27_e001</t>
  </si>
  <si>
    <t xml:space="preserve">Ilustração de um desenho de uma mesa do professor </t>
  </si>
  <si>
    <t>i0229_2p011chg_g27_e001</t>
  </si>
  <si>
    <t xml:space="preserve">Ilustração de um desenho de um armário </t>
  </si>
  <si>
    <t>i0230_2p011chg_g27_e001</t>
  </si>
  <si>
    <t xml:space="preserve">Ilustração de criança sentada na grama observando outras crianças . Inserir adultos na cena </t>
  </si>
  <si>
    <t>i0232_2p011chg_g27_e001</t>
  </si>
  <si>
    <t>il de cartaz sobre cuidados no trânsito</t>
  </si>
  <si>
    <t>i0234_2p011chg_g27_e001</t>
  </si>
  <si>
    <t xml:space="preserve"> Ilustração de duas pessoas sentadas no sofá mexendo em um notebook </t>
  </si>
  <si>
    <t>i0244_2p011chg_g27_e001</t>
  </si>
  <si>
    <t xml:space="preserve"> Ilustração de notebook</t>
  </si>
  <si>
    <t>i0235_2p011chg_g27_e001</t>
  </si>
  <si>
    <t>Ilustração de identidade</t>
  </si>
  <si>
    <t>i0236_2p011chg_g27_e001</t>
  </si>
  <si>
    <t>Ilustração de criança se despedindo da mãe para entrar no ônibus escolar. Ajuste: incluir retrovisor e para-brisa, ilustrar placa conforme.</t>
  </si>
  <si>
    <t>i0237_2p011chg_g27_e001</t>
  </si>
  <si>
    <t>Ilustração de sala de aula com os alunos sentados com vista de cima</t>
  </si>
  <si>
    <t>i0238_2p011chg_g27_e001</t>
  </si>
  <si>
    <t xml:space="preserve">Ilustração de maquete de uma sala de aula </t>
  </si>
  <si>
    <t>i0239_2p011chg_g27_e001</t>
  </si>
  <si>
    <t xml:space="preserve">Ilustração de planta de maquete </t>
  </si>
  <si>
    <t>i0240_2p011chg_g27_e001</t>
  </si>
  <si>
    <t xml:space="preserve">Ilustração de refeitório de escola </t>
  </si>
  <si>
    <t>i0241_2p011chg_g27_e001</t>
  </si>
  <si>
    <t xml:space="preserve">Ilustração de biblioteca </t>
  </si>
  <si>
    <t>i0242_2p011chg_g27_e001</t>
  </si>
  <si>
    <t xml:space="preserve">Ilustração de quadra de esportes </t>
  </si>
  <si>
    <t>i0374_2p011chg_g27_e001</t>
  </si>
  <si>
    <t>foto de mãos de criança de cerca de 8 anos fixando um cabo de vareta no centro de uma lata com areia.</t>
  </si>
  <si>
    <t>i0375_2p011chg_g27_e001</t>
  </si>
  <si>
    <t>Ilustração de criança de cerca de 8 anos traçando uma reta sobre a sombra projetada pelo cabo de vareta no centro de uma lata com areia. Ao lado dela deve estar um adulto. AJUSTE – inserir muro ao fundo que represente o espaço da escola, ajustar cadeira de rodas, inserir freio e aro de impulsão.</t>
  </si>
  <si>
    <t>i0398_2p011chg_g27_e001</t>
  </si>
  <si>
    <t>Ilustração de uma caixa cheia de penas.
A ideia é realizar uma comparação de densidade com a foto da caixa cheia de argila.
Ilustração da mesma caixa da imagem anterior cheia de argila.
A ideia é realizar uma comparação de densidade com a foto da caixa cheia de penas.</t>
  </si>
  <si>
    <t>im</t>
  </si>
  <si>
    <t>r:30/07 f:07/08</t>
  </si>
  <si>
    <t>i0400_2p011chg_g27_e001</t>
  </si>
  <si>
    <t>Ilustração objetos escolares em cima de uma mesa como: lápis, borracha, régua e objetos de uso geral como copos, talheres de metal, bolas esportivas de borracha, elásticos de dinheiro, guardanapo de papel e de tecido, toalha de rosto macia, óculos de sol e óculos de grau, pedaço de barbante e um elástico de borracha</t>
  </si>
  <si>
    <t>i0401_2p011chg_g27_e001</t>
  </si>
  <si>
    <t>Ilustração de mãos de uma criança de 8 anos segurando o pedaço de barbante. Ao lado deve estar o elástico de borracha, a ideia é que os estudantes reflitam sobre a textura e flexibilidade de cada material.</t>
  </si>
  <si>
    <t>i0428_2p011chg_g27_e001</t>
  </si>
  <si>
    <t>Resgate com ajuste
Ajustar a imagem para que ela fique apenas na lateral esquerda da página. 
ilustração de várias casas i0624rm_2pmg_g19_mdn - 2NPG G23 página 82 ver print abaixo</t>
  </si>
  <si>
    <t>i0231_2p011chg_g27_e001</t>
  </si>
  <si>
    <t>il de parte de uma cidade com trânsito. Veio do g23_mdn_lt_2npc_p118 código antigo i0848wh_2pmc_g19_mdn_ly Ajustar para que fique em espelho falso</t>
  </si>
  <si>
    <t>i0233_2p011chg_g27_e001</t>
  </si>
  <si>
    <t>Ilustração na mesma linguagem do conjunto da p. 73, com um computador de mesa desligado (com tela preta) em uma mesa próxima à janela, de onde se vê duas crianças (um menino e uma menina, variar etnia) no quintal (com muro ao fundo) brincando de bola.</t>
  </si>
  <si>
    <t>i0603_2p011chg_g27_e001</t>
  </si>
  <si>
    <t>Composição de fotos e ilustração.
Sobre uma carteira escolar, ilustrar lápis de escrever, caixa lápis de cor, uma folha de papel sulfite tesoura com pontas arredondadas, cola, fotos de três animais com o corpo coberto por pelos, como cachorro, gato e coelho</t>
  </si>
  <si>
    <t xml:space="preserve">oy </t>
  </si>
  <si>
    <t>R:04/08 F:06/08</t>
  </si>
  <si>
    <t>i0603b_2p011chg_g27_e001</t>
  </si>
  <si>
    <t>Sobre uma carteira escolar, ilustrar lápis de escrever, a folha de sulfite com as três fotos de animais coladas. Ao lado ilustrar tesoura com pontas arredondadas, cola, lápis de cor dentro e fora da caixa e lápis de escrever.</t>
  </si>
  <si>
    <t xml:space="preserve">Excluir </t>
  </si>
  <si>
    <t>i0603c_2p011chg_g27_e001</t>
  </si>
  <si>
    <t>Sobre uma carteira escolar, ilustrar lápis de escrever, a folha de sulfite com as três fotos de animais coladas, com a legenda do animal abaixo de cada uma delas manuscrita com lápis de escrever. A página do álbum deve estar bem colorida com desenhos de patinhas, ossinhos, novelo de lã, cenoura feitos por uma criança. Ao lado ilustrar tesoura com pontas arredondadas, cola, lápis de cor dentro e fora da caixa.</t>
  </si>
  <si>
    <t xml:space="preserve">i0581_2p011chg_g27_e001 </t>
  </si>
  <si>
    <t xml:space="preserve">Ilustração de uma menina de cerca de 8 anos, ruiva com os cabelos encaracolados com aspecto feliz e pensativo. </t>
  </si>
  <si>
    <t>cf</t>
  </si>
  <si>
    <t>i0638_2p011chg_g27_e001</t>
  </si>
  <si>
    <t>Ilustração de criança tomando banho, 
vem do 2npi_lt_g23_p.132_u4. 
Código antigo: i0856rm_2pmg_g19_mdn</t>
  </si>
  <si>
    <t>i0639_2p011chg_g27_e001</t>
  </si>
  <si>
    <t>Ilustração de criança abrindo uma janela, 
vem do 2npi_lt_g23_p.132_u4. 
Código antigo: i0857rm_2pmg_g19_mdn</t>
  </si>
  <si>
    <t>i0640_2p011chg_g27_e001</t>
  </si>
  <si>
    <t>Ilustração de duas crianças em sala de aula, 
vem do 2npi_lt_g23_p.132_u4. 
Código antigo: i0858rm_2pmg_g19_mdn</t>
  </si>
  <si>
    <t>i0641_2p011chg_g27_e001</t>
  </si>
  <si>
    <t>Ilustração de criança jogando o lixo corretamente, 
vem do 2npi_lt_g23_p.132_u4. 
Código antigo: i0859rm_2pmg_g19_mdn</t>
  </si>
  <si>
    <t>i0847_1p011chg_g27_e001</t>
  </si>
  <si>
    <t xml:space="preserve">Ilustração de sol, código antigo: i0854mk_1pmg_g19_mdn Vem do 1NPI_G23_LT_mdn, p. 150 </t>
  </si>
  <si>
    <t>i0848_1p011chg_g27_e001</t>
  </si>
  <si>
    <t xml:space="preserve">Ilustração de nuvem e gotas de água caindo dela, código antigo: i0857mk_1pmg_g19_mdn Vem do 1NPI_G23_LT_mdn, p. 150 </t>
  </si>
  <si>
    <t>i0832_2p011chg_g27_e001</t>
  </si>
  <si>
    <t>Ilustração artística de uma página de livro de receias, 
em que se ilustre o preparo do suco de casca de abacaxi. Na ilustração ter cascas de um abacaxi, capim cidreira, jarra de 1 litro com água, liquidificador.</t>
  </si>
  <si>
    <t>F:08/08</t>
  </si>
  <si>
    <t>i0838_2p011chg_g27_e001</t>
  </si>
  <si>
    <t xml:space="preserve">Ilustração de duas crianças
 (um menino e uma menina) negras brincando de pipa em um parque. Elas devem estar acompanhadas de um adulto negro. As crianças e o adulto devem estar de boné. </t>
  </si>
  <si>
    <t>R:06/08 F:08/08
NP:14/08</t>
  </si>
  <si>
    <t>i0839_2p011chg_g27_e001</t>
  </si>
  <si>
    <t>Ilustração  de um menino e um adulto andando de patins em uma ciclovia de um parque. 
Ambos devem estar de capacete, joelheiras e cotoveleiras.</t>
  </si>
  <si>
    <t>ci</t>
  </si>
  <si>
    <t>i0833_2p011chg_g27_e001</t>
  </si>
  <si>
    <t>Ilustração de uma menina negra de 8 anos com roupas leves como bermuda e regata e óculos de sol, carregando uma mochila em que estão roupas de banho para ir à piscina. Ao lado dela ilustrar um adulto negro de 30 anos utilizando bermuda e camisa florida e óculos de sol, carregando outra mochila.
Eles devem estar chegando em um clube com piscina.</t>
  </si>
  <si>
    <t>i0834b_2p011chg_g27_e001</t>
  </si>
  <si>
    <t>Ilustração da menina negra de 8 anos da atividade anterior com roupas leves como bermuda e regata, diferentes da roupa que foi anteriormente, 
com os cabelos molhados, entrando em um carro no estacionamento com o seu pai, o mesmo adulto negro de 30 anos da il da questão anterior utilizando bermuda e camiseta branca, segurando a duas mochilas. Deve ser possível ver no banco de trás do carro um assento elevado</t>
  </si>
  <si>
    <t>EXCLUIR: sequência da i0833</t>
  </si>
  <si>
    <t>i0835_2p011chg_g27_e001</t>
  </si>
  <si>
    <t>Ilustração de um menino de aproximadamente 8 anos, 
ruivo e um homem adulto cabelos castanhos claros e pele clara, de aproximadamente 40 anos. Ambos devem estar de boné e óculos de sol. O homem deve estar passando protetor solar na criança. O menino deve ser semelhante e estar com o mesmo shorts e boné, pois essa imagem aparecerá na próxima página.</t>
  </si>
  <si>
    <t>i0840_2p011chg_g27_e001</t>
  </si>
  <si>
    <t>Ilustração de sol atrás de umas montanhas i0213mk_2pmg_g19_mdn</t>
  </si>
  <si>
    <t>i0841_2p011chg_g27_e001</t>
  </si>
  <si>
    <t>Ilustração de sol i0214mk_2pmg_g19_mdn</t>
  </si>
  <si>
    <t>i0842_2p011chg_g27_e001</t>
  </si>
  <si>
    <t>Ilustração de lua i0215mk_2pmg_g19_mdn</t>
  </si>
  <si>
    <t>i0843_2p011chg_g27_e001</t>
  </si>
  <si>
    <t>Malha quadriculada com os eixos vertical e horizontal para alunos construírem um gráfico de barras pintando quadrinhos.
No eixo horizontal deve constar “partes da planta”: raiz, caule, folha, flor, fruto e semente.
O eixo vertical deve estar numerado. Fazer até 10 quadrinhos.</t>
  </si>
  <si>
    <t>i0246_2p011chg_g27_e001</t>
  </si>
  <si>
    <t xml:space="preserve">ilustração que retrate estudantes organizando os livros na prateleira da biblioteca de uma escola. os estudantes devem estar acompanhados de um adulto.
Referência:
SOUSA, Mauricio de. Turma da Mônica em: a escolha certa. Um por todos e todos por um! Pela ética e cidadania, São Paulo, Mauricio de Sousa Editora, n. 5, p. 3. </t>
  </si>
  <si>
    <t>R:11/08 F:15/08</t>
  </si>
  <si>
    <t>i0245_2p011chg_g27_e001</t>
  </si>
  <si>
    <t>Ilustração representando um desenho feito por uma criança de aproximadamente 7 anos, 
mostrando um ser vivo que pode ser encontrado na escola, e o ambiente onde ele está, exemplos: pássaro em uma árvore, borboleta em uma flor, minhoca ou formiga no solo, cogumelo em troncos ou no solo.</t>
  </si>
  <si>
    <t xml:space="preserve">i0945_1p011chg_g27_e001 </t>
  </si>
  <si>
    <t xml:space="preserve">i0945A_1p011chg_g27_e001 
il do contorno de um círculo. 
i0945B_1p011chg_g27_e001 il do contorno de um Triangulo. 
i0945C_1p011chg_g27_e001 il do contorno de um Triangulo. </t>
  </si>
  <si>
    <t>RAFAELA PANISSA/ARQUIVO DA EDITORA</t>
  </si>
  <si>
    <t>i0855_1p011chg_g27_e001</t>
  </si>
  <si>
    <t>ILUSTRANDO</t>
  </si>
  <si>
    <t>Ilustração representando Maria Felipa.
Ref:
https://conteudo.imguol.com.br/c/entretenimento/31/2022/09/06/retrato-falado-de-maria-felipa-feito-em-2005-com-base-em-relatos-historicos-pela-perita-tecnica-filomena-orge-1662477119217_v2_1x1.jpg
https://blogger.googleusercontent.com/img/b/R29vZ2xl/AVvXsEgXOdAwP93OykB_kmG7om8yvPjTOQOJwOZ6rgZXGohq339ekJvLP2ZuRwcLlMdwo7xebxl2eFAj6CvZw4OqiTSjGJod1QAIXBZePdpQN4jO2qia8otu23r7-TtPNnCrjPFJCcZ2y7TiLEZl/s1600/IMG-20210702-WA0556.jpg</t>
  </si>
  <si>
    <t>ha</t>
  </si>
  <si>
    <t>R:27/08 F:08/09</t>
  </si>
  <si>
    <t>i0844_2p011chg_g27_e001</t>
  </si>
  <si>
    <t>Resgatar i0756_2p011chg e separar o balãozinho com os livros prensando o jornal e deixa-lo como i0844_2p011chg_g27_e001</t>
  </si>
  <si>
    <t>i6106_2p011chg_g27_e001</t>
  </si>
  <si>
    <t>OVS</t>
  </si>
  <si>
    <t>Resgatar ilustração de menina negra sorrindo.</t>
  </si>
  <si>
    <t>i6107_2p011chg_g27_e001</t>
  </si>
  <si>
    <t>Resgatar ilustração de menino ruivo sorrindo.</t>
  </si>
  <si>
    <t>i6108_2p011chg_g27_e001</t>
  </si>
  <si>
    <t xml:space="preserve">RESGATE de menino em frente a uma mesa com vários materiais escolares sobre ela </t>
  </si>
  <si>
    <t>ds</t>
  </si>
  <si>
    <t>i6109_2p011chg_g27_e001</t>
  </si>
  <si>
    <t xml:space="preserve">Resgatar Ilustração de camiseta </t>
  </si>
  <si>
    <t>i6110_2p011chg_g27_e001</t>
  </si>
  <si>
    <t xml:space="preserve">Resgatar Ilustração de xícara com chá quente </t>
  </si>
  <si>
    <t>i6111_2p011chg_g27_e001</t>
  </si>
  <si>
    <t xml:space="preserve">Resgatar Ilustração de jarra e um copo com líquido e cubos de gelo </t>
  </si>
  <si>
    <t>i6112_2p011chg_g27_e001</t>
  </si>
  <si>
    <t xml:space="preserve">Resgatar Ilustração de touca </t>
  </si>
  <si>
    <t xml:space="preserve">CRÉDITOS GERAIS DA MODERNA PARA REFERÊNCIA - EF1
 </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</si>
  <si>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</si>
  <si>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</si>
  <si>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</si>
  <si>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</si>
  <si>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</si>
  <si>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</si>
  <si>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</si>
  <si>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</si>
  <si>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</si>
  <si>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</si>
  <si>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NOME DA UNIVERSIDADE/ANO - UNICAMP 2024
NOME DO ILUSTRADOR (AJUSTE)/ARQUIVO DA EDITORA/UNIVERSIDADE ANO</t>
  </si>
  <si>
    <t>ILUSTRAÇÕES DE PLACAS DE TRÂNSITO</t>
  </si>
  <si>
    <t>yy</t>
  </si>
  <si>
    <t>NOME DO ILUSTRADOR/ARQUIVO DA EDITORA</t>
  </si>
  <si>
    <t>ILUSTRAÇÕES DE BANDEIRAS DE PAÍS</t>
  </si>
  <si>
    <t>yp</t>
  </si>
  <si>
    <t>ILUSTRAÇÕES DE BANDEIRAS DE ESTADO</t>
  </si>
  <si>
    <t>ye</t>
  </si>
  <si>
    <t>ILUSTRAÇÕES GERADAS POR PROGRAMAS C/ IA</t>
  </si>
  <si>
    <t>ia</t>
  </si>
  <si>
    <t>a</t>
  </si>
  <si>
    <t>3 Pixel Studio</t>
  </si>
  <si>
    <t>px</t>
  </si>
  <si>
    <t>ROBSON OLIVIERIA/ARQUIVO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</si>
  <si>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</si>
  <si>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</si>
  <si>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</si>
  <si>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</si>
  <si>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</si>
  <si>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</si>
  <si>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</si>
  <si>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</si>
  <si>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</si>
  <si>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</si>
  <si>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</si>
  <si>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</si>
  <si>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</si>
  <si>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</si>
  <si>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</si>
  <si>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</si>
  <si>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</si>
  <si>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</si>
  <si>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</si>
  <si>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</si>
  <si>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</si>
  <si>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</si>
  <si>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</si>
  <si>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</si>
  <si>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</si>
  <si>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</si>
  <si>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</si>
  <si>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</si>
  <si>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</si>
  <si>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</si>
  <si>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</si>
  <si>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</si>
  <si>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</si>
  <si>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</si>
  <si>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</si>
  <si>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</si>
  <si>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</si>
  <si>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</si>
  <si>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</si>
  <si>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</si>
  <si>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</si>
  <si>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</si>
  <si>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</si>
  <si>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</si>
  <si>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</si>
  <si>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</si>
  <si>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</si>
  <si>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</si>
  <si>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</si>
  <si>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</si>
  <si>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</si>
  <si>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</si>
  <si>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</si>
  <si>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</si>
  <si>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</si>
  <si>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</si>
  <si>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</si>
  <si>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</si>
  <si>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</si>
  <si>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</si>
  <si>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</si>
  <si>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</si>
  <si>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</si>
  <si>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</si>
  <si>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</si>
  <si>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</si>
  <si>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</si>
  <si>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</si>
  <si>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</si>
  <si>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</si>
  <si>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</si>
  <si>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</si>
  <si>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</si>
  <si>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</si>
  <si>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</si>
  <si>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</si>
  <si>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</si>
  <si>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</si>
  <si>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</si>
  <si>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</si>
  <si>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</si>
  <si>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</si>
  <si>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</si>
  <si>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</si>
  <si>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</si>
  <si>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</si>
  <si>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</si>
  <si>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</si>
  <si>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</si>
  <si>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</si>
  <si>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</si>
  <si>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</si>
  <si>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</si>
  <si>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</si>
  <si>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</si>
  <si>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</si>
  <si>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</si>
  <si>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</si>
  <si>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</si>
  <si>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</si>
  <si>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</si>
  <si>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</si>
  <si>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</si>
  <si>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</si>
  <si>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</si>
  <si>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</si>
  <si>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</si>
  <si>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</si>
  <si>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</si>
  <si>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</si>
  <si>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</si>
  <si>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</si>
  <si>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</si>
  <si>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</si>
  <si>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</si>
  <si>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</si>
  <si>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</si>
  <si>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</si>
  <si>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</si>
  <si>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</si>
  <si>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</si>
  <si>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</si>
  <si>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</si>
  <si>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</si>
  <si>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</si>
  <si>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Camila Cristiane Pereira dos Santos</t>
  </si>
  <si>
    <t>cd</t>
  </si>
  <si>
    <t>Camila Ferreira Carmona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</si>
  <si>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</si>
  <si>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</si>
  <si>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</si>
  <si>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</si>
  <si>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</si>
  <si>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</si>
  <si>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</si>
  <si>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</si>
  <si>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</si>
  <si>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</si>
  <si>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</si>
  <si>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</si>
  <si>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</si>
  <si>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</si>
  <si>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</si>
  <si>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</si>
  <si>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</si>
  <si>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</si>
  <si>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</si>
  <si>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</si>
  <si>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</si>
  <si>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Romão Bezerra</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</si>
  <si>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</si>
  <si>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</si>
  <si>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</si>
  <si>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</si>
  <si>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</si>
  <si>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</si>
  <si>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</si>
  <si>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</si>
  <si>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</si>
  <si>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</si>
  <si>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</si>
  <si>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</si>
  <si>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</si>
  <si>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CAUÊ ZUNCHINI/ARQUIVO DA EDITORA</t>
  </si>
  <si>
    <t>Cecilia Andrade</t>
  </si>
  <si>
    <t>cl</t>
  </si>
  <si>
    <t>CECILIA ANDRADE/ARQUIVO DA EDITORA</t>
  </si>
  <si>
    <t xml:space="preserve">Chanceler </t>
  </si>
  <si>
    <t>ch</t>
  </si>
  <si>
    <t>Chris Borges</t>
  </si>
  <si>
    <t>cg</t>
  </si>
  <si>
    <t>CHRIS BORGES/ARQUIVO DA EDITORA</t>
  </si>
  <si>
    <t>Clarissa França</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</si>
  <si>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</si>
  <si>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</si>
  <si>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</si>
  <si>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</si>
  <si>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</si>
  <si>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</si>
  <si>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</si>
  <si>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</si>
  <si>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</si>
  <si>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</si>
  <si>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</si>
  <si>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</si>
  <si>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</si>
  <si>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</si>
  <si>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</si>
  <si>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</si>
  <si>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</si>
  <si>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</si>
  <si>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</si>
  <si>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</si>
  <si>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</si>
  <si>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</si>
  <si>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</si>
  <si>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</si>
  <si>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</si>
  <si>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</si>
  <si>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</si>
  <si>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</si>
  <si>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</si>
  <si>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</si>
  <si>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DANIEL GUSTAVO SILVA GONÇALVES/ARQUIVO DA EDITORA</t>
  </si>
  <si>
    <t>Danielle Pioli</t>
  </si>
  <si>
    <t>dp</t>
  </si>
  <si>
    <t>DANIELLE PIOLI/ARQUIVO DA EDITORA</t>
  </si>
  <si>
    <t>Danillo Souza</t>
  </si>
  <si>
    <t>dl</t>
  </si>
  <si>
    <t>DANILLO SOUZA/ARQUIVO DA EDITORA</t>
  </si>
  <si>
    <t>Danilo Santos - Red Dragon</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</si>
  <si>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</si>
  <si>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</si>
  <si>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</si>
  <si>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</si>
  <si>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</si>
  <si>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</si>
  <si>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</si>
  <si>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</si>
  <si>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</si>
  <si>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</si>
  <si>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</si>
  <si>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</si>
  <si>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</si>
  <si>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</si>
  <si>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</si>
  <si>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</si>
  <si>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</si>
  <si>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</si>
  <si>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</si>
  <si>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</si>
  <si>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</si>
  <si>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</si>
  <si>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</si>
  <si>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</si>
  <si>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</si>
  <si>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</si>
  <si>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</si>
  <si>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</si>
  <si>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</si>
  <si>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</si>
  <si>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</si>
  <si>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</si>
  <si>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</si>
  <si>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</si>
  <si>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</si>
  <si>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</si>
  <si>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</si>
  <si>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</si>
  <si>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</si>
  <si>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</si>
  <si>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</si>
  <si>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</si>
  <si>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</si>
  <si>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</si>
  <si>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</si>
  <si>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</si>
  <si>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</si>
  <si>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</si>
  <si>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</si>
  <si>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</si>
  <si>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</si>
  <si>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</si>
  <si>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</si>
  <si>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</si>
  <si>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</si>
  <si>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</si>
  <si>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</si>
  <si>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</si>
  <si>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</si>
  <si>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</si>
  <si>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</si>
  <si>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</si>
  <si>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</si>
  <si>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</si>
  <si>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</si>
  <si>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</si>
  <si>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</si>
  <si>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</si>
  <si>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THIAGO LOPES/ARQUIVO DA EDITORA</t>
  </si>
  <si>
    <t>Estúdio Lab307</t>
  </si>
  <si>
    <t>ERIK MALAGRINO/ARQUIVO DA EDITORA</t>
  </si>
  <si>
    <t>Estúdio Meraki</t>
  </si>
  <si>
    <t>NATANAELE BILMAIA/ARQUIVO DA EDITORA</t>
  </si>
  <si>
    <t>Estúdio Mil</t>
  </si>
  <si>
    <t>em</t>
  </si>
  <si>
    <t>Estúdio Orangotango</t>
  </si>
  <si>
    <t>eo</t>
  </si>
  <si>
    <t>Estúdio Ornitorrinco</t>
  </si>
  <si>
    <t>MÁRCIO GUERRA/ARQUIVO DA EDITORA</t>
  </si>
  <si>
    <t>Estúdio Um mais Dois</t>
  </si>
  <si>
    <t>ud</t>
  </si>
  <si>
    <t>Ezequiel Silva (Monge Lua)</t>
  </si>
  <si>
    <t>ez</t>
  </si>
  <si>
    <t>EZEQUIEL SILVA/ARQUIVO DA EDITORA</t>
  </si>
  <si>
    <t>Ewerton Xavier</t>
  </si>
  <si>
    <t>ex</t>
  </si>
  <si>
    <t>EWERTON XAVIER/ARQUIVO DA EDITORA</t>
  </si>
  <si>
    <t>Fabio Eugenio</t>
  </si>
  <si>
    <t>FABIO EUGENIO/ARQUIVO DA EDITORA</t>
  </si>
  <si>
    <t>Fabíola Petri</t>
  </si>
  <si>
    <t>fp</t>
  </si>
  <si>
    <t>FABÍOLA PETRI/ARQUIVO DA EDITORA</t>
  </si>
  <si>
    <t>fg</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</si>
  <si>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</si>
  <si>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</si>
  <si>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</si>
  <si>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</si>
  <si>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</si>
  <si>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</si>
  <si>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</si>
  <si>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</si>
  <si>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</si>
  <si>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</si>
  <si>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</si>
  <si>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</si>
  <si>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</si>
  <si>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</si>
  <si>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</si>
  <si>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</si>
  <si>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</si>
  <si>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</si>
  <si>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</si>
  <si>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</si>
  <si>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</si>
  <si>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</si>
  <si>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</si>
  <si>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</si>
  <si>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</si>
  <si>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</si>
  <si>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</si>
  <si>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</si>
  <si>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</si>
  <si>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</si>
  <si>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</si>
  <si>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</si>
  <si>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</si>
  <si>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</si>
  <si>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</si>
  <si>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</si>
  <si>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</si>
  <si>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</si>
  <si>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</si>
  <si>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</si>
  <si>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</si>
  <si>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</si>
  <si>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</si>
  <si>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</si>
  <si>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</si>
  <si>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</si>
  <si>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</si>
  <si>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</si>
  <si>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</si>
  <si>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</si>
  <si>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</si>
  <si>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</si>
  <si>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</si>
  <si>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</si>
  <si>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</si>
  <si>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</si>
  <si>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</si>
  <si>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</si>
  <si>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</si>
  <si>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</si>
  <si>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</si>
  <si>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Conti</t>
  </si>
  <si>
    <t>gu</t>
  </si>
  <si>
    <t>GUSTAVO CONTI/ARQUIVO DA EDITORA</t>
  </si>
  <si>
    <t>Gustavo Pedrosa</t>
  </si>
  <si>
    <t>gp</t>
  </si>
  <si>
    <t>GUSTAVO PEDROSA/ARQUIVO DA EDITORA</t>
  </si>
  <si>
    <t>Gustavo Ramos</t>
  </si>
  <si>
    <t>GUSTAVO RAMOS/ARQUIVO DA EDITORA</t>
  </si>
  <si>
    <t xml:space="preserve">Heloísa Pintarelli </t>
  </si>
  <si>
    <t>he</t>
  </si>
  <si>
    <t>HELOÍSA PINTARELLI/ARQUIVO DA EDITORA</t>
  </si>
  <si>
    <t>Henrique Dan Fuzitani</t>
  </si>
  <si>
    <t>hf</t>
  </si>
  <si>
    <t>HENRIQUE DAN FUZITANI/ARQUIVO DA EDITORA</t>
  </si>
  <si>
    <t>Henrique Jorge</t>
  </si>
  <si>
    <t>HENRIQUE JORGE G. M. SILVA/ARQUIVO DA EDITORA</t>
  </si>
  <si>
    <t>Hiro Kawahara</t>
  </si>
  <si>
    <t>hk</t>
  </si>
  <si>
    <t>HIRO KAWAHARA/ARQUIVO DA EDITORA</t>
  </si>
  <si>
    <t>Hugo Araújo</t>
  </si>
  <si>
    <t>HUGO ARAÚJO/ARQUIVO DA EDITORA</t>
  </si>
  <si>
    <t>Iberá Júnior</t>
  </si>
  <si>
    <t>ij</t>
  </si>
  <si>
    <t>IBERÁ JÚNIOR/ARQUIVO DA EDITORA</t>
  </si>
  <si>
    <t xml:space="preserve">Ideário Lab </t>
  </si>
  <si>
    <t>REINALDO ROSA/ARQUIVO DA EDITORA</t>
  </si>
  <si>
    <t>Ilustra Cartoon</t>
  </si>
  <si>
    <t>ic</t>
  </si>
  <si>
    <t>Imaginario Studio - Fabio Eiji</t>
  </si>
  <si>
    <t>ig</t>
  </si>
  <si>
    <t>FABIO EIJI SIRASUMA/ARQUIVO DA EDITORA</t>
  </si>
  <si>
    <t>Ingrid Skare</t>
  </si>
  <si>
    <t>ik</t>
  </si>
  <si>
    <t>INGRID SKARE/ARQUIVO DA EDITORA</t>
  </si>
  <si>
    <t>INGRIDHI BORGES/ARQUIVO DA EDITORA</t>
  </si>
  <si>
    <t>Inkdrop Estudio</t>
  </si>
  <si>
    <t>ie</t>
  </si>
  <si>
    <t>Irena Freitas</t>
  </si>
  <si>
    <t>if</t>
  </si>
  <si>
    <t>IRENA FREITAS/ARQUIVO DA EDITORA</t>
  </si>
  <si>
    <t>Isabela Santos Ferreira do Vale</t>
  </si>
  <si>
    <t>ss</t>
  </si>
  <si>
    <t>ISABELA SANTOS/ARQUIVO DA EDITORA</t>
  </si>
  <si>
    <t>Isabella Medeiros</t>
  </si>
  <si>
    <t>ISABELLA MEDEIROS/ARQUIVO DA EDITORA</t>
  </si>
  <si>
    <t>Isadora Zeferino</t>
  </si>
  <si>
    <t>is</t>
  </si>
  <si>
    <t>ISADORA ZEFERINO/ARQUIVO DA EDITORA</t>
  </si>
  <si>
    <t>Ísis Duarte</t>
  </si>
  <si>
    <t>iu</t>
  </si>
  <si>
    <t>ÍSIS DUARTE/ARQUIVO DA EDITORA</t>
  </si>
  <si>
    <t>Ivy Nunes</t>
  </si>
  <si>
    <t>iv</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</si>
  <si>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</si>
  <si>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</si>
  <si>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</si>
  <si>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</si>
  <si>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</si>
  <si>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</si>
  <si>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</si>
  <si>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</si>
  <si>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</si>
  <si>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</si>
  <si>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</si>
  <si>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</si>
  <si>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</si>
  <si>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</si>
  <si>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</si>
  <si>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</si>
  <si>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</si>
  <si>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</si>
  <si>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</si>
  <si>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</si>
  <si>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</si>
  <si>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</si>
  <si>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</si>
  <si>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</si>
  <si>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</si>
  <si>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</si>
  <si>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</si>
  <si>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</si>
  <si>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</si>
  <si>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</si>
  <si>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</si>
  <si>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</si>
  <si>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</si>
  <si>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</si>
  <si>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</si>
  <si>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</si>
  <si>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</si>
  <si>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</si>
  <si>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</si>
  <si>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</si>
  <si>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</si>
  <si>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</si>
  <si>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</si>
  <si>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</si>
  <si>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</si>
  <si>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</si>
  <si>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</si>
  <si>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</si>
  <si>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</si>
  <si>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</si>
  <si>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</si>
  <si>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</si>
  <si>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</si>
  <si>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</si>
  <si>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</si>
  <si>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</si>
  <si>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</si>
  <si>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</si>
  <si>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</si>
  <si>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</si>
  <si>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</si>
  <si>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</si>
  <si>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</si>
  <si>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</si>
  <si>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</si>
  <si>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</si>
  <si>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</si>
  <si>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</si>
  <si>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</si>
  <si>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</si>
  <si>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</si>
  <si>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</si>
  <si>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</si>
  <si>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</si>
  <si>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</si>
  <si>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</si>
  <si>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</si>
  <si>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</si>
  <si>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</si>
  <si>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</si>
  <si>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KLEBER MAURÍCIO COELHO/ARQUIVO DA EDITORA</t>
  </si>
  <si>
    <t>Laís Bicudo</t>
  </si>
  <si>
    <t>lc</t>
  </si>
  <si>
    <t>LAÍS BICUDO/ARQUIVO DA EDITORA</t>
  </si>
  <si>
    <t xml:space="preserve">Laís Cristina Caldonazzo Garbelini </t>
  </si>
  <si>
    <t>lg</t>
  </si>
  <si>
    <t>LAÍS GARBELINI/ARQUIVO DA EDITORA</t>
  </si>
  <si>
    <t>Leandro Júnior Pimenta</t>
  </si>
  <si>
    <t>lt</t>
  </si>
  <si>
    <t>LEANDRO PIMENTA/ARQUIVO DA EDITORA</t>
  </si>
  <si>
    <t>Leandro Lassmar</t>
  </si>
  <si>
    <t xml:space="preserve">ls </t>
  </si>
  <si>
    <t>LEANDRO LASSMAR /ARQUIVO DA EDITORA</t>
  </si>
  <si>
    <t>Leo Gibran</t>
  </si>
  <si>
    <t>le</t>
  </si>
  <si>
    <t>LEO GIBRAN/ARQUIVO DA EDITORA</t>
  </si>
  <si>
    <t>Leo Natsume</t>
  </si>
  <si>
    <t>ln</t>
  </si>
  <si>
    <t>LEO NATSUME/ARQUIVO DA EDITORA</t>
  </si>
  <si>
    <t>Leonardo de Moura Amaral - GIZ DE CERA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</si>
  <si>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</si>
  <si>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</si>
  <si>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</si>
  <si>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</si>
  <si>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</si>
  <si>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</si>
  <si>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</si>
  <si>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</si>
  <si>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</si>
  <si>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</si>
  <si>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</si>
  <si>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LISLLEY GOMES FEIGE/ARQUIVO DA EDITORA</t>
  </si>
  <si>
    <t>Loquaz Design</t>
  </si>
  <si>
    <t>lq</t>
  </si>
  <si>
    <t>Lucas Kenzo Hamazaki</t>
  </si>
  <si>
    <t>kz</t>
  </si>
  <si>
    <t>KENZO HAMAZAKI/ARQUIVO DA EDITORA</t>
  </si>
  <si>
    <t>Lucas Palma</t>
  </si>
  <si>
    <t>lp</t>
  </si>
  <si>
    <t>LUCAS PALMA/ARQUIVO DA EDITORA</t>
  </si>
  <si>
    <t xml:space="preserve">Luciane Mori </t>
  </si>
  <si>
    <t>LUCIANE MORI/ARQUIVO DA EDITORA</t>
  </si>
  <si>
    <t>Luciano Veronezi</t>
  </si>
  <si>
    <t>lv</t>
  </si>
  <si>
    <t>LUCIANO VERONEZI/ARQUIVO DA EDITORA</t>
  </si>
  <si>
    <t>Luiz Fernando Fogaça</t>
  </si>
  <si>
    <t>lf</t>
  </si>
  <si>
    <t>LUIZ F. FOGAÇA/ARQUIVO DA EDITORA</t>
  </si>
  <si>
    <t>Luiz Lentini</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</si>
  <si>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</si>
  <si>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</si>
  <si>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</si>
  <si>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</si>
  <si>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</si>
  <si>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</si>
  <si>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</si>
  <si>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</si>
  <si>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</si>
  <si>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</si>
  <si>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</si>
  <si>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</si>
  <si>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</si>
  <si>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</si>
  <si>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</si>
  <si>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</si>
  <si>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</si>
  <si>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</si>
  <si>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</si>
  <si>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</si>
  <si>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</si>
  <si>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</si>
  <si>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</si>
  <si>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</si>
  <si>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</si>
  <si>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</si>
  <si>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</si>
  <si>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</si>
  <si>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</si>
  <si>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</si>
  <si>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</si>
  <si>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</si>
  <si>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</si>
  <si>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</si>
  <si>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</si>
  <si>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</si>
  <si>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</si>
  <si>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</si>
  <si>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</si>
  <si>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</si>
  <si>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Pirilo</t>
  </si>
  <si>
    <t>mp</t>
  </si>
  <si>
    <t>MARILIA PIRILO/ARQUIVO DA EDITORA</t>
  </si>
  <si>
    <t>Mario Henrique Boaventura Nakano</t>
  </si>
  <si>
    <t>mh</t>
  </si>
  <si>
    <t>MARIO HENRIQUE/ARQUIVO DA EDITORA</t>
  </si>
  <si>
    <t>Marlowa</t>
  </si>
  <si>
    <t>mw</t>
  </si>
  <si>
    <t>MARLOWA/ARQUIVO DA EDITORA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</si>
  <si>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</si>
  <si>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</si>
  <si>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</si>
  <si>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</si>
  <si>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</si>
  <si>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</si>
  <si>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</si>
  <si>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</si>
  <si>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</si>
  <si>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</si>
  <si>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</si>
  <si>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</si>
  <si>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</si>
  <si>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</si>
  <si>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</si>
  <si>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</si>
  <si>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</si>
  <si>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</si>
  <si>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</si>
  <si>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</si>
  <si>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</si>
  <si>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</si>
  <si>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</si>
  <si>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</si>
  <si>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</si>
  <si>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</si>
  <si>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</si>
  <si>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</si>
  <si>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</si>
  <si>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</si>
  <si>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</si>
  <si>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</si>
  <si>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</si>
  <si>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Lima Bilmaia </t>
  </si>
  <si>
    <t>nb</t>
  </si>
  <si>
    <t>Nathalia Ichioka</t>
  </si>
  <si>
    <t>ni</t>
  </si>
  <si>
    <t>NATHALIA ICHIOKA/ARQUIVO DA EDITORA</t>
  </si>
  <si>
    <t xml:space="preserve">Nelson Akira Ishikawa </t>
  </si>
  <si>
    <t>ne</t>
  </si>
  <si>
    <t>NELSON ISHIKAWA /ARQUIVO DA EDITORA</t>
  </si>
  <si>
    <t>Nelson Cosentino</t>
  </si>
  <si>
    <t>nc</t>
  </si>
  <si>
    <t>NELSON COSENTINO/ARQUIVO DA EDITORA</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</si>
  <si>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</si>
  <si>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</si>
  <si>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</si>
  <si>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</si>
  <si>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</si>
  <si>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</si>
  <si>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</si>
  <si>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</si>
  <si>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</si>
  <si>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</si>
  <si>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</si>
  <si>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</si>
  <si>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</si>
  <si>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</si>
  <si>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</si>
  <si>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</si>
  <si>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</si>
  <si>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</si>
  <si>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</si>
  <si>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</si>
  <si>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</si>
  <si>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</si>
  <si>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</si>
  <si>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</si>
  <si>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</si>
  <si>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</si>
  <si>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</si>
  <si>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</si>
  <si>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</si>
  <si>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</si>
  <si>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</si>
  <si>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</si>
  <si>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</si>
  <si>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</si>
  <si>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</si>
  <si>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</si>
  <si>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</si>
  <si>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</si>
  <si>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</si>
  <si>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</si>
  <si>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</si>
  <si>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</si>
  <si>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</si>
  <si>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</si>
  <si>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</si>
  <si>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</si>
  <si>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DIANTE)/ARQUIVO DA EDITORA</t>
  </si>
  <si>
    <t>Quanta Studio (até 2013)</t>
  </si>
  <si>
    <t>qt</t>
  </si>
  <si>
    <t>QUANTA STUDIO (ATÉ 2013)/ARQUIVO DA EDITORA</t>
  </si>
  <si>
    <t xml:space="preserve">Rafael da Silva </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</si>
  <si>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</si>
  <si>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</si>
  <si>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</si>
  <si>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</si>
  <si>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</si>
  <si>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</si>
  <si>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</si>
  <si>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</si>
  <si>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</si>
  <si>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</si>
  <si>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</si>
  <si>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</si>
  <si>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</si>
  <si>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</si>
  <si>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</si>
  <si>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</si>
  <si>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</si>
  <si>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</si>
  <si>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</si>
  <si>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</si>
  <si>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</si>
  <si>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</si>
  <si>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</si>
  <si>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</si>
  <si>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pn</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</si>
  <si>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</si>
  <si>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</si>
  <si>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</si>
  <si>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</si>
  <si>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</si>
  <si>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</si>
  <si>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</si>
  <si>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</si>
  <si>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</si>
  <si>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</si>
  <si>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</si>
  <si>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</si>
  <si>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</si>
  <si>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</si>
  <si>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</si>
  <si>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</si>
  <si>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</si>
  <si>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</si>
  <si>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</si>
  <si>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</si>
  <si>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</si>
  <si>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</si>
  <si>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</si>
  <si>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</si>
  <si>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</si>
  <si>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</si>
  <si>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</si>
  <si>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</si>
  <si>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Rivaldo Ferreira Barboza Filho</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</si>
  <si>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</si>
  <si>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</si>
  <si>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</si>
  <si>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</si>
  <si>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</si>
  <si>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</si>
  <si>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</si>
  <si>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</si>
  <si>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</si>
  <si>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</si>
  <si>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</si>
  <si>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</si>
  <si>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</si>
  <si>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</si>
  <si>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</si>
  <si>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</si>
  <si>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</si>
  <si>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</si>
  <si>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</si>
  <si>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</si>
  <si>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</si>
  <si>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</si>
  <si>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 xml:space="preserve">Rogério Casagrande </t>
  </si>
  <si>
    <t>ROGÉRIO CASAGRANDE/ARQUIVO DA EDITORA</t>
  </si>
  <si>
    <t>Rogério Coelho</t>
  </si>
  <si>
    <t>rc</t>
  </si>
  <si>
    <t>ROGÉRIO COELHO /ARQUIVO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</si>
  <si>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</si>
  <si>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</si>
  <si>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</si>
  <si>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</si>
  <si>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</si>
  <si>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</si>
  <si>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</si>
  <si>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</si>
  <si>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</si>
  <si>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</si>
  <si>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</si>
  <si>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</si>
  <si>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</si>
  <si>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</si>
  <si>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</si>
  <si>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</si>
  <si>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</si>
  <si>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</si>
  <si>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</si>
  <si>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SAULO NUNES/ARQUIVO DA EDITORA</t>
  </si>
  <si>
    <t>Sergio Luiz de Lima Filho</t>
  </si>
  <si>
    <t>sl</t>
  </si>
  <si>
    <t>SERGIO LIMA/ARQUIVO DA EDITORA</t>
  </si>
  <si>
    <t>Sidney Siqueira Meireles</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</si>
  <si>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</si>
  <si>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</si>
  <si>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</si>
  <si>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</si>
  <si>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</si>
  <si>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</si>
  <si>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</si>
  <si>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</si>
  <si>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</si>
  <si>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</si>
  <si>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</si>
  <si>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</si>
  <si>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</si>
  <si>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</si>
  <si>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</si>
  <si>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</si>
  <si>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</si>
  <si>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</si>
  <si>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</si>
  <si>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</si>
  <si>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</si>
  <si>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</si>
  <si>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</si>
  <si>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</si>
  <si>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</si>
  <si>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</si>
  <si>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</si>
  <si>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</si>
  <si>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</si>
  <si>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</si>
  <si>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</si>
  <si>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</si>
  <si>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</si>
  <si>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</si>
  <si>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</si>
  <si>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</si>
  <si>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</si>
  <si>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</si>
  <si>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</si>
  <si>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</si>
  <si>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</si>
  <si>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</si>
  <si>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</si>
  <si>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</si>
  <si>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</si>
  <si>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</si>
  <si>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ti</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</si>
  <si>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</si>
  <si>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</si>
  <si>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</si>
  <si>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</si>
  <si>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</si>
  <si>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</si>
  <si>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</si>
  <si>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</si>
  <si>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</si>
  <si>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</si>
  <si>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</si>
  <si>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</si>
  <si>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</si>
  <si>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</si>
  <si>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</si>
  <si>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</si>
  <si>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</si>
  <si>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</si>
  <si>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</si>
  <si>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</si>
  <si>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</si>
  <si>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</si>
  <si>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</si>
  <si>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</si>
  <si>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</si>
  <si>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</si>
  <si>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</si>
  <si>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VERIDIANA SCARPELLI/ARQUIVO DA EDITORA</t>
  </si>
  <si>
    <t>Victor Ferreira Lemos</t>
  </si>
  <si>
    <t>VICTOR LEMOS/ARQUIVO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</si>
  <si>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</si>
  <si>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</si>
  <si>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</si>
  <si>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</si>
  <si>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</si>
  <si>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</si>
  <si>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</si>
  <si>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</si>
  <si>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</si>
  <si>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</si>
  <si>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</si>
  <si>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</si>
  <si>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</si>
  <si>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</si>
  <si>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</si>
  <si>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HOLANDA/ARQUIVO DA EDITORA</t>
  </si>
  <si>
    <t>PRÉ-EDIÇÃO</t>
  </si>
  <si>
    <t>CAPA</t>
  </si>
  <si>
    <t>SCRIBA</t>
  </si>
  <si>
    <t>PREVISAO</t>
  </si>
  <si>
    <t>EDICAO_EQUIPE</t>
  </si>
  <si>
    <t>IL TEC ARTE</t>
  </si>
  <si>
    <t>APRESENT.</t>
  </si>
  <si>
    <t>FTD</t>
  </si>
  <si>
    <t>EDICAO_ARTE</t>
  </si>
  <si>
    <t>SUMÁRIO</t>
  </si>
  <si>
    <t>MDN</t>
  </si>
  <si>
    <t>FINALIZADO RAFE</t>
  </si>
  <si>
    <t>ABERTURA</t>
  </si>
  <si>
    <t>SABER</t>
  </si>
  <si>
    <t>SM</t>
  </si>
  <si>
    <t>PAGO RAFE</t>
  </si>
  <si>
    <t>PAG.ESPECIAL</t>
  </si>
  <si>
    <t>SCP</t>
  </si>
  <si>
    <t>FINALIZANDO</t>
  </si>
  <si>
    <t>INFOGRÁFICO</t>
  </si>
  <si>
    <t>MP-G</t>
  </si>
  <si>
    <t>ÚNICO</t>
  </si>
  <si>
    <t>ABR</t>
  </si>
  <si>
    <t>MP-E</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</si>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</sst>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sz val="11"/>
      <color rgb="FF000000"/>
      <name val="Aptos Narrow"/>
      <family val="2"/>
    </font>
    <font>
      <sz val="11"/>
      <color rgb="FF000000"/>
      <name val="Aptos Narrow"/>
      <family val="2"/>
      <scheme val="minor"/>
    </font>
    <font>
      <sz val="16"/>
      <color theme="0"/>
      <name val="Aptos Narrow"/>
      <family val="2"/>
      <scheme val="minor"/>
    </font>
    <font>
      <b/>
      <sz val="16"/>
      <color theme="0"/>
      <name val="Aptos Narrow"/>
      <family val="2"/>
      <scheme val="minor"/>
    </font>
    <font>
      <sz val="11"/>
      <name val="Arial Narrow"/>
      <family val="2"/>
    </font>
    <font>
      <sz val="11"/>
      <color rgb="FF000000"/>
      <name val="Aptos Narrow"/>
      <charset val="1"/>
    </font>
    <font>
      <sz val="11"/>
      <color rgb="FF242424"/>
      <name val="Aptos Narrow"/>
      <charset val="1"/>
    </font>
    <font>
      <b/>
      <sz val="11"/>
      <color theme="1"/>
      <name val="Aptos Narrow"/>
      <family val="2"/>
      <scheme val="minor"/>
    </font>
    <font>
      <sz val="12"/>
      <color theme="1"/>
      <name val="Calibri"/>
      <family val="2"/>
    </font>
    <font>
      <sz val="12"/>
      <color theme="1"/>
      <name val="Calibri"/>
      <family val="2"/>
      <charset val="1"/>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rgb="FFC00000"/>
        <bgColor indexed="64"/>
      </patternFill>
    </fill>
    <fill>
      <patternFill patternType="solid">
        <fgColor theme="0"/>
        <bgColor indexed="64"/>
      </patternFill>
    </fill>
    <fill>
      <patternFill patternType="solid">
        <fgColor theme="0" tint="-0.14999847407452621"/>
        <bgColor theme="0" tint="-0.14999847407452621"/>
      </patternFill>
    </fill>
  </fills>
  <borders count="6">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5" fillId="0" borderId="0" xfId="0" applyFont="1" applyAlignment="1">
      <alignment vertical="center"/>
    </xf>
    <xf numFmtId="0" fontId="6" fillId="0" borderId="0" xfId="0" applyFont="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4" fillId="0" borderId="5" xfId="0" applyFont="1" applyBorder="1" applyAlignment="1" applyProtection="1">
      <alignment horizontal="left" vertical="center"/>
      <protection locked="0"/>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0" fontId="0" fillId="0" borderId="0" xfId="0" applyAlignment="1" applyProtection="1">
      <alignment horizontal="left" vertical="center" wrapText="1"/>
      <protection locked="0"/>
    </xf>
    <xf numFmtId="0" fontId="9" fillId="10" borderId="5" xfId="0" applyFont="1" applyFill="1" applyBorder="1" applyAlignment="1">
      <alignment horizontal="left"/>
    </xf>
    <xf numFmtId="0" fontId="9" fillId="10" borderId="5" xfId="0" applyFont="1" applyFill="1" applyBorder="1" applyAlignment="1">
      <alignment horizontal="left" vertical="center"/>
    </xf>
    <xf numFmtId="0" fontId="10" fillId="0" borderId="0" xfId="0" applyFont="1" applyProtection="1">
      <protection locked="0"/>
    </xf>
    <xf numFmtId="0" fontId="0" fillId="11" borderId="0" xfId="0" applyFill="1" applyAlignment="1" applyProtection="1">
      <alignment vertical="center"/>
      <protection locked="0"/>
    </xf>
    <xf numFmtId="0" fontId="0" fillId="11" borderId="0" xfId="0" applyFill="1" applyAlignment="1" applyProtection="1">
      <alignment horizontal="left" vertical="center"/>
      <protection locked="0"/>
    </xf>
    <xf numFmtId="0" fontId="0" fillId="11" borderId="0" xfId="0" applyFill="1" applyAlignment="1" applyProtection="1">
      <alignment horizontal="center" vertical="center"/>
      <protection locked="0"/>
    </xf>
    <xf numFmtId="0" fontId="0" fillId="11" borderId="0" xfId="0" applyFill="1" applyAlignment="1" applyProtection="1">
      <alignment horizontal="left" vertical="center" wrapText="1"/>
      <protection locked="0"/>
    </xf>
    <xf numFmtId="0" fontId="5" fillId="0" borderId="0" xfId="0" applyFont="1" applyAlignment="1" applyProtection="1">
      <alignment vertical="center"/>
      <protection locked="0"/>
    </xf>
    <xf numFmtId="0" fontId="0" fillId="0" borderId="0" xfId="0" applyAlignment="1" applyProtection="1">
      <alignment vertical="center" wrapText="1"/>
      <protection locked="0"/>
    </xf>
    <xf numFmtId="0" fontId="11" fillId="0" borderId="0" xfId="0" applyFont="1"/>
    <xf numFmtId="0" fontId="12" fillId="0" borderId="0" xfId="0" applyFont="1" applyProtection="1">
      <protection locked="0"/>
    </xf>
    <xf numFmtId="0" fontId="13" fillId="0" borderId="0" xfId="0" applyFont="1" applyProtection="1">
      <protection locked="0"/>
    </xf>
    <xf numFmtId="0" fontId="13" fillId="0" borderId="0" xfId="0" applyFont="1" applyAlignment="1" applyProtection="1">
      <alignment wrapText="1"/>
      <protection locked="0"/>
    </xf>
    <xf numFmtId="0" fontId="14" fillId="0" borderId="0" xfId="0" applyFont="1" applyProtection="1">
      <protection locked="0"/>
    </xf>
    <xf numFmtId="0" fontId="11" fillId="0" borderId="0" xfId="0" applyFont="1" applyProtection="1">
      <protection locked="0"/>
    </xf>
    <xf numFmtId="0" fontId="14" fillId="0" borderId="0" xfId="0" applyFont="1" applyAlignment="1" applyProtection="1">
      <alignment wrapText="1"/>
      <protection locked="0"/>
    </xf>
    <xf numFmtId="0" fontId="8" fillId="9" borderId="0" xfId="0" applyFont="1" applyFill="1" applyAlignment="1">
      <alignment horizontal="center" wrapText="1"/>
    </xf>
    <xf numFmtId="0" fontId="7" fillId="9" borderId="0" xfId="0" applyFont="1" applyFill="1" applyAlignment="1">
      <alignment horizontal="center" wrapText="1"/>
    </xf>
  </cellXfs>
  <cellStyles count="1">
    <cellStyle name="Normal" xfId="0" builtinId="0"/>
  </cellStyles>
  <dxfs count="33">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
      <alignment horizontal="center" vertical="center" textRotation="0" wrapText="1" indent="0" justifyLastLine="0" shrinkToFit="0" readingOrder="0"/>
    </dxf>
  </dxfs>
  <tableStyles count="1" defaultTableStyle="TableStyleMedium2" defaultPivotStyle="PivotStyleLight16">
    <tableStyle name="Estilo de Tabela 1" pivot="0" count="0" xr9:uid="{DDAE3DAB-D18B-4760-8EFC-6095D733E92B}"/>
  </tableStyles>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D601" totalsRowShown="0" headerRowDxfId="32" dataDxfId="31">
  <autoFilter ref="A1:AD601" xr:uid="{26F14978-443C-43BF-BBAB-3AC6D5A7AEE7}"/>
  <tableColumns count="30">
    <tableColumn id="1" xr3:uid="{47B2C718-3485-46B9-AADB-7CD6614C956B}" name="RETRANCA" dataDxfId="30"/>
    <tableColumn id="2" xr3:uid="{6F20D1A7-51B1-4A53-83CF-50614FC1E87E}" name="STATUS" dataDxfId="29"/>
    <tableColumn id="3" xr3:uid="{E8572E99-0AB2-49AE-9897-F535E78DC59B}" name="CATEGORIA" dataDxfId="28"/>
    <tableColumn id="4" xr3:uid="{3BAA2E23-8D96-41DB-870E-717EF9F01497}" name="LOCALIZAÇÃO" dataDxfId="27"/>
    <tableColumn id="5" xr3:uid="{1B97AF7C-996A-498F-8E4F-F5114662DCAE}" name="PÁGINA" dataDxfId="26"/>
    <tableColumn id="6" xr3:uid="{701EC8BF-5D46-4F01-9E72-37F5C84C6204}" name="VOLUME" dataDxfId="25"/>
    <tableColumn id="7" xr3:uid="{42115F63-2A60-4768-BBD4-D907E57CB424}" name="UNIDADE" dataDxfId="24"/>
    <tableColumn id="8" xr3:uid="{8E407FD3-50F6-4CC1-A2B4-EDA18ADCE3EB}" name="CAPÍTULO _x000a_ ou_x000a_ SEÇÃO" dataDxfId="23"/>
    <tableColumn id="9" xr3:uid="{F6258D69-7676-4635-B739-B385D000AE2F}" name="TIPO" dataDxfId="22"/>
    <tableColumn id="10" xr3:uid="{4DD8887C-979F-4883-A85F-C815DE05EFC4}" name="NOME DA OBRA_x000a_ PARA RESGATE" dataDxfId="21"/>
    <tableColumn id="11" xr3:uid="{6AE351D3-5B1B-4747-80E2-2C6E7096156C}" name="PÁGINA PARA RESGATE" dataDxfId="20"/>
    <tableColumn id="12" xr3:uid="{952EC93C-92B5-4133-9AEA-04AF281045BE}" name="VOLUME PARA RESGATE" dataDxfId="19"/>
    <tableColumn id="13" xr3:uid="{57087D3E-8F9F-4743-8F04-3C6E29F5FEF7}" name="VERSÃO PARA RESGATE" dataDxfId="18"/>
    <tableColumn id="14" xr3:uid="{C9E5A9B8-DDE9-4844-B5BF-DF220C1DD168}" name="PROPRIEDADE" dataDxfId="17"/>
    <tableColumn id="15" xr3:uid="{562820C1-46A0-42B2-950F-AED0FB5E62E7}" name="DESCRIÇÃO DA IMAGEM" dataDxfId="16"/>
    <tableColumn id="17" xr3:uid="{9EC1C14E-FE8F-416B-8F0B-F1829EFD032D}" name="OBSERVAÇÃO DO EDITORIAL/NÚCLEO" dataDxfId="15"/>
    <tableColumn id="18" xr3:uid="{1445C9B1-3AFA-4B92-985F-63C0113E7064}" name="LOTE" dataDxfId="14"/>
    <tableColumn id="19" xr3:uid="{DC238784-0E4D-4DC4-B1E6-1E19ACD2AA8D}" name="DATA DE LIBERAÇÃO DO LOTE PARA ARTE " dataDxfId="13"/>
    <tableColumn id="20" xr3:uid="{0C20AC60-0820-4D59-B1C1-6D84A4B9FA66}" name="DATA DE ENVIO _x000a_DO PEDIDO" dataDxfId="12"/>
    <tableColumn id="21" xr3:uid="{DDDDF8E2-4440-46FA-8A2E-11BFA188E1C2}" name="DATA DO RECEBIMENTO _x000a_DO RAFE" dataDxfId="11"/>
    <tableColumn id="22" xr3:uid="{FE78F000-3E98-407F-A684-34560ED2CEE0}" name="DATA DE RETORNO DO RAFE PARA ILUSTRADOR" dataDxfId="10"/>
    <tableColumn id="23" xr3:uid="{2847C90F-EB07-4DB4-B575-0FC03C222849}" name="DATA DE RECEBIMENTO_x000a_ DA FINALIZADA" dataDxfId="9"/>
    <tableColumn id="24" xr3:uid="{14797CE0-E66E-45A5-8181-5A2482F775E9}" name="SIGLA" dataDxfId="8"/>
    <tableColumn id="25" xr3:uid="{A1C665BD-8ED6-4CD6-88D0-C67BAF49562F}" name="ILUSTRADOR CRIAÇÃO" dataDxfId="7">
      <calculatedColumnFormula>IF(Tabela2[[#This Row],[SIGLA]]="","",VLOOKUP(Tabela2[[#This Row],[SIGLA]],#REF!,2,0))</calculatedColumnFormula>
    </tableColumn>
    <tableColumn id="26" xr3:uid="{12E00CAD-6FD2-4BBD-B590-5DBCF5457DD0}" name="ILUSTRADOR AJUSTES" dataDxfId="6"/>
    <tableColumn id="27" xr3:uid="{DB4DAD23-FDE3-4C38-AFEF-6E9484181939}" name="CRÉDITOS  (A e B)" dataDxfId="5">
      <calculatedColumnFormula>Tabela2[[#This Row],[ILUSTRADOR CRIAÇÃO]]</calculatedColumnFormula>
    </tableColumn>
    <tableColumn id="28" xr3:uid="{A2773F6F-7648-4C4E-A050-6FF08F4C6FD3}" name="CLASSIFICAÇÃO" dataDxfId="4"/>
    <tableColumn id="29" xr3:uid="{5A4B66D0-8557-4F1B-921F-35C87DD256F5}" name="OBSERVAÇÃO DA ARTE" dataDxfId="3"/>
    <tableColumn id="30" xr3:uid="{EB5C8D02-71DF-417B-98C8-2041FFF8D781}" name="OBSERVAÇÃO DE PAGAMENTO" dataDxfId="2"/>
    <tableColumn id="31" xr3:uid="{81BC28F8-346B-49BF-9B96-5CACD15820DD}" name="PROJETO" dataDxfId="1">
      <calculatedColumnFormula>"EF1 E001 HGC"</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45C09B-4412-435E-9DFC-D1DFFD0B0E0B}" name="Tabela14" displayName="Tabela14" ref="A2:C334" totalsRowShown="0">
  <autoFilter ref="A2:C334" xr:uid="{7D45C09B-4412-435E-9DFC-D1DFFD0B0E0B}"/>
  <tableColumns count="3">
    <tableColumn id="1" xr3:uid="{6B8E7014-6B54-4966-A16E-F3A27BF7BF18}" name="Nome do ilustrador"/>
    <tableColumn id="2" xr3:uid="{D19B6433-5A47-44FF-83FE-A8C8701C7E4A}" name="Sigla Arte"/>
    <tableColumn id="3" xr3:uid="{E3333885-5D03-46D2-AF67-BE0215940E9C}" name="Crédito" dataDxfId="0"/>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D601"/>
  <sheetViews>
    <sheetView tabSelected="1" zoomScale="85" zoomScaleNormal="85" workbookViewId="0">
      <pane xSplit="1" ySplit="1" topLeftCell="V413" activePane="bottomRight" state="frozen"/>
      <selection pane="topRight" activeCell="B1" sqref="B1"/>
      <selection pane="bottomLeft" activeCell="A2" sqref="A2"/>
      <selection pane="bottomRight" activeCell="AB603" sqref="AB603"/>
    </sheetView>
  </sheetViews>
  <sheetFormatPr defaultColWidth="9.140625" defaultRowHeight="15" x14ac:dyDescent="0.25"/>
  <cols>
    <col min="1" max="1" width="29.85546875" customWidth="1"/>
    <col min="2" max="5" width="15" customWidth="1"/>
    <col min="6" max="6" width="12.85546875" customWidth="1"/>
    <col min="7" max="7" width="11.140625" customWidth="1"/>
    <col min="8" max="8" width="15.7109375" customWidth="1"/>
    <col min="10" max="10" width="17.85546875" customWidth="1"/>
    <col min="11" max="11" width="16.140625" customWidth="1"/>
    <col min="12" max="12" width="17.28515625" customWidth="1"/>
    <col min="13" max="13" width="13.28515625" customWidth="1"/>
    <col min="14" max="14" width="17" customWidth="1"/>
    <col min="15" max="15" width="67.140625" customWidth="1"/>
    <col min="16" max="16" width="39.85546875" customWidth="1"/>
    <col min="17" max="17" width="13.28515625" customWidth="1"/>
    <col min="18" max="18" width="20.42578125" customWidth="1"/>
    <col min="19" max="19" width="21.140625" customWidth="1"/>
    <col min="20" max="20" width="17.5703125" customWidth="1"/>
    <col min="21" max="22" width="17" customWidth="1"/>
    <col min="23" max="23" width="11.140625" customWidth="1"/>
    <col min="24" max="24" width="59.42578125" customWidth="1"/>
    <col min="25" max="25" width="21.140625" customWidth="1"/>
    <col min="26" max="26" width="60.7109375" customWidth="1"/>
    <col min="27" max="27" width="21.140625" customWidth="1"/>
    <col min="28" max="28" width="37.28515625" customWidth="1"/>
    <col min="29" max="30" width="21.140625" customWidth="1"/>
  </cols>
  <sheetData>
    <row r="1" spans="1:30" s="12" customFormat="1" ht="60" x14ac:dyDescent="0.25">
      <c r="A1" s="9" t="s">
        <v>0</v>
      </c>
      <c r="B1" s="10" t="s">
        <v>1</v>
      </c>
      <c r="C1" s="10" t="s">
        <v>2</v>
      </c>
      <c r="D1" s="10" t="s">
        <v>3</v>
      </c>
      <c r="E1" s="10" t="s">
        <v>4</v>
      </c>
      <c r="F1" s="10" t="s">
        <v>5</v>
      </c>
      <c r="G1" s="10" t="s">
        <v>6</v>
      </c>
      <c r="H1" s="10" t="s">
        <v>7</v>
      </c>
      <c r="I1" s="10" t="s">
        <v>8</v>
      </c>
      <c r="J1" s="10" t="s">
        <v>9</v>
      </c>
      <c r="K1" s="10" t="s">
        <v>10</v>
      </c>
      <c r="L1" s="10" t="s">
        <v>11</v>
      </c>
      <c r="M1" s="10" t="s">
        <v>12</v>
      </c>
      <c r="N1" s="10" t="s">
        <v>13</v>
      </c>
      <c r="O1" s="20" t="s">
        <v>14</v>
      </c>
      <c r="P1" s="10" t="s">
        <v>15</v>
      </c>
      <c r="Q1" s="10" t="s">
        <v>16</v>
      </c>
      <c r="R1" s="18" t="s">
        <v>17</v>
      </c>
      <c r="S1" s="15" t="s">
        <v>18</v>
      </c>
      <c r="T1" s="15" t="s">
        <v>19</v>
      </c>
      <c r="U1" s="15" t="s">
        <v>20</v>
      </c>
      <c r="V1" s="16" t="s">
        <v>21</v>
      </c>
      <c r="W1" s="11" t="s">
        <v>22</v>
      </c>
      <c r="X1" s="13" t="s">
        <v>23</v>
      </c>
      <c r="Y1" s="11" t="s">
        <v>24</v>
      </c>
      <c r="Z1" s="13" t="s">
        <v>25</v>
      </c>
      <c r="AA1" s="11" t="s">
        <v>26</v>
      </c>
      <c r="AB1" s="11" t="s">
        <v>27</v>
      </c>
      <c r="AC1" s="21" t="s">
        <v>28</v>
      </c>
      <c r="AD1" s="17" t="s">
        <v>29</v>
      </c>
    </row>
    <row r="2" spans="1:30" s="14" customFormat="1" ht="60" x14ac:dyDescent="0.25">
      <c r="A2" s="24" t="s">
        <v>30</v>
      </c>
      <c r="B2" s="22" t="s">
        <v>31</v>
      </c>
      <c r="C2" s="22" t="s">
        <v>32</v>
      </c>
      <c r="D2" s="22" t="s">
        <v>33</v>
      </c>
      <c r="E2" s="23">
        <v>18</v>
      </c>
      <c r="F2" s="23">
        <v>1</v>
      </c>
      <c r="G2" s="23">
        <v>1</v>
      </c>
      <c r="H2" s="23"/>
      <c r="I2" s="24" t="s">
        <v>34</v>
      </c>
      <c r="J2" s="24"/>
      <c r="K2" s="23"/>
      <c r="L2" s="23"/>
      <c r="M2" s="24"/>
      <c r="N2" s="24"/>
      <c r="O2" s="26" t="s">
        <v>35</v>
      </c>
      <c r="P2" s="26"/>
      <c r="Q2" s="23"/>
      <c r="R2" s="25"/>
      <c r="S2" s="25"/>
      <c r="T2" s="25"/>
      <c r="U2" s="25"/>
      <c r="V2" s="25"/>
      <c r="W2" s="23" t="s">
        <v>36</v>
      </c>
      <c r="X2" s="4" t="str">
        <f>IF(Tabela2[[#This Row],[SIGLA]]="","",VLOOKUP(Tabela2[[#This Row],[SIGLA]],créditos_base!B:C,2,0))</f>
        <v>REINALDO ROSA/ARQUIVO DA EDITORA</v>
      </c>
      <c r="Y2" s="24"/>
      <c r="Z2" s="24" t="str">
        <f>Tabela2[[#This Row],[ILUSTRADOR CRIAÇÃO]]</f>
        <v>REINALDO ROSA/ARQUIVO DA EDITORA</v>
      </c>
      <c r="AA2" s="23"/>
      <c r="AB2" s="22"/>
      <c r="AC2" s="22"/>
      <c r="AD2" s="4" t="str">
        <f t="shared" ref="AD2:AD65" si="0">"EF1 E001 HGC"</f>
        <v>EF1 E001 HGC</v>
      </c>
    </row>
    <row r="3" spans="1:30" s="14" customFormat="1" ht="105" x14ac:dyDescent="0.25">
      <c r="A3" s="24" t="s">
        <v>37</v>
      </c>
      <c r="B3" s="22" t="s">
        <v>31</v>
      </c>
      <c r="C3" s="22" t="s">
        <v>32</v>
      </c>
      <c r="D3" s="22" t="s">
        <v>33</v>
      </c>
      <c r="E3" s="23">
        <v>20</v>
      </c>
      <c r="F3" s="23">
        <v>1</v>
      </c>
      <c r="G3" s="23">
        <v>1</v>
      </c>
      <c r="H3" s="23"/>
      <c r="I3" s="24" t="s">
        <v>38</v>
      </c>
      <c r="J3" s="24"/>
      <c r="K3" s="23"/>
      <c r="L3" s="23"/>
      <c r="M3" s="24"/>
      <c r="N3" s="24"/>
      <c r="O3" s="26" t="s">
        <v>39</v>
      </c>
      <c r="P3" s="26"/>
      <c r="Q3" s="23">
        <v>1</v>
      </c>
      <c r="R3" s="25">
        <v>45740</v>
      </c>
      <c r="S3" s="25">
        <v>45740</v>
      </c>
      <c r="T3" s="25"/>
      <c r="U3" s="25"/>
      <c r="V3" s="25">
        <v>45772</v>
      </c>
      <c r="W3" s="23" t="s">
        <v>40</v>
      </c>
      <c r="X3" s="4" t="str">
        <f>IF(Tabela2[[#This Row],[SIGLA]]="","",VLOOKUP(Tabela2[[#This Row],[SIGLA]],créditos_base!B:C,2,0))</f>
        <v>LISLLEY GOMES FEIGE/ARQUIVO DA EDITORA</v>
      </c>
      <c r="Y3" s="24" t="s">
        <v>41</v>
      </c>
      <c r="Z3" s="24" t="str">
        <f>Tabela2[[#This Row],[ILUSTRADOR CRIAÇÃO]]</f>
        <v>LISLLEY GOMES FEIGE/ARQUIVO DA EDITORA</v>
      </c>
      <c r="AA3" s="23">
        <v>13</v>
      </c>
      <c r="AB3" s="22" t="s">
        <v>42</v>
      </c>
      <c r="AC3" s="22" t="s">
        <v>43</v>
      </c>
      <c r="AD3" s="4" t="str">
        <f t="shared" si="0"/>
        <v>EF1 E001 HGC</v>
      </c>
    </row>
    <row r="4" spans="1:30" s="14" customFormat="1" ht="75" x14ac:dyDescent="0.25">
      <c r="A4" s="24" t="s">
        <v>44</v>
      </c>
      <c r="B4" s="22" t="s">
        <v>31</v>
      </c>
      <c r="C4" s="22" t="s">
        <v>32</v>
      </c>
      <c r="D4" s="22" t="s">
        <v>33</v>
      </c>
      <c r="E4" s="23">
        <v>21</v>
      </c>
      <c r="F4" s="23">
        <v>1</v>
      </c>
      <c r="G4" s="23">
        <v>1</v>
      </c>
      <c r="H4" s="23"/>
      <c r="I4" s="24" t="s">
        <v>34</v>
      </c>
      <c r="J4" s="24"/>
      <c r="K4" s="23"/>
      <c r="L4" s="23"/>
      <c r="M4" s="24"/>
      <c r="N4" s="24"/>
      <c r="O4" s="26" t="s">
        <v>45</v>
      </c>
      <c r="P4" s="26"/>
      <c r="Q4" s="23"/>
      <c r="R4" s="25"/>
      <c r="S4" s="25"/>
      <c r="T4" s="25"/>
      <c r="U4" s="25"/>
      <c r="V4" s="25"/>
      <c r="W4" s="23" t="s">
        <v>40</v>
      </c>
      <c r="X4" s="4" t="str">
        <f>IF(Tabela2[[#This Row],[SIGLA]]="","",VLOOKUP(Tabela2[[#This Row],[SIGLA]],créditos_base!B:C,2,0))</f>
        <v>LISLLEY GOMES FEIGE/ARQUIVO DA EDITORA</v>
      </c>
      <c r="Y4" s="24"/>
      <c r="Z4" s="24" t="str">
        <f>Tabela2[[#This Row],[ILUSTRADOR CRIAÇÃO]]</f>
        <v>LISLLEY GOMES FEIGE/ARQUIVO DA EDITORA</v>
      </c>
      <c r="AA4" s="23"/>
      <c r="AB4" s="22"/>
      <c r="AC4" s="22"/>
      <c r="AD4" s="4" t="str">
        <f t="shared" si="0"/>
        <v>EF1 E001 HGC</v>
      </c>
    </row>
    <row r="5" spans="1:30" s="14" customFormat="1" ht="45" x14ac:dyDescent="0.25">
      <c r="A5" s="24" t="s">
        <v>46</v>
      </c>
      <c r="B5" s="22" t="s">
        <v>31</v>
      </c>
      <c r="C5" s="22" t="s">
        <v>32</v>
      </c>
      <c r="D5" s="22" t="s">
        <v>33</v>
      </c>
      <c r="E5" s="23">
        <v>22</v>
      </c>
      <c r="F5" s="23">
        <v>1</v>
      </c>
      <c r="G5" s="23">
        <v>1</v>
      </c>
      <c r="H5" s="23"/>
      <c r="I5" s="24" t="s">
        <v>34</v>
      </c>
      <c r="J5" s="24"/>
      <c r="K5" s="23"/>
      <c r="L5" s="23"/>
      <c r="M5" s="24"/>
      <c r="N5" s="24"/>
      <c r="O5" s="26" t="s">
        <v>47</v>
      </c>
      <c r="P5" s="26"/>
      <c r="Q5" s="23"/>
      <c r="R5" s="25"/>
      <c r="S5" s="25"/>
      <c r="T5" s="25"/>
      <c r="U5" s="25"/>
      <c r="V5" s="25"/>
      <c r="W5" s="23" t="s">
        <v>48</v>
      </c>
      <c r="X5" s="4" t="str">
        <f>IF(Tabela2[[#This Row],[SIGLA]]="","",VLOOKUP(Tabela2[[#This Row],[SIGLA]],créditos_base!B:C,2,0))</f>
        <v>MÁRCIO GUERRA/ARQUIVO DA EDITORA</v>
      </c>
      <c r="Y5" s="24"/>
      <c r="Z5" s="24" t="str">
        <f>Tabela2[[#This Row],[ILUSTRADOR CRIAÇÃO]]</f>
        <v>MÁRCIO GUERRA/ARQUIVO DA EDITORA</v>
      </c>
      <c r="AA5" s="23"/>
      <c r="AB5" s="22"/>
      <c r="AC5" s="22"/>
      <c r="AD5" s="4" t="str">
        <f t="shared" si="0"/>
        <v>EF1 E001 HGC</v>
      </c>
    </row>
    <row r="6" spans="1:30" s="14" customFormat="1" ht="45" x14ac:dyDescent="0.25">
      <c r="A6" s="24" t="s">
        <v>49</v>
      </c>
      <c r="B6" s="22" t="s">
        <v>31</v>
      </c>
      <c r="C6" s="22" t="s">
        <v>32</v>
      </c>
      <c r="D6" s="22" t="s">
        <v>33</v>
      </c>
      <c r="E6" s="23">
        <v>22</v>
      </c>
      <c r="F6" s="23">
        <v>1</v>
      </c>
      <c r="G6" s="23">
        <v>1</v>
      </c>
      <c r="H6" s="23"/>
      <c r="I6" s="24" t="s">
        <v>34</v>
      </c>
      <c r="J6" s="24"/>
      <c r="K6" s="23"/>
      <c r="L6" s="23"/>
      <c r="M6" s="24"/>
      <c r="N6" s="24"/>
      <c r="O6" s="26" t="s">
        <v>50</v>
      </c>
      <c r="P6" s="26"/>
      <c r="Q6" s="23"/>
      <c r="R6" s="25"/>
      <c r="S6" s="25"/>
      <c r="T6" s="25"/>
      <c r="U6" s="25"/>
      <c r="V6" s="25"/>
      <c r="W6" s="23" t="s">
        <v>48</v>
      </c>
      <c r="X6" s="4" t="str">
        <f>IF(Tabela2[[#This Row],[SIGLA]]="","",VLOOKUP(Tabela2[[#This Row],[SIGLA]],créditos_base!B:C,2,0))</f>
        <v>MÁRCIO GUERRA/ARQUIVO DA EDITORA</v>
      </c>
      <c r="Y6" s="24"/>
      <c r="Z6" s="24" t="str">
        <f>Tabela2[[#This Row],[ILUSTRADOR CRIAÇÃO]]</f>
        <v>MÁRCIO GUERRA/ARQUIVO DA EDITORA</v>
      </c>
      <c r="AA6" s="23"/>
      <c r="AB6" s="22"/>
      <c r="AC6" s="22"/>
      <c r="AD6" s="4" t="str">
        <f t="shared" si="0"/>
        <v>EF1 E001 HGC</v>
      </c>
    </row>
    <row r="7" spans="1:30" s="14" customFormat="1" ht="45" x14ac:dyDescent="0.25">
      <c r="A7" s="19" t="s">
        <v>51</v>
      </c>
      <c r="B7" s="22" t="s">
        <v>31</v>
      </c>
      <c r="C7" s="22" t="s">
        <v>32</v>
      </c>
      <c r="D7" s="22" t="s">
        <v>33</v>
      </c>
      <c r="E7" s="23">
        <v>22</v>
      </c>
      <c r="F7" s="23">
        <v>1</v>
      </c>
      <c r="G7" s="23">
        <v>1</v>
      </c>
      <c r="H7" s="23"/>
      <c r="I7" s="24" t="s">
        <v>34</v>
      </c>
      <c r="J7" s="24"/>
      <c r="K7" s="23"/>
      <c r="L7" s="23"/>
      <c r="M7" s="24"/>
      <c r="N7" s="24"/>
      <c r="O7" s="26" t="s">
        <v>52</v>
      </c>
      <c r="P7" s="26"/>
      <c r="Q7" s="23"/>
      <c r="R7" s="25"/>
      <c r="S7" s="25"/>
      <c r="T7" s="25"/>
      <c r="U7" s="25"/>
      <c r="V7" s="25"/>
      <c r="W7" s="23" t="s">
        <v>48</v>
      </c>
      <c r="X7" s="4" t="str">
        <f>IF(Tabela2[[#This Row],[SIGLA]]="","",VLOOKUP(Tabela2[[#This Row],[SIGLA]],créditos_base!B:C,2,0))</f>
        <v>MÁRCIO GUERRA/ARQUIVO DA EDITORA</v>
      </c>
      <c r="Y7" s="24"/>
      <c r="Z7" s="24" t="str">
        <f>Tabela2[[#This Row],[ILUSTRADOR CRIAÇÃO]]</f>
        <v>MÁRCIO GUERRA/ARQUIVO DA EDITORA</v>
      </c>
      <c r="AA7" s="23"/>
      <c r="AB7" s="22"/>
      <c r="AC7" s="22"/>
      <c r="AD7" s="4" t="str">
        <f t="shared" si="0"/>
        <v>EF1 E001 HGC</v>
      </c>
    </row>
    <row r="8" spans="1:30" s="14" customFormat="1" ht="30" x14ac:dyDescent="0.25">
      <c r="A8" s="24" t="s">
        <v>53</v>
      </c>
      <c r="B8" s="22" t="s">
        <v>31</v>
      </c>
      <c r="C8" s="22" t="s">
        <v>32</v>
      </c>
      <c r="D8" s="22" t="s">
        <v>33</v>
      </c>
      <c r="E8" s="23">
        <v>22</v>
      </c>
      <c r="F8" s="23">
        <v>1</v>
      </c>
      <c r="G8" s="23">
        <v>1</v>
      </c>
      <c r="H8" s="23"/>
      <c r="I8" s="24" t="s">
        <v>34</v>
      </c>
      <c r="J8" s="24"/>
      <c r="K8" s="23"/>
      <c r="L8" s="23"/>
      <c r="M8" s="24"/>
      <c r="N8" s="24"/>
      <c r="O8" s="26" t="s">
        <v>54</v>
      </c>
      <c r="P8" s="26"/>
      <c r="Q8" s="23"/>
      <c r="R8" s="25"/>
      <c r="S8" s="25"/>
      <c r="T8" s="25"/>
      <c r="U8" s="25"/>
      <c r="V8" s="25"/>
      <c r="W8" s="23" t="s">
        <v>48</v>
      </c>
      <c r="X8" s="4" t="str">
        <f>IF(Tabela2[[#This Row],[SIGLA]]="","",VLOOKUP(Tabela2[[#This Row],[SIGLA]],créditos_base!B:C,2,0))</f>
        <v>MÁRCIO GUERRA/ARQUIVO DA EDITORA</v>
      </c>
      <c r="Y8" s="24"/>
      <c r="Z8" s="24" t="str">
        <f>Tabela2[[#This Row],[ILUSTRADOR CRIAÇÃO]]</f>
        <v>MÁRCIO GUERRA/ARQUIVO DA EDITORA</v>
      </c>
      <c r="AA8" s="23"/>
      <c r="AB8" s="22"/>
      <c r="AC8" s="22"/>
      <c r="AD8" s="4" t="str">
        <f t="shared" si="0"/>
        <v>EF1 E001 HGC</v>
      </c>
    </row>
    <row r="9" spans="1:30" s="14" customFormat="1" ht="30" x14ac:dyDescent="0.25">
      <c r="A9" s="24" t="s">
        <v>55</v>
      </c>
      <c r="B9" s="22" t="s">
        <v>31</v>
      </c>
      <c r="C9" s="22" t="s">
        <v>32</v>
      </c>
      <c r="D9" s="22" t="s">
        <v>33</v>
      </c>
      <c r="E9" s="23">
        <v>22</v>
      </c>
      <c r="F9" s="23">
        <v>1</v>
      </c>
      <c r="G9" s="23">
        <v>1</v>
      </c>
      <c r="H9" s="23"/>
      <c r="I9" s="24" t="s">
        <v>34</v>
      </c>
      <c r="J9" s="24"/>
      <c r="K9" s="23"/>
      <c r="L9" s="23"/>
      <c r="M9" s="24"/>
      <c r="N9" s="24"/>
      <c r="O9" s="26" t="s">
        <v>56</v>
      </c>
      <c r="P9" s="26"/>
      <c r="Q9" s="23"/>
      <c r="R9" s="25"/>
      <c r="S9" s="25"/>
      <c r="T9" s="25"/>
      <c r="U9" s="25"/>
      <c r="V9" s="25"/>
      <c r="W9" s="23" t="s">
        <v>48</v>
      </c>
      <c r="X9" s="4" t="str">
        <f>IF(Tabela2[[#This Row],[SIGLA]]="","",VLOOKUP(Tabela2[[#This Row],[SIGLA]],créditos_base!B:C,2,0))</f>
        <v>MÁRCIO GUERRA/ARQUIVO DA EDITORA</v>
      </c>
      <c r="Y9" s="24"/>
      <c r="Z9" s="24" t="str">
        <f>Tabela2[[#This Row],[ILUSTRADOR CRIAÇÃO]]</f>
        <v>MÁRCIO GUERRA/ARQUIVO DA EDITORA</v>
      </c>
      <c r="AA9" s="23"/>
      <c r="AB9" s="22"/>
      <c r="AC9" s="22"/>
      <c r="AD9" s="4" t="str">
        <f t="shared" si="0"/>
        <v>EF1 E001 HGC</v>
      </c>
    </row>
    <row r="10" spans="1:30" s="14" customFormat="1" ht="30" x14ac:dyDescent="0.25">
      <c r="A10" s="24" t="s">
        <v>57</v>
      </c>
      <c r="B10" s="22" t="s">
        <v>31</v>
      </c>
      <c r="C10" s="22" t="s">
        <v>32</v>
      </c>
      <c r="D10" s="22" t="s">
        <v>33</v>
      </c>
      <c r="E10" s="23">
        <v>26</v>
      </c>
      <c r="F10" s="23">
        <v>1</v>
      </c>
      <c r="G10" s="23">
        <v>1</v>
      </c>
      <c r="H10" s="23"/>
      <c r="I10" s="24" t="s">
        <v>34</v>
      </c>
      <c r="J10" s="24"/>
      <c r="K10" s="23"/>
      <c r="L10" s="23"/>
      <c r="M10" s="24"/>
      <c r="N10" s="24"/>
      <c r="O10" s="26" t="s">
        <v>58</v>
      </c>
      <c r="P10" s="26"/>
      <c r="Q10" s="23"/>
      <c r="R10" s="25"/>
      <c r="S10" s="25"/>
      <c r="T10" s="25"/>
      <c r="U10" s="25"/>
      <c r="V10" s="25"/>
      <c r="W10" s="23" t="s">
        <v>59</v>
      </c>
      <c r="X10" s="4" t="str">
        <f>IF(Tabela2[[#This Row],[SIGLA]]="","",VLOOKUP(Tabela2[[#This Row],[SIGLA]],créditos_base!B:C,2,0))</f>
        <v>DANILO SANTOS/ARQUIVO DA EDITORA</v>
      </c>
      <c r="Y10" s="24"/>
      <c r="Z10" s="24" t="str">
        <f>Tabela2[[#This Row],[ILUSTRADOR CRIAÇÃO]]</f>
        <v>DANILO SANTOS/ARQUIVO DA EDITORA</v>
      </c>
      <c r="AA10" s="23"/>
      <c r="AB10" s="22"/>
      <c r="AC10" s="22"/>
      <c r="AD10" s="4" t="str">
        <f t="shared" si="0"/>
        <v>EF1 E001 HGC</v>
      </c>
    </row>
    <row r="11" spans="1:30" s="14" customFormat="1" ht="30" x14ac:dyDescent="0.25">
      <c r="A11" s="24" t="s">
        <v>60</v>
      </c>
      <c r="B11" s="22" t="s">
        <v>31</v>
      </c>
      <c r="C11" s="22" t="s">
        <v>32</v>
      </c>
      <c r="D11" s="22" t="s">
        <v>33</v>
      </c>
      <c r="E11" s="23">
        <v>26</v>
      </c>
      <c r="F11" s="23">
        <v>1</v>
      </c>
      <c r="G11" s="23">
        <v>1</v>
      </c>
      <c r="H11" s="23"/>
      <c r="I11" s="24" t="s">
        <v>34</v>
      </c>
      <c r="J11" s="24"/>
      <c r="K11" s="23"/>
      <c r="L11" s="23"/>
      <c r="M11" s="24"/>
      <c r="N11" s="24"/>
      <c r="O11" s="26" t="s">
        <v>61</v>
      </c>
      <c r="P11" s="26"/>
      <c r="Q11" s="23"/>
      <c r="R11" s="25"/>
      <c r="S11" s="25"/>
      <c r="T11" s="25"/>
      <c r="U11" s="25"/>
      <c r="V11" s="25"/>
      <c r="W11" s="23" t="s">
        <v>59</v>
      </c>
      <c r="X11" s="4" t="str">
        <f>IF(Tabela2[[#This Row],[SIGLA]]="","",VLOOKUP(Tabela2[[#This Row],[SIGLA]],créditos_base!B:C,2,0))</f>
        <v>DANILO SANTOS/ARQUIVO DA EDITORA</v>
      </c>
      <c r="Y11" s="24"/>
      <c r="Z11" s="24" t="str">
        <f>Tabela2[[#This Row],[ILUSTRADOR CRIAÇÃO]]</f>
        <v>DANILO SANTOS/ARQUIVO DA EDITORA</v>
      </c>
      <c r="AA11" s="23"/>
      <c r="AB11" s="22"/>
      <c r="AC11" s="22"/>
      <c r="AD11" s="4" t="str">
        <f t="shared" si="0"/>
        <v>EF1 E001 HGC</v>
      </c>
    </row>
    <row r="12" spans="1:30" s="14" customFormat="1" ht="30" x14ac:dyDescent="0.25">
      <c r="A12" s="24" t="s">
        <v>62</v>
      </c>
      <c r="B12" s="22" t="s">
        <v>31</v>
      </c>
      <c r="C12" s="22" t="s">
        <v>32</v>
      </c>
      <c r="D12" s="22" t="s">
        <v>33</v>
      </c>
      <c r="E12" s="23">
        <v>27</v>
      </c>
      <c r="F12" s="23">
        <v>1</v>
      </c>
      <c r="G12" s="23">
        <v>1</v>
      </c>
      <c r="H12" s="23"/>
      <c r="I12" s="24" t="s">
        <v>34</v>
      </c>
      <c r="J12" s="24"/>
      <c r="K12" s="23"/>
      <c r="L12" s="23"/>
      <c r="M12" s="24"/>
      <c r="N12" s="24"/>
      <c r="O12" s="26" t="s">
        <v>63</v>
      </c>
      <c r="P12" s="26"/>
      <c r="Q12" s="23"/>
      <c r="R12" s="25"/>
      <c r="S12" s="25"/>
      <c r="T12" s="25"/>
      <c r="U12" s="25"/>
      <c r="V12" s="25"/>
      <c r="W12" s="23" t="s">
        <v>59</v>
      </c>
      <c r="X12" s="4" t="str">
        <f>IF(Tabela2[[#This Row],[SIGLA]]="","",VLOOKUP(Tabela2[[#This Row],[SIGLA]],créditos_base!B:C,2,0))</f>
        <v>DANILO SANTOS/ARQUIVO DA EDITORA</v>
      </c>
      <c r="Y12" s="24"/>
      <c r="Z12" s="24" t="str">
        <f>Tabela2[[#This Row],[ILUSTRADOR CRIAÇÃO]]</f>
        <v>DANILO SANTOS/ARQUIVO DA EDITORA</v>
      </c>
      <c r="AA12" s="23"/>
      <c r="AB12" s="22"/>
      <c r="AC12" s="22"/>
      <c r="AD12" s="4" t="str">
        <f t="shared" si="0"/>
        <v>EF1 E001 HGC</v>
      </c>
    </row>
    <row r="13" spans="1:30" s="14" customFormat="1" ht="30" x14ac:dyDescent="0.25">
      <c r="A13" s="24" t="s">
        <v>64</v>
      </c>
      <c r="B13" s="22" t="s">
        <v>31</v>
      </c>
      <c r="C13" s="22" t="s">
        <v>32</v>
      </c>
      <c r="D13" s="22" t="s">
        <v>33</v>
      </c>
      <c r="E13" s="23">
        <v>27</v>
      </c>
      <c r="F13" s="23">
        <v>1</v>
      </c>
      <c r="G13" s="23">
        <v>1</v>
      </c>
      <c r="H13" s="23"/>
      <c r="I13" s="24" t="s">
        <v>34</v>
      </c>
      <c r="J13" s="24"/>
      <c r="K13" s="23"/>
      <c r="L13" s="23"/>
      <c r="M13" s="24"/>
      <c r="N13" s="24"/>
      <c r="O13" s="26" t="s">
        <v>65</v>
      </c>
      <c r="P13" s="26"/>
      <c r="Q13" s="23"/>
      <c r="R13" s="25"/>
      <c r="S13" s="25"/>
      <c r="T13" s="25"/>
      <c r="U13" s="25"/>
      <c r="V13" s="25"/>
      <c r="W13" s="23" t="s">
        <v>59</v>
      </c>
      <c r="X13" s="4" t="str">
        <f>IF(Tabela2[[#This Row],[SIGLA]]="","",VLOOKUP(Tabela2[[#This Row],[SIGLA]],créditos_base!B:C,2,0))</f>
        <v>DANILO SANTOS/ARQUIVO DA EDITORA</v>
      </c>
      <c r="Y13" s="24"/>
      <c r="Z13" s="24" t="str">
        <f>Tabela2[[#This Row],[ILUSTRADOR CRIAÇÃO]]</f>
        <v>DANILO SANTOS/ARQUIVO DA EDITORA</v>
      </c>
      <c r="AA13" s="23"/>
      <c r="AB13" s="22"/>
      <c r="AC13" s="22"/>
      <c r="AD13" s="4" t="str">
        <f t="shared" si="0"/>
        <v>EF1 E001 HGC</v>
      </c>
    </row>
    <row r="14" spans="1:30" s="14" customFormat="1" ht="30" x14ac:dyDescent="0.25">
      <c r="A14" s="24" t="s">
        <v>66</v>
      </c>
      <c r="B14" s="22" t="s">
        <v>67</v>
      </c>
      <c r="C14" s="22" t="s">
        <v>32</v>
      </c>
      <c r="D14" s="22" t="s">
        <v>33</v>
      </c>
      <c r="E14" s="23">
        <v>28</v>
      </c>
      <c r="F14" s="23">
        <v>1</v>
      </c>
      <c r="G14" s="23">
        <v>1</v>
      </c>
      <c r="H14" s="23"/>
      <c r="I14" s="24" t="s">
        <v>38</v>
      </c>
      <c r="J14" s="24"/>
      <c r="K14" s="23"/>
      <c r="L14" s="23"/>
      <c r="M14" s="24"/>
      <c r="N14" s="24"/>
      <c r="O14" s="26" t="s">
        <v>68</v>
      </c>
      <c r="P14" s="26"/>
      <c r="Q14" s="23"/>
      <c r="R14" s="25">
        <v>45891</v>
      </c>
      <c r="S14" s="25">
        <v>45895</v>
      </c>
      <c r="T14" s="25"/>
      <c r="U14" s="25"/>
      <c r="V14" s="25">
        <v>45895</v>
      </c>
      <c r="W14" s="23" t="s">
        <v>69</v>
      </c>
      <c r="X14" s="4" t="str">
        <f>IF(Tabela2[[#This Row],[SIGLA]]="","",VLOOKUP(Tabela2[[#This Row],[SIGLA]],créditos_base!B:C,2,0))</f>
        <v>CAROLINE ROMÃO BEZERRA/ARQUIVO DA EDITORA</v>
      </c>
      <c r="Y14" s="24" t="s">
        <v>70</v>
      </c>
      <c r="Z14" s="24" t="str">
        <f>Tabela2[[#This Row],[ILUSTRADOR CRIAÇÃO]]</f>
        <v>CAROLINE ROMÃO BEZERRA/ARQUIVO DA EDITORA</v>
      </c>
      <c r="AA14" s="23">
        <v>13</v>
      </c>
      <c r="AB14" s="22" t="s">
        <v>71</v>
      </c>
      <c r="AC14" s="22" t="s">
        <v>43</v>
      </c>
      <c r="AD14" s="4" t="str">
        <f t="shared" si="0"/>
        <v>EF1 E001 HGC</v>
      </c>
    </row>
    <row r="15" spans="1:30" s="14" customFormat="1" ht="30" x14ac:dyDescent="0.25">
      <c r="A15" s="24" t="s">
        <v>72</v>
      </c>
      <c r="B15" s="22" t="s">
        <v>67</v>
      </c>
      <c r="C15" s="22" t="s">
        <v>32</v>
      </c>
      <c r="D15" s="22" t="s">
        <v>33</v>
      </c>
      <c r="E15" s="23">
        <v>28</v>
      </c>
      <c r="F15" s="23">
        <v>1</v>
      </c>
      <c r="G15" s="23">
        <v>1</v>
      </c>
      <c r="H15" s="23"/>
      <c r="I15" s="24" t="s">
        <v>38</v>
      </c>
      <c r="J15" s="24"/>
      <c r="K15" s="23"/>
      <c r="L15" s="23"/>
      <c r="M15" s="24"/>
      <c r="N15" s="24"/>
      <c r="O15" s="26" t="s">
        <v>73</v>
      </c>
      <c r="P15" s="26"/>
      <c r="Q15" s="23"/>
      <c r="R15" s="25">
        <v>45891</v>
      </c>
      <c r="S15" s="25">
        <v>45895</v>
      </c>
      <c r="T15" s="25"/>
      <c r="U15" s="25"/>
      <c r="V15" s="25">
        <v>45895</v>
      </c>
      <c r="W15" s="23" t="s">
        <v>69</v>
      </c>
      <c r="X15" s="4" t="str">
        <f>IF(Tabela2[[#This Row],[SIGLA]]="","",VLOOKUP(Tabela2[[#This Row],[SIGLA]],créditos_base!B:C,2,0))</f>
        <v>CAROLINE ROMÃO BEZERRA/ARQUIVO DA EDITORA</v>
      </c>
      <c r="Y15" s="24" t="s">
        <v>70</v>
      </c>
      <c r="Z15" s="24" t="str">
        <f>Tabela2[[#This Row],[ILUSTRADOR CRIAÇÃO]]</f>
        <v>CAROLINE ROMÃO BEZERRA/ARQUIVO DA EDITORA</v>
      </c>
      <c r="AA15" s="23">
        <v>13</v>
      </c>
      <c r="AB15" s="22" t="s">
        <v>71</v>
      </c>
      <c r="AC15" s="22" t="s">
        <v>43</v>
      </c>
      <c r="AD15" s="4" t="str">
        <f t="shared" si="0"/>
        <v>EF1 E001 HGC</v>
      </c>
    </row>
    <row r="16" spans="1:30" s="14" customFormat="1" ht="30" x14ac:dyDescent="0.25">
      <c r="A16" s="24" t="s">
        <v>74</v>
      </c>
      <c r="B16" s="22" t="s">
        <v>67</v>
      </c>
      <c r="C16" s="22" t="s">
        <v>32</v>
      </c>
      <c r="D16" s="22" t="s">
        <v>33</v>
      </c>
      <c r="E16" s="23">
        <v>28</v>
      </c>
      <c r="F16" s="23">
        <v>1</v>
      </c>
      <c r="G16" s="23">
        <v>1</v>
      </c>
      <c r="H16" s="23"/>
      <c r="I16" s="24" t="s">
        <v>38</v>
      </c>
      <c r="J16" s="24"/>
      <c r="K16" s="23"/>
      <c r="L16" s="23"/>
      <c r="M16" s="24"/>
      <c r="N16" s="24"/>
      <c r="O16" s="26" t="s">
        <v>75</v>
      </c>
      <c r="P16" s="26"/>
      <c r="Q16" s="23">
        <v>30</v>
      </c>
      <c r="R16" s="25">
        <v>45891</v>
      </c>
      <c r="S16" s="25">
        <v>45895</v>
      </c>
      <c r="T16" s="25"/>
      <c r="U16" s="25"/>
      <c r="V16" s="25">
        <v>45895</v>
      </c>
      <c r="W16" s="23" t="s">
        <v>69</v>
      </c>
      <c r="X16" s="4" t="str">
        <f>IF(Tabela2[[#This Row],[SIGLA]]="","",VLOOKUP(Tabela2[[#This Row],[SIGLA]],créditos_base!B:C,2,0))</f>
        <v>CAROLINE ROMÃO BEZERRA/ARQUIVO DA EDITORA</v>
      </c>
      <c r="Y16" s="24" t="s">
        <v>70</v>
      </c>
      <c r="Z16" s="24" t="str">
        <f>Tabela2[[#This Row],[ILUSTRADOR CRIAÇÃO]]</f>
        <v>CAROLINE ROMÃO BEZERRA/ARQUIVO DA EDITORA</v>
      </c>
      <c r="AA16" s="23">
        <v>13</v>
      </c>
      <c r="AB16" s="22" t="s">
        <v>71</v>
      </c>
      <c r="AC16" s="22" t="s">
        <v>43</v>
      </c>
      <c r="AD16" s="4" t="str">
        <f t="shared" si="0"/>
        <v>EF1 E001 HGC</v>
      </c>
    </row>
    <row r="17" spans="1:30" s="14" customFormat="1" ht="30" x14ac:dyDescent="0.25">
      <c r="A17" s="24" t="s">
        <v>76</v>
      </c>
      <c r="B17" s="22" t="s">
        <v>67</v>
      </c>
      <c r="C17" s="22" t="s">
        <v>32</v>
      </c>
      <c r="D17" s="22" t="s">
        <v>33</v>
      </c>
      <c r="E17" s="23">
        <v>28</v>
      </c>
      <c r="F17" s="23">
        <v>1</v>
      </c>
      <c r="G17" s="23">
        <v>1</v>
      </c>
      <c r="H17" s="23"/>
      <c r="I17" s="24" t="s">
        <v>38</v>
      </c>
      <c r="J17" s="24"/>
      <c r="K17" s="23"/>
      <c r="L17" s="23"/>
      <c r="M17" s="24"/>
      <c r="N17" s="24"/>
      <c r="O17" s="26" t="s">
        <v>77</v>
      </c>
      <c r="P17" s="26"/>
      <c r="Q17" s="23">
        <v>30</v>
      </c>
      <c r="R17" s="25">
        <v>45891</v>
      </c>
      <c r="S17" s="25">
        <v>45895</v>
      </c>
      <c r="T17" s="25"/>
      <c r="U17" s="25"/>
      <c r="V17" s="25">
        <v>45895</v>
      </c>
      <c r="W17" s="23" t="s">
        <v>69</v>
      </c>
      <c r="X17" s="4" t="str">
        <f>IF(Tabela2[[#This Row],[SIGLA]]="","",VLOOKUP(Tabela2[[#This Row],[SIGLA]],créditos_base!B:C,2,0))</f>
        <v>CAROLINE ROMÃO BEZERRA/ARQUIVO DA EDITORA</v>
      </c>
      <c r="Y17" s="24" t="s">
        <v>70</v>
      </c>
      <c r="Z17" s="24" t="str">
        <f>Tabela2[[#This Row],[ILUSTRADOR CRIAÇÃO]]</f>
        <v>CAROLINE ROMÃO BEZERRA/ARQUIVO DA EDITORA</v>
      </c>
      <c r="AA17" s="23">
        <v>13</v>
      </c>
      <c r="AB17" s="22" t="s">
        <v>71</v>
      </c>
      <c r="AC17" s="22" t="s">
        <v>43</v>
      </c>
      <c r="AD17" s="4" t="str">
        <f t="shared" si="0"/>
        <v>EF1 E001 HGC</v>
      </c>
    </row>
    <row r="18" spans="1:30" s="14" customFormat="1" ht="30" x14ac:dyDescent="0.25">
      <c r="A18" s="24" t="s">
        <v>78</v>
      </c>
      <c r="B18" s="22" t="s">
        <v>67</v>
      </c>
      <c r="C18" s="22" t="s">
        <v>32</v>
      </c>
      <c r="D18" s="22" t="s">
        <v>33</v>
      </c>
      <c r="E18" s="23">
        <v>28</v>
      </c>
      <c r="F18" s="23">
        <v>1</v>
      </c>
      <c r="G18" s="23">
        <v>1</v>
      </c>
      <c r="H18" s="23"/>
      <c r="I18" s="24" t="s">
        <v>38</v>
      </c>
      <c r="J18" s="24"/>
      <c r="K18" s="23"/>
      <c r="L18" s="23"/>
      <c r="M18" s="24"/>
      <c r="N18" s="24"/>
      <c r="O18" s="26" t="s">
        <v>79</v>
      </c>
      <c r="P18" s="26"/>
      <c r="Q18" s="23"/>
      <c r="R18" s="25">
        <v>45891</v>
      </c>
      <c r="S18" s="25">
        <v>45895</v>
      </c>
      <c r="T18" s="25"/>
      <c r="U18" s="25"/>
      <c r="V18" s="25">
        <v>45895</v>
      </c>
      <c r="W18" s="23" t="s">
        <v>69</v>
      </c>
      <c r="X18" s="4" t="str">
        <f>IF(Tabela2[[#This Row],[SIGLA]]="","",VLOOKUP(Tabela2[[#This Row],[SIGLA]],créditos_base!B:C,2,0))</f>
        <v>CAROLINE ROMÃO BEZERRA/ARQUIVO DA EDITORA</v>
      </c>
      <c r="Y18" s="24" t="s">
        <v>70</v>
      </c>
      <c r="Z18" s="24" t="str">
        <f>Tabela2[[#This Row],[ILUSTRADOR CRIAÇÃO]]</f>
        <v>CAROLINE ROMÃO BEZERRA/ARQUIVO DA EDITORA</v>
      </c>
      <c r="AA18" s="23">
        <v>13</v>
      </c>
      <c r="AB18" s="22" t="s">
        <v>71</v>
      </c>
      <c r="AC18" s="22" t="s">
        <v>43</v>
      </c>
      <c r="AD18" s="4" t="str">
        <f t="shared" si="0"/>
        <v>EF1 E001 HGC</v>
      </c>
    </row>
    <row r="19" spans="1:30" s="14" customFormat="1" ht="30" x14ac:dyDescent="0.25">
      <c r="A19" s="24" t="s">
        <v>80</v>
      </c>
      <c r="B19" s="22" t="s">
        <v>67</v>
      </c>
      <c r="C19" s="22" t="s">
        <v>32</v>
      </c>
      <c r="D19" s="22" t="s">
        <v>33</v>
      </c>
      <c r="E19" s="23">
        <v>28</v>
      </c>
      <c r="F19" s="23">
        <v>1</v>
      </c>
      <c r="G19" s="23">
        <v>1</v>
      </c>
      <c r="H19" s="23"/>
      <c r="I19" s="24" t="s">
        <v>38</v>
      </c>
      <c r="J19" s="24"/>
      <c r="K19" s="23"/>
      <c r="L19" s="23"/>
      <c r="M19" s="24"/>
      <c r="N19" s="24"/>
      <c r="O19" s="26" t="s">
        <v>81</v>
      </c>
      <c r="P19" s="26"/>
      <c r="Q19" s="23"/>
      <c r="R19" s="25">
        <v>45891</v>
      </c>
      <c r="S19" s="25">
        <v>45895</v>
      </c>
      <c r="T19" s="25"/>
      <c r="U19" s="25"/>
      <c r="V19" s="25">
        <v>45895</v>
      </c>
      <c r="W19" s="23" t="s">
        <v>69</v>
      </c>
      <c r="X19" s="4" t="str">
        <f>IF(Tabela2[[#This Row],[SIGLA]]="","",VLOOKUP(Tabela2[[#This Row],[SIGLA]],créditos_base!B:C,2,0))</f>
        <v>CAROLINE ROMÃO BEZERRA/ARQUIVO DA EDITORA</v>
      </c>
      <c r="Y19" s="24" t="s">
        <v>70</v>
      </c>
      <c r="Z19" s="24" t="str">
        <f>Tabela2[[#This Row],[ILUSTRADOR CRIAÇÃO]]</f>
        <v>CAROLINE ROMÃO BEZERRA/ARQUIVO DA EDITORA</v>
      </c>
      <c r="AA19" s="23">
        <v>13</v>
      </c>
      <c r="AB19" s="22" t="s">
        <v>71</v>
      </c>
      <c r="AC19" s="22" t="s">
        <v>43</v>
      </c>
      <c r="AD19" s="4" t="str">
        <f t="shared" si="0"/>
        <v>EF1 E001 HGC</v>
      </c>
    </row>
    <row r="20" spans="1:30" s="14" customFormat="1" ht="30" x14ac:dyDescent="0.25">
      <c r="A20" s="24" t="s">
        <v>82</v>
      </c>
      <c r="B20" s="22" t="s">
        <v>83</v>
      </c>
      <c r="C20" s="22" t="s">
        <v>32</v>
      </c>
      <c r="D20" s="22" t="s">
        <v>33</v>
      </c>
      <c r="E20" s="23">
        <v>29</v>
      </c>
      <c r="F20" s="23">
        <v>1</v>
      </c>
      <c r="G20" s="23">
        <v>1</v>
      </c>
      <c r="H20" s="23"/>
      <c r="I20" s="24" t="s">
        <v>34</v>
      </c>
      <c r="J20" s="24"/>
      <c r="K20" s="23"/>
      <c r="L20" s="23"/>
      <c r="M20" s="24"/>
      <c r="N20" s="24"/>
      <c r="O20" s="26" t="s">
        <v>84</v>
      </c>
      <c r="P20" s="26"/>
      <c r="Q20" s="23"/>
      <c r="R20" s="25"/>
      <c r="S20" s="25"/>
      <c r="T20" s="25"/>
      <c r="U20" s="25"/>
      <c r="V20" s="25"/>
      <c r="W20" s="23" t="s">
        <v>40</v>
      </c>
      <c r="X20" s="4" t="str">
        <f>IF(Tabela2[[#This Row],[SIGLA]]="","",VLOOKUP(Tabela2[[#This Row],[SIGLA]],créditos_base!B:C,2,0))</f>
        <v>LISLLEY GOMES FEIGE/ARQUIVO DA EDITORA</v>
      </c>
      <c r="Y20" s="24"/>
      <c r="Z20" s="24" t="str">
        <f>Tabela2[[#This Row],[ILUSTRADOR CRIAÇÃO]]</f>
        <v>LISLLEY GOMES FEIGE/ARQUIVO DA EDITORA</v>
      </c>
      <c r="AA20" s="23"/>
      <c r="AB20" s="22"/>
      <c r="AC20" s="22"/>
      <c r="AD20" s="4" t="str">
        <f t="shared" si="0"/>
        <v>EF1 E001 HGC</v>
      </c>
    </row>
    <row r="21" spans="1:30" s="14" customFormat="1" ht="45" x14ac:dyDescent="0.25">
      <c r="A21" s="24" t="s">
        <v>85</v>
      </c>
      <c r="B21" s="22" t="s">
        <v>31</v>
      </c>
      <c r="C21" s="22" t="s">
        <v>32</v>
      </c>
      <c r="D21" s="22" t="s">
        <v>33</v>
      </c>
      <c r="E21" s="23">
        <v>30</v>
      </c>
      <c r="F21" s="23">
        <v>1</v>
      </c>
      <c r="G21" s="23">
        <v>1</v>
      </c>
      <c r="H21" s="23"/>
      <c r="I21" s="24" t="s">
        <v>34</v>
      </c>
      <c r="J21" s="24"/>
      <c r="K21" s="23"/>
      <c r="L21" s="23"/>
      <c r="M21" s="24"/>
      <c r="N21" s="24"/>
      <c r="O21" s="26" t="s">
        <v>86</v>
      </c>
      <c r="P21" s="26"/>
      <c r="Q21" s="23"/>
      <c r="R21" s="25"/>
      <c r="S21" s="25"/>
      <c r="T21" s="25"/>
      <c r="U21" s="25"/>
      <c r="V21" s="25"/>
      <c r="W21" s="23" t="s">
        <v>59</v>
      </c>
      <c r="X21" s="4" t="str">
        <f>IF(Tabela2[[#This Row],[SIGLA]]="","",VLOOKUP(Tabela2[[#This Row],[SIGLA]],créditos_base!B:C,2,0))</f>
        <v>DANILO SANTOS/ARQUIVO DA EDITORA</v>
      </c>
      <c r="Y21" s="24"/>
      <c r="Z21" s="24" t="str">
        <f>Tabela2[[#This Row],[ILUSTRADOR CRIAÇÃO]]</f>
        <v>DANILO SANTOS/ARQUIVO DA EDITORA</v>
      </c>
      <c r="AA21" s="23"/>
      <c r="AB21" s="22"/>
      <c r="AC21" s="22"/>
      <c r="AD21" s="4" t="str">
        <f t="shared" si="0"/>
        <v>EF1 E001 HGC</v>
      </c>
    </row>
    <row r="22" spans="1:30" s="14" customFormat="1" ht="60" x14ac:dyDescent="0.25">
      <c r="A22" s="24" t="s">
        <v>87</v>
      </c>
      <c r="B22" s="22" t="s">
        <v>31</v>
      </c>
      <c r="C22" s="22" t="s">
        <v>32</v>
      </c>
      <c r="D22" s="22" t="s">
        <v>33</v>
      </c>
      <c r="E22" s="23">
        <v>31</v>
      </c>
      <c r="F22" s="23">
        <v>1</v>
      </c>
      <c r="G22" s="23">
        <v>1</v>
      </c>
      <c r="H22" s="23"/>
      <c r="I22" s="24" t="s">
        <v>34</v>
      </c>
      <c r="J22" s="24"/>
      <c r="K22" s="23"/>
      <c r="L22" s="23"/>
      <c r="M22" s="24"/>
      <c r="N22" s="24"/>
      <c r="O22" s="26" t="s">
        <v>88</v>
      </c>
      <c r="P22" s="26"/>
      <c r="Q22" s="23"/>
      <c r="R22" s="25"/>
      <c r="S22" s="25"/>
      <c r="T22" s="25"/>
      <c r="U22" s="25"/>
      <c r="V22" s="25"/>
      <c r="W22" s="23" t="s">
        <v>59</v>
      </c>
      <c r="X22" s="4" t="str">
        <f>IF(Tabela2[[#This Row],[SIGLA]]="","",VLOOKUP(Tabela2[[#This Row],[SIGLA]],créditos_base!B:C,2,0))</f>
        <v>DANILO SANTOS/ARQUIVO DA EDITORA</v>
      </c>
      <c r="Y22" s="24"/>
      <c r="Z22" s="24" t="str">
        <f>Tabela2[[#This Row],[ILUSTRADOR CRIAÇÃO]]</f>
        <v>DANILO SANTOS/ARQUIVO DA EDITORA</v>
      </c>
      <c r="AA22" s="23"/>
      <c r="AB22" s="22"/>
      <c r="AC22" s="22"/>
      <c r="AD22" s="4" t="str">
        <f t="shared" si="0"/>
        <v>EF1 E001 HGC</v>
      </c>
    </row>
    <row r="23" spans="1:30" s="14" customFormat="1" ht="60" x14ac:dyDescent="0.25">
      <c r="A23" s="24" t="s">
        <v>89</v>
      </c>
      <c r="B23" s="22" t="s">
        <v>31</v>
      </c>
      <c r="C23" s="22" t="s">
        <v>32</v>
      </c>
      <c r="D23" s="22" t="s">
        <v>33</v>
      </c>
      <c r="E23" s="23">
        <v>31</v>
      </c>
      <c r="F23" s="23">
        <v>1</v>
      </c>
      <c r="G23" s="23">
        <v>1</v>
      </c>
      <c r="H23" s="23"/>
      <c r="I23" s="24" t="s">
        <v>34</v>
      </c>
      <c r="J23" s="24"/>
      <c r="K23" s="23"/>
      <c r="L23" s="23"/>
      <c r="M23" s="24"/>
      <c r="N23" s="24"/>
      <c r="O23" s="26" t="s">
        <v>90</v>
      </c>
      <c r="P23" s="26"/>
      <c r="Q23" s="23"/>
      <c r="R23" s="25"/>
      <c r="S23" s="25"/>
      <c r="T23" s="25"/>
      <c r="U23" s="25"/>
      <c r="V23" s="25"/>
      <c r="W23" s="23" t="s">
        <v>59</v>
      </c>
      <c r="X23" s="4" t="str">
        <f>IF(Tabela2[[#This Row],[SIGLA]]="","",VLOOKUP(Tabela2[[#This Row],[SIGLA]],créditos_base!B:C,2,0))</f>
        <v>DANILO SANTOS/ARQUIVO DA EDITORA</v>
      </c>
      <c r="Y23" s="24"/>
      <c r="Z23" s="24" t="str">
        <f>Tabela2[[#This Row],[ILUSTRADOR CRIAÇÃO]]</f>
        <v>DANILO SANTOS/ARQUIVO DA EDITORA</v>
      </c>
      <c r="AA23" s="23"/>
      <c r="AB23" s="22"/>
      <c r="AC23" s="22"/>
      <c r="AD23" s="4" t="str">
        <f t="shared" si="0"/>
        <v>EF1 E001 HGC</v>
      </c>
    </row>
    <row r="24" spans="1:30" s="14" customFormat="1" ht="75" x14ac:dyDescent="0.25">
      <c r="A24" s="24" t="s">
        <v>91</v>
      </c>
      <c r="B24" s="22" t="s">
        <v>31</v>
      </c>
      <c r="C24" s="22" t="s">
        <v>32</v>
      </c>
      <c r="D24" s="22" t="s">
        <v>33</v>
      </c>
      <c r="E24" s="23">
        <v>32</v>
      </c>
      <c r="F24" s="23">
        <v>1</v>
      </c>
      <c r="G24" s="23">
        <v>1</v>
      </c>
      <c r="H24" s="23"/>
      <c r="I24" s="24" t="s">
        <v>38</v>
      </c>
      <c r="J24" s="24"/>
      <c r="K24" s="23"/>
      <c r="L24" s="23"/>
      <c r="M24" s="24"/>
      <c r="N24" s="24"/>
      <c r="O24" s="26" t="s">
        <v>92</v>
      </c>
      <c r="P24" s="26"/>
      <c r="Q24" s="23">
        <v>1</v>
      </c>
      <c r="R24" s="25">
        <v>45740</v>
      </c>
      <c r="S24" s="25">
        <v>45740</v>
      </c>
      <c r="T24" s="25"/>
      <c r="U24" s="25"/>
      <c r="V24" s="25">
        <v>45740</v>
      </c>
      <c r="W24" s="23" t="s">
        <v>59</v>
      </c>
      <c r="X24" s="4" t="str">
        <f>IF(Tabela2[[#This Row],[SIGLA]]="","",VLOOKUP(Tabela2[[#This Row],[SIGLA]],créditos_base!B:C,2,0))</f>
        <v>DANILO SANTOS/ARQUIVO DA EDITORA</v>
      </c>
      <c r="Y24" s="24" t="s">
        <v>41</v>
      </c>
      <c r="Z24" s="24" t="str">
        <f>Tabela2[[#This Row],[ILUSTRADOR CRIAÇÃO]]</f>
        <v>DANILO SANTOS/ARQUIVO DA EDITORA</v>
      </c>
      <c r="AA24" s="23">
        <v>8</v>
      </c>
      <c r="AB24" s="22" t="s">
        <v>42</v>
      </c>
      <c r="AC24" s="22" t="s">
        <v>43</v>
      </c>
      <c r="AD24" s="4" t="str">
        <f t="shared" si="0"/>
        <v>EF1 E001 HGC</v>
      </c>
    </row>
    <row r="25" spans="1:30" s="14" customFormat="1" ht="45" x14ac:dyDescent="0.25">
      <c r="A25" s="24" t="s">
        <v>93</v>
      </c>
      <c r="B25" s="22" t="s">
        <v>67</v>
      </c>
      <c r="C25" s="22" t="s">
        <v>32</v>
      </c>
      <c r="D25" s="22" t="s">
        <v>33</v>
      </c>
      <c r="E25" s="23">
        <v>34</v>
      </c>
      <c r="F25" s="23">
        <v>1</v>
      </c>
      <c r="G25" s="23">
        <v>1</v>
      </c>
      <c r="H25" s="23"/>
      <c r="I25" s="24" t="s">
        <v>38</v>
      </c>
      <c r="J25" s="24"/>
      <c r="K25" s="23"/>
      <c r="L25" s="23"/>
      <c r="M25" s="24"/>
      <c r="N25" s="24"/>
      <c r="O25" s="26" t="s">
        <v>94</v>
      </c>
      <c r="P25" s="26"/>
      <c r="Q25" s="23">
        <v>30</v>
      </c>
      <c r="R25" s="25">
        <v>45891</v>
      </c>
      <c r="S25" s="25">
        <v>45895</v>
      </c>
      <c r="T25" s="25"/>
      <c r="U25" s="25"/>
      <c r="V25" s="25">
        <v>45895</v>
      </c>
      <c r="W25" s="23" t="s">
        <v>48</v>
      </c>
      <c r="X25" s="4" t="str">
        <f>IF(Tabela2[[#This Row],[SIGLA]]="","",VLOOKUP(Tabela2[[#This Row],[SIGLA]],créditos_base!B:C,2,0))</f>
        <v>MÁRCIO GUERRA/ARQUIVO DA EDITORA</v>
      </c>
      <c r="Y25" s="24" t="s">
        <v>70</v>
      </c>
      <c r="Z25" s="24" t="str">
        <f>Tabela2[[#This Row],[ILUSTRADOR CRIAÇÃO]]</f>
        <v>MÁRCIO GUERRA/ARQUIVO DA EDITORA</v>
      </c>
      <c r="AA25" s="23">
        <v>13</v>
      </c>
      <c r="AB25" s="22" t="s">
        <v>71</v>
      </c>
      <c r="AC25" s="22" t="s">
        <v>43</v>
      </c>
      <c r="AD25" s="4" t="str">
        <f t="shared" si="0"/>
        <v>EF1 E001 HGC</v>
      </c>
    </row>
    <row r="26" spans="1:30" s="14" customFormat="1" ht="45" x14ac:dyDescent="0.25">
      <c r="A26" s="24" t="s">
        <v>95</v>
      </c>
      <c r="B26" s="22" t="s">
        <v>67</v>
      </c>
      <c r="C26" s="22" t="s">
        <v>32</v>
      </c>
      <c r="D26" s="22" t="s">
        <v>33</v>
      </c>
      <c r="E26" s="23">
        <v>34</v>
      </c>
      <c r="F26" s="23">
        <v>1</v>
      </c>
      <c r="G26" s="23">
        <v>1</v>
      </c>
      <c r="H26" s="23"/>
      <c r="I26" s="24" t="s">
        <v>38</v>
      </c>
      <c r="J26" s="24"/>
      <c r="K26" s="23"/>
      <c r="L26" s="23"/>
      <c r="M26" s="24"/>
      <c r="N26" s="24"/>
      <c r="O26" s="26" t="s">
        <v>96</v>
      </c>
      <c r="P26" s="26"/>
      <c r="Q26" s="23">
        <v>30</v>
      </c>
      <c r="R26" s="25">
        <v>45891</v>
      </c>
      <c r="S26" s="25">
        <v>45895</v>
      </c>
      <c r="T26" s="25"/>
      <c r="U26" s="25"/>
      <c r="V26" s="25">
        <v>45895</v>
      </c>
      <c r="W26" s="23" t="s">
        <v>48</v>
      </c>
      <c r="X26" s="4" t="str">
        <f>IF(Tabela2[[#This Row],[SIGLA]]="","",VLOOKUP(Tabela2[[#This Row],[SIGLA]],créditos_base!B:C,2,0))</f>
        <v>MÁRCIO GUERRA/ARQUIVO DA EDITORA</v>
      </c>
      <c r="Y26" s="24" t="s">
        <v>70</v>
      </c>
      <c r="Z26" s="24" t="str">
        <f>Tabela2[[#This Row],[ILUSTRADOR CRIAÇÃO]]</f>
        <v>MÁRCIO GUERRA/ARQUIVO DA EDITORA</v>
      </c>
      <c r="AA26" s="23">
        <v>13</v>
      </c>
      <c r="AB26" s="22" t="s">
        <v>71</v>
      </c>
      <c r="AC26" s="22" t="s">
        <v>43</v>
      </c>
      <c r="AD26" s="4" t="str">
        <f t="shared" si="0"/>
        <v>EF1 E001 HGC</v>
      </c>
    </row>
    <row r="27" spans="1:30" s="14" customFormat="1" ht="45" x14ac:dyDescent="0.25">
      <c r="A27" s="24" t="s">
        <v>97</v>
      </c>
      <c r="B27" s="22" t="s">
        <v>67</v>
      </c>
      <c r="C27" s="22" t="s">
        <v>32</v>
      </c>
      <c r="D27" s="22" t="s">
        <v>33</v>
      </c>
      <c r="E27" s="23">
        <v>34</v>
      </c>
      <c r="F27" s="23">
        <v>1</v>
      </c>
      <c r="G27" s="23">
        <v>1</v>
      </c>
      <c r="H27" s="23"/>
      <c r="I27" s="24" t="s">
        <v>38</v>
      </c>
      <c r="J27" s="24"/>
      <c r="K27" s="23"/>
      <c r="L27" s="23"/>
      <c r="M27" s="24"/>
      <c r="N27" s="24"/>
      <c r="O27" s="26" t="s">
        <v>98</v>
      </c>
      <c r="P27" s="26"/>
      <c r="Q27" s="23">
        <v>30</v>
      </c>
      <c r="R27" s="25">
        <v>45891</v>
      </c>
      <c r="S27" s="25">
        <v>45895</v>
      </c>
      <c r="T27" s="25"/>
      <c r="U27" s="25"/>
      <c r="V27" s="25">
        <v>45895</v>
      </c>
      <c r="W27" s="23" t="s">
        <v>48</v>
      </c>
      <c r="X27" s="4" t="str">
        <f>IF(Tabela2[[#This Row],[SIGLA]]="","",VLOOKUP(Tabela2[[#This Row],[SIGLA]],créditos_base!B:C,2,0))</f>
        <v>MÁRCIO GUERRA/ARQUIVO DA EDITORA</v>
      </c>
      <c r="Y27" s="24" t="s">
        <v>70</v>
      </c>
      <c r="Z27" s="24" t="str">
        <f>Tabela2[[#This Row],[ILUSTRADOR CRIAÇÃO]]</f>
        <v>MÁRCIO GUERRA/ARQUIVO DA EDITORA</v>
      </c>
      <c r="AA27" s="23">
        <v>13</v>
      </c>
      <c r="AB27" s="22" t="s">
        <v>71</v>
      </c>
      <c r="AC27" s="22" t="s">
        <v>43</v>
      </c>
      <c r="AD27" s="4" t="str">
        <f t="shared" si="0"/>
        <v>EF1 E001 HGC</v>
      </c>
    </row>
    <row r="28" spans="1:30" s="14" customFormat="1" ht="45" x14ac:dyDescent="0.25">
      <c r="A28" s="24" t="s">
        <v>99</v>
      </c>
      <c r="B28" s="22" t="s">
        <v>67</v>
      </c>
      <c r="C28" s="22" t="s">
        <v>32</v>
      </c>
      <c r="D28" s="22" t="s">
        <v>33</v>
      </c>
      <c r="E28" s="23">
        <v>34</v>
      </c>
      <c r="F28" s="23">
        <v>1</v>
      </c>
      <c r="G28" s="23">
        <v>1</v>
      </c>
      <c r="H28" s="23"/>
      <c r="I28" s="24" t="s">
        <v>38</v>
      </c>
      <c r="J28" s="24"/>
      <c r="K28" s="23"/>
      <c r="L28" s="23"/>
      <c r="M28" s="24"/>
      <c r="N28" s="24"/>
      <c r="O28" s="26" t="s">
        <v>100</v>
      </c>
      <c r="P28" s="26"/>
      <c r="Q28" s="23">
        <v>30</v>
      </c>
      <c r="R28" s="25">
        <v>45891</v>
      </c>
      <c r="S28" s="25">
        <v>45895</v>
      </c>
      <c r="T28" s="25"/>
      <c r="U28" s="25"/>
      <c r="V28" s="25">
        <v>45895</v>
      </c>
      <c r="W28" s="23" t="s">
        <v>48</v>
      </c>
      <c r="X28" s="4" t="str">
        <f>IF(Tabela2[[#This Row],[SIGLA]]="","",VLOOKUP(Tabela2[[#This Row],[SIGLA]],créditos_base!B:C,2,0))</f>
        <v>MÁRCIO GUERRA/ARQUIVO DA EDITORA</v>
      </c>
      <c r="Y28" s="24" t="s">
        <v>70</v>
      </c>
      <c r="Z28" s="24" t="str">
        <f>Tabela2[[#This Row],[ILUSTRADOR CRIAÇÃO]]</f>
        <v>MÁRCIO GUERRA/ARQUIVO DA EDITORA</v>
      </c>
      <c r="AA28" s="23">
        <v>13</v>
      </c>
      <c r="AB28" s="22" t="s">
        <v>71</v>
      </c>
      <c r="AC28" s="22" t="s">
        <v>43</v>
      </c>
      <c r="AD28" s="4" t="str">
        <f t="shared" si="0"/>
        <v>EF1 E001 HGC</v>
      </c>
    </row>
    <row r="29" spans="1:30" s="14" customFormat="1" ht="45" x14ac:dyDescent="0.25">
      <c r="A29" s="24" t="s">
        <v>101</v>
      </c>
      <c r="B29" s="22" t="s">
        <v>31</v>
      </c>
      <c r="C29" s="22" t="s">
        <v>32</v>
      </c>
      <c r="D29" s="22" t="s">
        <v>33</v>
      </c>
      <c r="E29" s="23">
        <v>35</v>
      </c>
      <c r="F29" s="23">
        <v>1</v>
      </c>
      <c r="G29" s="23">
        <v>1</v>
      </c>
      <c r="H29" s="23"/>
      <c r="I29" s="24" t="s">
        <v>34</v>
      </c>
      <c r="J29" s="24"/>
      <c r="K29" s="23"/>
      <c r="L29" s="23"/>
      <c r="M29" s="24"/>
      <c r="N29" s="24"/>
      <c r="O29" s="26" t="s">
        <v>102</v>
      </c>
      <c r="P29" s="26"/>
      <c r="Q29" s="23"/>
      <c r="R29" s="25"/>
      <c r="S29" s="25"/>
      <c r="T29" s="25"/>
      <c r="U29" s="25"/>
      <c r="V29" s="25"/>
      <c r="W29" s="23" t="s">
        <v>48</v>
      </c>
      <c r="X29" s="4" t="str">
        <f>IF(Tabela2[[#This Row],[SIGLA]]="","",VLOOKUP(Tabela2[[#This Row],[SIGLA]],créditos_base!B:C,2,0))</f>
        <v>MÁRCIO GUERRA/ARQUIVO DA EDITORA</v>
      </c>
      <c r="Y29" s="24"/>
      <c r="Z29" s="24" t="str">
        <f>Tabela2[[#This Row],[ILUSTRADOR CRIAÇÃO]]</f>
        <v>MÁRCIO GUERRA/ARQUIVO DA EDITORA</v>
      </c>
      <c r="AA29" s="23"/>
      <c r="AB29" s="22"/>
      <c r="AC29" s="22"/>
      <c r="AD29" s="4" t="str">
        <f t="shared" si="0"/>
        <v>EF1 E001 HGC</v>
      </c>
    </row>
    <row r="30" spans="1:30" s="14" customFormat="1" ht="60" x14ac:dyDescent="0.25">
      <c r="A30" s="24" t="s">
        <v>103</v>
      </c>
      <c r="B30" s="22" t="s">
        <v>31</v>
      </c>
      <c r="C30" s="22" t="s">
        <v>32</v>
      </c>
      <c r="D30" s="22" t="s">
        <v>33</v>
      </c>
      <c r="E30" s="23">
        <v>35</v>
      </c>
      <c r="F30" s="23">
        <v>1</v>
      </c>
      <c r="G30" s="23">
        <v>1</v>
      </c>
      <c r="H30" s="23"/>
      <c r="I30" s="24" t="s">
        <v>38</v>
      </c>
      <c r="J30" s="24"/>
      <c r="K30" s="23"/>
      <c r="L30" s="23"/>
      <c r="M30" s="24"/>
      <c r="N30" s="24"/>
      <c r="O30" s="26" t="s">
        <v>104</v>
      </c>
      <c r="P30" s="26"/>
      <c r="Q30" s="23">
        <v>1</v>
      </c>
      <c r="R30" s="25">
        <v>45740</v>
      </c>
      <c r="S30" s="25">
        <v>45740</v>
      </c>
      <c r="T30" s="25"/>
      <c r="U30" s="25"/>
      <c r="V30" s="25">
        <v>45772</v>
      </c>
      <c r="W30" s="23" t="s">
        <v>48</v>
      </c>
      <c r="X30" s="4" t="str">
        <f>IF(Tabela2[[#This Row],[SIGLA]]="","",VLOOKUP(Tabela2[[#This Row],[SIGLA]],créditos_base!B:C,2,0))</f>
        <v>MÁRCIO GUERRA/ARQUIVO DA EDITORA</v>
      </c>
      <c r="Y30" s="24" t="s">
        <v>41</v>
      </c>
      <c r="Z30" s="24" t="str">
        <f>Tabela2[[#This Row],[ILUSTRADOR CRIAÇÃO]]</f>
        <v>MÁRCIO GUERRA/ARQUIVO DA EDITORA</v>
      </c>
      <c r="AA30" s="23">
        <v>13</v>
      </c>
      <c r="AB30" s="29" t="s">
        <v>42</v>
      </c>
      <c r="AC30" s="22" t="s">
        <v>43</v>
      </c>
      <c r="AD30" s="4" t="str">
        <f t="shared" si="0"/>
        <v>EF1 E001 HGC</v>
      </c>
    </row>
    <row r="31" spans="1:30" s="14" customFormat="1" ht="60" x14ac:dyDescent="0.25">
      <c r="A31" s="24" t="s">
        <v>105</v>
      </c>
      <c r="B31" s="22" t="s">
        <v>31</v>
      </c>
      <c r="C31" s="22" t="s">
        <v>32</v>
      </c>
      <c r="D31" s="22" t="s">
        <v>33</v>
      </c>
      <c r="E31" s="23">
        <v>35</v>
      </c>
      <c r="F31" s="23">
        <v>1</v>
      </c>
      <c r="G31" s="23">
        <v>1</v>
      </c>
      <c r="H31" s="23"/>
      <c r="I31" s="24" t="s">
        <v>34</v>
      </c>
      <c r="J31" s="24"/>
      <c r="K31" s="23"/>
      <c r="L31" s="23"/>
      <c r="M31" s="24"/>
      <c r="N31" s="24"/>
      <c r="O31" s="26" t="s">
        <v>106</v>
      </c>
      <c r="P31" s="26"/>
      <c r="Q31" s="23"/>
      <c r="R31" s="25"/>
      <c r="S31" s="25"/>
      <c r="T31" s="25"/>
      <c r="U31" s="25"/>
      <c r="V31" s="25"/>
      <c r="W31" s="23" t="s">
        <v>48</v>
      </c>
      <c r="X31" s="4" t="str">
        <f>IF(Tabela2[[#This Row],[SIGLA]]="","",VLOOKUP(Tabela2[[#This Row],[SIGLA]],créditos_base!B:C,2,0))</f>
        <v>MÁRCIO GUERRA/ARQUIVO DA EDITORA</v>
      </c>
      <c r="Y31" s="24"/>
      <c r="Z31" s="24" t="str">
        <f>Tabela2[[#This Row],[ILUSTRADOR CRIAÇÃO]]</f>
        <v>MÁRCIO GUERRA/ARQUIVO DA EDITORA</v>
      </c>
      <c r="AA31" s="23"/>
      <c r="AB31" s="22"/>
      <c r="AC31" s="22"/>
      <c r="AD31" s="4" t="str">
        <f t="shared" si="0"/>
        <v>EF1 E001 HGC</v>
      </c>
    </row>
    <row r="32" spans="1:30" s="14" customFormat="1" ht="45" x14ac:dyDescent="0.25">
      <c r="A32" s="24" t="s">
        <v>107</v>
      </c>
      <c r="B32" s="22" t="s">
        <v>31</v>
      </c>
      <c r="C32" s="22" t="s">
        <v>32</v>
      </c>
      <c r="D32" s="22" t="s">
        <v>33</v>
      </c>
      <c r="E32" s="23">
        <v>38</v>
      </c>
      <c r="F32" s="23">
        <v>1</v>
      </c>
      <c r="G32" s="23">
        <v>1</v>
      </c>
      <c r="H32" s="23"/>
      <c r="I32" s="24" t="s">
        <v>34</v>
      </c>
      <c r="J32" s="24"/>
      <c r="K32" s="23"/>
      <c r="L32" s="23"/>
      <c r="M32" s="24"/>
      <c r="N32" s="24"/>
      <c r="O32" s="26" t="s">
        <v>108</v>
      </c>
      <c r="P32" s="26"/>
      <c r="Q32" s="23"/>
      <c r="R32" s="25"/>
      <c r="S32" s="25"/>
      <c r="T32" s="25"/>
      <c r="U32" s="25"/>
      <c r="V32" s="25"/>
      <c r="W32" s="23" t="s">
        <v>40</v>
      </c>
      <c r="X32" s="4" t="str">
        <f>IF(Tabela2[[#This Row],[SIGLA]]="","",VLOOKUP(Tabela2[[#This Row],[SIGLA]],créditos_base!B:C,2,0))</f>
        <v>LISLLEY GOMES FEIGE/ARQUIVO DA EDITORA</v>
      </c>
      <c r="Y32" s="24"/>
      <c r="Z32" s="24" t="str">
        <f>Tabela2[[#This Row],[ILUSTRADOR CRIAÇÃO]]</f>
        <v>LISLLEY GOMES FEIGE/ARQUIVO DA EDITORA</v>
      </c>
      <c r="AA32" s="23"/>
      <c r="AB32" s="22"/>
      <c r="AC32" s="22"/>
      <c r="AD32" s="4" t="str">
        <f t="shared" si="0"/>
        <v>EF1 E001 HGC</v>
      </c>
    </row>
    <row r="33" spans="1:30" s="14" customFormat="1" ht="45" x14ac:dyDescent="0.25">
      <c r="A33" s="24" t="s">
        <v>109</v>
      </c>
      <c r="B33" s="22" t="s">
        <v>31</v>
      </c>
      <c r="C33" s="22" t="s">
        <v>32</v>
      </c>
      <c r="D33" s="22" t="s">
        <v>33</v>
      </c>
      <c r="E33" s="23">
        <v>39</v>
      </c>
      <c r="F33" s="23">
        <v>1</v>
      </c>
      <c r="G33" s="23">
        <v>1</v>
      </c>
      <c r="H33" s="23"/>
      <c r="I33" s="24" t="s">
        <v>34</v>
      </c>
      <c r="J33" s="24"/>
      <c r="K33" s="23"/>
      <c r="L33" s="23"/>
      <c r="M33" s="24"/>
      <c r="N33" s="24"/>
      <c r="O33" s="26" t="s">
        <v>110</v>
      </c>
      <c r="P33" s="26"/>
      <c r="Q33" s="23"/>
      <c r="R33" s="25"/>
      <c r="S33" s="25"/>
      <c r="T33" s="25"/>
      <c r="U33" s="25"/>
      <c r="V33" s="25"/>
      <c r="W33" s="23" t="s">
        <v>111</v>
      </c>
      <c r="X33" s="4" t="str">
        <f>IF(Tabela2[[#This Row],[SIGLA]]="","",VLOOKUP(Tabela2[[#This Row],[SIGLA]],créditos_base!B:C,2,0))</f>
        <v>LUCIANE MORI/ARQUIVO DA EDITORA</v>
      </c>
      <c r="Y33" s="24"/>
      <c r="Z33" s="24" t="str">
        <f>Tabela2[[#This Row],[ILUSTRADOR CRIAÇÃO]]</f>
        <v>LUCIANE MORI/ARQUIVO DA EDITORA</v>
      </c>
      <c r="AA33" s="23"/>
      <c r="AB33" s="22"/>
      <c r="AC33" s="22"/>
      <c r="AD33" s="4" t="str">
        <f t="shared" si="0"/>
        <v>EF1 E001 HGC</v>
      </c>
    </row>
    <row r="34" spans="1:30" s="14" customFormat="1" ht="45" x14ac:dyDescent="0.25">
      <c r="A34" s="24" t="s">
        <v>112</v>
      </c>
      <c r="B34" s="22" t="s">
        <v>31</v>
      </c>
      <c r="C34" s="22" t="s">
        <v>32</v>
      </c>
      <c r="D34" s="22" t="s">
        <v>33</v>
      </c>
      <c r="E34" s="23">
        <v>39</v>
      </c>
      <c r="F34" s="23">
        <v>1</v>
      </c>
      <c r="G34" s="23">
        <v>1</v>
      </c>
      <c r="H34" s="23"/>
      <c r="I34" s="24" t="s">
        <v>34</v>
      </c>
      <c r="J34" s="24"/>
      <c r="K34" s="23"/>
      <c r="L34" s="23"/>
      <c r="M34" s="24"/>
      <c r="N34" s="24"/>
      <c r="O34" s="26" t="s">
        <v>113</v>
      </c>
      <c r="P34" s="26"/>
      <c r="Q34" s="23"/>
      <c r="R34" s="25"/>
      <c r="S34" s="25"/>
      <c r="T34" s="25"/>
      <c r="U34" s="25"/>
      <c r="V34" s="25"/>
      <c r="W34" s="23" t="s">
        <v>111</v>
      </c>
      <c r="X34" s="4" t="str">
        <f>IF(Tabela2[[#This Row],[SIGLA]]="","",VLOOKUP(Tabela2[[#This Row],[SIGLA]],créditos_base!B:C,2,0))</f>
        <v>LUCIANE MORI/ARQUIVO DA EDITORA</v>
      </c>
      <c r="Y34" s="24"/>
      <c r="Z34" s="24" t="str">
        <f>Tabela2[[#This Row],[ILUSTRADOR CRIAÇÃO]]</f>
        <v>LUCIANE MORI/ARQUIVO DA EDITORA</v>
      </c>
      <c r="AA34" s="23"/>
      <c r="AB34" s="22"/>
      <c r="AC34" s="22"/>
      <c r="AD34" s="4" t="str">
        <f t="shared" si="0"/>
        <v>EF1 E001 HGC</v>
      </c>
    </row>
    <row r="35" spans="1:30" s="14" customFormat="1" ht="45" x14ac:dyDescent="0.25">
      <c r="A35" s="24" t="s">
        <v>114</v>
      </c>
      <c r="B35" s="22" t="s">
        <v>31</v>
      </c>
      <c r="C35" s="22" t="s">
        <v>32</v>
      </c>
      <c r="D35" s="22" t="s">
        <v>33</v>
      </c>
      <c r="E35" s="23">
        <v>39</v>
      </c>
      <c r="F35" s="23">
        <v>1</v>
      </c>
      <c r="G35" s="23">
        <v>1</v>
      </c>
      <c r="H35" s="23"/>
      <c r="I35" s="24" t="s">
        <v>34</v>
      </c>
      <c r="J35" s="24"/>
      <c r="K35" s="23"/>
      <c r="L35" s="23"/>
      <c r="M35" s="24"/>
      <c r="N35" s="24"/>
      <c r="O35" s="26" t="s">
        <v>115</v>
      </c>
      <c r="P35" s="26"/>
      <c r="Q35" s="23"/>
      <c r="R35" s="25"/>
      <c r="S35" s="25"/>
      <c r="T35" s="25"/>
      <c r="U35" s="25"/>
      <c r="V35" s="25"/>
      <c r="W35" s="23" t="s">
        <v>111</v>
      </c>
      <c r="X35" s="4" t="str">
        <f>IF(Tabela2[[#This Row],[SIGLA]]="","",VLOOKUP(Tabela2[[#This Row],[SIGLA]],créditos_base!B:C,2,0))</f>
        <v>LUCIANE MORI/ARQUIVO DA EDITORA</v>
      </c>
      <c r="Y35" s="24"/>
      <c r="Z35" s="24" t="str">
        <f>Tabela2[[#This Row],[ILUSTRADOR CRIAÇÃO]]</f>
        <v>LUCIANE MORI/ARQUIVO DA EDITORA</v>
      </c>
      <c r="AA35" s="23"/>
      <c r="AB35" s="22"/>
      <c r="AC35" s="22"/>
      <c r="AD35" s="4" t="str">
        <f t="shared" si="0"/>
        <v>EF1 E001 HGC</v>
      </c>
    </row>
    <row r="36" spans="1:30" s="14" customFormat="1" ht="45" x14ac:dyDescent="0.25">
      <c r="A36" s="24" t="s">
        <v>116</v>
      </c>
      <c r="B36" s="22" t="s">
        <v>31</v>
      </c>
      <c r="C36" s="22" t="s">
        <v>32</v>
      </c>
      <c r="D36" s="22" t="s">
        <v>33</v>
      </c>
      <c r="E36" s="23">
        <v>39</v>
      </c>
      <c r="F36" s="23">
        <v>1</v>
      </c>
      <c r="G36" s="23">
        <v>1</v>
      </c>
      <c r="H36" s="23"/>
      <c r="I36" s="24" t="s">
        <v>34</v>
      </c>
      <c r="J36" s="24"/>
      <c r="K36" s="23"/>
      <c r="L36" s="23"/>
      <c r="M36" s="24"/>
      <c r="N36" s="24"/>
      <c r="O36" s="26" t="s">
        <v>117</v>
      </c>
      <c r="P36" s="26"/>
      <c r="Q36" s="23"/>
      <c r="R36" s="25"/>
      <c r="S36" s="25"/>
      <c r="T36" s="25"/>
      <c r="U36" s="25"/>
      <c r="V36" s="25"/>
      <c r="W36" s="23" t="s">
        <v>111</v>
      </c>
      <c r="X36" s="4" t="str">
        <f>IF(Tabela2[[#This Row],[SIGLA]]="","",VLOOKUP(Tabela2[[#This Row],[SIGLA]],créditos_base!B:C,2,0))</f>
        <v>LUCIANE MORI/ARQUIVO DA EDITORA</v>
      </c>
      <c r="Y36" s="24"/>
      <c r="Z36" s="24" t="str">
        <f>Tabela2[[#This Row],[ILUSTRADOR CRIAÇÃO]]</f>
        <v>LUCIANE MORI/ARQUIVO DA EDITORA</v>
      </c>
      <c r="AA36" s="23"/>
      <c r="AB36" s="22"/>
      <c r="AC36" s="22"/>
      <c r="AD36" s="4" t="str">
        <f t="shared" si="0"/>
        <v>EF1 E001 HGC</v>
      </c>
    </row>
    <row r="37" spans="1:30" s="14" customFormat="1" ht="45" x14ac:dyDescent="0.25">
      <c r="A37" s="24" t="s">
        <v>118</v>
      </c>
      <c r="B37" s="22" t="s">
        <v>31</v>
      </c>
      <c r="C37" s="22" t="s">
        <v>32</v>
      </c>
      <c r="D37" s="22" t="s">
        <v>33</v>
      </c>
      <c r="E37" s="23">
        <v>39</v>
      </c>
      <c r="F37" s="23">
        <v>1</v>
      </c>
      <c r="G37" s="23">
        <v>1</v>
      </c>
      <c r="H37" s="23"/>
      <c r="I37" s="24" t="s">
        <v>34</v>
      </c>
      <c r="J37" s="24"/>
      <c r="K37" s="23"/>
      <c r="L37" s="23"/>
      <c r="M37" s="24"/>
      <c r="N37" s="24"/>
      <c r="O37" s="26" t="s">
        <v>119</v>
      </c>
      <c r="P37" s="26"/>
      <c r="Q37" s="23"/>
      <c r="R37" s="25"/>
      <c r="S37" s="25"/>
      <c r="T37" s="25"/>
      <c r="U37" s="25"/>
      <c r="V37" s="25"/>
      <c r="W37" s="23" t="s">
        <v>111</v>
      </c>
      <c r="X37" s="4" t="str">
        <f>IF(Tabela2[[#This Row],[SIGLA]]="","",VLOOKUP(Tabela2[[#This Row],[SIGLA]],créditos_base!B:C,2,0))</f>
        <v>LUCIANE MORI/ARQUIVO DA EDITORA</v>
      </c>
      <c r="Y37" s="24"/>
      <c r="Z37" s="24" t="str">
        <f>Tabela2[[#This Row],[ILUSTRADOR CRIAÇÃO]]</f>
        <v>LUCIANE MORI/ARQUIVO DA EDITORA</v>
      </c>
      <c r="AA37" s="23"/>
      <c r="AB37" s="22"/>
      <c r="AC37" s="22"/>
      <c r="AD37" s="4" t="str">
        <f t="shared" si="0"/>
        <v>EF1 E001 HGC</v>
      </c>
    </row>
    <row r="38" spans="1:30" s="14" customFormat="1" ht="45" x14ac:dyDescent="0.25">
      <c r="A38" s="24" t="s">
        <v>120</v>
      </c>
      <c r="B38" s="22" t="s">
        <v>31</v>
      </c>
      <c r="C38" s="22" t="s">
        <v>32</v>
      </c>
      <c r="D38" s="22" t="s">
        <v>33</v>
      </c>
      <c r="E38" s="23">
        <v>39</v>
      </c>
      <c r="F38" s="23">
        <v>1</v>
      </c>
      <c r="G38" s="23">
        <v>1</v>
      </c>
      <c r="H38" s="23"/>
      <c r="I38" s="24" t="s">
        <v>34</v>
      </c>
      <c r="J38" s="24"/>
      <c r="K38" s="23"/>
      <c r="L38" s="23"/>
      <c r="M38" s="24"/>
      <c r="N38" s="24"/>
      <c r="O38" s="26" t="s">
        <v>121</v>
      </c>
      <c r="P38" s="26"/>
      <c r="Q38" s="23"/>
      <c r="R38" s="25"/>
      <c r="S38" s="25"/>
      <c r="T38" s="25"/>
      <c r="U38" s="25"/>
      <c r="V38" s="25"/>
      <c r="W38" s="23" t="s">
        <v>111</v>
      </c>
      <c r="X38" s="4" t="str">
        <f>IF(Tabela2[[#This Row],[SIGLA]]="","",VLOOKUP(Tabela2[[#This Row],[SIGLA]],créditos_base!B:C,2,0))</f>
        <v>LUCIANE MORI/ARQUIVO DA EDITORA</v>
      </c>
      <c r="Y38" s="24"/>
      <c r="Z38" s="24" t="str">
        <f>Tabela2[[#This Row],[ILUSTRADOR CRIAÇÃO]]</f>
        <v>LUCIANE MORI/ARQUIVO DA EDITORA</v>
      </c>
      <c r="AA38" s="23"/>
      <c r="AB38" s="22"/>
      <c r="AC38" s="22"/>
      <c r="AD38" s="4" t="str">
        <f t="shared" si="0"/>
        <v>EF1 E001 HGC</v>
      </c>
    </row>
    <row r="39" spans="1:30" s="14" customFormat="1" ht="45" x14ac:dyDescent="0.25">
      <c r="A39" s="24" t="s">
        <v>122</v>
      </c>
      <c r="B39" s="22" t="s">
        <v>83</v>
      </c>
      <c r="C39" s="22" t="s">
        <v>32</v>
      </c>
      <c r="D39" s="22" t="s">
        <v>33</v>
      </c>
      <c r="E39" s="23">
        <v>40</v>
      </c>
      <c r="F39" s="23">
        <v>1</v>
      </c>
      <c r="G39" s="23">
        <v>1</v>
      </c>
      <c r="H39" s="23"/>
      <c r="I39" s="24" t="s">
        <v>34</v>
      </c>
      <c r="J39" s="24"/>
      <c r="K39" s="23"/>
      <c r="L39" s="23"/>
      <c r="M39" s="24"/>
      <c r="N39" s="24"/>
      <c r="O39" s="26" t="s">
        <v>123</v>
      </c>
      <c r="P39" s="26"/>
      <c r="Q39" s="23"/>
      <c r="R39" s="25"/>
      <c r="S39" s="25"/>
      <c r="T39" s="25"/>
      <c r="U39" s="25"/>
      <c r="V39" s="25"/>
      <c r="W39" s="23" t="s">
        <v>40</v>
      </c>
      <c r="X39" s="4" t="str">
        <f>IF(Tabela2[[#This Row],[SIGLA]]="","",VLOOKUP(Tabela2[[#This Row],[SIGLA]],créditos_base!B:C,2,0))</f>
        <v>LISLLEY GOMES FEIGE/ARQUIVO DA EDITORA</v>
      </c>
      <c r="Y39" s="24"/>
      <c r="Z39" s="24" t="str">
        <f>Tabela2[[#This Row],[ILUSTRADOR CRIAÇÃO]]</f>
        <v>LISLLEY GOMES FEIGE/ARQUIVO DA EDITORA</v>
      </c>
      <c r="AA39" s="23"/>
      <c r="AB39" s="22"/>
      <c r="AC39" s="22"/>
      <c r="AD39" s="4" t="str">
        <f t="shared" si="0"/>
        <v>EF1 E001 HGC</v>
      </c>
    </row>
    <row r="40" spans="1:30" s="14" customFormat="1" ht="45" x14ac:dyDescent="0.25">
      <c r="A40" s="24" t="s">
        <v>124</v>
      </c>
      <c r="B40" s="22" t="s">
        <v>31</v>
      </c>
      <c r="C40" s="22" t="s">
        <v>32</v>
      </c>
      <c r="D40" s="22" t="s">
        <v>33</v>
      </c>
      <c r="E40" s="23">
        <v>40</v>
      </c>
      <c r="F40" s="23">
        <v>1</v>
      </c>
      <c r="G40" s="23">
        <v>1</v>
      </c>
      <c r="H40" s="23"/>
      <c r="I40" s="24" t="s">
        <v>34</v>
      </c>
      <c r="J40" s="24"/>
      <c r="K40" s="23"/>
      <c r="L40" s="23"/>
      <c r="M40" s="24"/>
      <c r="N40" s="24"/>
      <c r="O40" s="26" t="s">
        <v>125</v>
      </c>
      <c r="P40" s="26"/>
      <c r="Q40" s="23"/>
      <c r="R40" s="25"/>
      <c r="S40" s="25"/>
      <c r="T40" s="25"/>
      <c r="U40" s="25"/>
      <c r="V40" s="25"/>
      <c r="W40" s="23" t="s">
        <v>40</v>
      </c>
      <c r="X40" s="4" t="str">
        <f>IF(Tabela2[[#This Row],[SIGLA]]="","",VLOOKUP(Tabela2[[#This Row],[SIGLA]],créditos_base!B:C,2,0))</f>
        <v>LISLLEY GOMES FEIGE/ARQUIVO DA EDITORA</v>
      </c>
      <c r="Y40" s="24"/>
      <c r="Z40" s="24" t="str">
        <f>Tabela2[[#This Row],[ILUSTRADOR CRIAÇÃO]]</f>
        <v>LISLLEY GOMES FEIGE/ARQUIVO DA EDITORA</v>
      </c>
      <c r="AA40" s="23"/>
      <c r="AB40" s="22"/>
      <c r="AC40" s="22"/>
      <c r="AD40" s="4" t="str">
        <f t="shared" si="0"/>
        <v>EF1 E001 HGC</v>
      </c>
    </row>
    <row r="41" spans="1:30" s="14" customFormat="1" ht="45" x14ac:dyDescent="0.25">
      <c r="A41" s="24" t="s">
        <v>126</v>
      </c>
      <c r="B41" s="22" t="s">
        <v>31</v>
      </c>
      <c r="C41" s="22" t="s">
        <v>32</v>
      </c>
      <c r="D41" s="22" t="s">
        <v>33</v>
      </c>
      <c r="E41" s="23">
        <v>40</v>
      </c>
      <c r="F41" s="23">
        <v>1</v>
      </c>
      <c r="G41" s="23">
        <v>1</v>
      </c>
      <c r="H41" s="23"/>
      <c r="I41" s="24" t="s">
        <v>34</v>
      </c>
      <c r="J41" s="24"/>
      <c r="K41" s="23"/>
      <c r="L41" s="23"/>
      <c r="M41" s="24"/>
      <c r="N41" s="24"/>
      <c r="O41" s="26" t="s">
        <v>127</v>
      </c>
      <c r="P41" s="26"/>
      <c r="Q41" s="23"/>
      <c r="R41" s="25"/>
      <c r="S41" s="25"/>
      <c r="T41" s="25"/>
      <c r="U41" s="25"/>
      <c r="V41" s="25"/>
      <c r="W41" s="23" t="s">
        <v>40</v>
      </c>
      <c r="X41" s="4" t="str">
        <f>IF(Tabela2[[#This Row],[SIGLA]]="","",VLOOKUP(Tabela2[[#This Row],[SIGLA]],créditos_base!B:C,2,0))</f>
        <v>LISLLEY GOMES FEIGE/ARQUIVO DA EDITORA</v>
      </c>
      <c r="Y41" s="24"/>
      <c r="Z41" s="24" t="str">
        <f>Tabela2[[#This Row],[ILUSTRADOR CRIAÇÃO]]</f>
        <v>LISLLEY GOMES FEIGE/ARQUIVO DA EDITORA</v>
      </c>
      <c r="AA41" s="23"/>
      <c r="AB41" s="22"/>
      <c r="AC41" s="22"/>
      <c r="AD41" s="4" t="str">
        <f t="shared" si="0"/>
        <v>EF1 E001 HGC</v>
      </c>
    </row>
    <row r="42" spans="1:30" s="14" customFormat="1" ht="45" x14ac:dyDescent="0.25">
      <c r="A42" s="24" t="s">
        <v>128</v>
      </c>
      <c r="B42" s="22" t="s">
        <v>31</v>
      </c>
      <c r="C42" s="22" t="s">
        <v>32</v>
      </c>
      <c r="D42" s="22" t="s">
        <v>33</v>
      </c>
      <c r="E42" s="23">
        <v>40</v>
      </c>
      <c r="F42" s="23">
        <v>1</v>
      </c>
      <c r="G42" s="23">
        <v>1</v>
      </c>
      <c r="H42" s="23"/>
      <c r="I42" s="24" t="s">
        <v>34</v>
      </c>
      <c r="J42" s="24"/>
      <c r="K42" s="23"/>
      <c r="L42" s="23"/>
      <c r="M42" s="24"/>
      <c r="N42" s="24"/>
      <c r="O42" s="26" t="s">
        <v>129</v>
      </c>
      <c r="P42" s="26"/>
      <c r="Q42" s="23"/>
      <c r="R42" s="25"/>
      <c r="S42" s="25"/>
      <c r="T42" s="25"/>
      <c r="U42" s="25"/>
      <c r="V42" s="25"/>
      <c r="W42" s="23" t="s">
        <v>40</v>
      </c>
      <c r="X42" s="4" t="str">
        <f>IF(Tabela2[[#This Row],[SIGLA]]="","",VLOOKUP(Tabela2[[#This Row],[SIGLA]],créditos_base!B:C,2,0))</f>
        <v>LISLLEY GOMES FEIGE/ARQUIVO DA EDITORA</v>
      </c>
      <c r="Y42" s="24"/>
      <c r="Z42" s="24" t="str">
        <f>Tabela2[[#This Row],[ILUSTRADOR CRIAÇÃO]]</f>
        <v>LISLLEY GOMES FEIGE/ARQUIVO DA EDITORA</v>
      </c>
      <c r="AA42" s="23"/>
      <c r="AB42" s="22"/>
      <c r="AC42" s="22"/>
      <c r="AD42" s="4" t="str">
        <f t="shared" si="0"/>
        <v>EF1 E001 HGC</v>
      </c>
    </row>
    <row r="43" spans="1:30" s="14" customFormat="1" ht="45" x14ac:dyDescent="0.25">
      <c r="A43" s="24" t="s">
        <v>130</v>
      </c>
      <c r="B43" s="22" t="s">
        <v>31</v>
      </c>
      <c r="C43" s="22" t="s">
        <v>32</v>
      </c>
      <c r="D43" s="22" t="s">
        <v>33</v>
      </c>
      <c r="E43" s="23">
        <v>40</v>
      </c>
      <c r="F43" s="23">
        <v>1</v>
      </c>
      <c r="G43" s="23">
        <v>1</v>
      </c>
      <c r="H43" s="23"/>
      <c r="I43" s="24" t="s">
        <v>34</v>
      </c>
      <c r="J43" s="24"/>
      <c r="K43" s="23"/>
      <c r="L43" s="23"/>
      <c r="M43" s="24"/>
      <c r="N43" s="24"/>
      <c r="O43" s="26" t="s">
        <v>131</v>
      </c>
      <c r="P43" s="26"/>
      <c r="Q43" s="23"/>
      <c r="R43" s="25"/>
      <c r="S43" s="25"/>
      <c r="T43" s="25"/>
      <c r="U43" s="25"/>
      <c r="V43" s="25"/>
      <c r="W43" s="23" t="s">
        <v>40</v>
      </c>
      <c r="X43" s="4" t="str">
        <f>IF(Tabela2[[#This Row],[SIGLA]]="","",VLOOKUP(Tabela2[[#This Row],[SIGLA]],créditos_base!B:C,2,0))</f>
        <v>LISLLEY GOMES FEIGE/ARQUIVO DA EDITORA</v>
      </c>
      <c r="Y43" s="24"/>
      <c r="Z43" s="24" t="str">
        <f>Tabela2[[#This Row],[ILUSTRADOR CRIAÇÃO]]</f>
        <v>LISLLEY GOMES FEIGE/ARQUIVO DA EDITORA</v>
      </c>
      <c r="AA43" s="23"/>
      <c r="AB43" s="22"/>
      <c r="AC43" s="22"/>
      <c r="AD43" s="4" t="str">
        <f t="shared" si="0"/>
        <v>EF1 E001 HGC</v>
      </c>
    </row>
    <row r="44" spans="1:30" s="14" customFormat="1" ht="45" x14ac:dyDescent="0.25">
      <c r="A44" s="24" t="s">
        <v>132</v>
      </c>
      <c r="B44" s="22" t="s">
        <v>31</v>
      </c>
      <c r="C44" s="22" t="s">
        <v>32</v>
      </c>
      <c r="D44" s="22" t="s">
        <v>33</v>
      </c>
      <c r="E44" s="23">
        <v>40</v>
      </c>
      <c r="F44" s="23">
        <v>1</v>
      </c>
      <c r="G44" s="23">
        <v>1</v>
      </c>
      <c r="H44" s="23"/>
      <c r="I44" s="24" t="s">
        <v>34</v>
      </c>
      <c r="J44" s="24"/>
      <c r="K44" s="23"/>
      <c r="L44" s="23"/>
      <c r="M44" s="24"/>
      <c r="N44" s="24"/>
      <c r="O44" s="26" t="s">
        <v>133</v>
      </c>
      <c r="P44" s="26"/>
      <c r="Q44" s="23"/>
      <c r="R44" s="25"/>
      <c r="S44" s="25"/>
      <c r="T44" s="25"/>
      <c r="U44" s="25"/>
      <c r="V44" s="25"/>
      <c r="W44" s="23" t="s">
        <v>40</v>
      </c>
      <c r="X44" s="4" t="str">
        <f>IF(Tabela2[[#This Row],[SIGLA]]="","",VLOOKUP(Tabela2[[#This Row],[SIGLA]],créditos_base!B:C,2,0))</f>
        <v>LISLLEY GOMES FEIGE/ARQUIVO DA EDITORA</v>
      </c>
      <c r="Y44" s="24"/>
      <c r="Z44" s="24" t="str">
        <f>Tabela2[[#This Row],[ILUSTRADOR CRIAÇÃO]]</f>
        <v>LISLLEY GOMES FEIGE/ARQUIVO DA EDITORA</v>
      </c>
      <c r="AA44" s="23"/>
      <c r="AB44" s="22"/>
      <c r="AC44" s="22"/>
      <c r="AD44" s="4" t="str">
        <f t="shared" si="0"/>
        <v>EF1 E001 HGC</v>
      </c>
    </row>
    <row r="45" spans="1:30" s="14" customFormat="1" ht="45" x14ac:dyDescent="0.25">
      <c r="A45" s="24" t="s">
        <v>134</v>
      </c>
      <c r="B45" s="22" t="s">
        <v>31</v>
      </c>
      <c r="C45" s="22" t="s">
        <v>32</v>
      </c>
      <c r="D45" s="22" t="s">
        <v>33</v>
      </c>
      <c r="E45" s="23">
        <v>40</v>
      </c>
      <c r="F45" s="23">
        <v>1</v>
      </c>
      <c r="G45" s="23">
        <v>1</v>
      </c>
      <c r="H45" s="23"/>
      <c r="I45" s="24" t="s">
        <v>34</v>
      </c>
      <c r="J45" s="24"/>
      <c r="K45" s="23"/>
      <c r="L45" s="23"/>
      <c r="M45" s="24"/>
      <c r="N45" s="24"/>
      <c r="O45" s="26" t="s">
        <v>135</v>
      </c>
      <c r="P45" s="26"/>
      <c r="Q45" s="23"/>
      <c r="R45" s="25"/>
      <c r="S45" s="25"/>
      <c r="T45" s="25"/>
      <c r="U45" s="25"/>
      <c r="V45" s="25"/>
      <c r="W45" s="23" t="s">
        <v>40</v>
      </c>
      <c r="X45" s="4" t="str">
        <f>IF(Tabela2[[#This Row],[SIGLA]]="","",VLOOKUP(Tabela2[[#This Row],[SIGLA]],créditos_base!B:C,2,0))</f>
        <v>LISLLEY GOMES FEIGE/ARQUIVO DA EDITORA</v>
      </c>
      <c r="Y45" s="24"/>
      <c r="Z45" s="24" t="str">
        <f>Tabela2[[#This Row],[ILUSTRADOR CRIAÇÃO]]</f>
        <v>LISLLEY GOMES FEIGE/ARQUIVO DA EDITORA</v>
      </c>
      <c r="AA45" s="23"/>
      <c r="AB45" s="22"/>
      <c r="AC45" s="22"/>
      <c r="AD45" s="4" t="str">
        <f t="shared" si="0"/>
        <v>EF1 E001 HGC</v>
      </c>
    </row>
    <row r="46" spans="1:30" s="14" customFormat="1" ht="45" x14ac:dyDescent="0.25">
      <c r="A46" s="24" t="s">
        <v>136</v>
      </c>
      <c r="B46" s="22" t="s">
        <v>31</v>
      </c>
      <c r="C46" s="22" t="s">
        <v>32</v>
      </c>
      <c r="D46" s="22" t="s">
        <v>33</v>
      </c>
      <c r="E46" s="23">
        <v>40</v>
      </c>
      <c r="F46" s="23">
        <v>1</v>
      </c>
      <c r="G46" s="23">
        <v>1</v>
      </c>
      <c r="H46" s="23"/>
      <c r="I46" s="24" t="s">
        <v>34</v>
      </c>
      <c r="J46" s="24"/>
      <c r="K46" s="23"/>
      <c r="L46" s="23"/>
      <c r="M46" s="24"/>
      <c r="N46" s="24"/>
      <c r="O46" s="26" t="s">
        <v>137</v>
      </c>
      <c r="P46" s="26"/>
      <c r="Q46" s="23"/>
      <c r="R46" s="25"/>
      <c r="S46" s="25"/>
      <c r="T46" s="25"/>
      <c r="U46" s="25"/>
      <c r="V46" s="25"/>
      <c r="W46" s="23" t="s">
        <v>40</v>
      </c>
      <c r="X46" s="4" t="str">
        <f>IF(Tabela2[[#This Row],[SIGLA]]="","",VLOOKUP(Tabela2[[#This Row],[SIGLA]],créditos_base!B:C,2,0))</f>
        <v>LISLLEY GOMES FEIGE/ARQUIVO DA EDITORA</v>
      </c>
      <c r="Y46" s="24"/>
      <c r="Z46" s="24" t="str">
        <f>Tabela2[[#This Row],[ILUSTRADOR CRIAÇÃO]]</f>
        <v>LISLLEY GOMES FEIGE/ARQUIVO DA EDITORA</v>
      </c>
      <c r="AA46" s="23"/>
      <c r="AB46" s="22"/>
      <c r="AC46" s="22"/>
      <c r="AD46" s="4" t="str">
        <f t="shared" si="0"/>
        <v>EF1 E001 HGC</v>
      </c>
    </row>
    <row r="47" spans="1:30" s="14" customFormat="1" ht="45" x14ac:dyDescent="0.25">
      <c r="A47" s="24" t="s">
        <v>138</v>
      </c>
      <c r="B47" s="22" t="s">
        <v>31</v>
      </c>
      <c r="C47" s="22" t="s">
        <v>32</v>
      </c>
      <c r="D47" s="22" t="s">
        <v>33</v>
      </c>
      <c r="E47" s="23">
        <v>42</v>
      </c>
      <c r="F47" s="23">
        <v>1</v>
      </c>
      <c r="G47" s="23">
        <v>1</v>
      </c>
      <c r="H47" s="23"/>
      <c r="I47" s="24" t="s">
        <v>34</v>
      </c>
      <c r="J47" s="24"/>
      <c r="K47" s="23"/>
      <c r="L47" s="23"/>
      <c r="M47" s="24"/>
      <c r="N47" s="24"/>
      <c r="O47" s="26" t="s">
        <v>139</v>
      </c>
      <c r="P47" s="26"/>
      <c r="Q47" s="23"/>
      <c r="R47" s="25"/>
      <c r="S47" s="25"/>
      <c r="T47" s="25"/>
      <c r="U47" s="25"/>
      <c r="V47" s="25"/>
      <c r="W47" s="23" t="s">
        <v>111</v>
      </c>
      <c r="X47" s="4" t="str">
        <f>IF(Tabela2[[#This Row],[SIGLA]]="","",VLOOKUP(Tabela2[[#This Row],[SIGLA]],créditos_base!B:C,2,0))</f>
        <v>LUCIANE MORI/ARQUIVO DA EDITORA</v>
      </c>
      <c r="Y47" s="24"/>
      <c r="Z47" s="24" t="str">
        <f>Tabela2[[#This Row],[ILUSTRADOR CRIAÇÃO]]</f>
        <v>LUCIANE MORI/ARQUIVO DA EDITORA</v>
      </c>
      <c r="AA47" s="23"/>
      <c r="AB47" s="22"/>
      <c r="AC47" s="22"/>
      <c r="AD47" s="4" t="str">
        <f t="shared" si="0"/>
        <v>EF1 E001 HGC</v>
      </c>
    </row>
    <row r="48" spans="1:30" s="14" customFormat="1" ht="45" x14ac:dyDescent="0.25">
      <c r="A48" s="24" t="s">
        <v>140</v>
      </c>
      <c r="B48" s="22" t="s">
        <v>31</v>
      </c>
      <c r="C48" s="22" t="s">
        <v>32</v>
      </c>
      <c r="D48" s="22" t="s">
        <v>33</v>
      </c>
      <c r="E48" s="23">
        <v>42</v>
      </c>
      <c r="F48" s="23">
        <v>1</v>
      </c>
      <c r="G48" s="23">
        <v>1</v>
      </c>
      <c r="H48" s="23"/>
      <c r="I48" s="24" t="s">
        <v>34</v>
      </c>
      <c r="J48" s="24"/>
      <c r="K48" s="23"/>
      <c r="L48" s="23"/>
      <c r="M48" s="24"/>
      <c r="N48" s="24"/>
      <c r="O48" s="26" t="s">
        <v>141</v>
      </c>
      <c r="P48" s="26"/>
      <c r="Q48" s="23"/>
      <c r="R48" s="25"/>
      <c r="S48" s="25"/>
      <c r="T48" s="25"/>
      <c r="U48" s="25"/>
      <c r="V48" s="25"/>
      <c r="W48" s="23" t="s">
        <v>111</v>
      </c>
      <c r="X48" s="4" t="str">
        <f>IF(Tabela2[[#This Row],[SIGLA]]="","",VLOOKUP(Tabela2[[#This Row],[SIGLA]],créditos_base!B:C,2,0))</f>
        <v>LUCIANE MORI/ARQUIVO DA EDITORA</v>
      </c>
      <c r="Y48" s="24"/>
      <c r="Z48" s="24" t="str">
        <f>Tabela2[[#This Row],[ILUSTRADOR CRIAÇÃO]]</f>
        <v>LUCIANE MORI/ARQUIVO DA EDITORA</v>
      </c>
      <c r="AA48" s="23"/>
      <c r="AB48" s="22"/>
      <c r="AC48" s="22"/>
      <c r="AD48" s="4" t="str">
        <f t="shared" si="0"/>
        <v>EF1 E001 HGC</v>
      </c>
    </row>
    <row r="49" spans="1:30" s="14" customFormat="1" ht="45" x14ac:dyDescent="0.25">
      <c r="A49" s="24" t="s">
        <v>142</v>
      </c>
      <c r="B49" s="22" t="s">
        <v>31</v>
      </c>
      <c r="C49" s="22" t="s">
        <v>32</v>
      </c>
      <c r="D49" s="22" t="s">
        <v>33</v>
      </c>
      <c r="E49" s="23">
        <v>42</v>
      </c>
      <c r="F49" s="23">
        <v>1</v>
      </c>
      <c r="G49" s="23">
        <v>1</v>
      </c>
      <c r="H49" s="23"/>
      <c r="I49" s="24" t="s">
        <v>34</v>
      </c>
      <c r="J49" s="24"/>
      <c r="K49" s="23"/>
      <c r="L49" s="23"/>
      <c r="M49" s="24"/>
      <c r="N49" s="24"/>
      <c r="O49" s="26" t="s">
        <v>143</v>
      </c>
      <c r="P49" s="26"/>
      <c r="Q49" s="23"/>
      <c r="R49" s="25"/>
      <c r="S49" s="25"/>
      <c r="T49" s="25"/>
      <c r="U49" s="25"/>
      <c r="V49" s="25"/>
      <c r="W49" s="23" t="s">
        <v>111</v>
      </c>
      <c r="X49" s="4" t="str">
        <f>IF(Tabela2[[#This Row],[SIGLA]]="","",VLOOKUP(Tabela2[[#This Row],[SIGLA]],créditos_base!B:C,2,0))</f>
        <v>LUCIANE MORI/ARQUIVO DA EDITORA</v>
      </c>
      <c r="Y49" s="24"/>
      <c r="Z49" s="24" t="str">
        <f>Tabela2[[#This Row],[ILUSTRADOR CRIAÇÃO]]</f>
        <v>LUCIANE MORI/ARQUIVO DA EDITORA</v>
      </c>
      <c r="AA49" s="23"/>
      <c r="AB49" s="22"/>
      <c r="AC49" s="22"/>
      <c r="AD49" s="4" t="str">
        <f t="shared" si="0"/>
        <v>EF1 E001 HGC</v>
      </c>
    </row>
    <row r="50" spans="1:30" s="14" customFormat="1" ht="45" x14ac:dyDescent="0.25">
      <c r="A50" s="24" t="s">
        <v>144</v>
      </c>
      <c r="B50" s="22" t="s">
        <v>31</v>
      </c>
      <c r="C50" s="22" t="s">
        <v>32</v>
      </c>
      <c r="D50" s="22" t="s">
        <v>33</v>
      </c>
      <c r="E50" s="23">
        <v>42</v>
      </c>
      <c r="F50" s="23">
        <v>1</v>
      </c>
      <c r="G50" s="23">
        <v>1</v>
      </c>
      <c r="H50" s="23"/>
      <c r="I50" s="24" t="s">
        <v>34</v>
      </c>
      <c r="J50" s="24"/>
      <c r="K50" s="23"/>
      <c r="L50" s="23"/>
      <c r="M50" s="24"/>
      <c r="N50" s="24"/>
      <c r="O50" s="26" t="s">
        <v>145</v>
      </c>
      <c r="P50" s="26"/>
      <c r="Q50" s="23"/>
      <c r="R50" s="25"/>
      <c r="S50" s="25"/>
      <c r="T50" s="25"/>
      <c r="U50" s="25"/>
      <c r="V50" s="25"/>
      <c r="W50" s="23" t="s">
        <v>111</v>
      </c>
      <c r="X50" s="4" t="str">
        <f>IF(Tabela2[[#This Row],[SIGLA]]="","",VLOOKUP(Tabela2[[#This Row],[SIGLA]],créditos_base!B:C,2,0))</f>
        <v>LUCIANE MORI/ARQUIVO DA EDITORA</v>
      </c>
      <c r="Y50" s="24"/>
      <c r="Z50" s="24" t="str">
        <f>Tabela2[[#This Row],[ILUSTRADOR CRIAÇÃO]]</f>
        <v>LUCIANE MORI/ARQUIVO DA EDITORA</v>
      </c>
      <c r="AA50" s="23"/>
      <c r="AB50" s="22"/>
      <c r="AC50" s="22"/>
      <c r="AD50" s="4" t="str">
        <f t="shared" si="0"/>
        <v>EF1 E001 HGC</v>
      </c>
    </row>
    <row r="51" spans="1:30" s="14" customFormat="1" ht="45" x14ac:dyDescent="0.25">
      <c r="A51" s="24" t="s">
        <v>146</v>
      </c>
      <c r="B51" s="22" t="s">
        <v>31</v>
      </c>
      <c r="C51" s="22" t="s">
        <v>32</v>
      </c>
      <c r="D51" s="22" t="s">
        <v>33</v>
      </c>
      <c r="E51" s="23">
        <v>42</v>
      </c>
      <c r="F51" s="23">
        <v>1</v>
      </c>
      <c r="G51" s="23">
        <v>1</v>
      </c>
      <c r="H51" s="23"/>
      <c r="I51" s="24" t="s">
        <v>34</v>
      </c>
      <c r="J51" s="24"/>
      <c r="K51" s="23"/>
      <c r="L51" s="23"/>
      <c r="M51" s="24"/>
      <c r="N51" s="24"/>
      <c r="O51" s="26" t="s">
        <v>147</v>
      </c>
      <c r="P51" s="26"/>
      <c r="Q51" s="23"/>
      <c r="R51" s="25"/>
      <c r="S51" s="25"/>
      <c r="T51" s="25"/>
      <c r="U51" s="25"/>
      <c r="V51" s="25"/>
      <c r="W51" s="23" t="s">
        <v>111</v>
      </c>
      <c r="X51" s="4" t="str">
        <f>IF(Tabela2[[#This Row],[SIGLA]]="","",VLOOKUP(Tabela2[[#This Row],[SIGLA]],créditos_base!B:C,2,0))</f>
        <v>LUCIANE MORI/ARQUIVO DA EDITORA</v>
      </c>
      <c r="Y51" s="24"/>
      <c r="Z51" s="24" t="str">
        <f>Tabela2[[#This Row],[ILUSTRADOR CRIAÇÃO]]</f>
        <v>LUCIANE MORI/ARQUIVO DA EDITORA</v>
      </c>
      <c r="AA51" s="23"/>
      <c r="AB51" s="22"/>
      <c r="AC51" s="22"/>
      <c r="AD51" s="4" t="str">
        <f t="shared" si="0"/>
        <v>EF1 E001 HGC</v>
      </c>
    </row>
    <row r="52" spans="1:30" s="14" customFormat="1" ht="45" x14ac:dyDescent="0.25">
      <c r="A52" s="24" t="s">
        <v>148</v>
      </c>
      <c r="B52" s="22" t="s">
        <v>31</v>
      </c>
      <c r="C52" s="22" t="s">
        <v>32</v>
      </c>
      <c r="D52" s="22" t="s">
        <v>33</v>
      </c>
      <c r="E52" s="23">
        <v>42</v>
      </c>
      <c r="F52" s="23">
        <v>1</v>
      </c>
      <c r="G52" s="23">
        <v>1</v>
      </c>
      <c r="H52" s="23"/>
      <c r="I52" s="24" t="s">
        <v>34</v>
      </c>
      <c r="J52" s="24"/>
      <c r="K52" s="23"/>
      <c r="L52" s="23"/>
      <c r="M52" s="24"/>
      <c r="N52" s="24"/>
      <c r="O52" s="26" t="s">
        <v>149</v>
      </c>
      <c r="P52" s="26"/>
      <c r="Q52" s="23"/>
      <c r="R52" s="25"/>
      <c r="S52" s="25"/>
      <c r="T52" s="25"/>
      <c r="U52" s="25"/>
      <c r="V52" s="25"/>
      <c r="W52" s="23" t="s">
        <v>111</v>
      </c>
      <c r="X52" s="4" t="str">
        <f>IF(Tabela2[[#This Row],[SIGLA]]="","",VLOOKUP(Tabela2[[#This Row],[SIGLA]],créditos_base!B:C,2,0))</f>
        <v>LUCIANE MORI/ARQUIVO DA EDITORA</v>
      </c>
      <c r="Y52" s="24"/>
      <c r="Z52" s="24" t="str">
        <f>Tabela2[[#This Row],[ILUSTRADOR CRIAÇÃO]]</f>
        <v>LUCIANE MORI/ARQUIVO DA EDITORA</v>
      </c>
      <c r="AA52" s="23"/>
      <c r="AB52" s="22"/>
      <c r="AC52" s="22"/>
      <c r="AD52" s="4" t="str">
        <f t="shared" si="0"/>
        <v>EF1 E001 HGC</v>
      </c>
    </row>
    <row r="53" spans="1:30" s="14" customFormat="1" ht="45" x14ac:dyDescent="0.25">
      <c r="A53" s="24" t="s">
        <v>150</v>
      </c>
      <c r="B53" s="22" t="s">
        <v>31</v>
      </c>
      <c r="C53" s="22" t="s">
        <v>32</v>
      </c>
      <c r="D53" s="22" t="s">
        <v>33</v>
      </c>
      <c r="E53" s="23">
        <v>42</v>
      </c>
      <c r="F53" s="23">
        <v>1</v>
      </c>
      <c r="G53" s="23">
        <v>1</v>
      </c>
      <c r="H53" s="23"/>
      <c r="I53" s="24" t="s">
        <v>34</v>
      </c>
      <c r="J53" s="24"/>
      <c r="K53" s="23"/>
      <c r="L53" s="23"/>
      <c r="M53" s="24"/>
      <c r="N53" s="24"/>
      <c r="O53" s="26" t="s">
        <v>151</v>
      </c>
      <c r="P53" s="26"/>
      <c r="Q53" s="23"/>
      <c r="R53" s="25"/>
      <c r="S53" s="25"/>
      <c r="T53" s="25"/>
      <c r="U53" s="25"/>
      <c r="V53" s="25"/>
      <c r="W53" s="23" t="s">
        <v>111</v>
      </c>
      <c r="X53" s="4" t="str">
        <f>IF(Tabela2[[#This Row],[SIGLA]]="","",VLOOKUP(Tabela2[[#This Row],[SIGLA]],créditos_base!B:C,2,0))</f>
        <v>LUCIANE MORI/ARQUIVO DA EDITORA</v>
      </c>
      <c r="Y53" s="24"/>
      <c r="Z53" s="24" t="str">
        <f>Tabela2[[#This Row],[ILUSTRADOR CRIAÇÃO]]</f>
        <v>LUCIANE MORI/ARQUIVO DA EDITORA</v>
      </c>
      <c r="AA53" s="23"/>
      <c r="AB53" s="22"/>
      <c r="AC53" s="22"/>
      <c r="AD53" s="4" t="str">
        <f t="shared" si="0"/>
        <v>EF1 E001 HGC</v>
      </c>
    </row>
    <row r="54" spans="1:30" s="14" customFormat="1" ht="30" x14ac:dyDescent="0.25">
      <c r="A54" s="24" t="s">
        <v>152</v>
      </c>
      <c r="B54" s="22" t="s">
        <v>31</v>
      </c>
      <c r="C54" s="22" t="s">
        <v>32</v>
      </c>
      <c r="D54" s="22" t="s">
        <v>33</v>
      </c>
      <c r="E54" s="23">
        <v>65</v>
      </c>
      <c r="F54" s="23">
        <v>1</v>
      </c>
      <c r="G54" s="23">
        <v>1</v>
      </c>
      <c r="H54" s="23"/>
      <c r="I54" s="24" t="s">
        <v>34</v>
      </c>
      <c r="J54" s="24"/>
      <c r="K54" s="23"/>
      <c r="L54" s="23"/>
      <c r="M54" s="24"/>
      <c r="N54" s="24"/>
      <c r="O54" s="26" t="s">
        <v>153</v>
      </c>
      <c r="P54" s="26"/>
      <c r="Q54" s="23"/>
      <c r="R54" s="25"/>
      <c r="S54" s="25"/>
      <c r="T54" s="25"/>
      <c r="U54" s="25"/>
      <c r="V54" s="25"/>
      <c r="W54" s="23" t="s">
        <v>154</v>
      </c>
      <c r="X54" s="4" t="str">
        <f>IF(Tabela2[[#This Row],[SIGLA]]="","",VLOOKUP(Tabela2[[#This Row],[SIGLA]],créditos_base!B:C,2,0))</f>
        <v>VICTOR LEMOS/ARQUIVO DA EDITORA</v>
      </c>
      <c r="Y54" s="24"/>
      <c r="Z54" s="24" t="str">
        <f>Tabela2[[#This Row],[ILUSTRADOR CRIAÇÃO]]</f>
        <v>VICTOR LEMOS/ARQUIVO DA EDITORA</v>
      </c>
      <c r="AA54" s="23"/>
      <c r="AB54" s="22"/>
      <c r="AC54" s="22"/>
      <c r="AD54" s="4" t="str">
        <f t="shared" si="0"/>
        <v>EF1 E001 HGC</v>
      </c>
    </row>
    <row r="55" spans="1:30" s="14" customFormat="1" ht="90" x14ac:dyDescent="0.25">
      <c r="A55" s="24" t="s">
        <v>155</v>
      </c>
      <c r="B55" s="22" t="s">
        <v>31</v>
      </c>
      <c r="C55" s="22" t="s">
        <v>32</v>
      </c>
      <c r="D55" s="22" t="s">
        <v>33</v>
      </c>
      <c r="E55" s="23">
        <v>65</v>
      </c>
      <c r="F55" s="23">
        <v>1</v>
      </c>
      <c r="G55" s="23">
        <v>1</v>
      </c>
      <c r="H55" s="23"/>
      <c r="I55" s="24" t="s">
        <v>38</v>
      </c>
      <c r="J55" s="24"/>
      <c r="K55" s="23"/>
      <c r="L55" s="23"/>
      <c r="M55" s="24"/>
      <c r="N55" s="24"/>
      <c r="O55" s="26" t="s">
        <v>156</v>
      </c>
      <c r="P55" s="26"/>
      <c r="Q55" s="23">
        <v>1</v>
      </c>
      <c r="R55" s="25">
        <v>45740</v>
      </c>
      <c r="S55" s="25">
        <v>45740</v>
      </c>
      <c r="T55" s="25"/>
      <c r="U55" s="25"/>
      <c r="V55" s="25">
        <v>45772</v>
      </c>
      <c r="W55" s="23" t="s">
        <v>154</v>
      </c>
      <c r="X55" s="4" t="str">
        <f>IF(Tabela2[[#This Row],[SIGLA]]="","",VLOOKUP(Tabela2[[#This Row],[SIGLA]],créditos_base!B:C,2,0))</f>
        <v>VICTOR LEMOS/ARQUIVO DA EDITORA</v>
      </c>
      <c r="Y55" s="24" t="s">
        <v>41</v>
      </c>
      <c r="Z55" s="24" t="str">
        <f>Tabela2[[#This Row],[ILUSTRADOR CRIAÇÃO]]</f>
        <v>VICTOR LEMOS/ARQUIVO DA EDITORA</v>
      </c>
      <c r="AA55" s="23">
        <v>13</v>
      </c>
      <c r="AB55" s="22" t="s">
        <v>42</v>
      </c>
      <c r="AC55" s="22" t="s">
        <v>43</v>
      </c>
      <c r="AD55" s="4" t="str">
        <f t="shared" si="0"/>
        <v>EF1 E001 HGC</v>
      </c>
    </row>
    <row r="56" spans="1:30" s="14" customFormat="1" ht="30" x14ac:dyDescent="0.25">
      <c r="A56" s="24" t="s">
        <v>157</v>
      </c>
      <c r="B56" s="22" t="s">
        <v>31</v>
      </c>
      <c r="C56" s="22" t="s">
        <v>32</v>
      </c>
      <c r="D56" s="22" t="s">
        <v>33</v>
      </c>
      <c r="E56" s="23">
        <v>65</v>
      </c>
      <c r="F56" s="23">
        <v>1</v>
      </c>
      <c r="G56" s="23">
        <v>1</v>
      </c>
      <c r="H56" s="23"/>
      <c r="I56" s="24" t="s">
        <v>34</v>
      </c>
      <c r="J56" s="24"/>
      <c r="K56" s="23"/>
      <c r="L56" s="23"/>
      <c r="M56" s="24"/>
      <c r="N56" s="24"/>
      <c r="O56" s="26" t="s">
        <v>158</v>
      </c>
      <c r="P56" s="26"/>
      <c r="Q56" s="23"/>
      <c r="R56" s="25"/>
      <c r="S56" s="25"/>
      <c r="T56" s="25"/>
      <c r="U56" s="25"/>
      <c r="V56" s="25"/>
      <c r="W56" s="23" t="s">
        <v>154</v>
      </c>
      <c r="X56" s="4" t="str">
        <f>IF(Tabela2[[#This Row],[SIGLA]]="","",VLOOKUP(Tabela2[[#This Row],[SIGLA]],créditos_base!B:C,2,0))</f>
        <v>VICTOR LEMOS/ARQUIVO DA EDITORA</v>
      </c>
      <c r="Y56" s="24"/>
      <c r="Z56" s="24" t="str">
        <f>Tabela2[[#This Row],[ILUSTRADOR CRIAÇÃO]]</f>
        <v>VICTOR LEMOS/ARQUIVO DA EDITORA</v>
      </c>
      <c r="AA56" s="23"/>
      <c r="AB56" s="22"/>
      <c r="AC56" s="22"/>
      <c r="AD56" s="4" t="str">
        <f t="shared" si="0"/>
        <v>EF1 E001 HGC</v>
      </c>
    </row>
    <row r="57" spans="1:30" s="14" customFormat="1" ht="30" x14ac:dyDescent="0.25">
      <c r="A57" s="24" t="s">
        <v>159</v>
      </c>
      <c r="B57" s="22" t="s">
        <v>31</v>
      </c>
      <c r="C57" s="22" t="s">
        <v>32</v>
      </c>
      <c r="D57" s="22" t="s">
        <v>33</v>
      </c>
      <c r="E57" s="23">
        <v>65</v>
      </c>
      <c r="F57" s="23">
        <v>1</v>
      </c>
      <c r="G57" s="23">
        <v>1</v>
      </c>
      <c r="H57" s="23"/>
      <c r="I57" s="24" t="s">
        <v>34</v>
      </c>
      <c r="J57" s="24"/>
      <c r="K57" s="23"/>
      <c r="L57" s="23"/>
      <c r="M57" s="24"/>
      <c r="N57" s="24"/>
      <c r="O57" s="26" t="s">
        <v>160</v>
      </c>
      <c r="P57" s="26"/>
      <c r="Q57" s="23"/>
      <c r="R57" s="25"/>
      <c r="S57" s="25"/>
      <c r="T57" s="25"/>
      <c r="U57" s="25"/>
      <c r="V57" s="25"/>
      <c r="W57" s="23" t="s">
        <v>154</v>
      </c>
      <c r="X57" s="4" t="str">
        <f>IF(Tabela2[[#This Row],[SIGLA]]="","",VLOOKUP(Tabela2[[#This Row],[SIGLA]],créditos_base!B:C,2,0))</f>
        <v>VICTOR LEMOS/ARQUIVO DA EDITORA</v>
      </c>
      <c r="Y57" s="24"/>
      <c r="Z57" s="24" t="str">
        <f>Tabela2[[#This Row],[ILUSTRADOR CRIAÇÃO]]</f>
        <v>VICTOR LEMOS/ARQUIVO DA EDITORA</v>
      </c>
      <c r="AA57" s="23"/>
      <c r="AB57" s="22"/>
      <c r="AC57" s="22"/>
      <c r="AD57" s="4" t="str">
        <f t="shared" si="0"/>
        <v>EF1 E001 HGC</v>
      </c>
    </row>
    <row r="58" spans="1:30" s="14" customFormat="1" ht="30" x14ac:dyDescent="0.25">
      <c r="A58" s="24" t="s">
        <v>161</v>
      </c>
      <c r="B58" s="22" t="s">
        <v>31</v>
      </c>
      <c r="C58" s="22" t="s">
        <v>32</v>
      </c>
      <c r="D58" s="22" t="s">
        <v>33</v>
      </c>
      <c r="E58" s="23">
        <v>65</v>
      </c>
      <c r="F58" s="23">
        <v>1</v>
      </c>
      <c r="G58" s="23">
        <v>1</v>
      </c>
      <c r="H58" s="23"/>
      <c r="I58" s="24" t="s">
        <v>34</v>
      </c>
      <c r="J58" s="24"/>
      <c r="K58" s="23"/>
      <c r="L58" s="23"/>
      <c r="M58" s="24"/>
      <c r="N58" s="24"/>
      <c r="O58" s="26" t="s">
        <v>162</v>
      </c>
      <c r="P58" s="26"/>
      <c r="Q58" s="23"/>
      <c r="R58" s="25"/>
      <c r="S58" s="25"/>
      <c r="T58" s="25"/>
      <c r="U58" s="25"/>
      <c r="V58" s="25"/>
      <c r="W58" s="23" t="s">
        <v>154</v>
      </c>
      <c r="X58" s="4" t="str">
        <f>IF(Tabela2[[#This Row],[SIGLA]]="","",VLOOKUP(Tabela2[[#This Row],[SIGLA]],créditos_base!B:C,2,0))</f>
        <v>VICTOR LEMOS/ARQUIVO DA EDITORA</v>
      </c>
      <c r="Y58" s="24"/>
      <c r="Z58" s="24" t="str">
        <f>Tabela2[[#This Row],[ILUSTRADOR CRIAÇÃO]]</f>
        <v>VICTOR LEMOS/ARQUIVO DA EDITORA</v>
      </c>
      <c r="AA58" s="23"/>
      <c r="AB58" s="22"/>
      <c r="AC58" s="22"/>
      <c r="AD58" s="4" t="str">
        <f t="shared" si="0"/>
        <v>EF1 E001 HGC</v>
      </c>
    </row>
    <row r="59" spans="1:30" s="14" customFormat="1" ht="30" x14ac:dyDescent="0.25">
      <c r="A59" s="24" t="s">
        <v>163</v>
      </c>
      <c r="B59" s="22" t="s">
        <v>31</v>
      </c>
      <c r="C59" s="22" t="s">
        <v>32</v>
      </c>
      <c r="D59" s="22" t="s">
        <v>33</v>
      </c>
      <c r="E59" s="23">
        <v>65</v>
      </c>
      <c r="F59" s="23">
        <v>1</v>
      </c>
      <c r="G59" s="23">
        <v>1</v>
      </c>
      <c r="H59" s="23"/>
      <c r="I59" s="24" t="s">
        <v>34</v>
      </c>
      <c r="J59" s="24"/>
      <c r="K59" s="23"/>
      <c r="L59" s="23"/>
      <c r="M59" s="24"/>
      <c r="N59" s="24"/>
      <c r="O59" s="26" t="s">
        <v>164</v>
      </c>
      <c r="P59" s="26"/>
      <c r="Q59" s="23"/>
      <c r="R59" s="25"/>
      <c r="S59" s="25"/>
      <c r="T59" s="25"/>
      <c r="U59" s="25"/>
      <c r="V59" s="25"/>
      <c r="W59" s="23" t="s">
        <v>154</v>
      </c>
      <c r="X59" s="4" t="str">
        <f>IF(Tabela2[[#This Row],[SIGLA]]="","",VLOOKUP(Tabela2[[#This Row],[SIGLA]],créditos_base!B:C,2,0))</f>
        <v>VICTOR LEMOS/ARQUIVO DA EDITORA</v>
      </c>
      <c r="Y59" s="24"/>
      <c r="Z59" s="24" t="str">
        <f>Tabela2[[#This Row],[ILUSTRADOR CRIAÇÃO]]</f>
        <v>VICTOR LEMOS/ARQUIVO DA EDITORA</v>
      </c>
      <c r="AA59" s="23"/>
      <c r="AB59" s="22"/>
      <c r="AC59" s="22"/>
      <c r="AD59" s="4" t="str">
        <f t="shared" si="0"/>
        <v>EF1 E001 HGC</v>
      </c>
    </row>
    <row r="60" spans="1:30" s="14" customFormat="1" ht="45" x14ac:dyDescent="0.25">
      <c r="A60" s="24" t="s">
        <v>165</v>
      </c>
      <c r="B60" s="22" t="s">
        <v>31</v>
      </c>
      <c r="C60" s="22" t="s">
        <v>32</v>
      </c>
      <c r="D60" s="22" t="s">
        <v>33</v>
      </c>
      <c r="E60" s="23">
        <v>70</v>
      </c>
      <c r="F60" s="23">
        <v>1</v>
      </c>
      <c r="G60" s="23">
        <v>1</v>
      </c>
      <c r="H60" s="23"/>
      <c r="I60" s="24" t="s">
        <v>34</v>
      </c>
      <c r="J60" s="24"/>
      <c r="K60" s="23"/>
      <c r="L60" s="23"/>
      <c r="M60" s="24"/>
      <c r="N60" s="24"/>
      <c r="O60" s="26" t="s">
        <v>166</v>
      </c>
      <c r="P60" s="26"/>
      <c r="Q60" s="23"/>
      <c r="R60" s="25"/>
      <c r="S60" s="25"/>
      <c r="T60" s="25"/>
      <c r="U60" s="25"/>
      <c r="V60" s="25"/>
      <c r="W60" s="23" t="s">
        <v>48</v>
      </c>
      <c r="X60" s="4" t="str">
        <f>IF(Tabela2[[#This Row],[SIGLA]]="","",VLOOKUP(Tabela2[[#This Row],[SIGLA]],créditos_base!B:C,2,0))</f>
        <v>MÁRCIO GUERRA/ARQUIVO DA EDITORA</v>
      </c>
      <c r="Y60" s="24"/>
      <c r="Z60" s="24" t="str">
        <f>Tabela2[[#This Row],[ILUSTRADOR CRIAÇÃO]]</f>
        <v>MÁRCIO GUERRA/ARQUIVO DA EDITORA</v>
      </c>
      <c r="AA60" s="23"/>
      <c r="AB60" s="22"/>
      <c r="AC60" s="22"/>
      <c r="AD60" s="4" t="str">
        <f t="shared" si="0"/>
        <v>EF1 E001 HGC</v>
      </c>
    </row>
    <row r="61" spans="1:30" s="14" customFormat="1" ht="105" x14ac:dyDescent="0.25">
      <c r="A61" s="24" t="s">
        <v>167</v>
      </c>
      <c r="B61" s="22" t="s">
        <v>67</v>
      </c>
      <c r="C61" s="22" t="s">
        <v>32</v>
      </c>
      <c r="D61" s="22" t="s">
        <v>33</v>
      </c>
      <c r="E61" s="23">
        <v>88</v>
      </c>
      <c r="F61" s="23">
        <v>1</v>
      </c>
      <c r="G61" s="23">
        <v>2</v>
      </c>
      <c r="H61" s="23"/>
      <c r="I61" s="24" t="s">
        <v>38</v>
      </c>
      <c r="J61" s="24"/>
      <c r="K61" s="23"/>
      <c r="L61" s="23"/>
      <c r="M61" s="24"/>
      <c r="N61" s="24"/>
      <c r="O61" s="26" t="s">
        <v>168</v>
      </c>
      <c r="P61" s="26"/>
      <c r="Q61" s="23">
        <v>15</v>
      </c>
      <c r="R61" s="25">
        <v>45812</v>
      </c>
      <c r="S61" s="25">
        <v>45813</v>
      </c>
      <c r="T61" s="25"/>
      <c r="U61" s="25"/>
      <c r="V61" s="25">
        <v>45813</v>
      </c>
      <c r="W61" s="23" t="s">
        <v>169</v>
      </c>
      <c r="X61" s="4" t="str">
        <f>IF(Tabela2[[#This Row],[SIGLA]]="","",VLOOKUP(Tabela2[[#This Row],[SIGLA]],créditos_base!B:C,2,0))</f>
        <v>GUSTAVO RAMOS/ARQUIVO DA EDITORA</v>
      </c>
      <c r="Y61" s="24" t="s">
        <v>170</v>
      </c>
      <c r="Z61" s="24" t="str">
        <f>Tabela2[[#This Row],[ILUSTRADOR CRIAÇÃO]]</f>
        <v>GUSTAVO RAMOS/ARQUIVO DA EDITORA</v>
      </c>
      <c r="AA61" s="23">
        <v>13</v>
      </c>
      <c r="AB61" s="22" t="s">
        <v>171</v>
      </c>
      <c r="AC61" s="22" t="s">
        <v>43</v>
      </c>
      <c r="AD61" s="4" t="str">
        <f t="shared" si="0"/>
        <v>EF1 E001 HGC</v>
      </c>
    </row>
    <row r="62" spans="1:30" s="14" customFormat="1" ht="45" x14ac:dyDescent="0.25">
      <c r="A62" s="24" t="s">
        <v>172</v>
      </c>
      <c r="B62" s="22" t="s">
        <v>67</v>
      </c>
      <c r="C62" s="22" t="s">
        <v>32</v>
      </c>
      <c r="D62" s="22" t="s">
        <v>33</v>
      </c>
      <c r="E62" s="23">
        <v>89</v>
      </c>
      <c r="F62" s="23">
        <v>1</v>
      </c>
      <c r="G62" s="23">
        <v>2</v>
      </c>
      <c r="H62" s="23"/>
      <c r="I62" s="24" t="s">
        <v>34</v>
      </c>
      <c r="J62" s="24"/>
      <c r="K62" s="23"/>
      <c r="L62" s="23"/>
      <c r="M62" s="24"/>
      <c r="N62" s="24"/>
      <c r="O62" s="26" t="s">
        <v>173</v>
      </c>
      <c r="P62" s="26"/>
      <c r="Q62" s="23"/>
      <c r="R62" s="25"/>
      <c r="S62" s="25"/>
      <c r="T62" s="25"/>
      <c r="U62" s="25"/>
      <c r="V62" s="25"/>
      <c r="W62" s="23" t="s">
        <v>169</v>
      </c>
      <c r="X62" s="4" t="str">
        <f>IF(Tabela2[[#This Row],[SIGLA]]="","",VLOOKUP(Tabela2[[#This Row],[SIGLA]],créditos_base!B:C,2,0))</f>
        <v>GUSTAVO RAMOS/ARQUIVO DA EDITORA</v>
      </c>
      <c r="Y62" s="24"/>
      <c r="Z62" s="24" t="str">
        <f>Tabela2[[#This Row],[ILUSTRADOR CRIAÇÃO]]</f>
        <v>GUSTAVO RAMOS/ARQUIVO DA EDITORA</v>
      </c>
      <c r="AA62" s="23"/>
      <c r="AB62" s="22"/>
      <c r="AC62" s="22"/>
      <c r="AD62" s="4" t="str">
        <f t="shared" si="0"/>
        <v>EF1 E001 HGC</v>
      </c>
    </row>
    <row r="63" spans="1:30" s="14" customFormat="1" ht="45" x14ac:dyDescent="0.25">
      <c r="A63" s="24" t="s">
        <v>174</v>
      </c>
      <c r="B63" s="22" t="s">
        <v>175</v>
      </c>
      <c r="C63" s="22" t="s">
        <v>32</v>
      </c>
      <c r="D63" s="22" t="s">
        <v>33</v>
      </c>
      <c r="E63" s="23">
        <v>89</v>
      </c>
      <c r="F63" s="23">
        <v>1</v>
      </c>
      <c r="G63" s="23">
        <v>2</v>
      </c>
      <c r="H63" s="23"/>
      <c r="I63" s="24" t="s">
        <v>38</v>
      </c>
      <c r="J63" s="24"/>
      <c r="K63" s="23"/>
      <c r="L63" s="23"/>
      <c r="M63" s="24"/>
      <c r="N63" s="24"/>
      <c r="O63" s="26" t="s">
        <v>173</v>
      </c>
      <c r="P63" s="26"/>
      <c r="Q63" s="23">
        <v>15</v>
      </c>
      <c r="R63" s="25">
        <v>45812</v>
      </c>
      <c r="S63" s="25">
        <v>45813</v>
      </c>
      <c r="T63" s="25"/>
      <c r="U63" s="25"/>
      <c r="V63" s="25">
        <v>45813</v>
      </c>
      <c r="W63" s="23" t="s">
        <v>169</v>
      </c>
      <c r="X63" s="4" t="str">
        <f>IF(Tabela2[[#This Row],[SIGLA]]="","",VLOOKUP(Tabela2[[#This Row],[SIGLA]],créditos_base!B:C,2,0))</f>
        <v>GUSTAVO RAMOS/ARQUIVO DA EDITORA</v>
      </c>
      <c r="Y63" s="24" t="s">
        <v>170</v>
      </c>
      <c r="Z63" s="24" t="str">
        <f>Tabela2[[#This Row],[ILUSTRADOR CRIAÇÃO]]</f>
        <v>GUSTAVO RAMOS/ARQUIVO DA EDITORA</v>
      </c>
      <c r="AA63" s="23">
        <v>13</v>
      </c>
      <c r="AB63" s="22" t="s">
        <v>171</v>
      </c>
      <c r="AC63" s="22" t="s">
        <v>43</v>
      </c>
      <c r="AD63" s="4" t="str">
        <f t="shared" si="0"/>
        <v>EF1 E001 HGC</v>
      </c>
    </row>
    <row r="64" spans="1:30" s="14" customFormat="1" ht="45" x14ac:dyDescent="0.25">
      <c r="A64" s="24" t="s">
        <v>176</v>
      </c>
      <c r="B64" s="22" t="s">
        <v>67</v>
      </c>
      <c r="C64" s="22" t="s">
        <v>32</v>
      </c>
      <c r="D64" s="22" t="s">
        <v>33</v>
      </c>
      <c r="E64" s="23">
        <v>90</v>
      </c>
      <c r="F64" s="23">
        <v>1</v>
      </c>
      <c r="G64" s="23">
        <v>2</v>
      </c>
      <c r="H64" s="23"/>
      <c r="I64" s="24" t="s">
        <v>177</v>
      </c>
      <c r="J64" s="24"/>
      <c r="K64" s="23"/>
      <c r="L64" s="23"/>
      <c r="M64" s="24"/>
      <c r="N64" s="24"/>
      <c r="O64" s="26" t="s">
        <v>178</v>
      </c>
      <c r="P64" s="26"/>
      <c r="Q64" s="23">
        <v>11</v>
      </c>
      <c r="R64" s="25">
        <v>45761</v>
      </c>
      <c r="S64" s="25">
        <v>45779</v>
      </c>
      <c r="T64" s="25"/>
      <c r="U64" s="25"/>
      <c r="V64" s="25">
        <v>45779</v>
      </c>
      <c r="W64" s="23" t="s">
        <v>179</v>
      </c>
      <c r="X64" s="4" t="str">
        <f>IF(Tabela2[[#This Row],[SIGLA]]="","",VLOOKUP(Tabela2[[#This Row],[SIGLA]],créditos_base!B:C,2,0))</f>
        <v>VINÍCIUS COSTA/ARQUIVO DA EDITORA</v>
      </c>
      <c r="Y64" s="24" t="s">
        <v>180</v>
      </c>
      <c r="Z64" s="24" t="str">
        <f>Tabela2[[#This Row],[ILUSTRADOR CRIAÇÃO]]</f>
        <v>VINÍCIUS COSTA/ARQUIVO DA EDITORA</v>
      </c>
      <c r="AA64" s="23">
        <v>4</v>
      </c>
      <c r="AB64" s="22" t="s">
        <v>180</v>
      </c>
      <c r="AC64" s="22" t="s">
        <v>43</v>
      </c>
      <c r="AD64" s="4" t="str">
        <f t="shared" si="0"/>
        <v>EF1 E001 HGC</v>
      </c>
    </row>
    <row r="65" spans="1:30" s="14" customFormat="1" ht="45" x14ac:dyDescent="0.25">
      <c r="A65" s="24" t="s">
        <v>181</v>
      </c>
      <c r="B65" s="22" t="s">
        <v>67</v>
      </c>
      <c r="C65" s="22" t="s">
        <v>32</v>
      </c>
      <c r="D65" s="22" t="s">
        <v>33</v>
      </c>
      <c r="E65" s="23">
        <v>90</v>
      </c>
      <c r="F65" s="23">
        <v>1</v>
      </c>
      <c r="G65" s="23">
        <v>2</v>
      </c>
      <c r="H65" s="23"/>
      <c r="I65" s="24" t="s">
        <v>177</v>
      </c>
      <c r="J65" s="24"/>
      <c r="K65" s="23"/>
      <c r="L65" s="23"/>
      <c r="M65" s="24"/>
      <c r="N65" s="24"/>
      <c r="O65" s="26" t="s">
        <v>182</v>
      </c>
      <c r="P65" s="26"/>
      <c r="Q65" s="23">
        <v>11</v>
      </c>
      <c r="R65" s="25">
        <v>45761</v>
      </c>
      <c r="S65" s="25">
        <v>45779</v>
      </c>
      <c r="T65" s="25"/>
      <c r="U65" s="25"/>
      <c r="V65" s="25">
        <v>45779</v>
      </c>
      <c r="W65" s="23" t="s">
        <v>179</v>
      </c>
      <c r="X65" s="4" t="str">
        <f>IF(Tabela2[[#This Row],[SIGLA]]="","",VLOOKUP(Tabela2[[#This Row],[SIGLA]],créditos_base!B:C,2,0))</f>
        <v>VINÍCIUS COSTA/ARQUIVO DA EDITORA</v>
      </c>
      <c r="Y65" s="24" t="s">
        <v>180</v>
      </c>
      <c r="Z65" s="24" t="str">
        <f>Tabela2[[#This Row],[ILUSTRADOR CRIAÇÃO]]</f>
        <v>VINÍCIUS COSTA/ARQUIVO DA EDITORA</v>
      </c>
      <c r="AA65" s="23">
        <v>3</v>
      </c>
      <c r="AB65" s="22" t="s">
        <v>180</v>
      </c>
      <c r="AC65" s="22" t="s">
        <v>43</v>
      </c>
      <c r="AD65" s="4" t="str">
        <f t="shared" si="0"/>
        <v>EF1 E001 HGC</v>
      </c>
    </row>
    <row r="66" spans="1:30" s="14" customFormat="1" ht="75" x14ac:dyDescent="0.25">
      <c r="A66" s="24" t="s">
        <v>183</v>
      </c>
      <c r="B66" s="22" t="s">
        <v>67</v>
      </c>
      <c r="C66" s="22" t="s">
        <v>32</v>
      </c>
      <c r="D66" s="22" t="s">
        <v>33</v>
      </c>
      <c r="E66" s="23">
        <v>92</v>
      </c>
      <c r="F66" s="23">
        <v>1</v>
      </c>
      <c r="G66" s="23">
        <v>2</v>
      </c>
      <c r="H66" s="23"/>
      <c r="I66" s="24" t="s">
        <v>38</v>
      </c>
      <c r="J66" s="24"/>
      <c r="K66" s="23"/>
      <c r="L66" s="23"/>
      <c r="M66" s="24"/>
      <c r="N66" s="24"/>
      <c r="O66" s="26" t="s">
        <v>184</v>
      </c>
      <c r="P66" s="26"/>
      <c r="Q66" s="23">
        <v>2</v>
      </c>
      <c r="R66" s="25">
        <v>45744</v>
      </c>
      <c r="S66" s="25">
        <v>45744</v>
      </c>
      <c r="T66" s="25"/>
      <c r="U66" s="25"/>
      <c r="V66" s="25">
        <v>45749</v>
      </c>
      <c r="W66" s="23" t="s">
        <v>59</v>
      </c>
      <c r="X66" s="4" t="str">
        <f>IF(Tabela2[[#This Row],[SIGLA]]="","",VLOOKUP(Tabela2[[#This Row],[SIGLA]],créditos_base!B:C,2,0))</f>
        <v>DANILO SANTOS/ARQUIVO DA EDITORA</v>
      </c>
      <c r="Y66" s="24" t="s">
        <v>70</v>
      </c>
      <c r="Z66" s="24" t="str">
        <f>Tabela2[[#This Row],[ILUSTRADOR CRIAÇÃO]]</f>
        <v>DANILO SANTOS/ARQUIVO DA EDITORA</v>
      </c>
      <c r="AA66" s="23">
        <v>14</v>
      </c>
      <c r="AB66" s="22"/>
      <c r="AC66" s="22" t="s">
        <v>43</v>
      </c>
      <c r="AD66" s="4" t="str">
        <f t="shared" ref="AD66:AD129" si="1">"EF1 E001 HGC"</f>
        <v>EF1 E001 HGC</v>
      </c>
    </row>
    <row r="67" spans="1:30" s="14" customFormat="1" ht="60" x14ac:dyDescent="0.25">
      <c r="A67" s="24" t="s">
        <v>185</v>
      </c>
      <c r="B67" s="22" t="s">
        <v>67</v>
      </c>
      <c r="C67" s="22" t="s">
        <v>32</v>
      </c>
      <c r="D67" s="22" t="s">
        <v>33</v>
      </c>
      <c r="E67" s="23">
        <v>92</v>
      </c>
      <c r="F67" s="23">
        <v>1</v>
      </c>
      <c r="G67" s="23">
        <v>2</v>
      </c>
      <c r="H67" s="23"/>
      <c r="I67" s="24" t="s">
        <v>38</v>
      </c>
      <c r="J67" s="24"/>
      <c r="K67" s="23"/>
      <c r="L67" s="23"/>
      <c r="M67" s="24"/>
      <c r="N67" s="24"/>
      <c r="O67" s="26" t="s">
        <v>186</v>
      </c>
      <c r="P67" s="26"/>
      <c r="Q67" s="23">
        <v>2</v>
      </c>
      <c r="R67" s="25">
        <v>45744</v>
      </c>
      <c r="S67" s="25">
        <v>45744</v>
      </c>
      <c r="T67" s="25"/>
      <c r="U67" s="25"/>
      <c r="V67" s="25">
        <v>45749</v>
      </c>
      <c r="W67" s="23" t="s">
        <v>59</v>
      </c>
      <c r="X67" s="4" t="str">
        <f>IF(Tabela2[[#This Row],[SIGLA]]="","",VLOOKUP(Tabela2[[#This Row],[SIGLA]],créditos_base!B:C,2,0))</f>
        <v>DANILO SANTOS/ARQUIVO DA EDITORA</v>
      </c>
      <c r="Y67" s="24" t="s">
        <v>70</v>
      </c>
      <c r="Z67" s="24" t="str">
        <f>Tabela2[[#This Row],[ILUSTRADOR CRIAÇÃO]]</f>
        <v>DANILO SANTOS/ARQUIVO DA EDITORA</v>
      </c>
      <c r="AA67" s="23">
        <v>14</v>
      </c>
      <c r="AB67" s="22"/>
      <c r="AC67" s="22" t="s">
        <v>43</v>
      </c>
      <c r="AD67" s="4" t="str">
        <f t="shared" si="1"/>
        <v>EF1 E001 HGC</v>
      </c>
    </row>
    <row r="68" spans="1:30" s="14" customFormat="1" ht="75" x14ac:dyDescent="0.25">
      <c r="A68" s="24" t="s">
        <v>187</v>
      </c>
      <c r="B68" s="22" t="s">
        <v>67</v>
      </c>
      <c r="C68" s="22" t="s">
        <v>32</v>
      </c>
      <c r="D68" s="22" t="s">
        <v>33</v>
      </c>
      <c r="E68" s="23">
        <v>92</v>
      </c>
      <c r="F68" s="23">
        <v>1</v>
      </c>
      <c r="G68" s="23">
        <v>2</v>
      </c>
      <c r="H68" s="23"/>
      <c r="I68" s="24" t="s">
        <v>38</v>
      </c>
      <c r="J68" s="24"/>
      <c r="K68" s="23"/>
      <c r="L68" s="23"/>
      <c r="M68" s="24"/>
      <c r="N68" s="24"/>
      <c r="O68" s="26" t="s">
        <v>188</v>
      </c>
      <c r="P68" s="26"/>
      <c r="Q68" s="23">
        <v>2</v>
      </c>
      <c r="R68" s="25">
        <v>45744</v>
      </c>
      <c r="S68" s="25">
        <v>45744</v>
      </c>
      <c r="T68" s="25"/>
      <c r="U68" s="25"/>
      <c r="V68" s="25">
        <v>45749</v>
      </c>
      <c r="W68" s="23" t="s">
        <v>59</v>
      </c>
      <c r="X68" s="4" t="str">
        <f>IF(Tabela2[[#This Row],[SIGLA]]="","",VLOOKUP(Tabela2[[#This Row],[SIGLA]],créditos_base!B:C,2,0))</f>
        <v>DANILO SANTOS/ARQUIVO DA EDITORA</v>
      </c>
      <c r="Y68" s="24" t="s">
        <v>70</v>
      </c>
      <c r="Z68" s="24" t="str">
        <f>Tabela2[[#This Row],[ILUSTRADOR CRIAÇÃO]]</f>
        <v>DANILO SANTOS/ARQUIVO DA EDITORA</v>
      </c>
      <c r="AA68" s="23">
        <v>14</v>
      </c>
      <c r="AB68" s="22"/>
      <c r="AC68" s="22" t="s">
        <v>43</v>
      </c>
      <c r="AD68" s="4" t="str">
        <f t="shared" si="1"/>
        <v>EF1 E001 HGC</v>
      </c>
    </row>
    <row r="69" spans="1:30" s="14" customFormat="1" ht="75" x14ac:dyDescent="0.25">
      <c r="A69" s="24" t="s">
        <v>189</v>
      </c>
      <c r="B69" s="22" t="s">
        <v>67</v>
      </c>
      <c r="C69" s="22" t="s">
        <v>32</v>
      </c>
      <c r="D69" s="22" t="s">
        <v>33</v>
      </c>
      <c r="E69" s="23">
        <v>92</v>
      </c>
      <c r="F69" s="23">
        <v>1</v>
      </c>
      <c r="G69" s="23">
        <v>2</v>
      </c>
      <c r="H69" s="23"/>
      <c r="I69" s="24" t="s">
        <v>38</v>
      </c>
      <c r="J69" s="24"/>
      <c r="K69" s="23"/>
      <c r="L69" s="23"/>
      <c r="M69" s="24"/>
      <c r="N69" s="24"/>
      <c r="O69" s="26" t="s">
        <v>190</v>
      </c>
      <c r="P69" s="26"/>
      <c r="Q69" s="23">
        <v>2</v>
      </c>
      <c r="R69" s="25">
        <v>45744</v>
      </c>
      <c r="S69" s="25">
        <v>45744</v>
      </c>
      <c r="T69" s="25"/>
      <c r="U69" s="25"/>
      <c r="V69" s="25">
        <v>45749</v>
      </c>
      <c r="W69" s="23" t="s">
        <v>59</v>
      </c>
      <c r="X69" s="4" t="str">
        <f>IF(Tabela2[[#This Row],[SIGLA]]="","",VLOOKUP(Tabela2[[#This Row],[SIGLA]],créditos_base!B:C,2,0))</f>
        <v>DANILO SANTOS/ARQUIVO DA EDITORA</v>
      </c>
      <c r="Y69" s="24" t="s">
        <v>70</v>
      </c>
      <c r="Z69" s="24" t="str">
        <f>Tabela2[[#This Row],[ILUSTRADOR CRIAÇÃO]]</f>
        <v>DANILO SANTOS/ARQUIVO DA EDITORA</v>
      </c>
      <c r="AA69" s="23">
        <v>14</v>
      </c>
      <c r="AB69" s="22"/>
      <c r="AC69" s="22" t="s">
        <v>43</v>
      </c>
      <c r="AD69" s="4" t="str">
        <f t="shared" si="1"/>
        <v>EF1 E001 HGC</v>
      </c>
    </row>
    <row r="70" spans="1:30" s="14" customFormat="1" ht="30" x14ac:dyDescent="0.25">
      <c r="A70" s="24" t="s">
        <v>191</v>
      </c>
      <c r="B70" s="22" t="s">
        <v>83</v>
      </c>
      <c r="C70" s="22" t="s">
        <v>32</v>
      </c>
      <c r="D70" s="22" t="s">
        <v>33</v>
      </c>
      <c r="E70" s="23">
        <v>93</v>
      </c>
      <c r="F70" s="23">
        <v>1</v>
      </c>
      <c r="G70" s="23">
        <v>2</v>
      </c>
      <c r="H70" s="23"/>
      <c r="I70" s="24" t="s">
        <v>34</v>
      </c>
      <c r="J70" s="24"/>
      <c r="K70" s="23"/>
      <c r="L70" s="23"/>
      <c r="M70" s="24"/>
      <c r="N70" s="24"/>
      <c r="O70" s="26" t="s">
        <v>192</v>
      </c>
      <c r="P70" s="26"/>
      <c r="Q70" s="23"/>
      <c r="R70" s="25"/>
      <c r="S70" s="25"/>
      <c r="T70" s="25"/>
      <c r="U70" s="25"/>
      <c r="V70" s="25"/>
      <c r="W70" s="23" t="s">
        <v>193</v>
      </c>
      <c r="X70" s="4" t="str">
        <f>IF(Tabela2[[#This Row],[SIGLA]]="","",VLOOKUP(Tabela2[[#This Row],[SIGLA]],créditos_base!B:C,2,0))</f>
        <v>NATANAELE BILMAIA/ARQUIVO DA EDITORA</v>
      </c>
      <c r="Y70" s="24"/>
      <c r="Z70" s="24" t="str">
        <f>Tabela2[[#This Row],[ILUSTRADOR CRIAÇÃO]]</f>
        <v>NATANAELE BILMAIA/ARQUIVO DA EDITORA</v>
      </c>
      <c r="AA70" s="23"/>
      <c r="AB70" s="22"/>
      <c r="AC70" s="22"/>
      <c r="AD70" s="4" t="str">
        <f t="shared" si="1"/>
        <v>EF1 E001 HGC</v>
      </c>
    </row>
    <row r="71" spans="1:30" s="14" customFormat="1" ht="30" x14ac:dyDescent="0.25">
      <c r="A71" s="24" t="s">
        <v>194</v>
      </c>
      <c r="B71" s="22" t="s">
        <v>83</v>
      </c>
      <c r="C71" s="22" t="s">
        <v>32</v>
      </c>
      <c r="D71" s="22" t="s">
        <v>33</v>
      </c>
      <c r="E71" s="23">
        <v>93</v>
      </c>
      <c r="F71" s="23">
        <v>1</v>
      </c>
      <c r="G71" s="23">
        <v>2</v>
      </c>
      <c r="H71" s="23"/>
      <c r="I71" s="24" t="s">
        <v>34</v>
      </c>
      <c r="J71" s="24"/>
      <c r="K71" s="23"/>
      <c r="L71" s="23"/>
      <c r="M71" s="24"/>
      <c r="N71" s="24"/>
      <c r="O71" s="26" t="s">
        <v>195</v>
      </c>
      <c r="P71" s="26"/>
      <c r="Q71" s="23"/>
      <c r="R71" s="25"/>
      <c r="S71" s="25"/>
      <c r="T71" s="25"/>
      <c r="U71" s="25"/>
      <c r="V71" s="25"/>
      <c r="W71" s="23" t="s">
        <v>193</v>
      </c>
      <c r="X71" s="4" t="str">
        <f>IF(Tabela2[[#This Row],[SIGLA]]="","",VLOOKUP(Tabela2[[#This Row],[SIGLA]],créditos_base!B:C,2,0))</f>
        <v>NATANAELE BILMAIA/ARQUIVO DA EDITORA</v>
      </c>
      <c r="Y71" s="24"/>
      <c r="Z71" s="24" t="str">
        <f>Tabela2[[#This Row],[ILUSTRADOR CRIAÇÃO]]</f>
        <v>NATANAELE BILMAIA/ARQUIVO DA EDITORA</v>
      </c>
      <c r="AA71" s="23"/>
      <c r="AB71" s="22"/>
      <c r="AC71" s="22"/>
      <c r="AD71" s="4" t="str">
        <f t="shared" si="1"/>
        <v>EF1 E001 HGC</v>
      </c>
    </row>
    <row r="72" spans="1:30" s="14" customFormat="1" ht="30" x14ac:dyDescent="0.25">
      <c r="A72" s="24" t="s">
        <v>196</v>
      </c>
      <c r="B72" s="22" t="s">
        <v>83</v>
      </c>
      <c r="C72" s="22" t="s">
        <v>32</v>
      </c>
      <c r="D72" s="22" t="s">
        <v>33</v>
      </c>
      <c r="E72" s="23">
        <v>93</v>
      </c>
      <c r="F72" s="23">
        <v>1</v>
      </c>
      <c r="G72" s="23">
        <v>2</v>
      </c>
      <c r="H72" s="23"/>
      <c r="I72" s="24" t="s">
        <v>34</v>
      </c>
      <c r="J72" s="24"/>
      <c r="K72" s="23"/>
      <c r="L72" s="23"/>
      <c r="M72" s="24"/>
      <c r="N72" s="24"/>
      <c r="O72" s="26" t="s">
        <v>197</v>
      </c>
      <c r="P72" s="26"/>
      <c r="Q72" s="23"/>
      <c r="R72" s="25"/>
      <c r="S72" s="25"/>
      <c r="T72" s="25"/>
      <c r="U72" s="25"/>
      <c r="V72" s="25"/>
      <c r="W72" s="23" t="s">
        <v>193</v>
      </c>
      <c r="X72" s="4" t="str">
        <f>IF(Tabela2[[#This Row],[SIGLA]]="","",VLOOKUP(Tabela2[[#This Row],[SIGLA]],créditos_base!B:C,2,0))</f>
        <v>NATANAELE BILMAIA/ARQUIVO DA EDITORA</v>
      </c>
      <c r="Y72" s="24"/>
      <c r="Z72" s="24" t="str">
        <f>Tabela2[[#This Row],[ILUSTRADOR CRIAÇÃO]]</f>
        <v>NATANAELE BILMAIA/ARQUIVO DA EDITORA</v>
      </c>
      <c r="AA72" s="23"/>
      <c r="AB72" s="22"/>
      <c r="AC72" s="22"/>
      <c r="AD72" s="4" t="str">
        <f t="shared" si="1"/>
        <v>EF1 E001 HGC</v>
      </c>
    </row>
    <row r="73" spans="1:30" s="14" customFormat="1" ht="30" x14ac:dyDescent="0.25">
      <c r="A73" s="24" t="s">
        <v>198</v>
      </c>
      <c r="B73" s="22" t="s">
        <v>67</v>
      </c>
      <c r="C73" s="22" t="s">
        <v>32</v>
      </c>
      <c r="D73" s="22" t="s">
        <v>33</v>
      </c>
      <c r="E73" s="23">
        <v>93</v>
      </c>
      <c r="F73" s="23">
        <v>1</v>
      </c>
      <c r="G73" s="23">
        <v>2</v>
      </c>
      <c r="H73" s="23"/>
      <c r="I73" s="24" t="s">
        <v>34</v>
      </c>
      <c r="J73" s="24"/>
      <c r="K73" s="23"/>
      <c r="L73" s="23"/>
      <c r="M73" s="24"/>
      <c r="N73" s="24"/>
      <c r="O73" s="26" t="s">
        <v>199</v>
      </c>
      <c r="P73" s="26"/>
      <c r="Q73" s="23"/>
      <c r="R73" s="25"/>
      <c r="S73" s="25"/>
      <c r="T73" s="25"/>
      <c r="U73" s="25"/>
      <c r="V73" s="25"/>
      <c r="W73" s="23" t="s">
        <v>193</v>
      </c>
      <c r="X73" s="4" t="str">
        <f>IF(Tabela2[[#This Row],[SIGLA]]="","",VLOOKUP(Tabela2[[#This Row],[SIGLA]],créditos_base!B:C,2,0))</f>
        <v>NATANAELE BILMAIA/ARQUIVO DA EDITORA</v>
      </c>
      <c r="Y73" s="24"/>
      <c r="Z73" s="24" t="str">
        <f>Tabela2[[#This Row],[ILUSTRADOR CRIAÇÃO]]</f>
        <v>NATANAELE BILMAIA/ARQUIVO DA EDITORA</v>
      </c>
      <c r="AA73" s="23"/>
      <c r="AB73" s="22"/>
      <c r="AC73" s="22"/>
      <c r="AD73" s="4" t="str">
        <f t="shared" si="1"/>
        <v>EF1 E001 HGC</v>
      </c>
    </row>
    <row r="74" spans="1:30" s="14" customFormat="1" ht="30" x14ac:dyDescent="0.25">
      <c r="A74" s="24" t="s">
        <v>200</v>
      </c>
      <c r="B74" s="22" t="s">
        <v>67</v>
      </c>
      <c r="C74" s="22" t="s">
        <v>32</v>
      </c>
      <c r="D74" s="22" t="s">
        <v>33</v>
      </c>
      <c r="E74" s="23">
        <v>104</v>
      </c>
      <c r="F74" s="23">
        <v>1</v>
      </c>
      <c r="G74" s="23">
        <v>2</v>
      </c>
      <c r="H74" s="23"/>
      <c r="I74" s="24" t="s">
        <v>34</v>
      </c>
      <c r="J74" s="24"/>
      <c r="K74" s="23"/>
      <c r="L74" s="23"/>
      <c r="M74" s="24"/>
      <c r="N74" s="24"/>
      <c r="O74" s="26" t="s">
        <v>201</v>
      </c>
      <c r="P74" s="26"/>
      <c r="Q74" s="23"/>
      <c r="R74" s="25"/>
      <c r="S74" s="25"/>
      <c r="T74" s="25"/>
      <c r="U74" s="25"/>
      <c r="V74" s="25"/>
      <c r="W74" s="23" t="s">
        <v>59</v>
      </c>
      <c r="X74" s="4" t="str">
        <f>IF(Tabela2[[#This Row],[SIGLA]]="","",VLOOKUP(Tabela2[[#This Row],[SIGLA]],créditos_base!B:C,2,0))</f>
        <v>DANILO SANTOS/ARQUIVO DA EDITORA</v>
      </c>
      <c r="Y74" s="24"/>
      <c r="Z74" s="24" t="str">
        <f>Tabela2[[#This Row],[ILUSTRADOR CRIAÇÃO]]</f>
        <v>DANILO SANTOS/ARQUIVO DA EDITORA</v>
      </c>
      <c r="AA74" s="23"/>
      <c r="AB74" s="22"/>
      <c r="AC74" s="22"/>
      <c r="AD74" s="4" t="str">
        <f t="shared" si="1"/>
        <v>EF1 E001 HGC</v>
      </c>
    </row>
    <row r="75" spans="1:30" s="14" customFormat="1" ht="30" x14ac:dyDescent="0.25">
      <c r="A75" s="24" t="s">
        <v>202</v>
      </c>
      <c r="B75" s="22" t="s">
        <v>67</v>
      </c>
      <c r="C75" s="22" t="s">
        <v>32</v>
      </c>
      <c r="D75" s="22" t="s">
        <v>33</v>
      </c>
      <c r="E75" s="23">
        <v>104</v>
      </c>
      <c r="F75" s="23">
        <v>1</v>
      </c>
      <c r="G75" s="23">
        <v>2</v>
      </c>
      <c r="H75" s="23"/>
      <c r="I75" s="24" t="s">
        <v>34</v>
      </c>
      <c r="J75" s="24"/>
      <c r="K75" s="23"/>
      <c r="L75" s="23"/>
      <c r="M75" s="24"/>
      <c r="N75" s="24"/>
      <c r="O75" s="26" t="s">
        <v>203</v>
      </c>
      <c r="P75" s="26"/>
      <c r="Q75" s="23"/>
      <c r="R75" s="25"/>
      <c r="S75" s="25"/>
      <c r="T75" s="25"/>
      <c r="U75" s="25"/>
      <c r="V75" s="25"/>
      <c r="W75" s="23" t="s">
        <v>59</v>
      </c>
      <c r="X75" s="4" t="str">
        <f>IF(Tabela2[[#This Row],[SIGLA]]="","",VLOOKUP(Tabela2[[#This Row],[SIGLA]],créditos_base!B:C,2,0))</f>
        <v>DANILO SANTOS/ARQUIVO DA EDITORA</v>
      </c>
      <c r="Y75" s="24"/>
      <c r="Z75" s="24" t="str">
        <f>Tabela2[[#This Row],[ILUSTRADOR CRIAÇÃO]]</f>
        <v>DANILO SANTOS/ARQUIVO DA EDITORA</v>
      </c>
      <c r="AA75" s="23"/>
      <c r="AB75" s="22"/>
      <c r="AC75" s="22"/>
      <c r="AD75" s="4" t="str">
        <f t="shared" si="1"/>
        <v>EF1 E001 HGC</v>
      </c>
    </row>
    <row r="76" spans="1:30" s="14" customFormat="1" ht="30" x14ac:dyDescent="0.25">
      <c r="A76" s="24" t="s">
        <v>204</v>
      </c>
      <c r="B76" s="22" t="s">
        <v>67</v>
      </c>
      <c r="C76" s="22" t="s">
        <v>32</v>
      </c>
      <c r="D76" s="22" t="s">
        <v>33</v>
      </c>
      <c r="E76" s="23">
        <v>104</v>
      </c>
      <c r="F76" s="23">
        <v>1</v>
      </c>
      <c r="G76" s="23">
        <v>2</v>
      </c>
      <c r="H76" s="23"/>
      <c r="I76" s="24" t="s">
        <v>34</v>
      </c>
      <c r="J76" s="24"/>
      <c r="K76" s="23"/>
      <c r="L76" s="23"/>
      <c r="M76" s="24"/>
      <c r="N76" s="24"/>
      <c r="O76" s="26" t="s">
        <v>205</v>
      </c>
      <c r="P76" s="26"/>
      <c r="Q76" s="23"/>
      <c r="R76" s="25"/>
      <c r="S76" s="25"/>
      <c r="T76" s="25"/>
      <c r="U76" s="25"/>
      <c r="V76" s="25"/>
      <c r="W76" s="23" t="s">
        <v>59</v>
      </c>
      <c r="X76" s="4" t="str">
        <f>IF(Tabela2[[#This Row],[SIGLA]]="","",VLOOKUP(Tabela2[[#This Row],[SIGLA]],créditos_base!B:C,2,0))</f>
        <v>DANILO SANTOS/ARQUIVO DA EDITORA</v>
      </c>
      <c r="Y76" s="24"/>
      <c r="Z76" s="24" t="str">
        <f>Tabela2[[#This Row],[ILUSTRADOR CRIAÇÃO]]</f>
        <v>DANILO SANTOS/ARQUIVO DA EDITORA</v>
      </c>
      <c r="AA76" s="23"/>
      <c r="AB76" s="22"/>
      <c r="AC76" s="22"/>
      <c r="AD76" s="4" t="str">
        <f t="shared" si="1"/>
        <v>EF1 E001 HGC</v>
      </c>
    </row>
    <row r="77" spans="1:30" s="14" customFormat="1" ht="30" x14ac:dyDescent="0.25">
      <c r="A77" s="24" t="s">
        <v>206</v>
      </c>
      <c r="B77" s="22" t="s">
        <v>67</v>
      </c>
      <c r="C77" s="22" t="s">
        <v>32</v>
      </c>
      <c r="D77" s="22" t="s">
        <v>33</v>
      </c>
      <c r="E77" s="23">
        <v>104</v>
      </c>
      <c r="F77" s="23">
        <v>1</v>
      </c>
      <c r="G77" s="23">
        <v>2</v>
      </c>
      <c r="H77" s="23"/>
      <c r="I77" s="24" t="s">
        <v>34</v>
      </c>
      <c r="J77" s="24"/>
      <c r="K77" s="23"/>
      <c r="L77" s="23"/>
      <c r="M77" s="24"/>
      <c r="N77" s="24"/>
      <c r="O77" s="26" t="s">
        <v>207</v>
      </c>
      <c r="P77" s="26"/>
      <c r="Q77" s="23"/>
      <c r="R77" s="25"/>
      <c r="S77" s="25"/>
      <c r="T77" s="25"/>
      <c r="U77" s="25"/>
      <c r="V77" s="25"/>
      <c r="W77" s="23" t="s">
        <v>59</v>
      </c>
      <c r="X77" s="4" t="str">
        <f>IF(Tabela2[[#This Row],[SIGLA]]="","",VLOOKUP(Tabela2[[#This Row],[SIGLA]],créditos_base!B:C,2,0))</f>
        <v>DANILO SANTOS/ARQUIVO DA EDITORA</v>
      </c>
      <c r="Y77" s="24"/>
      <c r="Z77" s="24" t="str">
        <f>Tabela2[[#This Row],[ILUSTRADOR CRIAÇÃO]]</f>
        <v>DANILO SANTOS/ARQUIVO DA EDITORA</v>
      </c>
      <c r="AA77" s="23"/>
      <c r="AB77" s="22"/>
      <c r="AC77" s="22"/>
      <c r="AD77" s="4" t="str">
        <f t="shared" si="1"/>
        <v>EF1 E001 HGC</v>
      </c>
    </row>
    <row r="78" spans="1:30" s="14" customFormat="1" ht="30" x14ac:dyDescent="0.25">
      <c r="A78" s="24" t="s">
        <v>208</v>
      </c>
      <c r="B78" s="22" t="s">
        <v>67</v>
      </c>
      <c r="C78" s="22" t="s">
        <v>32</v>
      </c>
      <c r="D78" s="22" t="s">
        <v>33</v>
      </c>
      <c r="E78" s="23">
        <v>108</v>
      </c>
      <c r="F78" s="23">
        <v>1</v>
      </c>
      <c r="G78" s="23">
        <v>2</v>
      </c>
      <c r="H78" s="23"/>
      <c r="I78" s="24" t="s">
        <v>34</v>
      </c>
      <c r="J78" s="24"/>
      <c r="K78" s="23"/>
      <c r="L78" s="23"/>
      <c r="M78" s="24"/>
      <c r="N78" s="24"/>
      <c r="O78" s="26" t="s">
        <v>209</v>
      </c>
      <c r="P78" s="26"/>
      <c r="Q78" s="23"/>
      <c r="R78" s="25"/>
      <c r="S78" s="25"/>
      <c r="T78" s="25"/>
      <c r="U78" s="25"/>
      <c r="V78" s="25"/>
      <c r="W78" s="23" t="s">
        <v>40</v>
      </c>
      <c r="X78" s="4" t="str">
        <f>IF(Tabela2[[#This Row],[SIGLA]]="","",VLOOKUP(Tabela2[[#This Row],[SIGLA]],créditos_base!B:C,2,0))</f>
        <v>LISLLEY GOMES FEIGE/ARQUIVO DA EDITORA</v>
      </c>
      <c r="Y78" s="24"/>
      <c r="Z78" s="24" t="str">
        <f>Tabela2[[#This Row],[ILUSTRADOR CRIAÇÃO]]</f>
        <v>LISLLEY GOMES FEIGE/ARQUIVO DA EDITORA</v>
      </c>
      <c r="AA78" s="23"/>
      <c r="AB78" s="22"/>
      <c r="AC78" s="22"/>
      <c r="AD78" s="4" t="str">
        <f t="shared" si="1"/>
        <v>EF1 E001 HGC</v>
      </c>
    </row>
    <row r="79" spans="1:30" s="14" customFormat="1" ht="30" x14ac:dyDescent="0.25">
      <c r="A79" s="24" t="s">
        <v>210</v>
      </c>
      <c r="B79" s="22" t="s">
        <v>67</v>
      </c>
      <c r="C79" s="22" t="s">
        <v>32</v>
      </c>
      <c r="D79" s="22" t="s">
        <v>33</v>
      </c>
      <c r="E79" s="23">
        <v>108</v>
      </c>
      <c r="F79" s="23">
        <v>1</v>
      </c>
      <c r="G79" s="23">
        <v>2</v>
      </c>
      <c r="H79" s="23"/>
      <c r="I79" s="24" t="s">
        <v>34</v>
      </c>
      <c r="J79" s="24"/>
      <c r="K79" s="23"/>
      <c r="L79" s="23"/>
      <c r="M79" s="24"/>
      <c r="N79" s="24"/>
      <c r="O79" s="26" t="s">
        <v>211</v>
      </c>
      <c r="P79" s="26"/>
      <c r="Q79" s="23"/>
      <c r="R79" s="25"/>
      <c r="S79" s="25"/>
      <c r="T79" s="25"/>
      <c r="U79" s="25"/>
      <c r="V79" s="25"/>
      <c r="W79" s="23" t="s">
        <v>40</v>
      </c>
      <c r="X79" s="4" t="str">
        <f>IF(Tabela2[[#This Row],[SIGLA]]="","",VLOOKUP(Tabela2[[#This Row],[SIGLA]],créditos_base!B:C,2,0))</f>
        <v>LISLLEY GOMES FEIGE/ARQUIVO DA EDITORA</v>
      </c>
      <c r="Y79" s="24"/>
      <c r="Z79" s="24" t="str">
        <f>Tabela2[[#This Row],[ILUSTRADOR CRIAÇÃO]]</f>
        <v>LISLLEY GOMES FEIGE/ARQUIVO DA EDITORA</v>
      </c>
      <c r="AA79" s="23"/>
      <c r="AB79" s="22"/>
      <c r="AC79" s="22"/>
      <c r="AD79" s="4" t="str">
        <f t="shared" si="1"/>
        <v>EF1 E001 HGC</v>
      </c>
    </row>
    <row r="80" spans="1:30" s="14" customFormat="1" ht="30" x14ac:dyDescent="0.25">
      <c r="A80" s="24" t="s">
        <v>212</v>
      </c>
      <c r="B80" s="22" t="s">
        <v>67</v>
      </c>
      <c r="C80" s="22" t="s">
        <v>32</v>
      </c>
      <c r="D80" s="22" t="s">
        <v>33</v>
      </c>
      <c r="E80" s="23">
        <v>108</v>
      </c>
      <c r="F80" s="23">
        <v>1</v>
      </c>
      <c r="G80" s="23">
        <v>2</v>
      </c>
      <c r="H80" s="23"/>
      <c r="I80" s="24" t="s">
        <v>34</v>
      </c>
      <c r="J80" s="24"/>
      <c r="K80" s="23"/>
      <c r="L80" s="23"/>
      <c r="M80" s="24"/>
      <c r="N80" s="24"/>
      <c r="O80" s="26" t="s">
        <v>213</v>
      </c>
      <c r="P80" s="26"/>
      <c r="Q80" s="23"/>
      <c r="R80" s="25"/>
      <c r="S80" s="25"/>
      <c r="T80" s="25"/>
      <c r="U80" s="25"/>
      <c r="V80" s="25"/>
      <c r="W80" s="23" t="s">
        <v>40</v>
      </c>
      <c r="X80" s="4" t="str">
        <f>IF(Tabela2[[#This Row],[SIGLA]]="","",VLOOKUP(Tabela2[[#This Row],[SIGLA]],créditos_base!B:C,2,0))</f>
        <v>LISLLEY GOMES FEIGE/ARQUIVO DA EDITORA</v>
      </c>
      <c r="Y80" s="24"/>
      <c r="Z80" s="24" t="str">
        <f>Tabela2[[#This Row],[ILUSTRADOR CRIAÇÃO]]</f>
        <v>LISLLEY GOMES FEIGE/ARQUIVO DA EDITORA</v>
      </c>
      <c r="AA80" s="23"/>
      <c r="AB80" s="22"/>
      <c r="AC80" s="22"/>
      <c r="AD80" s="4" t="str">
        <f t="shared" si="1"/>
        <v>EF1 E001 HGC</v>
      </c>
    </row>
    <row r="81" spans="1:30" s="14" customFormat="1" ht="45" x14ac:dyDescent="0.25">
      <c r="A81" s="24" t="s">
        <v>214</v>
      </c>
      <c r="B81" s="22" t="s">
        <v>67</v>
      </c>
      <c r="C81" s="22" t="s">
        <v>32</v>
      </c>
      <c r="D81" s="22" t="s">
        <v>33</v>
      </c>
      <c r="E81" s="23">
        <v>108</v>
      </c>
      <c r="F81" s="23">
        <v>1</v>
      </c>
      <c r="G81" s="23">
        <v>2</v>
      </c>
      <c r="H81" s="23"/>
      <c r="I81" s="24" t="s">
        <v>38</v>
      </c>
      <c r="J81" s="24"/>
      <c r="K81" s="23"/>
      <c r="L81" s="23"/>
      <c r="M81" s="24"/>
      <c r="N81" s="24"/>
      <c r="O81" s="26" t="s">
        <v>215</v>
      </c>
      <c r="P81" s="26"/>
      <c r="Q81" s="23">
        <v>15</v>
      </c>
      <c r="R81" s="25">
        <v>45812</v>
      </c>
      <c r="S81" s="25">
        <v>45813</v>
      </c>
      <c r="T81" s="25"/>
      <c r="U81" s="25"/>
      <c r="V81" s="25">
        <v>45813</v>
      </c>
      <c r="W81" s="23" t="s">
        <v>40</v>
      </c>
      <c r="X81" s="4" t="str">
        <f>IF(Tabela2[[#This Row],[SIGLA]]="","",VLOOKUP(Tabela2[[#This Row],[SIGLA]],créditos_base!B:C,2,0))</f>
        <v>LISLLEY GOMES FEIGE/ARQUIVO DA EDITORA</v>
      </c>
      <c r="Y81" s="24" t="s">
        <v>170</v>
      </c>
      <c r="Z81" s="24" t="str">
        <f>Tabela2[[#This Row],[ILUSTRADOR CRIAÇÃO]]</f>
        <v>LISLLEY GOMES FEIGE/ARQUIVO DA EDITORA</v>
      </c>
      <c r="AA81" s="23">
        <v>13</v>
      </c>
      <c r="AB81" s="22" t="s">
        <v>171</v>
      </c>
      <c r="AC81" s="22" t="s">
        <v>43</v>
      </c>
      <c r="AD81" s="4" t="str">
        <f t="shared" si="1"/>
        <v>EF1 E001 HGC</v>
      </c>
    </row>
    <row r="82" spans="1:30" s="14" customFormat="1" ht="45" x14ac:dyDescent="0.25">
      <c r="A82" s="24" t="s">
        <v>216</v>
      </c>
      <c r="B82" s="22" t="s">
        <v>67</v>
      </c>
      <c r="C82" s="22" t="s">
        <v>32</v>
      </c>
      <c r="D82" s="22" t="s">
        <v>33</v>
      </c>
      <c r="E82" s="23">
        <v>109</v>
      </c>
      <c r="F82" s="23">
        <v>1</v>
      </c>
      <c r="G82" s="23">
        <v>2</v>
      </c>
      <c r="H82" s="23"/>
      <c r="I82" s="24" t="s">
        <v>38</v>
      </c>
      <c r="J82" s="24"/>
      <c r="K82" s="23"/>
      <c r="L82" s="23"/>
      <c r="M82" s="24"/>
      <c r="N82" s="24"/>
      <c r="O82" s="26" t="s">
        <v>217</v>
      </c>
      <c r="P82" s="26"/>
      <c r="Q82" s="23">
        <v>14</v>
      </c>
      <c r="R82" s="25">
        <v>45779</v>
      </c>
      <c r="S82" s="25">
        <v>45779</v>
      </c>
      <c r="T82" s="25"/>
      <c r="U82" s="25"/>
      <c r="V82" s="25">
        <v>45779</v>
      </c>
      <c r="W82" s="23" t="s">
        <v>193</v>
      </c>
      <c r="X82" s="4" t="str">
        <f>IF(Tabela2[[#This Row],[SIGLA]]="","",VLOOKUP(Tabela2[[#This Row],[SIGLA]],créditos_base!B:C,2,0))</f>
        <v>NATANAELE BILMAIA/ARQUIVO DA EDITORA</v>
      </c>
      <c r="Y82" s="24" t="s">
        <v>70</v>
      </c>
      <c r="Z82" s="24" t="str">
        <f>Tabela2[[#This Row],[ILUSTRADOR CRIAÇÃO]]</f>
        <v>NATANAELE BILMAIA/ARQUIVO DA EDITORA</v>
      </c>
      <c r="AA82" s="23">
        <v>13</v>
      </c>
      <c r="AB82" s="22" t="s">
        <v>71</v>
      </c>
      <c r="AC82" s="22" t="s">
        <v>43</v>
      </c>
      <c r="AD82" s="4" t="str">
        <f t="shared" si="1"/>
        <v>EF1 E001 HGC</v>
      </c>
    </row>
    <row r="83" spans="1:30" s="14" customFormat="1" ht="30" x14ac:dyDescent="0.25">
      <c r="A83" s="24" t="s">
        <v>218</v>
      </c>
      <c r="B83" s="22" t="s">
        <v>67</v>
      </c>
      <c r="C83" s="22" t="s">
        <v>32</v>
      </c>
      <c r="D83" s="22" t="s">
        <v>33</v>
      </c>
      <c r="E83" s="23">
        <v>109</v>
      </c>
      <c r="F83" s="23">
        <v>1</v>
      </c>
      <c r="G83" s="23">
        <v>2</v>
      </c>
      <c r="H83" s="23"/>
      <c r="I83" s="24" t="s">
        <v>34</v>
      </c>
      <c r="J83" s="24"/>
      <c r="K83" s="23"/>
      <c r="L83" s="23"/>
      <c r="M83" s="24"/>
      <c r="N83" s="24"/>
      <c r="O83" s="26" t="s">
        <v>219</v>
      </c>
      <c r="P83" s="26"/>
      <c r="Q83" s="23"/>
      <c r="R83" s="25"/>
      <c r="S83" s="25"/>
      <c r="T83" s="25"/>
      <c r="U83" s="25"/>
      <c r="V83" s="25"/>
      <c r="W83" s="23" t="s">
        <v>193</v>
      </c>
      <c r="X83" s="4" t="str">
        <f>IF(Tabela2[[#This Row],[SIGLA]]="","",VLOOKUP(Tabela2[[#This Row],[SIGLA]],créditos_base!B:C,2,0))</f>
        <v>NATANAELE BILMAIA/ARQUIVO DA EDITORA</v>
      </c>
      <c r="Y83" s="24"/>
      <c r="Z83" s="24" t="str">
        <f>Tabela2[[#This Row],[ILUSTRADOR CRIAÇÃO]]</f>
        <v>NATANAELE BILMAIA/ARQUIVO DA EDITORA</v>
      </c>
      <c r="AA83" s="23"/>
      <c r="AB83" s="22"/>
      <c r="AC83" s="22"/>
      <c r="AD83" s="4" t="str">
        <f t="shared" si="1"/>
        <v>EF1 E001 HGC</v>
      </c>
    </row>
    <row r="84" spans="1:30" s="14" customFormat="1" ht="30" x14ac:dyDescent="0.25">
      <c r="A84" s="24" t="s">
        <v>220</v>
      </c>
      <c r="B84" s="22" t="s">
        <v>67</v>
      </c>
      <c r="C84" s="22" t="s">
        <v>32</v>
      </c>
      <c r="D84" s="22" t="s">
        <v>33</v>
      </c>
      <c r="E84" s="23">
        <v>109</v>
      </c>
      <c r="F84" s="23">
        <v>1</v>
      </c>
      <c r="G84" s="23">
        <v>2</v>
      </c>
      <c r="H84" s="23"/>
      <c r="I84" s="24" t="s">
        <v>34</v>
      </c>
      <c r="J84" s="24"/>
      <c r="K84" s="23"/>
      <c r="L84" s="23"/>
      <c r="M84" s="24"/>
      <c r="N84" s="24"/>
      <c r="O84" s="26" t="s">
        <v>221</v>
      </c>
      <c r="P84" s="26"/>
      <c r="Q84" s="23"/>
      <c r="R84" s="25"/>
      <c r="S84" s="25"/>
      <c r="T84" s="25"/>
      <c r="U84" s="25"/>
      <c r="V84" s="25"/>
      <c r="W84" s="23" t="s">
        <v>193</v>
      </c>
      <c r="X84" s="4" t="str">
        <f>IF(Tabela2[[#This Row],[SIGLA]]="","",VLOOKUP(Tabela2[[#This Row],[SIGLA]],créditos_base!B:C,2,0))</f>
        <v>NATANAELE BILMAIA/ARQUIVO DA EDITORA</v>
      </c>
      <c r="Y84" s="24"/>
      <c r="Z84" s="24" t="str">
        <f>Tabela2[[#This Row],[ILUSTRADOR CRIAÇÃO]]</f>
        <v>NATANAELE BILMAIA/ARQUIVO DA EDITORA</v>
      </c>
      <c r="AA84" s="23"/>
      <c r="AB84" s="22"/>
      <c r="AC84" s="22"/>
      <c r="AD84" s="4" t="str">
        <f t="shared" si="1"/>
        <v>EF1 E001 HGC</v>
      </c>
    </row>
    <row r="85" spans="1:30" s="14" customFormat="1" ht="75" x14ac:dyDescent="0.25">
      <c r="A85" s="24" t="s">
        <v>222</v>
      </c>
      <c r="B85" s="22" t="s">
        <v>67</v>
      </c>
      <c r="C85" s="22" t="s">
        <v>32</v>
      </c>
      <c r="D85" s="22" t="s">
        <v>33</v>
      </c>
      <c r="E85" s="23">
        <v>110</v>
      </c>
      <c r="F85" s="23">
        <v>1</v>
      </c>
      <c r="G85" s="23">
        <v>2</v>
      </c>
      <c r="H85" s="23"/>
      <c r="I85" s="24" t="s">
        <v>38</v>
      </c>
      <c r="J85" s="24"/>
      <c r="K85" s="23"/>
      <c r="L85" s="23"/>
      <c r="M85" s="24"/>
      <c r="N85" s="24"/>
      <c r="O85" s="26" t="s">
        <v>223</v>
      </c>
      <c r="P85" s="26"/>
      <c r="Q85" s="23">
        <v>2</v>
      </c>
      <c r="R85" s="25">
        <v>45744</v>
      </c>
      <c r="S85" s="25">
        <v>45744</v>
      </c>
      <c r="T85" s="25"/>
      <c r="U85" s="25"/>
      <c r="V85" s="25">
        <v>45749</v>
      </c>
      <c r="W85" s="23" t="s">
        <v>154</v>
      </c>
      <c r="X85" s="4" t="str">
        <f>IF(Tabela2[[#This Row],[SIGLA]]="","",VLOOKUP(Tabela2[[#This Row],[SIGLA]],créditos_base!B:C,2,0))</f>
        <v>VICTOR LEMOS/ARQUIVO DA EDITORA</v>
      </c>
      <c r="Y85" s="24" t="s">
        <v>70</v>
      </c>
      <c r="Z85" s="24" t="str">
        <f>Tabela2[[#This Row],[ILUSTRADOR CRIAÇÃO]]</f>
        <v>VICTOR LEMOS/ARQUIVO DA EDITORA</v>
      </c>
      <c r="AA85" s="23">
        <v>13</v>
      </c>
      <c r="AB85" s="22"/>
      <c r="AC85" s="22" t="s">
        <v>43</v>
      </c>
      <c r="AD85" s="4" t="str">
        <f t="shared" si="1"/>
        <v>EF1 E001 HGC</v>
      </c>
    </row>
    <row r="86" spans="1:30" s="14" customFormat="1" ht="45" x14ac:dyDescent="0.25">
      <c r="A86" s="24" t="s">
        <v>224</v>
      </c>
      <c r="B86" s="22" t="s">
        <v>67</v>
      </c>
      <c r="C86" s="22" t="s">
        <v>32</v>
      </c>
      <c r="D86" s="22" t="s">
        <v>33</v>
      </c>
      <c r="E86" s="23">
        <v>110</v>
      </c>
      <c r="F86" s="23">
        <v>1</v>
      </c>
      <c r="G86" s="23">
        <v>2</v>
      </c>
      <c r="H86" s="23"/>
      <c r="I86" s="24" t="s">
        <v>34</v>
      </c>
      <c r="J86" s="24"/>
      <c r="K86" s="23"/>
      <c r="L86" s="23"/>
      <c r="M86" s="24"/>
      <c r="N86" s="24"/>
      <c r="O86" s="26" t="s">
        <v>225</v>
      </c>
      <c r="P86" s="26"/>
      <c r="Q86" s="23"/>
      <c r="R86" s="25"/>
      <c r="S86" s="25"/>
      <c r="T86" s="25"/>
      <c r="U86" s="25"/>
      <c r="V86" s="25"/>
      <c r="W86" s="23" t="s">
        <v>226</v>
      </c>
      <c r="X86" s="4" t="str">
        <f>IF(Tabela2[[#This Row],[SIGLA]]="","",VLOOKUP(Tabela2[[#This Row],[SIGLA]],créditos_base!B:C,2,0))</f>
        <v>VERIDIANA SCARPELLI/ARQUIVO DA EDITORA</v>
      </c>
      <c r="Y86" s="24"/>
      <c r="Z86" s="24" t="str">
        <f>Tabela2[[#This Row],[ILUSTRADOR CRIAÇÃO]]</f>
        <v>VERIDIANA SCARPELLI/ARQUIVO DA EDITORA</v>
      </c>
      <c r="AA86" s="23"/>
      <c r="AB86" s="22"/>
      <c r="AC86" s="22"/>
      <c r="AD86" s="4" t="str">
        <f t="shared" si="1"/>
        <v>EF1 E001 HGC</v>
      </c>
    </row>
    <row r="87" spans="1:30" s="14" customFormat="1" ht="30" x14ac:dyDescent="0.25">
      <c r="A87" s="24" t="s">
        <v>227</v>
      </c>
      <c r="B87" s="22" t="s">
        <v>67</v>
      </c>
      <c r="C87" s="22" t="s">
        <v>32</v>
      </c>
      <c r="D87" s="22" t="s">
        <v>33</v>
      </c>
      <c r="E87" s="23">
        <v>115</v>
      </c>
      <c r="F87" s="23">
        <v>1</v>
      </c>
      <c r="G87" s="23">
        <v>2</v>
      </c>
      <c r="H87" s="23"/>
      <c r="I87" s="24" t="s">
        <v>34</v>
      </c>
      <c r="J87" s="24"/>
      <c r="K87" s="23"/>
      <c r="L87" s="23"/>
      <c r="M87" s="24"/>
      <c r="N87" s="24"/>
      <c r="O87" s="26" t="s">
        <v>228</v>
      </c>
      <c r="P87" s="26"/>
      <c r="Q87" s="23"/>
      <c r="R87" s="25"/>
      <c r="S87" s="25"/>
      <c r="T87" s="25"/>
      <c r="U87" s="25"/>
      <c r="V87" s="25"/>
      <c r="W87" s="23" t="s">
        <v>229</v>
      </c>
      <c r="X87" s="4" t="str">
        <f>IF(Tabela2[[#This Row],[SIGLA]]="","",VLOOKUP(Tabela2[[#This Row],[SIGLA]],créditos_base!B:C,2,0))</f>
        <v>HENRIQUE JORGE G. M. SILVA/ARQUIVO DA EDITORA</v>
      </c>
      <c r="Y87" s="24"/>
      <c r="Z87" s="24" t="str">
        <f>Tabela2[[#This Row],[ILUSTRADOR CRIAÇÃO]]</f>
        <v>HENRIQUE JORGE G. M. SILVA/ARQUIVO DA EDITORA</v>
      </c>
      <c r="AA87" s="23"/>
      <c r="AB87" s="22"/>
      <c r="AC87" s="22"/>
      <c r="AD87" s="4" t="str">
        <f t="shared" si="1"/>
        <v>EF1 E001 HGC</v>
      </c>
    </row>
    <row r="88" spans="1:30" s="14" customFormat="1" ht="30" x14ac:dyDescent="0.25">
      <c r="A88" s="24" t="s">
        <v>230</v>
      </c>
      <c r="B88" s="22" t="s">
        <v>67</v>
      </c>
      <c r="C88" s="22" t="s">
        <v>32</v>
      </c>
      <c r="D88" s="22" t="s">
        <v>33</v>
      </c>
      <c r="E88" s="23">
        <v>115</v>
      </c>
      <c r="F88" s="23">
        <v>1</v>
      </c>
      <c r="G88" s="23">
        <v>2</v>
      </c>
      <c r="H88" s="23"/>
      <c r="I88" s="24" t="s">
        <v>34</v>
      </c>
      <c r="J88" s="24"/>
      <c r="K88" s="23"/>
      <c r="L88" s="23"/>
      <c r="M88" s="24"/>
      <c r="N88" s="24"/>
      <c r="O88" s="26" t="s">
        <v>231</v>
      </c>
      <c r="P88" s="26"/>
      <c r="Q88" s="23"/>
      <c r="R88" s="25"/>
      <c r="S88" s="25"/>
      <c r="T88" s="25"/>
      <c r="U88" s="25"/>
      <c r="V88" s="25"/>
      <c r="W88" s="23" t="s">
        <v>229</v>
      </c>
      <c r="X88" s="4" t="str">
        <f>IF(Tabela2[[#This Row],[SIGLA]]="","",VLOOKUP(Tabela2[[#This Row],[SIGLA]],créditos_base!B:C,2,0))</f>
        <v>HENRIQUE JORGE G. M. SILVA/ARQUIVO DA EDITORA</v>
      </c>
      <c r="Y88" s="24"/>
      <c r="Z88" s="24" t="str">
        <f>Tabela2[[#This Row],[ILUSTRADOR CRIAÇÃO]]</f>
        <v>HENRIQUE JORGE G. M. SILVA/ARQUIVO DA EDITORA</v>
      </c>
      <c r="AA88" s="23"/>
      <c r="AB88" s="22"/>
      <c r="AC88" s="22"/>
      <c r="AD88" s="4" t="str">
        <f t="shared" si="1"/>
        <v>EF1 E001 HGC</v>
      </c>
    </row>
    <row r="89" spans="1:30" s="14" customFormat="1" ht="165" x14ac:dyDescent="0.25">
      <c r="A89" s="24" t="s">
        <v>232</v>
      </c>
      <c r="B89" s="22" t="s">
        <v>67</v>
      </c>
      <c r="C89" s="22" t="s">
        <v>32</v>
      </c>
      <c r="D89" s="22" t="s">
        <v>33</v>
      </c>
      <c r="E89" s="23">
        <v>115</v>
      </c>
      <c r="F89" s="23">
        <v>1</v>
      </c>
      <c r="G89" s="23">
        <v>2</v>
      </c>
      <c r="H89" s="23"/>
      <c r="I89" s="24" t="s">
        <v>38</v>
      </c>
      <c r="J89" s="24"/>
      <c r="K89" s="23"/>
      <c r="L89" s="23"/>
      <c r="M89" s="24"/>
      <c r="N89" s="24"/>
      <c r="O89" s="26" t="s">
        <v>233</v>
      </c>
      <c r="P89" s="26"/>
      <c r="Q89" s="23">
        <v>2</v>
      </c>
      <c r="R89" s="25">
        <v>45744</v>
      </c>
      <c r="S89" s="25">
        <v>45744</v>
      </c>
      <c r="T89" s="25"/>
      <c r="U89" s="25"/>
      <c r="V89" s="25">
        <v>45749</v>
      </c>
      <c r="W89" s="23" t="s">
        <v>229</v>
      </c>
      <c r="X89" s="4" t="str">
        <f>IF(Tabela2[[#This Row],[SIGLA]]="","",VLOOKUP(Tabela2[[#This Row],[SIGLA]],créditos_base!B:C,2,0))</f>
        <v>HENRIQUE JORGE G. M. SILVA/ARQUIVO DA EDITORA</v>
      </c>
      <c r="Y89" s="24" t="s">
        <v>70</v>
      </c>
      <c r="Z89" s="24" t="str">
        <f>Tabela2[[#This Row],[ILUSTRADOR CRIAÇÃO]]</f>
        <v>HENRIQUE JORGE G. M. SILVA/ARQUIVO DA EDITORA</v>
      </c>
      <c r="AA89" s="23">
        <v>13</v>
      </c>
      <c r="AB89" s="22"/>
      <c r="AC89" s="22" t="s">
        <v>43</v>
      </c>
      <c r="AD89" s="4" t="str">
        <f t="shared" si="1"/>
        <v>EF1 E001 HGC</v>
      </c>
    </row>
    <row r="90" spans="1:30" s="14" customFormat="1" ht="30" x14ac:dyDescent="0.25">
      <c r="A90" s="24" t="s">
        <v>234</v>
      </c>
      <c r="B90" s="22" t="s">
        <v>67</v>
      </c>
      <c r="C90" s="22" t="s">
        <v>32</v>
      </c>
      <c r="D90" s="22" t="s">
        <v>33</v>
      </c>
      <c r="E90" s="23">
        <v>116</v>
      </c>
      <c r="F90" s="23">
        <v>1</v>
      </c>
      <c r="G90" s="23">
        <v>2</v>
      </c>
      <c r="H90" s="23"/>
      <c r="I90" s="24" t="s">
        <v>34</v>
      </c>
      <c r="J90" s="24"/>
      <c r="K90" s="23"/>
      <c r="L90" s="23"/>
      <c r="M90" s="24"/>
      <c r="N90" s="24"/>
      <c r="O90" s="26" t="s">
        <v>235</v>
      </c>
      <c r="P90" s="26"/>
      <c r="Q90" s="23"/>
      <c r="R90" s="25"/>
      <c r="S90" s="25"/>
      <c r="T90" s="25"/>
      <c r="U90" s="25"/>
      <c r="V90" s="25"/>
      <c r="W90" s="23" t="s">
        <v>229</v>
      </c>
      <c r="X90" s="4" t="str">
        <f>IF(Tabela2[[#This Row],[SIGLA]]="","",VLOOKUP(Tabela2[[#This Row],[SIGLA]],créditos_base!B:C,2,0))</f>
        <v>HENRIQUE JORGE G. M. SILVA/ARQUIVO DA EDITORA</v>
      </c>
      <c r="Y90" s="24"/>
      <c r="Z90" s="24" t="str">
        <f>Tabela2[[#This Row],[ILUSTRADOR CRIAÇÃO]]</f>
        <v>HENRIQUE JORGE G. M. SILVA/ARQUIVO DA EDITORA</v>
      </c>
      <c r="AA90" s="23"/>
      <c r="AB90" s="22"/>
      <c r="AC90" s="22"/>
      <c r="AD90" s="4" t="str">
        <f t="shared" si="1"/>
        <v>EF1 E001 HGC</v>
      </c>
    </row>
    <row r="91" spans="1:30" s="14" customFormat="1" ht="90" x14ac:dyDescent="0.25">
      <c r="A91" s="24" t="s">
        <v>236</v>
      </c>
      <c r="B91" s="22" t="s">
        <v>67</v>
      </c>
      <c r="C91" s="22" t="s">
        <v>32</v>
      </c>
      <c r="D91" s="22" t="s">
        <v>33</v>
      </c>
      <c r="E91" s="23">
        <v>116</v>
      </c>
      <c r="F91" s="23">
        <v>1</v>
      </c>
      <c r="G91" s="23">
        <v>2</v>
      </c>
      <c r="H91" s="23"/>
      <c r="I91" s="24" t="s">
        <v>38</v>
      </c>
      <c r="J91" s="24"/>
      <c r="K91" s="23"/>
      <c r="L91" s="23"/>
      <c r="M91" s="24"/>
      <c r="N91" s="24"/>
      <c r="O91" s="26" t="s">
        <v>237</v>
      </c>
      <c r="P91" s="26"/>
      <c r="Q91" s="23">
        <v>2</v>
      </c>
      <c r="R91" s="25">
        <v>45744</v>
      </c>
      <c r="S91" s="25">
        <v>45744</v>
      </c>
      <c r="T91" s="25"/>
      <c r="U91" s="25"/>
      <c r="V91" s="25">
        <v>45749</v>
      </c>
      <c r="W91" s="23" t="s">
        <v>229</v>
      </c>
      <c r="X91" s="4" t="str">
        <f>IF(Tabela2[[#This Row],[SIGLA]]="","",VLOOKUP(Tabela2[[#This Row],[SIGLA]],créditos_base!B:C,2,0))</f>
        <v>HENRIQUE JORGE G. M. SILVA/ARQUIVO DA EDITORA</v>
      </c>
      <c r="Y91" s="24" t="s">
        <v>70</v>
      </c>
      <c r="Z91" s="24" t="str">
        <f>Tabela2[[#This Row],[ILUSTRADOR CRIAÇÃO]]</f>
        <v>HENRIQUE JORGE G. M. SILVA/ARQUIVO DA EDITORA</v>
      </c>
      <c r="AA91" s="23">
        <v>13</v>
      </c>
      <c r="AB91" s="22"/>
      <c r="AC91" s="22" t="s">
        <v>43</v>
      </c>
      <c r="AD91" s="4" t="str">
        <f t="shared" si="1"/>
        <v>EF1 E001 HGC</v>
      </c>
    </row>
    <row r="92" spans="1:30" s="14" customFormat="1" ht="30" x14ac:dyDescent="0.25">
      <c r="A92" s="24" t="s">
        <v>238</v>
      </c>
      <c r="B92" s="22" t="s">
        <v>67</v>
      </c>
      <c r="C92" s="22" t="s">
        <v>32</v>
      </c>
      <c r="D92" s="22" t="s">
        <v>33</v>
      </c>
      <c r="E92" s="23">
        <v>116</v>
      </c>
      <c r="F92" s="23">
        <v>1</v>
      </c>
      <c r="G92" s="23">
        <v>2</v>
      </c>
      <c r="H92" s="23"/>
      <c r="I92" s="24" t="s">
        <v>34</v>
      </c>
      <c r="J92" s="24"/>
      <c r="K92" s="23"/>
      <c r="L92" s="23"/>
      <c r="M92" s="24"/>
      <c r="N92" s="24"/>
      <c r="O92" s="26" t="s">
        <v>239</v>
      </c>
      <c r="P92" s="26"/>
      <c r="Q92" s="23"/>
      <c r="R92" s="25"/>
      <c r="S92" s="25"/>
      <c r="T92" s="25"/>
      <c r="U92" s="25"/>
      <c r="V92" s="25"/>
      <c r="W92" s="23" t="s">
        <v>240</v>
      </c>
      <c r="X92" s="4" t="str">
        <f>IF(Tabela2[[#This Row],[SIGLA]]="","",VLOOKUP(Tabela2[[#This Row],[SIGLA]],créditos_base!B:C,2,0))</f>
        <v>BÁRBARA SARZI/ARQUIVO DA EDITORA</v>
      </c>
      <c r="Y92" s="24"/>
      <c r="Z92" s="24" t="str">
        <f>Tabela2[[#This Row],[ILUSTRADOR CRIAÇÃO]]</f>
        <v>BÁRBARA SARZI/ARQUIVO DA EDITORA</v>
      </c>
      <c r="AA92" s="23"/>
      <c r="AB92" s="22"/>
      <c r="AC92" s="22"/>
      <c r="AD92" s="4" t="str">
        <f t="shared" si="1"/>
        <v>EF1 E001 HGC</v>
      </c>
    </row>
    <row r="93" spans="1:30" s="14" customFormat="1" ht="30" x14ac:dyDescent="0.25">
      <c r="A93" s="24" t="s">
        <v>241</v>
      </c>
      <c r="B93" s="22" t="s">
        <v>67</v>
      </c>
      <c r="C93" s="22" t="s">
        <v>32</v>
      </c>
      <c r="D93" s="22" t="s">
        <v>33</v>
      </c>
      <c r="E93" s="23">
        <v>116</v>
      </c>
      <c r="F93" s="23">
        <v>1</v>
      </c>
      <c r="G93" s="23">
        <v>2</v>
      </c>
      <c r="H93" s="23"/>
      <c r="I93" s="24" t="s">
        <v>34</v>
      </c>
      <c r="J93" s="24"/>
      <c r="K93" s="23"/>
      <c r="L93" s="23"/>
      <c r="M93" s="24"/>
      <c r="N93" s="24"/>
      <c r="O93" s="26" t="s">
        <v>242</v>
      </c>
      <c r="P93" s="26"/>
      <c r="Q93" s="23"/>
      <c r="R93" s="25"/>
      <c r="S93" s="25"/>
      <c r="T93" s="25"/>
      <c r="U93" s="25"/>
      <c r="V93" s="25"/>
      <c r="W93" s="23" t="s">
        <v>240</v>
      </c>
      <c r="X93" s="4" t="str">
        <f>IF(Tabela2[[#This Row],[SIGLA]]="","",VLOOKUP(Tabela2[[#This Row],[SIGLA]],créditos_base!B:C,2,0))</f>
        <v>BÁRBARA SARZI/ARQUIVO DA EDITORA</v>
      </c>
      <c r="Y93" s="24"/>
      <c r="Z93" s="24" t="str">
        <f>Tabela2[[#This Row],[ILUSTRADOR CRIAÇÃO]]</f>
        <v>BÁRBARA SARZI/ARQUIVO DA EDITORA</v>
      </c>
      <c r="AA93" s="23"/>
      <c r="AB93" s="22"/>
      <c r="AC93" s="22"/>
      <c r="AD93" s="4" t="str">
        <f t="shared" si="1"/>
        <v>EF1 E001 HGC</v>
      </c>
    </row>
    <row r="94" spans="1:30" s="14" customFormat="1" ht="30" x14ac:dyDescent="0.25">
      <c r="A94" s="24" t="s">
        <v>243</v>
      </c>
      <c r="B94" s="22" t="s">
        <v>67</v>
      </c>
      <c r="C94" s="22" t="s">
        <v>32</v>
      </c>
      <c r="D94" s="22" t="s">
        <v>33</v>
      </c>
      <c r="E94" s="23">
        <v>120</v>
      </c>
      <c r="F94" s="23">
        <v>1</v>
      </c>
      <c r="G94" s="23">
        <v>2</v>
      </c>
      <c r="H94" s="23"/>
      <c r="I94" s="24" t="s">
        <v>34</v>
      </c>
      <c r="J94" s="24"/>
      <c r="K94" s="23"/>
      <c r="L94" s="23"/>
      <c r="M94" s="24"/>
      <c r="N94" s="24"/>
      <c r="O94" s="26" t="s">
        <v>244</v>
      </c>
      <c r="P94" s="26"/>
      <c r="Q94" s="23"/>
      <c r="R94" s="25"/>
      <c r="S94" s="25"/>
      <c r="T94" s="25"/>
      <c r="U94" s="25"/>
      <c r="V94" s="25"/>
      <c r="W94" s="23" t="s">
        <v>169</v>
      </c>
      <c r="X94" s="4" t="str">
        <f>IF(Tabela2[[#This Row],[SIGLA]]="","",VLOOKUP(Tabela2[[#This Row],[SIGLA]],créditos_base!B:C,2,0))</f>
        <v>GUSTAVO RAMOS/ARQUIVO DA EDITORA</v>
      </c>
      <c r="Y94" s="24"/>
      <c r="Z94" s="24" t="str">
        <f>Tabela2[[#This Row],[ILUSTRADOR CRIAÇÃO]]</f>
        <v>GUSTAVO RAMOS/ARQUIVO DA EDITORA</v>
      </c>
      <c r="AA94" s="23"/>
      <c r="AB94" s="22"/>
      <c r="AC94" s="22"/>
      <c r="AD94" s="4" t="str">
        <f t="shared" si="1"/>
        <v>EF1 E001 HGC</v>
      </c>
    </row>
    <row r="95" spans="1:30" s="14" customFormat="1" ht="45" x14ac:dyDescent="0.25">
      <c r="A95" s="24" t="s">
        <v>245</v>
      </c>
      <c r="B95" s="22" t="s">
        <v>83</v>
      </c>
      <c r="C95" s="22" t="s">
        <v>32</v>
      </c>
      <c r="D95" s="22" t="s">
        <v>33</v>
      </c>
      <c r="E95" s="23">
        <v>120</v>
      </c>
      <c r="F95" s="23">
        <v>1</v>
      </c>
      <c r="G95" s="23">
        <v>2</v>
      </c>
      <c r="H95" s="23"/>
      <c r="I95" s="24" t="s">
        <v>34</v>
      </c>
      <c r="J95" s="24"/>
      <c r="K95" s="23"/>
      <c r="L95" s="23"/>
      <c r="M95" s="24"/>
      <c r="N95" s="24"/>
      <c r="O95" s="26" t="s">
        <v>246</v>
      </c>
      <c r="P95" s="26" t="s">
        <v>247</v>
      </c>
      <c r="Q95" s="23"/>
      <c r="R95" s="25"/>
      <c r="S95" s="25"/>
      <c r="T95" s="25"/>
      <c r="U95" s="25"/>
      <c r="V95" s="25"/>
      <c r="W95" s="23" t="s">
        <v>169</v>
      </c>
      <c r="X95" s="4" t="str">
        <f>IF(Tabela2[[#This Row],[SIGLA]]="","",VLOOKUP(Tabela2[[#This Row],[SIGLA]],créditos_base!B:C,2,0))</f>
        <v>GUSTAVO RAMOS/ARQUIVO DA EDITORA</v>
      </c>
      <c r="Y95" s="24"/>
      <c r="Z95" s="24" t="str">
        <f>Tabela2[[#This Row],[ILUSTRADOR CRIAÇÃO]]</f>
        <v>GUSTAVO RAMOS/ARQUIVO DA EDITORA</v>
      </c>
      <c r="AA95" s="23"/>
      <c r="AB95" s="22"/>
      <c r="AC95" s="22"/>
      <c r="AD95" s="4" t="str">
        <f t="shared" si="1"/>
        <v>EF1 E001 HGC</v>
      </c>
    </row>
    <row r="96" spans="1:30" s="14" customFormat="1" ht="30" x14ac:dyDescent="0.25">
      <c r="A96" s="24" t="s">
        <v>248</v>
      </c>
      <c r="B96" s="22" t="s">
        <v>67</v>
      </c>
      <c r="C96" s="22" t="s">
        <v>32</v>
      </c>
      <c r="D96" s="22" t="s">
        <v>33</v>
      </c>
      <c r="E96" s="23">
        <v>121</v>
      </c>
      <c r="F96" s="23">
        <v>1</v>
      </c>
      <c r="G96" s="23">
        <v>2</v>
      </c>
      <c r="H96" s="23"/>
      <c r="I96" s="24" t="s">
        <v>34</v>
      </c>
      <c r="J96" s="24"/>
      <c r="K96" s="23"/>
      <c r="L96" s="23"/>
      <c r="M96" s="24"/>
      <c r="N96" s="24"/>
      <c r="O96" s="26" t="s">
        <v>249</v>
      </c>
      <c r="P96" s="26"/>
      <c r="Q96" s="23"/>
      <c r="R96" s="25"/>
      <c r="S96" s="25"/>
      <c r="T96" s="25"/>
      <c r="U96" s="25"/>
      <c r="V96" s="25"/>
      <c r="W96" s="23" t="s">
        <v>169</v>
      </c>
      <c r="X96" s="4" t="str">
        <f>IF(Tabela2[[#This Row],[SIGLA]]="","",VLOOKUP(Tabela2[[#This Row],[SIGLA]],créditos_base!B:C,2,0))</f>
        <v>GUSTAVO RAMOS/ARQUIVO DA EDITORA</v>
      </c>
      <c r="Y96" s="24"/>
      <c r="Z96" s="24" t="str">
        <f>Tabela2[[#This Row],[ILUSTRADOR CRIAÇÃO]]</f>
        <v>GUSTAVO RAMOS/ARQUIVO DA EDITORA</v>
      </c>
      <c r="AA96" s="23"/>
      <c r="AB96" s="22"/>
      <c r="AC96" s="22"/>
      <c r="AD96" s="4" t="str">
        <f t="shared" si="1"/>
        <v>EF1 E001 HGC</v>
      </c>
    </row>
    <row r="97" spans="1:30" s="14" customFormat="1" ht="30" x14ac:dyDescent="0.25">
      <c r="A97" s="24" t="s">
        <v>250</v>
      </c>
      <c r="B97" s="22" t="s">
        <v>67</v>
      </c>
      <c r="C97" s="22" t="s">
        <v>32</v>
      </c>
      <c r="D97" s="22" t="s">
        <v>33</v>
      </c>
      <c r="E97" s="23">
        <v>121</v>
      </c>
      <c r="F97" s="23">
        <v>1</v>
      </c>
      <c r="G97" s="23">
        <v>2</v>
      </c>
      <c r="H97" s="23"/>
      <c r="I97" s="24" t="s">
        <v>34</v>
      </c>
      <c r="J97" s="24"/>
      <c r="K97" s="23"/>
      <c r="L97" s="23"/>
      <c r="M97" s="24"/>
      <c r="N97" s="24"/>
      <c r="O97" s="26" t="s">
        <v>251</v>
      </c>
      <c r="P97" s="26"/>
      <c r="Q97" s="23"/>
      <c r="R97" s="25"/>
      <c r="S97" s="25"/>
      <c r="T97" s="25"/>
      <c r="U97" s="25"/>
      <c r="V97" s="25"/>
      <c r="W97" s="23" t="s">
        <v>169</v>
      </c>
      <c r="X97" s="4" t="str">
        <f>IF(Tabela2[[#This Row],[SIGLA]]="","",VLOOKUP(Tabela2[[#This Row],[SIGLA]],créditos_base!B:C,2,0))</f>
        <v>GUSTAVO RAMOS/ARQUIVO DA EDITORA</v>
      </c>
      <c r="Y97" s="24"/>
      <c r="Z97" s="24" t="str">
        <f>Tabela2[[#This Row],[ILUSTRADOR CRIAÇÃO]]</f>
        <v>GUSTAVO RAMOS/ARQUIVO DA EDITORA</v>
      </c>
      <c r="AA97" s="23"/>
      <c r="AB97" s="22"/>
      <c r="AC97" s="22"/>
      <c r="AD97" s="4" t="str">
        <f t="shared" si="1"/>
        <v>EF1 E001 HGC</v>
      </c>
    </row>
    <row r="98" spans="1:30" s="14" customFormat="1" ht="30" x14ac:dyDescent="0.25">
      <c r="A98" s="24" t="s">
        <v>252</v>
      </c>
      <c r="B98" s="22" t="s">
        <v>67</v>
      </c>
      <c r="C98" s="22" t="s">
        <v>32</v>
      </c>
      <c r="D98" s="22" t="s">
        <v>33</v>
      </c>
      <c r="E98" s="23">
        <v>121</v>
      </c>
      <c r="F98" s="23">
        <v>1</v>
      </c>
      <c r="G98" s="23">
        <v>2</v>
      </c>
      <c r="H98" s="23"/>
      <c r="I98" s="24" t="s">
        <v>34</v>
      </c>
      <c r="J98" s="24"/>
      <c r="K98" s="23"/>
      <c r="L98" s="23"/>
      <c r="M98" s="24"/>
      <c r="N98" s="24"/>
      <c r="O98" s="26" t="s">
        <v>253</v>
      </c>
      <c r="P98" s="26"/>
      <c r="Q98" s="23"/>
      <c r="R98" s="25"/>
      <c r="S98" s="25"/>
      <c r="T98" s="25"/>
      <c r="U98" s="25"/>
      <c r="V98" s="25"/>
      <c r="W98" s="23" t="s">
        <v>169</v>
      </c>
      <c r="X98" s="4" t="str">
        <f>IF(Tabela2[[#This Row],[SIGLA]]="","",VLOOKUP(Tabela2[[#This Row],[SIGLA]],créditos_base!B:C,2,0))</f>
        <v>GUSTAVO RAMOS/ARQUIVO DA EDITORA</v>
      </c>
      <c r="Y98" s="24"/>
      <c r="Z98" s="24" t="str">
        <f>Tabela2[[#This Row],[ILUSTRADOR CRIAÇÃO]]</f>
        <v>GUSTAVO RAMOS/ARQUIVO DA EDITORA</v>
      </c>
      <c r="AA98" s="23"/>
      <c r="AB98" s="22"/>
      <c r="AC98" s="22"/>
      <c r="AD98" s="4" t="str">
        <f t="shared" si="1"/>
        <v>EF1 E001 HGC</v>
      </c>
    </row>
    <row r="99" spans="1:30" s="14" customFormat="1" ht="105" x14ac:dyDescent="0.25">
      <c r="A99" s="24" t="s">
        <v>254</v>
      </c>
      <c r="B99" s="22" t="s">
        <v>67</v>
      </c>
      <c r="C99" s="22" t="s">
        <v>32</v>
      </c>
      <c r="D99" s="22" t="s">
        <v>33</v>
      </c>
      <c r="E99" s="23">
        <v>125</v>
      </c>
      <c r="F99" s="23">
        <v>1</v>
      </c>
      <c r="G99" s="23">
        <v>2</v>
      </c>
      <c r="H99" s="23"/>
      <c r="I99" s="24" t="s">
        <v>38</v>
      </c>
      <c r="J99" s="24"/>
      <c r="K99" s="23"/>
      <c r="L99" s="23"/>
      <c r="M99" s="24"/>
      <c r="N99" s="24"/>
      <c r="O99" s="26" t="s">
        <v>255</v>
      </c>
      <c r="P99" s="26"/>
      <c r="Q99" s="23">
        <v>2</v>
      </c>
      <c r="R99" s="25">
        <v>45744</v>
      </c>
      <c r="S99" s="25">
        <v>45744</v>
      </c>
      <c r="T99" s="25"/>
      <c r="U99" s="25"/>
      <c r="V99" s="25">
        <v>45749</v>
      </c>
      <c r="W99" s="23" t="s">
        <v>40</v>
      </c>
      <c r="X99" s="4" t="str">
        <f>IF(Tabela2[[#This Row],[SIGLA]]="","",VLOOKUP(Tabela2[[#This Row],[SIGLA]],créditos_base!B:C,2,0))</f>
        <v>LISLLEY GOMES FEIGE/ARQUIVO DA EDITORA</v>
      </c>
      <c r="Y99" s="24" t="s">
        <v>70</v>
      </c>
      <c r="Z99" s="24" t="str">
        <f>Tabela2[[#This Row],[ILUSTRADOR CRIAÇÃO]]</f>
        <v>LISLLEY GOMES FEIGE/ARQUIVO DA EDITORA</v>
      </c>
      <c r="AA99" s="23">
        <v>13</v>
      </c>
      <c r="AB99" s="22"/>
      <c r="AC99" s="22" t="s">
        <v>43</v>
      </c>
      <c r="AD99" s="4" t="str">
        <f t="shared" si="1"/>
        <v>EF1 E001 HGC</v>
      </c>
    </row>
    <row r="100" spans="1:30" s="14" customFormat="1" ht="75" x14ac:dyDescent="0.25">
      <c r="A100" s="24" t="s">
        <v>256</v>
      </c>
      <c r="B100" s="22" t="s">
        <v>67</v>
      </c>
      <c r="C100" s="22" t="s">
        <v>32</v>
      </c>
      <c r="D100" s="22" t="s">
        <v>33</v>
      </c>
      <c r="E100" s="23">
        <v>136</v>
      </c>
      <c r="F100" s="23">
        <v>1</v>
      </c>
      <c r="G100" s="23">
        <v>2</v>
      </c>
      <c r="H100" s="23"/>
      <c r="I100" s="24" t="s">
        <v>38</v>
      </c>
      <c r="J100" s="24"/>
      <c r="K100" s="23"/>
      <c r="L100" s="23"/>
      <c r="M100" s="24"/>
      <c r="N100" s="24"/>
      <c r="O100" s="26" t="s">
        <v>257</v>
      </c>
      <c r="P100" s="26"/>
      <c r="Q100" s="23">
        <v>2</v>
      </c>
      <c r="R100" s="25">
        <v>45744</v>
      </c>
      <c r="S100" s="25">
        <v>45744</v>
      </c>
      <c r="T100" s="25"/>
      <c r="U100" s="25"/>
      <c r="V100" s="25">
        <v>45749</v>
      </c>
      <c r="W100" s="23" t="s">
        <v>40</v>
      </c>
      <c r="X100" s="4" t="str">
        <f>IF(Tabela2[[#This Row],[SIGLA]]="","",VLOOKUP(Tabela2[[#This Row],[SIGLA]],créditos_base!B:C,2,0))</f>
        <v>LISLLEY GOMES FEIGE/ARQUIVO DA EDITORA</v>
      </c>
      <c r="Y100" s="24" t="s">
        <v>70</v>
      </c>
      <c r="Z100" s="24" t="str">
        <f>Tabela2[[#This Row],[ILUSTRADOR CRIAÇÃO]]</f>
        <v>LISLLEY GOMES FEIGE/ARQUIVO DA EDITORA</v>
      </c>
      <c r="AA100" s="23">
        <v>13</v>
      </c>
      <c r="AB100" s="22"/>
      <c r="AC100" s="22" t="s">
        <v>43</v>
      </c>
      <c r="AD100" s="4" t="str">
        <f t="shared" si="1"/>
        <v>EF1 E001 HGC</v>
      </c>
    </row>
    <row r="101" spans="1:30" s="14" customFormat="1" ht="75" x14ac:dyDescent="0.25">
      <c r="A101" s="24" t="s">
        <v>258</v>
      </c>
      <c r="B101" s="22" t="s">
        <v>83</v>
      </c>
      <c r="C101" s="22" t="s">
        <v>32</v>
      </c>
      <c r="D101" s="22" t="s">
        <v>33</v>
      </c>
      <c r="E101" s="23">
        <v>136</v>
      </c>
      <c r="F101" s="23">
        <v>1</v>
      </c>
      <c r="G101" s="23">
        <v>2</v>
      </c>
      <c r="H101" s="23"/>
      <c r="I101" s="24" t="s">
        <v>38</v>
      </c>
      <c r="J101" s="24"/>
      <c r="K101" s="23"/>
      <c r="L101" s="23"/>
      <c r="M101" s="24"/>
      <c r="N101" s="24"/>
      <c r="O101" s="26" t="s">
        <v>259</v>
      </c>
      <c r="P101" s="26"/>
      <c r="Q101" s="23">
        <v>2</v>
      </c>
      <c r="R101" s="25">
        <v>45744</v>
      </c>
      <c r="S101" s="25">
        <v>45744</v>
      </c>
      <c r="T101" s="25"/>
      <c r="U101" s="25"/>
      <c r="V101" s="25">
        <v>45749</v>
      </c>
      <c r="W101" s="23" t="s">
        <v>40</v>
      </c>
      <c r="X101" s="4" t="str">
        <f>IF(Tabela2[[#This Row],[SIGLA]]="","",VLOOKUP(Tabela2[[#This Row],[SIGLA]],créditos_base!B:C,2,0))</f>
        <v>LISLLEY GOMES FEIGE/ARQUIVO DA EDITORA</v>
      </c>
      <c r="Y101" s="24" t="s">
        <v>70</v>
      </c>
      <c r="Z101" s="24" t="str">
        <f>Tabela2[[#This Row],[ILUSTRADOR CRIAÇÃO]]</f>
        <v>LISLLEY GOMES FEIGE/ARQUIVO DA EDITORA</v>
      </c>
      <c r="AA101" s="23">
        <v>13</v>
      </c>
      <c r="AB101" s="22"/>
      <c r="AC101" s="22" t="s">
        <v>43</v>
      </c>
      <c r="AD101" s="4" t="str">
        <f t="shared" si="1"/>
        <v>EF1 E001 HGC</v>
      </c>
    </row>
    <row r="102" spans="1:30" s="14" customFormat="1" ht="75" x14ac:dyDescent="0.25">
      <c r="A102" s="24" t="s">
        <v>260</v>
      </c>
      <c r="B102" s="22" t="s">
        <v>67</v>
      </c>
      <c r="C102" s="22" t="s">
        <v>32</v>
      </c>
      <c r="D102" s="22" t="s">
        <v>33</v>
      </c>
      <c r="E102" s="23">
        <v>137</v>
      </c>
      <c r="F102" s="23">
        <v>1</v>
      </c>
      <c r="G102" s="23">
        <v>2</v>
      </c>
      <c r="H102" s="23"/>
      <c r="I102" s="24" t="s">
        <v>38</v>
      </c>
      <c r="J102" s="24"/>
      <c r="K102" s="23"/>
      <c r="L102" s="23"/>
      <c r="M102" s="24"/>
      <c r="N102" s="24"/>
      <c r="O102" s="26" t="s">
        <v>261</v>
      </c>
      <c r="P102" s="26"/>
      <c r="Q102" s="23">
        <v>2</v>
      </c>
      <c r="R102" s="25">
        <v>45744</v>
      </c>
      <c r="S102" s="25">
        <v>45744</v>
      </c>
      <c r="T102" s="25"/>
      <c r="U102" s="25"/>
      <c r="V102" s="25">
        <v>45749</v>
      </c>
      <c r="W102" s="23" t="s">
        <v>40</v>
      </c>
      <c r="X102" s="4" t="str">
        <f>IF(Tabela2[[#This Row],[SIGLA]]="","",VLOOKUP(Tabela2[[#This Row],[SIGLA]],créditos_base!B:C,2,0))</f>
        <v>LISLLEY GOMES FEIGE/ARQUIVO DA EDITORA</v>
      </c>
      <c r="Y102" s="24" t="s">
        <v>70</v>
      </c>
      <c r="Z102" s="24" t="str">
        <f>Tabela2[[#This Row],[ILUSTRADOR CRIAÇÃO]]</f>
        <v>LISLLEY GOMES FEIGE/ARQUIVO DA EDITORA</v>
      </c>
      <c r="AA102" s="23">
        <v>13</v>
      </c>
      <c r="AB102" s="22"/>
      <c r="AC102" s="22" t="s">
        <v>43</v>
      </c>
      <c r="AD102" s="4" t="str">
        <f t="shared" si="1"/>
        <v>EF1 E001 HGC</v>
      </c>
    </row>
    <row r="103" spans="1:30" s="14" customFormat="1" ht="75" x14ac:dyDescent="0.25">
      <c r="A103" s="24" t="s">
        <v>262</v>
      </c>
      <c r="B103" s="22" t="s">
        <v>67</v>
      </c>
      <c r="C103" s="22" t="s">
        <v>32</v>
      </c>
      <c r="D103" s="22" t="s">
        <v>33</v>
      </c>
      <c r="E103" s="23">
        <v>137</v>
      </c>
      <c r="F103" s="23">
        <v>1</v>
      </c>
      <c r="G103" s="23">
        <v>2</v>
      </c>
      <c r="H103" s="23"/>
      <c r="I103" s="24" t="s">
        <v>38</v>
      </c>
      <c r="J103" s="24"/>
      <c r="K103" s="23"/>
      <c r="L103" s="23"/>
      <c r="M103" s="24"/>
      <c r="N103" s="24"/>
      <c r="O103" s="26" t="s">
        <v>263</v>
      </c>
      <c r="P103" s="26"/>
      <c r="Q103" s="23">
        <v>2</v>
      </c>
      <c r="R103" s="25">
        <v>45744</v>
      </c>
      <c r="S103" s="25">
        <v>45744</v>
      </c>
      <c r="T103" s="25"/>
      <c r="U103" s="25"/>
      <c r="V103" s="25">
        <v>45749</v>
      </c>
      <c r="W103" s="23" t="s">
        <v>40</v>
      </c>
      <c r="X103" s="4" t="str">
        <f>IF(Tabela2[[#This Row],[SIGLA]]="","",VLOOKUP(Tabela2[[#This Row],[SIGLA]],créditos_base!B:C,2,0))</f>
        <v>LISLLEY GOMES FEIGE/ARQUIVO DA EDITORA</v>
      </c>
      <c r="Y103" s="24" t="s">
        <v>70</v>
      </c>
      <c r="Z103" s="24" t="str">
        <f>Tabela2[[#This Row],[ILUSTRADOR CRIAÇÃO]]</f>
        <v>LISLLEY GOMES FEIGE/ARQUIVO DA EDITORA</v>
      </c>
      <c r="AA103" s="23">
        <v>13</v>
      </c>
      <c r="AB103" s="22"/>
      <c r="AC103" s="22" t="s">
        <v>43</v>
      </c>
      <c r="AD103" s="4" t="str">
        <f t="shared" si="1"/>
        <v>EF1 E001 HGC</v>
      </c>
    </row>
    <row r="104" spans="1:30" s="14" customFormat="1" ht="75" x14ac:dyDescent="0.25">
      <c r="A104" s="24" t="s">
        <v>264</v>
      </c>
      <c r="B104" s="22" t="s">
        <v>83</v>
      </c>
      <c r="C104" s="22" t="s">
        <v>32</v>
      </c>
      <c r="D104" s="22" t="s">
        <v>33</v>
      </c>
      <c r="E104" s="23">
        <v>137</v>
      </c>
      <c r="F104" s="23">
        <v>1</v>
      </c>
      <c r="G104" s="23">
        <v>2</v>
      </c>
      <c r="H104" s="23"/>
      <c r="I104" s="24" t="s">
        <v>38</v>
      </c>
      <c r="J104" s="24"/>
      <c r="K104" s="23"/>
      <c r="L104" s="23"/>
      <c r="M104" s="24"/>
      <c r="N104" s="24"/>
      <c r="O104" s="26" t="s">
        <v>265</v>
      </c>
      <c r="P104" s="26"/>
      <c r="Q104" s="23">
        <v>2</v>
      </c>
      <c r="R104" s="25">
        <v>45744</v>
      </c>
      <c r="S104" s="25">
        <v>45744</v>
      </c>
      <c r="T104" s="25"/>
      <c r="U104" s="25"/>
      <c r="V104" s="25">
        <v>45749</v>
      </c>
      <c r="W104" s="23" t="s">
        <v>40</v>
      </c>
      <c r="X104" s="4" t="str">
        <f>IF(Tabela2[[#This Row],[SIGLA]]="","",VLOOKUP(Tabela2[[#This Row],[SIGLA]],créditos_base!B:C,2,0))</f>
        <v>LISLLEY GOMES FEIGE/ARQUIVO DA EDITORA</v>
      </c>
      <c r="Y104" s="24" t="s">
        <v>70</v>
      </c>
      <c r="Z104" s="24" t="str">
        <f>Tabela2[[#This Row],[ILUSTRADOR CRIAÇÃO]]</f>
        <v>LISLLEY GOMES FEIGE/ARQUIVO DA EDITORA</v>
      </c>
      <c r="AA104" s="23">
        <v>13</v>
      </c>
      <c r="AB104" s="22"/>
      <c r="AC104" s="22" t="s">
        <v>43</v>
      </c>
      <c r="AD104" s="4" t="str">
        <f t="shared" si="1"/>
        <v>EF1 E001 HGC</v>
      </c>
    </row>
    <row r="105" spans="1:30" s="14" customFormat="1" ht="30" x14ac:dyDescent="0.25">
      <c r="A105" s="24" t="s">
        <v>266</v>
      </c>
      <c r="B105" s="22" t="s">
        <v>67</v>
      </c>
      <c r="C105" s="22" t="s">
        <v>32</v>
      </c>
      <c r="D105" s="22" t="s">
        <v>33</v>
      </c>
      <c r="E105" s="23"/>
      <c r="F105" s="23">
        <v>1</v>
      </c>
      <c r="G105" s="23">
        <v>2</v>
      </c>
      <c r="H105" s="23"/>
      <c r="I105" s="24" t="s">
        <v>34</v>
      </c>
      <c r="J105" s="24"/>
      <c r="K105" s="23"/>
      <c r="L105" s="23"/>
      <c r="M105" s="24"/>
      <c r="N105" s="24"/>
      <c r="O105" s="26" t="s">
        <v>267</v>
      </c>
      <c r="P105" s="26"/>
      <c r="Q105" s="23"/>
      <c r="R105" s="25"/>
      <c r="S105" s="25"/>
      <c r="T105" s="25"/>
      <c r="U105" s="25"/>
      <c r="V105" s="25"/>
      <c r="W105" s="23" t="s">
        <v>154</v>
      </c>
      <c r="X105" s="4" t="str">
        <f>IF(Tabela2[[#This Row],[SIGLA]]="","",VLOOKUP(Tabela2[[#This Row],[SIGLA]],créditos_base!B:C,2,0))</f>
        <v>VICTOR LEMOS/ARQUIVO DA EDITORA</v>
      </c>
      <c r="Y105" s="24"/>
      <c r="Z105" s="24" t="str">
        <f>Tabela2[[#This Row],[ILUSTRADOR CRIAÇÃO]]</f>
        <v>VICTOR LEMOS/ARQUIVO DA EDITORA</v>
      </c>
      <c r="AA105" s="23"/>
      <c r="AB105" s="22"/>
      <c r="AC105" s="22"/>
      <c r="AD105" s="4" t="str">
        <f t="shared" si="1"/>
        <v>EF1 E001 HGC</v>
      </c>
    </row>
    <row r="106" spans="1:30" s="14" customFormat="1" ht="30" x14ac:dyDescent="0.25">
      <c r="A106" s="24" t="s">
        <v>268</v>
      </c>
      <c r="B106" s="22" t="s">
        <v>67</v>
      </c>
      <c r="C106" s="22" t="s">
        <v>32</v>
      </c>
      <c r="D106" s="22" t="s">
        <v>33</v>
      </c>
      <c r="E106" s="23"/>
      <c r="F106" s="23">
        <v>1</v>
      </c>
      <c r="G106" s="23">
        <v>2</v>
      </c>
      <c r="H106" s="23"/>
      <c r="I106" s="24" t="s">
        <v>34</v>
      </c>
      <c r="J106" s="24"/>
      <c r="K106" s="23"/>
      <c r="L106" s="23"/>
      <c r="M106" s="24"/>
      <c r="N106" s="24"/>
      <c r="O106" s="26" t="s">
        <v>269</v>
      </c>
      <c r="P106" s="26"/>
      <c r="Q106" s="23"/>
      <c r="R106" s="25"/>
      <c r="S106" s="25"/>
      <c r="T106" s="25"/>
      <c r="U106" s="25"/>
      <c r="V106" s="25"/>
      <c r="W106" s="23" t="s">
        <v>154</v>
      </c>
      <c r="X106" s="4" t="str">
        <f>IF(Tabela2[[#This Row],[SIGLA]]="","",VLOOKUP(Tabela2[[#This Row],[SIGLA]],créditos_base!B:C,2,0))</f>
        <v>VICTOR LEMOS/ARQUIVO DA EDITORA</v>
      </c>
      <c r="Y106" s="24"/>
      <c r="Z106" s="24" t="str">
        <f>Tabela2[[#This Row],[ILUSTRADOR CRIAÇÃO]]</f>
        <v>VICTOR LEMOS/ARQUIVO DA EDITORA</v>
      </c>
      <c r="AA106" s="23"/>
      <c r="AB106" s="22"/>
      <c r="AC106" s="22"/>
      <c r="AD106" s="4" t="str">
        <f t="shared" si="1"/>
        <v>EF1 E001 HGC</v>
      </c>
    </row>
    <row r="107" spans="1:30" s="14" customFormat="1" ht="30" x14ac:dyDescent="0.25">
      <c r="A107" s="24" t="s">
        <v>270</v>
      </c>
      <c r="B107" s="22" t="s">
        <v>67</v>
      </c>
      <c r="C107" s="22" t="s">
        <v>32</v>
      </c>
      <c r="D107" s="22" t="s">
        <v>33</v>
      </c>
      <c r="E107" s="23"/>
      <c r="F107" s="23">
        <v>1</v>
      </c>
      <c r="G107" s="23">
        <v>2</v>
      </c>
      <c r="H107" s="23"/>
      <c r="I107" s="24" t="s">
        <v>34</v>
      </c>
      <c r="J107" s="24"/>
      <c r="K107" s="23"/>
      <c r="L107" s="23"/>
      <c r="M107" s="24"/>
      <c r="N107" s="24"/>
      <c r="O107" s="26" t="s">
        <v>271</v>
      </c>
      <c r="P107" s="26"/>
      <c r="Q107" s="23"/>
      <c r="R107" s="25"/>
      <c r="S107" s="25"/>
      <c r="T107" s="25"/>
      <c r="U107" s="25"/>
      <c r="V107" s="25"/>
      <c r="W107" s="23" t="s">
        <v>154</v>
      </c>
      <c r="X107" s="4" t="str">
        <f>IF(Tabela2[[#This Row],[SIGLA]]="","",VLOOKUP(Tabela2[[#This Row],[SIGLA]],créditos_base!B:C,2,0))</f>
        <v>VICTOR LEMOS/ARQUIVO DA EDITORA</v>
      </c>
      <c r="Y107" s="24"/>
      <c r="Z107" s="24" t="str">
        <f>Tabela2[[#This Row],[ILUSTRADOR CRIAÇÃO]]</f>
        <v>VICTOR LEMOS/ARQUIVO DA EDITORA</v>
      </c>
      <c r="AA107" s="23"/>
      <c r="AB107" s="22"/>
      <c r="AC107" s="22"/>
      <c r="AD107" s="4" t="str">
        <f t="shared" si="1"/>
        <v>EF1 E001 HGC</v>
      </c>
    </row>
    <row r="108" spans="1:30" s="14" customFormat="1" ht="30" x14ac:dyDescent="0.25">
      <c r="A108" s="24" t="s">
        <v>272</v>
      </c>
      <c r="B108" s="22" t="s">
        <v>67</v>
      </c>
      <c r="C108" s="22" t="s">
        <v>32</v>
      </c>
      <c r="D108" s="22" t="s">
        <v>33</v>
      </c>
      <c r="E108" s="23"/>
      <c r="F108" s="23">
        <v>1</v>
      </c>
      <c r="G108" s="23">
        <v>2</v>
      </c>
      <c r="H108" s="23"/>
      <c r="I108" s="24" t="s">
        <v>34</v>
      </c>
      <c r="J108" s="24"/>
      <c r="K108" s="23"/>
      <c r="L108" s="23"/>
      <c r="M108" s="24"/>
      <c r="N108" s="24"/>
      <c r="O108" s="26" t="s">
        <v>273</v>
      </c>
      <c r="P108" s="26"/>
      <c r="Q108" s="23"/>
      <c r="R108" s="25"/>
      <c r="S108" s="25"/>
      <c r="T108" s="25"/>
      <c r="U108" s="25"/>
      <c r="V108" s="25"/>
      <c r="W108" s="23" t="s">
        <v>154</v>
      </c>
      <c r="X108" s="4" t="str">
        <f>IF(Tabela2[[#This Row],[SIGLA]]="","",VLOOKUP(Tabela2[[#This Row],[SIGLA]],créditos_base!B:C,2,0))</f>
        <v>VICTOR LEMOS/ARQUIVO DA EDITORA</v>
      </c>
      <c r="Y108" s="24"/>
      <c r="Z108" s="24" t="str">
        <f>Tabela2[[#This Row],[ILUSTRADOR CRIAÇÃO]]</f>
        <v>VICTOR LEMOS/ARQUIVO DA EDITORA</v>
      </c>
      <c r="AA108" s="23"/>
      <c r="AB108" s="22"/>
      <c r="AC108" s="22"/>
      <c r="AD108" s="4" t="str">
        <f t="shared" si="1"/>
        <v>EF1 E001 HGC</v>
      </c>
    </row>
    <row r="109" spans="1:30" s="14" customFormat="1" ht="30" x14ac:dyDescent="0.25">
      <c r="A109" s="24" t="s">
        <v>274</v>
      </c>
      <c r="B109" s="22" t="s">
        <v>67</v>
      </c>
      <c r="C109" s="22" t="s">
        <v>32</v>
      </c>
      <c r="D109" s="22" t="s">
        <v>33</v>
      </c>
      <c r="E109" s="23"/>
      <c r="F109" s="23">
        <v>1</v>
      </c>
      <c r="G109" s="23">
        <v>2</v>
      </c>
      <c r="H109" s="23"/>
      <c r="I109" s="24" t="s">
        <v>34</v>
      </c>
      <c r="J109" s="24"/>
      <c r="K109" s="23"/>
      <c r="L109" s="23"/>
      <c r="M109" s="24"/>
      <c r="N109" s="24"/>
      <c r="O109" s="26" t="s">
        <v>275</v>
      </c>
      <c r="P109" s="26"/>
      <c r="Q109" s="23"/>
      <c r="R109" s="25"/>
      <c r="S109" s="25"/>
      <c r="T109" s="25"/>
      <c r="U109" s="25"/>
      <c r="V109" s="25"/>
      <c r="W109" s="23" t="s">
        <v>154</v>
      </c>
      <c r="X109" s="4" t="str">
        <f>IF(Tabela2[[#This Row],[SIGLA]]="","",VLOOKUP(Tabela2[[#This Row],[SIGLA]],créditos_base!B:C,2,0))</f>
        <v>VICTOR LEMOS/ARQUIVO DA EDITORA</v>
      </c>
      <c r="Y109" s="24"/>
      <c r="Z109" s="24" t="str">
        <f>Tabela2[[#This Row],[ILUSTRADOR CRIAÇÃO]]</f>
        <v>VICTOR LEMOS/ARQUIVO DA EDITORA</v>
      </c>
      <c r="AA109" s="23"/>
      <c r="AB109" s="22"/>
      <c r="AC109" s="22"/>
      <c r="AD109" s="4" t="str">
        <f t="shared" si="1"/>
        <v>EF1 E001 HGC</v>
      </c>
    </row>
    <row r="110" spans="1:30" s="14" customFormat="1" ht="30" x14ac:dyDescent="0.25">
      <c r="A110" s="24" t="s">
        <v>276</v>
      </c>
      <c r="B110" s="22" t="s">
        <v>67</v>
      </c>
      <c r="C110" s="22" t="s">
        <v>32</v>
      </c>
      <c r="D110" s="22" t="s">
        <v>33</v>
      </c>
      <c r="E110" s="23"/>
      <c r="F110" s="23">
        <v>1</v>
      </c>
      <c r="G110" s="23">
        <v>2</v>
      </c>
      <c r="H110" s="23"/>
      <c r="I110" s="24" t="s">
        <v>34</v>
      </c>
      <c r="J110" s="24"/>
      <c r="K110" s="23"/>
      <c r="L110" s="23"/>
      <c r="M110" s="24"/>
      <c r="N110" s="24"/>
      <c r="O110" s="26" t="s">
        <v>277</v>
      </c>
      <c r="P110" s="26"/>
      <c r="Q110" s="23"/>
      <c r="R110" s="25"/>
      <c r="S110" s="25"/>
      <c r="T110" s="25"/>
      <c r="U110" s="25"/>
      <c r="V110" s="25"/>
      <c r="W110" s="23" t="s">
        <v>154</v>
      </c>
      <c r="X110" s="4" t="str">
        <f>IF(Tabela2[[#This Row],[SIGLA]]="","",VLOOKUP(Tabela2[[#This Row],[SIGLA]],créditos_base!B:C,2,0))</f>
        <v>VICTOR LEMOS/ARQUIVO DA EDITORA</v>
      </c>
      <c r="Y110" s="24"/>
      <c r="Z110" s="24" t="str">
        <f>Tabela2[[#This Row],[ILUSTRADOR CRIAÇÃO]]</f>
        <v>VICTOR LEMOS/ARQUIVO DA EDITORA</v>
      </c>
      <c r="AA110" s="23"/>
      <c r="AB110" s="22"/>
      <c r="AC110" s="22"/>
      <c r="AD110" s="4" t="str">
        <f t="shared" si="1"/>
        <v>EF1 E001 HGC</v>
      </c>
    </row>
    <row r="111" spans="1:30" s="14" customFormat="1" ht="30" x14ac:dyDescent="0.25">
      <c r="A111" s="24" t="s">
        <v>278</v>
      </c>
      <c r="B111" s="22" t="s">
        <v>67</v>
      </c>
      <c r="C111" s="22" t="s">
        <v>32</v>
      </c>
      <c r="D111" s="22" t="s">
        <v>33</v>
      </c>
      <c r="E111" s="23"/>
      <c r="F111" s="23">
        <v>1</v>
      </c>
      <c r="G111" s="23">
        <v>2</v>
      </c>
      <c r="H111" s="23"/>
      <c r="I111" s="24" t="s">
        <v>34</v>
      </c>
      <c r="J111" s="24"/>
      <c r="K111" s="23"/>
      <c r="L111" s="23"/>
      <c r="M111" s="24"/>
      <c r="N111" s="24"/>
      <c r="O111" s="26" t="s">
        <v>279</v>
      </c>
      <c r="P111" s="26"/>
      <c r="Q111" s="23"/>
      <c r="R111" s="25"/>
      <c r="S111" s="25"/>
      <c r="T111" s="25"/>
      <c r="U111" s="25"/>
      <c r="V111" s="25"/>
      <c r="W111" s="23" t="s">
        <v>280</v>
      </c>
      <c r="X111" s="4" t="str">
        <f>IF(Tabela2[[#This Row],[SIGLA]]="","",VLOOKUP(Tabela2[[#This Row],[SIGLA]],créditos_base!B:C,2,0))</f>
        <v>HELOÍSA PINTARELLI/ARQUIVO DA EDITORA</v>
      </c>
      <c r="Y111" s="24"/>
      <c r="Z111" s="24" t="str">
        <f>Tabela2[[#This Row],[ILUSTRADOR CRIAÇÃO]]</f>
        <v>HELOÍSA PINTARELLI/ARQUIVO DA EDITORA</v>
      </c>
      <c r="AA111" s="23"/>
      <c r="AB111" s="22"/>
      <c r="AC111" s="22"/>
      <c r="AD111" s="4" t="str">
        <f t="shared" si="1"/>
        <v>EF1 E001 HGC</v>
      </c>
    </row>
    <row r="112" spans="1:30" s="14" customFormat="1" ht="30" x14ac:dyDescent="0.25">
      <c r="A112" s="24" t="s">
        <v>281</v>
      </c>
      <c r="B112" s="22" t="s">
        <v>67</v>
      </c>
      <c r="C112" s="22" t="s">
        <v>32</v>
      </c>
      <c r="D112" s="22" t="s">
        <v>33</v>
      </c>
      <c r="E112" s="23"/>
      <c r="F112" s="23">
        <v>1</v>
      </c>
      <c r="G112" s="23">
        <v>2</v>
      </c>
      <c r="H112" s="23"/>
      <c r="I112" s="24" t="s">
        <v>34</v>
      </c>
      <c r="J112" s="24"/>
      <c r="K112" s="23"/>
      <c r="L112" s="23"/>
      <c r="M112" s="24"/>
      <c r="N112" s="24"/>
      <c r="O112" s="26" t="s">
        <v>282</v>
      </c>
      <c r="P112" s="26"/>
      <c r="Q112" s="23"/>
      <c r="R112" s="25"/>
      <c r="S112" s="25"/>
      <c r="T112" s="25"/>
      <c r="U112" s="25"/>
      <c r="V112" s="25"/>
      <c r="W112" s="23" t="s">
        <v>280</v>
      </c>
      <c r="X112" s="4" t="str">
        <f>IF(Tabela2[[#This Row],[SIGLA]]="","",VLOOKUP(Tabela2[[#This Row],[SIGLA]],créditos_base!B:C,2,0))</f>
        <v>HELOÍSA PINTARELLI/ARQUIVO DA EDITORA</v>
      </c>
      <c r="Y112" s="24"/>
      <c r="Z112" s="24" t="str">
        <f>Tabela2[[#This Row],[ILUSTRADOR CRIAÇÃO]]</f>
        <v>HELOÍSA PINTARELLI/ARQUIVO DA EDITORA</v>
      </c>
      <c r="AA112" s="23"/>
      <c r="AB112" s="22"/>
      <c r="AC112" s="22"/>
      <c r="AD112" s="4" t="str">
        <f t="shared" si="1"/>
        <v>EF1 E001 HGC</v>
      </c>
    </row>
    <row r="113" spans="1:30" s="14" customFormat="1" ht="30" x14ac:dyDescent="0.25">
      <c r="A113" s="24" t="s">
        <v>283</v>
      </c>
      <c r="B113" s="22" t="s">
        <v>67</v>
      </c>
      <c r="C113" s="22" t="s">
        <v>32</v>
      </c>
      <c r="D113" s="22" t="s">
        <v>33</v>
      </c>
      <c r="E113" s="23"/>
      <c r="F113" s="23">
        <v>1</v>
      </c>
      <c r="G113" s="23">
        <v>2</v>
      </c>
      <c r="H113" s="23"/>
      <c r="I113" s="24" t="s">
        <v>34</v>
      </c>
      <c r="J113" s="24"/>
      <c r="K113" s="23"/>
      <c r="L113" s="23"/>
      <c r="M113" s="24"/>
      <c r="N113" s="24"/>
      <c r="O113" s="26" t="s">
        <v>284</v>
      </c>
      <c r="P113" s="26"/>
      <c r="Q113" s="23"/>
      <c r="R113" s="25"/>
      <c r="S113" s="25"/>
      <c r="T113" s="25"/>
      <c r="U113" s="25"/>
      <c r="V113" s="25"/>
      <c r="W113" s="23" t="s">
        <v>280</v>
      </c>
      <c r="X113" s="4" t="str">
        <f>IF(Tabela2[[#This Row],[SIGLA]]="","",VLOOKUP(Tabela2[[#This Row],[SIGLA]],créditos_base!B:C,2,0))</f>
        <v>HELOÍSA PINTARELLI/ARQUIVO DA EDITORA</v>
      </c>
      <c r="Y113" s="24"/>
      <c r="Z113" s="24" t="str">
        <f>Tabela2[[#This Row],[ILUSTRADOR CRIAÇÃO]]</f>
        <v>HELOÍSA PINTARELLI/ARQUIVO DA EDITORA</v>
      </c>
      <c r="AA113" s="23"/>
      <c r="AB113" s="22"/>
      <c r="AC113" s="22"/>
      <c r="AD113" s="4" t="str">
        <f t="shared" si="1"/>
        <v>EF1 E001 HGC</v>
      </c>
    </row>
    <row r="114" spans="1:30" s="14" customFormat="1" ht="30" x14ac:dyDescent="0.25">
      <c r="A114" s="24" t="s">
        <v>285</v>
      </c>
      <c r="B114" s="22" t="s">
        <v>67</v>
      </c>
      <c r="C114" s="22" t="s">
        <v>32</v>
      </c>
      <c r="D114" s="22" t="s">
        <v>33</v>
      </c>
      <c r="E114" s="23"/>
      <c r="F114" s="23">
        <v>1</v>
      </c>
      <c r="G114" s="23">
        <v>2</v>
      </c>
      <c r="H114" s="23"/>
      <c r="I114" s="24" t="s">
        <v>34</v>
      </c>
      <c r="J114" s="24"/>
      <c r="K114" s="23"/>
      <c r="L114" s="23"/>
      <c r="M114" s="24"/>
      <c r="N114" s="24"/>
      <c r="O114" s="26" t="s">
        <v>286</v>
      </c>
      <c r="P114" s="26"/>
      <c r="Q114" s="23"/>
      <c r="R114" s="25"/>
      <c r="S114" s="25"/>
      <c r="T114" s="25"/>
      <c r="U114" s="25"/>
      <c r="V114" s="25"/>
      <c r="W114" s="23" t="s">
        <v>280</v>
      </c>
      <c r="X114" s="4" t="str">
        <f>IF(Tabela2[[#This Row],[SIGLA]]="","",VLOOKUP(Tabela2[[#This Row],[SIGLA]],créditos_base!B:C,2,0))</f>
        <v>HELOÍSA PINTARELLI/ARQUIVO DA EDITORA</v>
      </c>
      <c r="Y114" s="24"/>
      <c r="Z114" s="24" t="str">
        <f>Tabela2[[#This Row],[ILUSTRADOR CRIAÇÃO]]</f>
        <v>HELOÍSA PINTARELLI/ARQUIVO DA EDITORA</v>
      </c>
      <c r="AA114" s="23"/>
      <c r="AB114" s="22"/>
      <c r="AC114" s="22"/>
      <c r="AD114" s="4" t="str">
        <f t="shared" si="1"/>
        <v>EF1 E001 HGC</v>
      </c>
    </row>
    <row r="115" spans="1:30" s="14" customFormat="1" ht="30" x14ac:dyDescent="0.25">
      <c r="A115" s="24" t="s">
        <v>287</v>
      </c>
      <c r="B115" s="22" t="s">
        <v>67</v>
      </c>
      <c r="C115" s="22" t="s">
        <v>32</v>
      </c>
      <c r="D115" s="22" t="s">
        <v>33</v>
      </c>
      <c r="E115" s="23"/>
      <c r="F115" s="23">
        <v>1</v>
      </c>
      <c r="G115" s="23">
        <v>2</v>
      </c>
      <c r="H115" s="23"/>
      <c r="I115" s="24" t="s">
        <v>34</v>
      </c>
      <c r="J115" s="24"/>
      <c r="K115" s="23"/>
      <c r="L115" s="23"/>
      <c r="M115" s="24"/>
      <c r="N115" s="24"/>
      <c r="O115" s="26" t="s">
        <v>288</v>
      </c>
      <c r="P115" s="26"/>
      <c r="Q115" s="23"/>
      <c r="R115" s="25"/>
      <c r="S115" s="25"/>
      <c r="T115" s="25"/>
      <c r="U115" s="25"/>
      <c r="V115" s="25"/>
      <c r="W115" s="23" t="s">
        <v>59</v>
      </c>
      <c r="X115" s="4" t="str">
        <f>IF(Tabela2[[#This Row],[SIGLA]]="","",VLOOKUP(Tabela2[[#This Row],[SIGLA]],créditos_base!B:C,2,0))</f>
        <v>DANILO SANTOS/ARQUIVO DA EDITORA</v>
      </c>
      <c r="Y115" s="24"/>
      <c r="Z115" s="24" t="str">
        <f>Tabela2[[#This Row],[ILUSTRADOR CRIAÇÃO]]</f>
        <v>DANILO SANTOS/ARQUIVO DA EDITORA</v>
      </c>
      <c r="AA115" s="23"/>
      <c r="AB115" s="22"/>
      <c r="AC115" s="22"/>
      <c r="AD115" s="4" t="str">
        <f t="shared" si="1"/>
        <v>EF1 E001 HGC</v>
      </c>
    </row>
    <row r="116" spans="1:30" s="14" customFormat="1" ht="45" x14ac:dyDescent="0.25">
      <c r="A116" s="24" t="s">
        <v>289</v>
      </c>
      <c r="B116" s="22" t="s">
        <v>67</v>
      </c>
      <c r="C116" s="22" t="s">
        <v>32</v>
      </c>
      <c r="D116" s="22" t="s">
        <v>33</v>
      </c>
      <c r="E116" s="23"/>
      <c r="F116" s="23">
        <v>1</v>
      </c>
      <c r="G116" s="23">
        <v>2</v>
      </c>
      <c r="H116" s="23"/>
      <c r="I116" s="24" t="s">
        <v>34</v>
      </c>
      <c r="J116" s="24"/>
      <c r="K116" s="23"/>
      <c r="L116" s="23"/>
      <c r="M116" s="24"/>
      <c r="N116" s="24"/>
      <c r="O116" s="26" t="s">
        <v>290</v>
      </c>
      <c r="P116" s="26"/>
      <c r="Q116" s="23"/>
      <c r="R116" s="25"/>
      <c r="S116" s="25"/>
      <c r="T116" s="25"/>
      <c r="U116" s="25"/>
      <c r="V116" s="25"/>
      <c r="W116" s="23" t="s">
        <v>59</v>
      </c>
      <c r="X116" s="4" t="str">
        <f>IF(Tabela2[[#This Row],[SIGLA]]="","",VLOOKUP(Tabela2[[#This Row],[SIGLA]],créditos_base!B:C,2,0))</f>
        <v>DANILO SANTOS/ARQUIVO DA EDITORA</v>
      </c>
      <c r="Y116" s="24"/>
      <c r="Z116" s="24" t="str">
        <f>Tabela2[[#This Row],[ILUSTRADOR CRIAÇÃO]]</f>
        <v>DANILO SANTOS/ARQUIVO DA EDITORA</v>
      </c>
      <c r="AA116" s="23"/>
      <c r="AB116" s="22"/>
      <c r="AC116" s="22"/>
      <c r="AD116" s="4" t="str">
        <f t="shared" si="1"/>
        <v>EF1 E001 HGC</v>
      </c>
    </row>
    <row r="117" spans="1:30" s="14" customFormat="1" ht="45" x14ac:dyDescent="0.25">
      <c r="A117" s="24" t="s">
        <v>291</v>
      </c>
      <c r="B117" s="22" t="s">
        <v>31</v>
      </c>
      <c r="C117" s="22" t="s">
        <v>32</v>
      </c>
      <c r="D117" s="22" t="s">
        <v>33</v>
      </c>
      <c r="E117" s="23">
        <v>216</v>
      </c>
      <c r="F117" s="23">
        <v>1</v>
      </c>
      <c r="G117" s="23">
        <v>4</v>
      </c>
      <c r="H117" s="23"/>
      <c r="I117" s="24" t="s">
        <v>34</v>
      </c>
      <c r="J117" s="24"/>
      <c r="K117" s="23"/>
      <c r="L117" s="23"/>
      <c r="M117" s="24"/>
      <c r="N117" s="24"/>
      <c r="O117" s="26" t="s">
        <v>292</v>
      </c>
      <c r="P117" s="26"/>
      <c r="Q117" s="23"/>
      <c r="R117" s="25"/>
      <c r="S117" s="25"/>
      <c r="T117" s="25"/>
      <c r="U117" s="25"/>
      <c r="V117" s="25"/>
      <c r="W117" s="23" t="s">
        <v>40</v>
      </c>
      <c r="X117" s="4" t="str">
        <f>IF(Tabela2[[#This Row],[SIGLA]]="","",VLOOKUP(Tabela2[[#This Row],[SIGLA]],créditos_base!B:C,2,0))</f>
        <v>LISLLEY GOMES FEIGE/ARQUIVO DA EDITORA</v>
      </c>
      <c r="Y117" s="24"/>
      <c r="Z117" s="24" t="str">
        <f>Tabela2[[#This Row],[ILUSTRADOR CRIAÇÃO]]</f>
        <v>LISLLEY GOMES FEIGE/ARQUIVO DA EDITORA</v>
      </c>
      <c r="AA117" s="23"/>
      <c r="AB117" s="22"/>
      <c r="AC117" s="22"/>
      <c r="AD117" s="4" t="str">
        <f t="shared" si="1"/>
        <v>EF1 E001 HGC</v>
      </c>
    </row>
    <row r="118" spans="1:30" s="14" customFormat="1" ht="45" x14ac:dyDescent="0.25">
      <c r="A118" s="24" t="s">
        <v>293</v>
      </c>
      <c r="B118" s="22" t="s">
        <v>31</v>
      </c>
      <c r="C118" s="22" t="s">
        <v>32</v>
      </c>
      <c r="D118" s="22" t="s">
        <v>33</v>
      </c>
      <c r="E118" s="23">
        <v>216</v>
      </c>
      <c r="F118" s="23">
        <v>1</v>
      </c>
      <c r="G118" s="23">
        <v>4</v>
      </c>
      <c r="H118" s="23"/>
      <c r="I118" s="24" t="s">
        <v>34</v>
      </c>
      <c r="J118" s="24"/>
      <c r="K118" s="23"/>
      <c r="L118" s="23"/>
      <c r="M118" s="24"/>
      <c r="N118" s="24"/>
      <c r="O118" s="26" t="s">
        <v>294</v>
      </c>
      <c r="P118" s="26"/>
      <c r="Q118" s="23"/>
      <c r="R118" s="25"/>
      <c r="S118" s="25"/>
      <c r="T118" s="25"/>
      <c r="U118" s="25"/>
      <c r="V118" s="25"/>
      <c r="W118" s="23" t="s">
        <v>40</v>
      </c>
      <c r="X118" s="4" t="str">
        <f>IF(Tabela2[[#This Row],[SIGLA]]="","",VLOOKUP(Tabela2[[#This Row],[SIGLA]],créditos_base!B:C,2,0))</f>
        <v>LISLLEY GOMES FEIGE/ARQUIVO DA EDITORA</v>
      </c>
      <c r="Y118" s="24"/>
      <c r="Z118" s="24" t="str">
        <f>Tabela2[[#This Row],[ILUSTRADOR CRIAÇÃO]]</f>
        <v>LISLLEY GOMES FEIGE/ARQUIVO DA EDITORA</v>
      </c>
      <c r="AA118" s="23"/>
      <c r="AB118" s="22"/>
      <c r="AC118" s="22"/>
      <c r="AD118" s="4" t="str">
        <f t="shared" si="1"/>
        <v>EF1 E001 HGC</v>
      </c>
    </row>
    <row r="119" spans="1:30" s="14" customFormat="1" ht="45" x14ac:dyDescent="0.25">
      <c r="A119" s="24" t="s">
        <v>295</v>
      </c>
      <c r="B119" s="22" t="s">
        <v>31</v>
      </c>
      <c r="C119" s="22" t="s">
        <v>32</v>
      </c>
      <c r="D119" s="22" t="s">
        <v>33</v>
      </c>
      <c r="E119" s="23">
        <v>217</v>
      </c>
      <c r="F119" s="23">
        <v>1</v>
      </c>
      <c r="G119" s="23">
        <v>4</v>
      </c>
      <c r="H119" s="23"/>
      <c r="I119" s="24" t="s">
        <v>34</v>
      </c>
      <c r="J119" s="24"/>
      <c r="K119" s="23"/>
      <c r="L119" s="23"/>
      <c r="M119" s="24"/>
      <c r="N119" s="24"/>
      <c r="O119" s="26" t="s">
        <v>296</v>
      </c>
      <c r="P119" s="26"/>
      <c r="Q119" s="23"/>
      <c r="R119" s="25"/>
      <c r="S119" s="25"/>
      <c r="T119" s="25"/>
      <c r="U119" s="25"/>
      <c r="V119" s="25"/>
      <c r="W119" s="23" t="s">
        <v>297</v>
      </c>
      <c r="X119" s="4" t="str">
        <f>IF(Tabela2[[#This Row],[SIGLA]]="","",VLOOKUP(Tabela2[[#This Row],[SIGLA]],créditos_base!B:C,2,0))</f>
        <v>WERLLEN HOLANDA/ARQUIVO DA EDITORA</v>
      </c>
      <c r="Y119" s="24"/>
      <c r="Z119" s="24" t="str">
        <f>Tabela2[[#This Row],[ILUSTRADOR CRIAÇÃO]]</f>
        <v>WERLLEN HOLANDA/ARQUIVO DA EDITORA</v>
      </c>
      <c r="AA119" s="23"/>
      <c r="AB119" s="22"/>
      <c r="AC119" s="22"/>
      <c r="AD119" s="4" t="str">
        <f t="shared" si="1"/>
        <v>EF1 E001 HGC</v>
      </c>
    </row>
    <row r="120" spans="1:30" s="14" customFormat="1" ht="45" x14ac:dyDescent="0.25">
      <c r="A120" s="24" t="s">
        <v>298</v>
      </c>
      <c r="B120" s="22" t="s">
        <v>31</v>
      </c>
      <c r="C120" s="22" t="s">
        <v>32</v>
      </c>
      <c r="D120" s="22" t="s">
        <v>33</v>
      </c>
      <c r="E120" s="23">
        <v>217</v>
      </c>
      <c r="F120" s="23">
        <v>1</v>
      </c>
      <c r="G120" s="23">
        <v>4</v>
      </c>
      <c r="H120" s="23"/>
      <c r="I120" s="24" t="s">
        <v>34</v>
      </c>
      <c r="J120" s="24"/>
      <c r="K120" s="23"/>
      <c r="L120" s="23"/>
      <c r="M120" s="24"/>
      <c r="N120" s="24"/>
      <c r="O120" s="26" t="s">
        <v>299</v>
      </c>
      <c r="P120" s="26"/>
      <c r="Q120" s="23"/>
      <c r="R120" s="25"/>
      <c r="S120" s="25"/>
      <c r="T120" s="25"/>
      <c r="U120" s="25"/>
      <c r="V120" s="25"/>
      <c r="W120" s="23" t="s">
        <v>297</v>
      </c>
      <c r="X120" s="4" t="str">
        <f>IF(Tabela2[[#This Row],[SIGLA]]="","",VLOOKUP(Tabela2[[#This Row],[SIGLA]],créditos_base!B:C,2,0))</f>
        <v>WERLLEN HOLANDA/ARQUIVO DA EDITORA</v>
      </c>
      <c r="Y120" s="24"/>
      <c r="Z120" s="24" t="str">
        <f>Tabela2[[#This Row],[ILUSTRADOR CRIAÇÃO]]</f>
        <v>WERLLEN HOLANDA/ARQUIVO DA EDITORA</v>
      </c>
      <c r="AA120" s="23"/>
      <c r="AB120" s="22"/>
      <c r="AC120" s="22"/>
      <c r="AD120" s="4" t="str">
        <f t="shared" si="1"/>
        <v>EF1 E001 HGC</v>
      </c>
    </row>
    <row r="121" spans="1:30" s="14" customFormat="1" ht="45" x14ac:dyDescent="0.25">
      <c r="A121" s="24" t="s">
        <v>300</v>
      </c>
      <c r="B121" s="22" t="s">
        <v>31</v>
      </c>
      <c r="C121" s="22" t="s">
        <v>32</v>
      </c>
      <c r="D121" s="22" t="s">
        <v>33</v>
      </c>
      <c r="E121" s="23">
        <v>217</v>
      </c>
      <c r="F121" s="23">
        <v>1</v>
      </c>
      <c r="G121" s="23">
        <v>4</v>
      </c>
      <c r="H121" s="23"/>
      <c r="I121" s="24" t="s">
        <v>34</v>
      </c>
      <c r="J121" s="24"/>
      <c r="K121" s="23"/>
      <c r="L121" s="23"/>
      <c r="M121" s="24"/>
      <c r="N121" s="24"/>
      <c r="O121" s="26" t="s">
        <v>301</v>
      </c>
      <c r="P121" s="26"/>
      <c r="Q121" s="23"/>
      <c r="R121" s="25"/>
      <c r="S121" s="25"/>
      <c r="T121" s="25"/>
      <c r="U121" s="25"/>
      <c r="V121" s="25"/>
      <c r="W121" s="23" t="s">
        <v>297</v>
      </c>
      <c r="X121" s="4" t="str">
        <f>IF(Tabela2[[#This Row],[SIGLA]]="","",VLOOKUP(Tabela2[[#This Row],[SIGLA]],créditos_base!B:C,2,0))</f>
        <v>WERLLEN HOLANDA/ARQUIVO DA EDITORA</v>
      </c>
      <c r="Y121" s="24"/>
      <c r="Z121" s="24" t="str">
        <f>Tabela2[[#This Row],[ILUSTRADOR CRIAÇÃO]]</f>
        <v>WERLLEN HOLANDA/ARQUIVO DA EDITORA</v>
      </c>
      <c r="AA121" s="23"/>
      <c r="AB121" s="22"/>
      <c r="AC121" s="22"/>
      <c r="AD121" s="4" t="str">
        <f t="shared" si="1"/>
        <v>EF1 E001 HGC</v>
      </c>
    </row>
    <row r="122" spans="1:30" s="14" customFormat="1" ht="45" x14ac:dyDescent="0.25">
      <c r="A122" s="24" t="s">
        <v>302</v>
      </c>
      <c r="B122" s="22" t="s">
        <v>31</v>
      </c>
      <c r="C122" s="22" t="s">
        <v>32</v>
      </c>
      <c r="D122" s="22" t="s">
        <v>33</v>
      </c>
      <c r="E122" s="23">
        <v>217</v>
      </c>
      <c r="F122" s="23">
        <v>1</v>
      </c>
      <c r="G122" s="23">
        <v>4</v>
      </c>
      <c r="H122" s="23"/>
      <c r="I122" s="24" t="s">
        <v>34</v>
      </c>
      <c r="J122" s="24"/>
      <c r="K122" s="23"/>
      <c r="L122" s="23"/>
      <c r="M122" s="24"/>
      <c r="N122" s="24"/>
      <c r="O122" s="26" t="s">
        <v>303</v>
      </c>
      <c r="P122" s="26"/>
      <c r="Q122" s="23"/>
      <c r="R122" s="25"/>
      <c r="S122" s="25"/>
      <c r="T122" s="25"/>
      <c r="U122" s="25"/>
      <c r="V122" s="25"/>
      <c r="W122" s="23" t="s">
        <v>297</v>
      </c>
      <c r="X122" s="4" t="str">
        <f>IF(Tabela2[[#This Row],[SIGLA]]="","",VLOOKUP(Tabela2[[#This Row],[SIGLA]],créditos_base!B:C,2,0))</f>
        <v>WERLLEN HOLANDA/ARQUIVO DA EDITORA</v>
      </c>
      <c r="Y122" s="24"/>
      <c r="Z122" s="24" t="str">
        <f>Tabela2[[#This Row],[ILUSTRADOR CRIAÇÃO]]</f>
        <v>WERLLEN HOLANDA/ARQUIVO DA EDITORA</v>
      </c>
      <c r="AA122" s="23"/>
      <c r="AB122" s="22"/>
      <c r="AC122" s="22"/>
      <c r="AD122" s="4" t="str">
        <f t="shared" si="1"/>
        <v>EF1 E001 HGC</v>
      </c>
    </row>
    <row r="123" spans="1:30" s="14" customFormat="1" ht="45" x14ac:dyDescent="0.25">
      <c r="A123" s="24" t="s">
        <v>304</v>
      </c>
      <c r="B123" s="22" t="s">
        <v>31</v>
      </c>
      <c r="C123" s="22" t="s">
        <v>32</v>
      </c>
      <c r="D123" s="22" t="s">
        <v>33</v>
      </c>
      <c r="E123" s="23">
        <v>219</v>
      </c>
      <c r="F123" s="23">
        <v>1</v>
      </c>
      <c r="G123" s="23">
        <v>4</v>
      </c>
      <c r="H123" s="23"/>
      <c r="I123" s="24" t="s">
        <v>34</v>
      </c>
      <c r="J123" s="24"/>
      <c r="K123" s="23"/>
      <c r="L123" s="23"/>
      <c r="M123" s="24"/>
      <c r="N123" s="24"/>
      <c r="O123" s="26" t="s">
        <v>305</v>
      </c>
      <c r="P123" s="26"/>
      <c r="Q123" s="23"/>
      <c r="R123" s="25"/>
      <c r="S123" s="25"/>
      <c r="T123" s="25"/>
      <c r="U123" s="25"/>
      <c r="V123" s="25"/>
      <c r="W123" s="23" t="s">
        <v>40</v>
      </c>
      <c r="X123" s="4" t="str">
        <f>IF(Tabela2[[#This Row],[SIGLA]]="","",VLOOKUP(Tabela2[[#This Row],[SIGLA]],créditos_base!B:C,2,0))</f>
        <v>LISLLEY GOMES FEIGE/ARQUIVO DA EDITORA</v>
      </c>
      <c r="Y123" s="24"/>
      <c r="Z123" s="24" t="str">
        <f>Tabela2[[#This Row],[ILUSTRADOR CRIAÇÃO]]</f>
        <v>LISLLEY GOMES FEIGE/ARQUIVO DA EDITORA</v>
      </c>
      <c r="AA123" s="23"/>
      <c r="AB123" s="22"/>
      <c r="AC123" s="22"/>
      <c r="AD123" s="4" t="str">
        <f t="shared" si="1"/>
        <v>EF1 E001 HGC</v>
      </c>
    </row>
    <row r="124" spans="1:30" s="14" customFormat="1" ht="45" x14ac:dyDescent="0.25">
      <c r="A124" s="24" t="s">
        <v>306</v>
      </c>
      <c r="B124" s="22" t="s">
        <v>31</v>
      </c>
      <c r="C124" s="22" t="s">
        <v>32</v>
      </c>
      <c r="D124" s="22" t="s">
        <v>33</v>
      </c>
      <c r="E124" s="23">
        <v>219</v>
      </c>
      <c r="F124" s="23">
        <v>1</v>
      </c>
      <c r="G124" s="23">
        <v>4</v>
      </c>
      <c r="H124" s="23"/>
      <c r="I124" s="24" t="s">
        <v>34</v>
      </c>
      <c r="J124" s="24"/>
      <c r="K124" s="23"/>
      <c r="L124" s="23"/>
      <c r="M124" s="24"/>
      <c r="N124" s="24"/>
      <c r="O124" s="26" t="s">
        <v>307</v>
      </c>
      <c r="P124" s="26"/>
      <c r="Q124" s="23"/>
      <c r="R124" s="25"/>
      <c r="S124" s="25"/>
      <c r="T124" s="25"/>
      <c r="U124" s="25"/>
      <c r="V124" s="25"/>
      <c r="W124" s="23" t="s">
        <v>40</v>
      </c>
      <c r="X124" s="4" t="str">
        <f>IF(Tabela2[[#This Row],[SIGLA]]="","",VLOOKUP(Tabela2[[#This Row],[SIGLA]],créditos_base!B:C,2,0))</f>
        <v>LISLLEY GOMES FEIGE/ARQUIVO DA EDITORA</v>
      </c>
      <c r="Y124" s="24"/>
      <c r="Z124" s="24" t="str">
        <f>Tabela2[[#This Row],[ILUSTRADOR CRIAÇÃO]]</f>
        <v>LISLLEY GOMES FEIGE/ARQUIVO DA EDITORA</v>
      </c>
      <c r="AA124" s="23"/>
      <c r="AB124" s="22"/>
      <c r="AC124" s="22"/>
      <c r="AD124" s="4" t="str">
        <f t="shared" si="1"/>
        <v>EF1 E001 HGC</v>
      </c>
    </row>
    <row r="125" spans="1:30" s="14" customFormat="1" ht="45" x14ac:dyDescent="0.25">
      <c r="A125" s="24" t="s">
        <v>308</v>
      </c>
      <c r="B125" s="22" t="s">
        <v>31</v>
      </c>
      <c r="C125" s="22" t="s">
        <v>32</v>
      </c>
      <c r="D125" s="22" t="s">
        <v>33</v>
      </c>
      <c r="E125" s="23">
        <v>219</v>
      </c>
      <c r="F125" s="23">
        <v>1</v>
      </c>
      <c r="G125" s="23">
        <v>4</v>
      </c>
      <c r="H125" s="23"/>
      <c r="I125" s="24" t="s">
        <v>34</v>
      </c>
      <c r="J125" s="24"/>
      <c r="K125" s="23"/>
      <c r="L125" s="23"/>
      <c r="M125" s="24"/>
      <c r="N125" s="24"/>
      <c r="O125" s="26" t="s">
        <v>309</v>
      </c>
      <c r="P125" s="26"/>
      <c r="Q125" s="23"/>
      <c r="R125" s="25"/>
      <c r="S125" s="25"/>
      <c r="T125" s="25"/>
      <c r="U125" s="25"/>
      <c r="V125" s="25"/>
      <c r="W125" s="23" t="s">
        <v>40</v>
      </c>
      <c r="X125" s="4" t="str">
        <f>IF(Tabela2[[#This Row],[SIGLA]]="","",VLOOKUP(Tabela2[[#This Row],[SIGLA]],créditos_base!B:C,2,0))</f>
        <v>LISLLEY GOMES FEIGE/ARQUIVO DA EDITORA</v>
      </c>
      <c r="Y125" s="24"/>
      <c r="Z125" s="24" t="str">
        <f>Tabela2[[#This Row],[ILUSTRADOR CRIAÇÃO]]</f>
        <v>LISLLEY GOMES FEIGE/ARQUIVO DA EDITORA</v>
      </c>
      <c r="AA125" s="23"/>
      <c r="AB125" s="22"/>
      <c r="AC125" s="22"/>
      <c r="AD125" s="4" t="str">
        <f t="shared" si="1"/>
        <v>EF1 E001 HGC</v>
      </c>
    </row>
    <row r="126" spans="1:30" s="14" customFormat="1" ht="45" x14ac:dyDescent="0.25">
      <c r="A126" s="24" t="s">
        <v>310</v>
      </c>
      <c r="B126" s="22" t="s">
        <v>31</v>
      </c>
      <c r="C126" s="22" t="s">
        <v>32</v>
      </c>
      <c r="D126" s="22" t="s">
        <v>33</v>
      </c>
      <c r="E126" s="23">
        <v>224</v>
      </c>
      <c r="F126" s="23">
        <v>1</v>
      </c>
      <c r="G126" s="23">
        <v>4</v>
      </c>
      <c r="H126" s="23"/>
      <c r="I126" s="24" t="s">
        <v>34</v>
      </c>
      <c r="J126" s="24"/>
      <c r="K126" s="23"/>
      <c r="L126" s="23"/>
      <c r="M126" s="24"/>
      <c r="N126" s="24"/>
      <c r="O126" s="26" t="s">
        <v>311</v>
      </c>
      <c r="P126" s="26"/>
      <c r="Q126" s="23"/>
      <c r="R126" s="25"/>
      <c r="S126" s="25"/>
      <c r="T126" s="25"/>
      <c r="U126" s="25"/>
      <c r="V126" s="25"/>
      <c r="W126" s="23" t="s">
        <v>48</v>
      </c>
      <c r="X126" s="4" t="str">
        <f>IF(Tabela2[[#This Row],[SIGLA]]="","",VLOOKUP(Tabela2[[#This Row],[SIGLA]],créditos_base!B:C,2,0))</f>
        <v>MÁRCIO GUERRA/ARQUIVO DA EDITORA</v>
      </c>
      <c r="Y126" s="24"/>
      <c r="Z126" s="24" t="str">
        <f>Tabela2[[#This Row],[ILUSTRADOR CRIAÇÃO]]</f>
        <v>MÁRCIO GUERRA/ARQUIVO DA EDITORA</v>
      </c>
      <c r="AA126" s="23"/>
      <c r="AB126" s="22"/>
      <c r="AC126" s="22"/>
      <c r="AD126" s="4" t="str">
        <f t="shared" si="1"/>
        <v>EF1 E001 HGC</v>
      </c>
    </row>
    <row r="127" spans="1:30" s="14" customFormat="1" ht="45" x14ac:dyDescent="0.25">
      <c r="A127" s="24" t="s">
        <v>312</v>
      </c>
      <c r="B127" s="22" t="s">
        <v>31</v>
      </c>
      <c r="C127" s="22" t="s">
        <v>32</v>
      </c>
      <c r="D127" s="22" t="s">
        <v>33</v>
      </c>
      <c r="E127" s="23">
        <v>224</v>
      </c>
      <c r="F127" s="23">
        <v>1</v>
      </c>
      <c r="G127" s="23">
        <v>4</v>
      </c>
      <c r="H127" s="23"/>
      <c r="I127" s="24" t="s">
        <v>34</v>
      </c>
      <c r="J127" s="24"/>
      <c r="K127" s="23"/>
      <c r="L127" s="23"/>
      <c r="M127" s="24"/>
      <c r="N127" s="24"/>
      <c r="O127" s="26" t="s">
        <v>313</v>
      </c>
      <c r="P127" s="26"/>
      <c r="Q127" s="23"/>
      <c r="R127" s="25"/>
      <c r="S127" s="25"/>
      <c r="T127" s="25"/>
      <c r="U127" s="25"/>
      <c r="V127" s="25"/>
      <c r="W127" s="23" t="s">
        <v>48</v>
      </c>
      <c r="X127" s="4" t="str">
        <f>IF(Tabela2[[#This Row],[SIGLA]]="","",VLOOKUP(Tabela2[[#This Row],[SIGLA]],créditos_base!B:C,2,0))</f>
        <v>MÁRCIO GUERRA/ARQUIVO DA EDITORA</v>
      </c>
      <c r="Y127" s="24"/>
      <c r="Z127" s="24" t="str">
        <f>Tabela2[[#This Row],[ILUSTRADOR CRIAÇÃO]]</f>
        <v>MÁRCIO GUERRA/ARQUIVO DA EDITORA</v>
      </c>
      <c r="AA127" s="23"/>
      <c r="AB127" s="22"/>
      <c r="AC127" s="22"/>
      <c r="AD127" s="4" t="str">
        <f t="shared" si="1"/>
        <v>EF1 E001 HGC</v>
      </c>
    </row>
    <row r="128" spans="1:30" s="14" customFormat="1" ht="90" x14ac:dyDescent="0.25">
      <c r="A128" s="24" t="s">
        <v>314</v>
      </c>
      <c r="B128" s="22" t="s">
        <v>175</v>
      </c>
      <c r="C128" s="22" t="s">
        <v>32</v>
      </c>
      <c r="D128" s="22" t="s">
        <v>33</v>
      </c>
      <c r="E128" s="23">
        <v>232</v>
      </c>
      <c r="F128" s="23">
        <v>1</v>
      </c>
      <c r="G128" s="23">
        <v>4</v>
      </c>
      <c r="H128" s="23"/>
      <c r="I128" s="24" t="s">
        <v>38</v>
      </c>
      <c r="J128" s="24"/>
      <c r="K128" s="23"/>
      <c r="L128" s="23"/>
      <c r="M128" s="24"/>
      <c r="N128" s="24"/>
      <c r="O128" s="26" t="s">
        <v>315</v>
      </c>
      <c r="P128" s="26"/>
      <c r="Q128" s="23">
        <v>3</v>
      </c>
      <c r="R128" s="25">
        <v>45742</v>
      </c>
      <c r="S128" s="25">
        <v>45742</v>
      </c>
      <c r="T128" s="25"/>
      <c r="U128" s="25"/>
      <c r="V128" s="25">
        <v>45749</v>
      </c>
      <c r="W128" s="23" t="s">
        <v>316</v>
      </c>
      <c r="X128" s="4" t="str">
        <f>IF(Tabela2[[#This Row],[SIGLA]]="","",VLOOKUP(Tabela2[[#This Row],[SIGLA]],créditos_base!B:C,2,0))</f>
        <v>SAULO NUNES/ARQUIVO DA EDITORA</v>
      </c>
      <c r="Y128" s="24" t="s">
        <v>317</v>
      </c>
      <c r="Z128" s="24" t="str">
        <f>Tabela2[[#This Row],[ILUSTRADOR CRIAÇÃO]]</f>
        <v>SAULO NUNES/ARQUIVO DA EDITORA</v>
      </c>
      <c r="AA128" s="23">
        <v>14</v>
      </c>
      <c r="AB128" s="22"/>
      <c r="AC128" s="22" t="s">
        <v>43</v>
      </c>
      <c r="AD128" s="4" t="str">
        <f t="shared" si="1"/>
        <v>EF1 E001 HGC</v>
      </c>
    </row>
    <row r="129" spans="1:30" s="14" customFormat="1" ht="60" x14ac:dyDescent="0.25">
      <c r="A129" s="24" t="s">
        <v>318</v>
      </c>
      <c r="B129" s="22" t="s">
        <v>31</v>
      </c>
      <c r="C129" s="22" t="s">
        <v>32</v>
      </c>
      <c r="D129" s="22" t="s">
        <v>33</v>
      </c>
      <c r="E129" s="23">
        <v>233</v>
      </c>
      <c r="F129" s="23">
        <v>1</v>
      </c>
      <c r="G129" s="23">
        <v>4</v>
      </c>
      <c r="H129" s="23"/>
      <c r="I129" s="24" t="s">
        <v>38</v>
      </c>
      <c r="J129" s="24"/>
      <c r="K129" s="23"/>
      <c r="L129" s="23"/>
      <c r="M129" s="24"/>
      <c r="N129" s="24"/>
      <c r="O129" s="26" t="s">
        <v>319</v>
      </c>
      <c r="P129" s="26"/>
      <c r="Q129" s="23">
        <v>3</v>
      </c>
      <c r="R129" s="25">
        <v>45742</v>
      </c>
      <c r="S129" s="25">
        <v>45742</v>
      </c>
      <c r="T129" s="25"/>
      <c r="U129" s="25"/>
      <c r="V129" s="25">
        <v>45749</v>
      </c>
      <c r="W129" s="23" t="s">
        <v>316</v>
      </c>
      <c r="X129" s="4" t="str">
        <f>IF(Tabela2[[#This Row],[SIGLA]]="","",VLOOKUP(Tabela2[[#This Row],[SIGLA]],créditos_base!B:C,2,0))</f>
        <v>SAULO NUNES/ARQUIVO DA EDITORA</v>
      </c>
      <c r="Y129" s="24" t="s">
        <v>317</v>
      </c>
      <c r="Z129" s="24" t="str">
        <f>Tabela2[[#This Row],[ILUSTRADOR CRIAÇÃO]]</f>
        <v>SAULO NUNES/ARQUIVO DA EDITORA</v>
      </c>
      <c r="AA129" s="23">
        <v>13</v>
      </c>
      <c r="AB129" s="22"/>
      <c r="AC129" s="22" t="s">
        <v>43</v>
      </c>
      <c r="AD129" s="4" t="str">
        <f t="shared" si="1"/>
        <v>EF1 E001 HGC</v>
      </c>
    </row>
    <row r="130" spans="1:30" s="14" customFormat="1" ht="75" x14ac:dyDescent="0.25">
      <c r="A130" s="24" t="s">
        <v>320</v>
      </c>
      <c r="B130" s="22" t="s">
        <v>31</v>
      </c>
      <c r="C130" s="22" t="s">
        <v>32</v>
      </c>
      <c r="D130" s="22" t="s">
        <v>33</v>
      </c>
      <c r="E130" s="23">
        <v>234</v>
      </c>
      <c r="F130" s="23">
        <v>1</v>
      </c>
      <c r="G130" s="23">
        <v>4</v>
      </c>
      <c r="H130" s="23"/>
      <c r="I130" s="24" t="s">
        <v>38</v>
      </c>
      <c r="J130" s="24"/>
      <c r="K130" s="23"/>
      <c r="L130" s="23"/>
      <c r="M130" s="24"/>
      <c r="N130" s="24"/>
      <c r="O130" s="26" t="s">
        <v>321</v>
      </c>
      <c r="P130" s="26"/>
      <c r="Q130" s="23">
        <v>3</v>
      </c>
      <c r="R130" s="25">
        <v>45742</v>
      </c>
      <c r="S130" s="25">
        <v>45742</v>
      </c>
      <c r="T130" s="25"/>
      <c r="U130" s="25"/>
      <c r="V130" s="25">
        <v>45749</v>
      </c>
      <c r="W130" s="23" t="s">
        <v>322</v>
      </c>
      <c r="X130" s="4" t="str">
        <f>IF(Tabela2[[#This Row],[SIGLA]]="","",VLOOKUP(Tabela2[[#This Row],[SIGLA]],créditos_base!B:C,2,0))</f>
        <v>CAMILA CARMONA/ARQUIVO DA EDITORA</v>
      </c>
      <c r="Y130" s="24" t="s">
        <v>317</v>
      </c>
      <c r="Z130" s="24" t="s">
        <v>323</v>
      </c>
      <c r="AA130" s="23">
        <v>14</v>
      </c>
      <c r="AB130" s="22"/>
      <c r="AC130" s="22" t="s">
        <v>43</v>
      </c>
      <c r="AD130" s="4" t="str">
        <f t="shared" ref="AD130:AD193" si="2">"EF1 E001 HGC"</f>
        <v>EF1 E001 HGC</v>
      </c>
    </row>
    <row r="131" spans="1:30" s="14" customFormat="1" ht="105" x14ac:dyDescent="0.25">
      <c r="A131" s="24" t="s">
        <v>324</v>
      </c>
      <c r="B131" s="22" t="s">
        <v>175</v>
      </c>
      <c r="C131" s="22" t="s">
        <v>32</v>
      </c>
      <c r="D131" s="22" t="s">
        <v>33</v>
      </c>
      <c r="E131" s="23">
        <v>236</v>
      </c>
      <c r="F131" s="23">
        <v>1</v>
      </c>
      <c r="G131" s="23">
        <v>4</v>
      </c>
      <c r="H131" s="23"/>
      <c r="I131" s="24" t="s">
        <v>38</v>
      </c>
      <c r="J131" s="24"/>
      <c r="K131" s="23"/>
      <c r="L131" s="23"/>
      <c r="M131" s="24"/>
      <c r="N131" s="24"/>
      <c r="O131" s="26" t="s">
        <v>325</v>
      </c>
      <c r="P131" s="26"/>
      <c r="Q131" s="23">
        <v>3</v>
      </c>
      <c r="R131" s="25">
        <v>45742</v>
      </c>
      <c r="S131" s="25">
        <v>45742</v>
      </c>
      <c r="T131" s="25"/>
      <c r="U131" s="25"/>
      <c r="V131" s="25">
        <v>45749</v>
      </c>
      <c r="W131" s="23" t="s">
        <v>322</v>
      </c>
      <c r="X131" s="4" t="str">
        <f>IF(Tabela2[[#This Row],[SIGLA]]="","",VLOOKUP(Tabela2[[#This Row],[SIGLA]],créditos_base!B:C,2,0))</f>
        <v>CAMILA CARMONA/ARQUIVO DA EDITORA</v>
      </c>
      <c r="Y131" s="24" t="s">
        <v>317</v>
      </c>
      <c r="Z131" s="24" t="s">
        <v>323</v>
      </c>
      <c r="AA131" s="23">
        <v>14</v>
      </c>
      <c r="AB131" s="22"/>
      <c r="AC131" s="22" t="s">
        <v>43</v>
      </c>
      <c r="AD131" s="4" t="str">
        <f t="shared" si="2"/>
        <v>EF1 E001 HGC</v>
      </c>
    </row>
    <row r="132" spans="1:30" s="14" customFormat="1" ht="30" x14ac:dyDescent="0.25">
      <c r="A132" s="24" t="s">
        <v>326</v>
      </c>
      <c r="B132" s="22" t="s">
        <v>31</v>
      </c>
      <c r="C132" s="22" t="s">
        <v>32</v>
      </c>
      <c r="D132" s="22" t="s">
        <v>33</v>
      </c>
      <c r="E132" s="23">
        <v>257</v>
      </c>
      <c r="F132" s="23">
        <v>1</v>
      </c>
      <c r="G132" s="23">
        <v>4</v>
      </c>
      <c r="H132" s="23"/>
      <c r="I132" s="24" t="s">
        <v>34</v>
      </c>
      <c r="J132" s="24"/>
      <c r="K132" s="23"/>
      <c r="L132" s="23"/>
      <c r="M132" s="24"/>
      <c r="N132" s="24"/>
      <c r="O132" s="26" t="s">
        <v>327</v>
      </c>
      <c r="P132" s="26"/>
      <c r="Q132" s="23"/>
      <c r="R132" s="25"/>
      <c r="S132" s="25"/>
      <c r="T132" s="25"/>
      <c r="U132" s="25"/>
      <c r="V132" s="25"/>
      <c r="W132" s="23" t="s">
        <v>193</v>
      </c>
      <c r="X132" s="4" t="str">
        <f>IF(Tabela2[[#This Row],[SIGLA]]="","",VLOOKUP(Tabela2[[#This Row],[SIGLA]],créditos_base!B:C,2,0))</f>
        <v>NATANAELE BILMAIA/ARQUIVO DA EDITORA</v>
      </c>
      <c r="Y132" s="24"/>
      <c r="Z132" s="24" t="str">
        <f>Tabela2[[#This Row],[ILUSTRADOR CRIAÇÃO]]</f>
        <v>NATANAELE BILMAIA/ARQUIVO DA EDITORA</v>
      </c>
      <c r="AA132" s="23"/>
      <c r="AB132" s="22"/>
      <c r="AC132" s="22"/>
      <c r="AD132" s="4" t="str">
        <f t="shared" si="2"/>
        <v>EF1 E001 HGC</v>
      </c>
    </row>
    <row r="133" spans="1:30" s="14" customFormat="1" ht="30" x14ac:dyDescent="0.25">
      <c r="A133" s="24" t="s">
        <v>328</v>
      </c>
      <c r="B133" s="22" t="s">
        <v>31</v>
      </c>
      <c r="C133" s="22" t="s">
        <v>32</v>
      </c>
      <c r="D133" s="22" t="s">
        <v>33</v>
      </c>
      <c r="E133" s="23">
        <v>257</v>
      </c>
      <c r="F133" s="23">
        <v>1</v>
      </c>
      <c r="G133" s="23">
        <v>4</v>
      </c>
      <c r="H133" s="23"/>
      <c r="I133" s="24" t="s">
        <v>34</v>
      </c>
      <c r="J133" s="24"/>
      <c r="K133" s="23"/>
      <c r="L133" s="23"/>
      <c r="M133" s="24"/>
      <c r="N133" s="24"/>
      <c r="O133" s="26" t="s">
        <v>329</v>
      </c>
      <c r="P133" s="26"/>
      <c r="Q133" s="23"/>
      <c r="R133" s="25"/>
      <c r="S133" s="25"/>
      <c r="T133" s="25"/>
      <c r="U133" s="25"/>
      <c r="V133" s="25"/>
      <c r="W133" s="23" t="s">
        <v>193</v>
      </c>
      <c r="X133" s="4" t="str">
        <f>IF(Tabela2[[#This Row],[SIGLA]]="","",VLOOKUP(Tabela2[[#This Row],[SIGLA]],créditos_base!B:C,2,0))</f>
        <v>NATANAELE BILMAIA/ARQUIVO DA EDITORA</v>
      </c>
      <c r="Y133" s="24"/>
      <c r="Z133" s="24" t="str">
        <f>Tabela2[[#This Row],[ILUSTRADOR CRIAÇÃO]]</f>
        <v>NATANAELE BILMAIA/ARQUIVO DA EDITORA</v>
      </c>
      <c r="AA133" s="23"/>
      <c r="AB133" s="22"/>
      <c r="AC133" s="22"/>
      <c r="AD133" s="4" t="str">
        <f t="shared" si="2"/>
        <v>EF1 E001 HGC</v>
      </c>
    </row>
    <row r="134" spans="1:30" s="14" customFormat="1" ht="30" x14ac:dyDescent="0.25">
      <c r="A134" s="24" t="s">
        <v>330</v>
      </c>
      <c r="B134" s="22" t="s">
        <v>31</v>
      </c>
      <c r="C134" s="22" t="s">
        <v>32</v>
      </c>
      <c r="D134" s="22" t="s">
        <v>33</v>
      </c>
      <c r="E134" s="23">
        <v>257</v>
      </c>
      <c r="F134" s="23">
        <v>1</v>
      </c>
      <c r="G134" s="23">
        <v>4</v>
      </c>
      <c r="H134" s="23"/>
      <c r="I134" s="24" t="s">
        <v>34</v>
      </c>
      <c r="J134" s="24"/>
      <c r="K134" s="23"/>
      <c r="L134" s="23"/>
      <c r="M134" s="24"/>
      <c r="N134" s="24"/>
      <c r="O134" s="26" t="s">
        <v>331</v>
      </c>
      <c r="P134" s="26"/>
      <c r="Q134" s="23"/>
      <c r="R134" s="25"/>
      <c r="S134" s="25"/>
      <c r="T134" s="25"/>
      <c r="U134" s="25"/>
      <c r="V134" s="25"/>
      <c r="W134" s="23" t="s">
        <v>193</v>
      </c>
      <c r="X134" s="4" t="str">
        <f>IF(Tabela2[[#This Row],[SIGLA]]="","",VLOOKUP(Tabela2[[#This Row],[SIGLA]],créditos_base!B:C,2,0))</f>
        <v>NATANAELE BILMAIA/ARQUIVO DA EDITORA</v>
      </c>
      <c r="Y134" s="24"/>
      <c r="Z134" s="24" t="str">
        <f>Tabela2[[#This Row],[ILUSTRADOR CRIAÇÃO]]</f>
        <v>NATANAELE BILMAIA/ARQUIVO DA EDITORA</v>
      </c>
      <c r="AA134" s="23"/>
      <c r="AB134" s="22"/>
      <c r="AC134" s="22"/>
      <c r="AD134" s="4" t="str">
        <f t="shared" si="2"/>
        <v>EF1 E001 HGC</v>
      </c>
    </row>
    <row r="135" spans="1:30" s="14" customFormat="1" ht="45" x14ac:dyDescent="0.25">
      <c r="A135" s="24" t="s">
        <v>332</v>
      </c>
      <c r="B135" s="22" t="s">
        <v>31</v>
      </c>
      <c r="C135" s="22" t="s">
        <v>32</v>
      </c>
      <c r="D135" s="22" t="s">
        <v>33</v>
      </c>
      <c r="E135" s="23">
        <v>257</v>
      </c>
      <c r="F135" s="23">
        <v>1</v>
      </c>
      <c r="G135" s="23">
        <v>4</v>
      </c>
      <c r="H135" s="23"/>
      <c r="I135" s="24" t="s">
        <v>34</v>
      </c>
      <c r="J135" s="24"/>
      <c r="K135" s="23"/>
      <c r="L135" s="23"/>
      <c r="M135" s="24"/>
      <c r="N135" s="24"/>
      <c r="O135" s="26" t="s">
        <v>333</v>
      </c>
      <c r="P135" s="26"/>
      <c r="Q135" s="23"/>
      <c r="R135" s="25"/>
      <c r="S135" s="25"/>
      <c r="T135" s="25"/>
      <c r="U135" s="25"/>
      <c r="V135" s="25"/>
      <c r="W135" s="23" t="s">
        <v>193</v>
      </c>
      <c r="X135" s="4" t="str">
        <f>IF(Tabela2[[#This Row],[SIGLA]]="","",VLOOKUP(Tabela2[[#This Row],[SIGLA]],créditos_base!B:C,2,0))</f>
        <v>NATANAELE BILMAIA/ARQUIVO DA EDITORA</v>
      </c>
      <c r="Y135" s="24"/>
      <c r="Z135" s="24" t="str">
        <f>Tabela2[[#This Row],[ILUSTRADOR CRIAÇÃO]]</f>
        <v>NATANAELE BILMAIA/ARQUIVO DA EDITORA</v>
      </c>
      <c r="AA135" s="23"/>
      <c r="AB135" s="22"/>
      <c r="AC135" s="22"/>
      <c r="AD135" s="4" t="str">
        <f t="shared" si="2"/>
        <v>EF1 E001 HGC</v>
      </c>
    </row>
    <row r="136" spans="1:30" s="14" customFormat="1" ht="45" x14ac:dyDescent="0.25">
      <c r="A136" s="24" t="s">
        <v>334</v>
      </c>
      <c r="B136" s="22" t="s">
        <v>31</v>
      </c>
      <c r="C136" s="22" t="s">
        <v>32</v>
      </c>
      <c r="D136" s="22" t="s">
        <v>33</v>
      </c>
      <c r="E136" s="23">
        <v>258</v>
      </c>
      <c r="F136" s="23">
        <v>1</v>
      </c>
      <c r="G136" s="23">
        <v>4</v>
      </c>
      <c r="H136" s="23"/>
      <c r="I136" s="24" t="s">
        <v>34</v>
      </c>
      <c r="J136" s="24"/>
      <c r="K136" s="23"/>
      <c r="L136" s="23"/>
      <c r="M136" s="24"/>
      <c r="N136" s="24"/>
      <c r="O136" s="26" t="s">
        <v>335</v>
      </c>
      <c r="P136" s="26"/>
      <c r="Q136" s="23"/>
      <c r="R136" s="25"/>
      <c r="S136" s="25"/>
      <c r="T136" s="25"/>
      <c r="U136" s="25"/>
      <c r="V136" s="25"/>
      <c r="W136" s="23" t="s">
        <v>169</v>
      </c>
      <c r="X136" s="4" t="str">
        <f>IF(Tabela2[[#This Row],[SIGLA]]="","",VLOOKUP(Tabela2[[#This Row],[SIGLA]],créditos_base!B:C,2,0))</f>
        <v>GUSTAVO RAMOS/ARQUIVO DA EDITORA</v>
      </c>
      <c r="Y136" s="24"/>
      <c r="Z136" s="24" t="str">
        <f>Tabela2[[#This Row],[ILUSTRADOR CRIAÇÃO]]</f>
        <v>GUSTAVO RAMOS/ARQUIVO DA EDITORA</v>
      </c>
      <c r="AA136" s="23"/>
      <c r="AB136" s="22"/>
      <c r="AC136" s="22"/>
      <c r="AD136" s="4" t="str">
        <f t="shared" si="2"/>
        <v>EF1 E001 HGC</v>
      </c>
    </row>
    <row r="137" spans="1:30" s="14" customFormat="1" ht="330" x14ac:dyDescent="0.25">
      <c r="A137" s="24" t="s">
        <v>336</v>
      </c>
      <c r="B137" s="22" t="s">
        <v>31</v>
      </c>
      <c r="C137" s="22" t="s">
        <v>32</v>
      </c>
      <c r="D137" s="22" t="s">
        <v>33</v>
      </c>
      <c r="E137" s="23">
        <v>259</v>
      </c>
      <c r="F137" s="23">
        <v>1</v>
      </c>
      <c r="G137" s="23">
        <v>4</v>
      </c>
      <c r="H137" s="23"/>
      <c r="I137" s="24" t="s">
        <v>177</v>
      </c>
      <c r="J137" s="24"/>
      <c r="K137" s="23"/>
      <c r="L137" s="23"/>
      <c r="M137" s="24"/>
      <c r="N137" s="24"/>
      <c r="O137" s="26" t="s">
        <v>337</v>
      </c>
      <c r="P137" s="26"/>
      <c r="Q137" s="23">
        <v>3</v>
      </c>
      <c r="R137" s="25">
        <v>45742</v>
      </c>
      <c r="S137" s="25">
        <v>45750</v>
      </c>
      <c r="T137" s="25">
        <v>45754</v>
      </c>
      <c r="U137" s="25">
        <v>45755</v>
      </c>
      <c r="V137" s="25">
        <v>45756</v>
      </c>
      <c r="W137" s="23" t="s">
        <v>338</v>
      </c>
      <c r="X137" s="4" t="str">
        <f>IF(Tabela2[[#This Row],[SIGLA]]="","",VLOOKUP(Tabela2[[#This Row],[SIGLA]],créditos_base!B:C,2,0))</f>
        <v>RIVALDO BARBOZA/ARQUIVO DA EDITORA</v>
      </c>
      <c r="Y137" s="24"/>
      <c r="Z137" s="24" t="str">
        <f>Tabela2[[#This Row],[ILUSTRADOR CRIAÇÃO]]</f>
        <v>RIVALDO BARBOZA/ARQUIVO DA EDITORA</v>
      </c>
      <c r="AA137" s="23">
        <v>3</v>
      </c>
      <c r="AB137" s="22" t="s">
        <v>339</v>
      </c>
      <c r="AC137" s="22" t="s">
        <v>340</v>
      </c>
      <c r="AD137" s="4" t="str">
        <f t="shared" si="2"/>
        <v>EF1 E001 HGC</v>
      </c>
    </row>
    <row r="138" spans="1:30" s="14" customFormat="1" ht="60" x14ac:dyDescent="0.25">
      <c r="A138" s="24" t="s">
        <v>341</v>
      </c>
      <c r="B138" s="22" t="s">
        <v>83</v>
      </c>
      <c r="C138" s="22" t="s">
        <v>32</v>
      </c>
      <c r="D138" s="22" t="s">
        <v>33</v>
      </c>
      <c r="E138" s="23">
        <v>259</v>
      </c>
      <c r="F138" s="23">
        <v>1</v>
      </c>
      <c r="G138" s="23">
        <v>4</v>
      </c>
      <c r="H138" s="23"/>
      <c r="I138" s="24" t="s">
        <v>177</v>
      </c>
      <c r="J138" s="24"/>
      <c r="K138" s="23"/>
      <c r="L138" s="23"/>
      <c r="M138" s="24"/>
      <c r="N138" s="24"/>
      <c r="O138" s="26" t="s">
        <v>342</v>
      </c>
      <c r="P138" s="26" t="s">
        <v>343</v>
      </c>
      <c r="Q138" s="23">
        <v>3</v>
      </c>
      <c r="R138" s="25">
        <v>45742</v>
      </c>
      <c r="S138" s="25"/>
      <c r="T138" s="25"/>
      <c r="U138" s="25"/>
      <c r="V138" s="25"/>
      <c r="W138" s="23"/>
      <c r="X138" s="4" t="str">
        <f>IF(Tabela2[[#This Row],[SIGLA]]="","",VLOOKUP(Tabela2[[#This Row],[SIGLA]],créditos_base!B:C,2,0))</f>
        <v/>
      </c>
      <c r="Y138" s="24"/>
      <c r="Z138" s="24" t="str">
        <f>Tabela2[[#This Row],[ILUSTRADOR CRIAÇÃO]]</f>
        <v/>
      </c>
      <c r="AA138" s="23"/>
      <c r="AB138" s="26" t="s">
        <v>343</v>
      </c>
      <c r="AC138" s="22"/>
      <c r="AD138" s="4" t="str">
        <f t="shared" si="2"/>
        <v>EF1 E001 HGC</v>
      </c>
    </row>
    <row r="139" spans="1:30" s="14" customFormat="1" ht="90" x14ac:dyDescent="0.25">
      <c r="A139" s="24" t="s">
        <v>344</v>
      </c>
      <c r="B139" s="22" t="s">
        <v>83</v>
      </c>
      <c r="C139" s="22" t="s">
        <v>32</v>
      </c>
      <c r="D139" s="22" t="s">
        <v>33</v>
      </c>
      <c r="E139" s="23">
        <v>259</v>
      </c>
      <c r="F139" s="23">
        <v>1</v>
      </c>
      <c r="G139" s="23">
        <v>4</v>
      </c>
      <c r="H139" s="23"/>
      <c r="I139" s="24" t="s">
        <v>177</v>
      </c>
      <c r="J139" s="24"/>
      <c r="K139" s="23"/>
      <c r="L139" s="23"/>
      <c r="M139" s="24"/>
      <c r="N139" s="24"/>
      <c r="O139" s="26" t="s">
        <v>345</v>
      </c>
      <c r="P139" s="26" t="s">
        <v>346</v>
      </c>
      <c r="Q139" s="23">
        <v>3</v>
      </c>
      <c r="R139" s="25">
        <v>45742</v>
      </c>
      <c r="S139" s="25"/>
      <c r="T139" s="25"/>
      <c r="U139" s="25"/>
      <c r="V139" s="25"/>
      <c r="W139" s="23"/>
      <c r="X139" s="4" t="str">
        <f>IF(Tabela2[[#This Row],[SIGLA]]="","",VLOOKUP(Tabela2[[#This Row],[SIGLA]],créditos_base!B:C,2,0))</f>
        <v/>
      </c>
      <c r="Y139" s="24"/>
      <c r="Z139" s="24" t="str">
        <f>Tabela2[[#This Row],[ILUSTRADOR CRIAÇÃO]]</f>
        <v/>
      </c>
      <c r="AA139" s="23"/>
      <c r="AB139" s="26" t="s">
        <v>343</v>
      </c>
      <c r="AC139" s="22"/>
      <c r="AD139" s="4" t="str">
        <f t="shared" si="2"/>
        <v>EF1 E001 HGC</v>
      </c>
    </row>
    <row r="140" spans="1:30" s="14" customFormat="1" ht="150" x14ac:dyDescent="0.25">
      <c r="A140" s="24" t="s">
        <v>347</v>
      </c>
      <c r="B140" s="22" t="s">
        <v>83</v>
      </c>
      <c r="C140" s="22" t="s">
        <v>32</v>
      </c>
      <c r="D140" s="22" t="s">
        <v>33</v>
      </c>
      <c r="E140" s="23">
        <v>259</v>
      </c>
      <c r="F140" s="23">
        <v>1</v>
      </c>
      <c r="G140" s="23">
        <v>4</v>
      </c>
      <c r="H140" s="23"/>
      <c r="I140" s="24" t="s">
        <v>177</v>
      </c>
      <c r="J140" s="24"/>
      <c r="K140" s="23"/>
      <c r="L140" s="23"/>
      <c r="M140" s="24"/>
      <c r="N140" s="24"/>
      <c r="O140" s="26" t="s">
        <v>348</v>
      </c>
      <c r="P140" s="26" t="s">
        <v>349</v>
      </c>
      <c r="Q140" s="23">
        <v>3</v>
      </c>
      <c r="R140" s="25">
        <v>45742</v>
      </c>
      <c r="S140" s="25"/>
      <c r="T140" s="25"/>
      <c r="U140" s="25"/>
      <c r="V140" s="25"/>
      <c r="W140" s="23"/>
      <c r="X140" s="4" t="str">
        <f>IF(Tabela2[[#This Row],[SIGLA]]="","",VLOOKUP(Tabela2[[#This Row],[SIGLA]],créditos_base!B:C,2,0))</f>
        <v/>
      </c>
      <c r="Y140" s="24"/>
      <c r="Z140" s="24" t="str">
        <f>Tabela2[[#This Row],[ILUSTRADOR CRIAÇÃO]]</f>
        <v/>
      </c>
      <c r="AA140" s="23"/>
      <c r="AB140" s="26" t="s">
        <v>343</v>
      </c>
      <c r="AC140" s="22"/>
      <c r="AD140" s="4" t="str">
        <f t="shared" si="2"/>
        <v>EF1 E001 HGC</v>
      </c>
    </row>
    <row r="141" spans="1:30" s="14" customFormat="1" ht="30" x14ac:dyDescent="0.25">
      <c r="A141" s="24" t="s">
        <v>350</v>
      </c>
      <c r="B141" s="22" t="s">
        <v>31</v>
      </c>
      <c r="C141" s="22" t="s">
        <v>32</v>
      </c>
      <c r="D141" s="22" t="s">
        <v>33</v>
      </c>
      <c r="E141" s="23">
        <v>268</v>
      </c>
      <c r="F141" s="23">
        <v>1</v>
      </c>
      <c r="G141" s="23">
        <v>4</v>
      </c>
      <c r="H141" s="23"/>
      <c r="I141" s="24" t="s">
        <v>34</v>
      </c>
      <c r="J141" s="24"/>
      <c r="K141" s="23"/>
      <c r="L141" s="23"/>
      <c r="M141" s="24"/>
      <c r="N141" s="24"/>
      <c r="O141" s="26" t="s">
        <v>351</v>
      </c>
      <c r="P141" s="26"/>
      <c r="Q141" s="23"/>
      <c r="R141" s="25"/>
      <c r="S141" s="25"/>
      <c r="T141" s="25"/>
      <c r="U141" s="25"/>
      <c r="V141" s="25"/>
      <c r="W141" s="23" t="s">
        <v>193</v>
      </c>
      <c r="X141" s="4" t="str">
        <f>IF(Tabela2[[#This Row],[SIGLA]]="","",VLOOKUP(Tabela2[[#This Row],[SIGLA]],créditos_base!B:C,2,0))</f>
        <v>NATANAELE BILMAIA/ARQUIVO DA EDITORA</v>
      </c>
      <c r="Y141" s="24"/>
      <c r="Z141" s="24" t="str">
        <f>Tabela2[[#This Row],[ILUSTRADOR CRIAÇÃO]]</f>
        <v>NATANAELE BILMAIA/ARQUIVO DA EDITORA</v>
      </c>
      <c r="AA141" s="23"/>
      <c r="AB141" s="22"/>
      <c r="AC141" s="22"/>
      <c r="AD141" s="4" t="str">
        <f t="shared" si="2"/>
        <v>EF1 E001 HGC</v>
      </c>
    </row>
    <row r="142" spans="1:30" s="14" customFormat="1" ht="30" x14ac:dyDescent="0.25">
      <c r="A142" s="24" t="s">
        <v>352</v>
      </c>
      <c r="B142" s="22" t="s">
        <v>31</v>
      </c>
      <c r="C142" s="22" t="s">
        <v>32</v>
      </c>
      <c r="D142" s="22" t="s">
        <v>33</v>
      </c>
      <c r="E142" s="23">
        <v>268</v>
      </c>
      <c r="F142" s="23">
        <v>1</v>
      </c>
      <c r="G142" s="23">
        <v>4</v>
      </c>
      <c r="H142" s="23"/>
      <c r="I142" s="24" t="s">
        <v>34</v>
      </c>
      <c r="J142" s="24"/>
      <c r="K142" s="23"/>
      <c r="L142" s="23"/>
      <c r="M142" s="24"/>
      <c r="N142" s="24"/>
      <c r="O142" s="26" t="s">
        <v>353</v>
      </c>
      <c r="P142" s="26"/>
      <c r="Q142" s="23"/>
      <c r="R142" s="25"/>
      <c r="S142" s="25"/>
      <c r="T142" s="25"/>
      <c r="U142" s="25"/>
      <c r="V142" s="25"/>
      <c r="W142" s="23" t="s">
        <v>193</v>
      </c>
      <c r="X142" s="4" t="str">
        <f>IF(Tabela2[[#This Row],[SIGLA]]="","",VLOOKUP(Tabela2[[#This Row],[SIGLA]],créditos_base!B:C,2,0))</f>
        <v>NATANAELE BILMAIA/ARQUIVO DA EDITORA</v>
      </c>
      <c r="Y142" s="24"/>
      <c r="Z142" s="24" t="str">
        <f>Tabela2[[#This Row],[ILUSTRADOR CRIAÇÃO]]</f>
        <v>NATANAELE BILMAIA/ARQUIVO DA EDITORA</v>
      </c>
      <c r="AA142" s="23"/>
      <c r="AB142" s="22"/>
      <c r="AC142" s="22"/>
      <c r="AD142" s="4" t="str">
        <f t="shared" si="2"/>
        <v>EF1 E001 HGC</v>
      </c>
    </row>
    <row r="143" spans="1:30" s="14" customFormat="1" ht="30" x14ac:dyDescent="0.25">
      <c r="A143" s="24" t="s">
        <v>354</v>
      </c>
      <c r="B143" s="22" t="s">
        <v>31</v>
      </c>
      <c r="C143" s="22" t="s">
        <v>32</v>
      </c>
      <c r="D143" s="22" t="s">
        <v>33</v>
      </c>
      <c r="E143" s="23">
        <v>268</v>
      </c>
      <c r="F143" s="23">
        <v>1</v>
      </c>
      <c r="G143" s="23">
        <v>4</v>
      </c>
      <c r="H143" s="23"/>
      <c r="I143" s="24" t="s">
        <v>34</v>
      </c>
      <c r="J143" s="24"/>
      <c r="K143" s="23"/>
      <c r="L143" s="23"/>
      <c r="M143" s="24"/>
      <c r="N143" s="24"/>
      <c r="O143" s="26" t="s">
        <v>355</v>
      </c>
      <c r="P143" s="26"/>
      <c r="Q143" s="23"/>
      <c r="R143" s="25"/>
      <c r="S143" s="25"/>
      <c r="T143" s="25"/>
      <c r="U143" s="25"/>
      <c r="V143" s="25"/>
      <c r="W143" s="23" t="s">
        <v>193</v>
      </c>
      <c r="X143" s="4" t="str">
        <f>IF(Tabela2[[#This Row],[SIGLA]]="","",VLOOKUP(Tabela2[[#This Row],[SIGLA]],créditos_base!B:C,2,0))</f>
        <v>NATANAELE BILMAIA/ARQUIVO DA EDITORA</v>
      </c>
      <c r="Y143" s="24"/>
      <c r="Z143" s="24" t="str">
        <f>Tabela2[[#This Row],[ILUSTRADOR CRIAÇÃO]]</f>
        <v>NATANAELE BILMAIA/ARQUIVO DA EDITORA</v>
      </c>
      <c r="AA143" s="23"/>
      <c r="AB143" s="22"/>
      <c r="AC143" s="22"/>
      <c r="AD143" s="4" t="str">
        <f t="shared" si="2"/>
        <v>EF1 E001 HGC</v>
      </c>
    </row>
    <row r="144" spans="1:30" s="14" customFormat="1" ht="30" x14ac:dyDescent="0.25">
      <c r="A144" s="24" t="s">
        <v>356</v>
      </c>
      <c r="B144" s="22" t="s">
        <v>31</v>
      </c>
      <c r="C144" s="22" t="s">
        <v>32</v>
      </c>
      <c r="D144" s="22" t="s">
        <v>33</v>
      </c>
      <c r="E144" s="23">
        <v>268</v>
      </c>
      <c r="F144" s="23">
        <v>1</v>
      </c>
      <c r="G144" s="23">
        <v>4</v>
      </c>
      <c r="H144" s="23"/>
      <c r="I144" s="24" t="s">
        <v>34</v>
      </c>
      <c r="J144" s="24"/>
      <c r="K144" s="23"/>
      <c r="L144" s="23"/>
      <c r="M144" s="24"/>
      <c r="N144" s="24"/>
      <c r="O144" s="26" t="s">
        <v>357</v>
      </c>
      <c r="P144" s="26"/>
      <c r="Q144" s="23"/>
      <c r="R144" s="25"/>
      <c r="S144" s="25"/>
      <c r="T144" s="25"/>
      <c r="U144" s="25"/>
      <c r="V144" s="25"/>
      <c r="W144" s="23" t="s">
        <v>193</v>
      </c>
      <c r="X144" s="4" t="str">
        <f>IF(Tabela2[[#This Row],[SIGLA]]="","",VLOOKUP(Tabela2[[#This Row],[SIGLA]],créditos_base!B:C,2,0))</f>
        <v>NATANAELE BILMAIA/ARQUIVO DA EDITORA</v>
      </c>
      <c r="Y144" s="24"/>
      <c r="Z144" s="24" t="str">
        <f>Tabela2[[#This Row],[ILUSTRADOR CRIAÇÃO]]</f>
        <v>NATANAELE BILMAIA/ARQUIVO DA EDITORA</v>
      </c>
      <c r="AA144" s="23"/>
      <c r="AB144" s="22"/>
      <c r="AC144" s="22"/>
      <c r="AD144" s="4" t="str">
        <f t="shared" si="2"/>
        <v>EF1 E001 HGC</v>
      </c>
    </row>
    <row r="145" spans="1:30" s="14" customFormat="1" ht="30" x14ac:dyDescent="0.25">
      <c r="A145" s="24" t="s">
        <v>358</v>
      </c>
      <c r="B145" s="22" t="s">
        <v>31</v>
      </c>
      <c r="C145" s="22" t="s">
        <v>32</v>
      </c>
      <c r="D145" s="22" t="s">
        <v>33</v>
      </c>
      <c r="E145" s="23">
        <v>272</v>
      </c>
      <c r="F145" s="23">
        <v>1</v>
      </c>
      <c r="G145" s="23">
        <v>4</v>
      </c>
      <c r="H145" s="23"/>
      <c r="I145" s="24" t="s">
        <v>34</v>
      </c>
      <c r="J145" s="24"/>
      <c r="K145" s="23"/>
      <c r="L145" s="23"/>
      <c r="M145" s="24"/>
      <c r="N145" s="24"/>
      <c r="O145" s="26" t="s">
        <v>359</v>
      </c>
      <c r="P145" s="26"/>
      <c r="Q145" s="23"/>
      <c r="R145" s="25"/>
      <c r="S145" s="25">
        <v>45859</v>
      </c>
      <c r="T145" s="25"/>
      <c r="U145" s="25"/>
      <c r="V145" s="25">
        <v>45859</v>
      </c>
      <c r="W145" s="23" t="s">
        <v>40</v>
      </c>
      <c r="X145" s="4" t="str">
        <f>IF(Tabela2[[#This Row],[SIGLA]]="","",VLOOKUP(Tabela2[[#This Row],[SIGLA]],créditos_base!B:C,2,0))</f>
        <v>LISLLEY GOMES FEIGE/ARQUIVO DA EDITORA</v>
      </c>
      <c r="Y145" s="24" t="s">
        <v>70</v>
      </c>
      <c r="Z145" s="24" t="str">
        <f>Tabela2[[#This Row],[ILUSTRADOR CRIAÇÃO]]</f>
        <v>LISLLEY GOMES FEIGE/ARQUIVO DA EDITORA</v>
      </c>
      <c r="AA145" s="23">
        <v>13</v>
      </c>
      <c r="AB145" s="22" t="s">
        <v>71</v>
      </c>
      <c r="AC145" s="22" t="s">
        <v>43</v>
      </c>
      <c r="AD145" s="4" t="str">
        <f t="shared" si="2"/>
        <v>EF1 E001 HGC</v>
      </c>
    </row>
    <row r="146" spans="1:30" s="14" customFormat="1" ht="60" x14ac:dyDescent="0.25">
      <c r="A146" s="24" t="s">
        <v>360</v>
      </c>
      <c r="B146" s="22" t="s">
        <v>31</v>
      </c>
      <c r="C146" s="22" t="s">
        <v>32</v>
      </c>
      <c r="D146" s="22" t="s">
        <v>33</v>
      </c>
      <c r="E146" s="23">
        <v>272</v>
      </c>
      <c r="F146" s="23">
        <v>1</v>
      </c>
      <c r="G146" s="23">
        <v>4</v>
      </c>
      <c r="H146" s="23"/>
      <c r="I146" s="24" t="s">
        <v>38</v>
      </c>
      <c r="J146" s="24"/>
      <c r="K146" s="23"/>
      <c r="L146" s="23"/>
      <c r="M146" s="24"/>
      <c r="N146" s="24"/>
      <c r="O146" s="26" t="s">
        <v>361</v>
      </c>
      <c r="P146" s="26"/>
      <c r="Q146" s="23">
        <v>3</v>
      </c>
      <c r="R146" s="25">
        <v>45742</v>
      </c>
      <c r="S146" s="25">
        <v>45859</v>
      </c>
      <c r="T146" s="25"/>
      <c r="U146" s="25"/>
      <c r="V146" s="25">
        <v>45859</v>
      </c>
      <c r="W146" s="23" t="s">
        <v>40</v>
      </c>
      <c r="X146" s="4" t="str">
        <f>IF(Tabela2[[#This Row],[SIGLA]]="","",VLOOKUP(Tabela2[[#This Row],[SIGLA]],créditos_base!B:C,2,0))</f>
        <v>LISLLEY GOMES FEIGE/ARQUIVO DA EDITORA</v>
      </c>
      <c r="Y146" s="24" t="s">
        <v>70</v>
      </c>
      <c r="Z146" s="24" t="str">
        <f>Tabela2[[#This Row],[ILUSTRADOR CRIAÇÃO]]</f>
        <v>LISLLEY GOMES FEIGE/ARQUIVO DA EDITORA</v>
      </c>
      <c r="AA146" s="23">
        <v>13</v>
      </c>
      <c r="AB146" s="22" t="s">
        <v>71</v>
      </c>
      <c r="AC146" s="22" t="s">
        <v>43</v>
      </c>
      <c r="AD146" s="4" t="str">
        <f t="shared" si="2"/>
        <v>EF1 E001 HGC</v>
      </c>
    </row>
    <row r="147" spans="1:30" s="14" customFormat="1" ht="45" x14ac:dyDescent="0.25">
      <c r="A147" s="24" t="s">
        <v>362</v>
      </c>
      <c r="B147" s="22" t="s">
        <v>31</v>
      </c>
      <c r="C147" s="22" t="s">
        <v>363</v>
      </c>
      <c r="D147" s="22" t="s">
        <v>33</v>
      </c>
      <c r="E147" s="23">
        <v>274</v>
      </c>
      <c r="F147" s="23">
        <v>1</v>
      </c>
      <c r="G147" s="23">
        <v>4</v>
      </c>
      <c r="H147" s="23"/>
      <c r="I147" s="24" t="s">
        <v>38</v>
      </c>
      <c r="J147" s="24"/>
      <c r="K147" s="23"/>
      <c r="L147" s="23"/>
      <c r="M147" s="24"/>
      <c r="N147" s="24"/>
      <c r="O147" s="26" t="s">
        <v>364</v>
      </c>
      <c r="P147" s="26"/>
      <c r="Q147" s="23">
        <v>26</v>
      </c>
      <c r="R147" s="25">
        <v>45870</v>
      </c>
      <c r="S147" s="25">
        <v>45862</v>
      </c>
      <c r="T147" s="25"/>
      <c r="U147" s="25"/>
      <c r="V147" s="25">
        <v>45862</v>
      </c>
      <c r="W147" s="23" t="s">
        <v>59</v>
      </c>
      <c r="X147" s="4" t="str">
        <f>IF(Tabela2[[#This Row],[SIGLA]]="","",VLOOKUP(Tabela2[[#This Row],[SIGLA]],créditos_base!B:C,2,0))</f>
        <v>DANILO SANTOS/ARQUIVO DA EDITORA</v>
      </c>
      <c r="Y147" s="24" t="s">
        <v>70</v>
      </c>
      <c r="Z147" s="24" t="str">
        <f>Tabela2[[#This Row],[ILUSTRADOR CRIAÇÃO]]</f>
        <v>DANILO SANTOS/ARQUIVO DA EDITORA</v>
      </c>
      <c r="AA147" s="23">
        <v>13</v>
      </c>
      <c r="AB147" s="22" t="s">
        <v>71</v>
      </c>
      <c r="AC147" s="22" t="s">
        <v>43</v>
      </c>
      <c r="AD147" s="4" t="str">
        <f t="shared" si="2"/>
        <v>EF1 E001 HGC</v>
      </c>
    </row>
    <row r="148" spans="1:30" s="14" customFormat="1" ht="45" x14ac:dyDescent="0.25">
      <c r="A148" s="24" t="s">
        <v>365</v>
      </c>
      <c r="B148" s="22" t="s">
        <v>31</v>
      </c>
      <c r="C148" s="22" t="s">
        <v>363</v>
      </c>
      <c r="D148" s="22" t="s">
        <v>33</v>
      </c>
      <c r="E148" s="23">
        <v>274</v>
      </c>
      <c r="F148" s="23">
        <v>1</v>
      </c>
      <c r="G148" s="23">
        <v>4</v>
      </c>
      <c r="H148" s="23"/>
      <c r="I148" s="24" t="s">
        <v>38</v>
      </c>
      <c r="J148" s="24"/>
      <c r="K148" s="23"/>
      <c r="L148" s="23"/>
      <c r="M148" s="24"/>
      <c r="N148" s="24"/>
      <c r="O148" s="26" t="s">
        <v>366</v>
      </c>
      <c r="P148" s="26"/>
      <c r="Q148" s="23">
        <v>26</v>
      </c>
      <c r="R148" s="25">
        <v>45870</v>
      </c>
      <c r="S148" s="25">
        <v>45862</v>
      </c>
      <c r="T148" s="25"/>
      <c r="U148" s="25"/>
      <c r="V148" s="25">
        <v>45862</v>
      </c>
      <c r="W148" s="23" t="s">
        <v>59</v>
      </c>
      <c r="X148" s="4" t="str">
        <f>IF(Tabela2[[#This Row],[SIGLA]]="","",VLOOKUP(Tabela2[[#This Row],[SIGLA]],créditos_base!B:C,2,0))</f>
        <v>DANILO SANTOS/ARQUIVO DA EDITORA</v>
      </c>
      <c r="Y148" s="24" t="s">
        <v>70</v>
      </c>
      <c r="Z148" s="24" t="str">
        <f>Tabela2[[#This Row],[ILUSTRADOR CRIAÇÃO]]</f>
        <v>DANILO SANTOS/ARQUIVO DA EDITORA</v>
      </c>
      <c r="AA148" s="23">
        <v>13</v>
      </c>
      <c r="AB148" s="22" t="s">
        <v>71</v>
      </c>
      <c r="AC148" s="22" t="s">
        <v>43</v>
      </c>
      <c r="AD148" s="4" t="str">
        <f t="shared" si="2"/>
        <v>EF1 E001 HGC</v>
      </c>
    </row>
    <row r="149" spans="1:30" s="14" customFormat="1" ht="90" x14ac:dyDescent="0.25">
      <c r="A149" s="24" t="s">
        <v>367</v>
      </c>
      <c r="B149" s="22" t="s">
        <v>31</v>
      </c>
      <c r="C149" s="22" t="s">
        <v>368</v>
      </c>
      <c r="D149" s="22" t="s">
        <v>33</v>
      </c>
      <c r="E149" s="23">
        <v>68</v>
      </c>
      <c r="F149" s="23">
        <v>1</v>
      </c>
      <c r="G149" s="23">
        <v>1</v>
      </c>
      <c r="H149" s="23"/>
      <c r="I149" s="24" t="s">
        <v>38</v>
      </c>
      <c r="J149" s="24"/>
      <c r="K149" s="23"/>
      <c r="L149" s="23"/>
      <c r="M149" s="24"/>
      <c r="N149" s="24"/>
      <c r="O149" s="26" t="s">
        <v>369</v>
      </c>
      <c r="P149" s="26"/>
      <c r="Q149" s="23">
        <v>6</v>
      </c>
      <c r="R149" s="25">
        <v>45754</v>
      </c>
      <c r="S149" s="25">
        <v>45754</v>
      </c>
      <c r="T149" s="25"/>
      <c r="U149" s="25"/>
      <c r="V149" s="25">
        <v>45758</v>
      </c>
      <c r="W149" s="23" t="s">
        <v>370</v>
      </c>
      <c r="X149" s="4" t="str">
        <f>IF(Tabela2[[#This Row],[SIGLA]]="","",VLOOKUP(Tabela2[[#This Row],[SIGLA]],créditos_base!B:C,2,0))</f>
        <v>VER DOCUMENTO DE ILS. TÉCNICAS</v>
      </c>
      <c r="Y149" s="24" t="s">
        <v>371</v>
      </c>
      <c r="Z149" s="24" t="s">
        <v>372</v>
      </c>
      <c r="AA149" s="23">
        <v>11</v>
      </c>
      <c r="AB149" s="22" t="s">
        <v>373</v>
      </c>
      <c r="AC149" s="22" t="s">
        <v>43</v>
      </c>
      <c r="AD149" s="4" t="str">
        <f t="shared" si="2"/>
        <v>EF1 E001 HGC</v>
      </c>
    </row>
    <row r="150" spans="1:30" s="14" customFormat="1" ht="30" x14ac:dyDescent="0.25">
      <c r="A150" s="24" t="s">
        <v>374</v>
      </c>
      <c r="B150" s="22" t="s">
        <v>83</v>
      </c>
      <c r="C150" s="22" t="s">
        <v>368</v>
      </c>
      <c r="D150" s="22" t="s">
        <v>33</v>
      </c>
      <c r="E150" s="23">
        <v>68</v>
      </c>
      <c r="F150" s="23">
        <v>1</v>
      </c>
      <c r="G150" s="23">
        <v>1</v>
      </c>
      <c r="H150" s="23"/>
      <c r="I150" s="24" t="s">
        <v>38</v>
      </c>
      <c r="J150" s="24"/>
      <c r="K150" s="23"/>
      <c r="L150" s="23"/>
      <c r="M150" s="24"/>
      <c r="N150" s="24"/>
      <c r="O150" s="26" t="s">
        <v>375</v>
      </c>
      <c r="P150" s="26"/>
      <c r="Q150" s="23">
        <v>4</v>
      </c>
      <c r="R150" s="25">
        <v>45743</v>
      </c>
      <c r="S150" s="25"/>
      <c r="T150" s="25"/>
      <c r="U150" s="25"/>
      <c r="V150" s="25"/>
      <c r="W150" s="23"/>
      <c r="X150" s="4" t="str">
        <f>IF(Tabela2[[#This Row],[SIGLA]]="","",VLOOKUP(Tabela2[[#This Row],[SIGLA]],créditos_base!B:C,2,0))</f>
        <v/>
      </c>
      <c r="Y150" s="24"/>
      <c r="Z150" s="24" t="str">
        <f>Tabela2[[#This Row],[ILUSTRADOR CRIAÇÃO]]</f>
        <v/>
      </c>
      <c r="AA150" s="23"/>
      <c r="AB150" s="22" t="s">
        <v>376</v>
      </c>
      <c r="AC150" s="22"/>
      <c r="AD150" s="4" t="str">
        <f t="shared" si="2"/>
        <v>EF1 E001 HGC</v>
      </c>
    </row>
    <row r="151" spans="1:30" s="14" customFormat="1" ht="135" x14ac:dyDescent="0.25">
      <c r="A151" s="24" t="s">
        <v>245</v>
      </c>
      <c r="B151" s="22" t="s">
        <v>67</v>
      </c>
      <c r="C151" s="22" t="s">
        <v>32</v>
      </c>
      <c r="D151" s="22" t="s">
        <v>33</v>
      </c>
      <c r="E151" s="23">
        <v>120</v>
      </c>
      <c r="F151" s="23">
        <v>1</v>
      </c>
      <c r="G151" s="23">
        <v>2</v>
      </c>
      <c r="H151" s="23"/>
      <c r="I151" s="24" t="s">
        <v>38</v>
      </c>
      <c r="J151" s="24"/>
      <c r="K151" s="23"/>
      <c r="L151" s="23"/>
      <c r="M151" s="24"/>
      <c r="N151" s="24"/>
      <c r="O151" s="26" t="s">
        <v>377</v>
      </c>
      <c r="P151" s="26"/>
      <c r="Q151" s="23">
        <v>5</v>
      </c>
      <c r="R151" s="25">
        <v>45749</v>
      </c>
      <c r="S151" s="25">
        <v>45749</v>
      </c>
      <c r="T151" s="25"/>
      <c r="U151" s="25"/>
      <c r="V151" s="25">
        <v>45750</v>
      </c>
      <c r="W151" s="23" t="s">
        <v>169</v>
      </c>
      <c r="X151" s="4" t="str">
        <f>IF(Tabela2[[#This Row],[SIGLA]]="","",VLOOKUP(Tabela2[[#This Row],[SIGLA]],créditos_base!B:C,2,0))</f>
        <v>GUSTAVO RAMOS/ARQUIVO DA EDITORA</v>
      </c>
      <c r="Y151" s="24" t="s">
        <v>70</v>
      </c>
      <c r="Z151" s="24" t="str">
        <f>Tabela2[[#This Row],[ILUSTRADOR CRIAÇÃO]]</f>
        <v>GUSTAVO RAMOS/ARQUIVO DA EDITORA</v>
      </c>
      <c r="AA151" s="23">
        <v>13</v>
      </c>
      <c r="AB151" s="22"/>
      <c r="AC151" s="22" t="s">
        <v>43</v>
      </c>
      <c r="AD151" s="4" t="str">
        <f t="shared" si="2"/>
        <v>EF1 E001 HGC</v>
      </c>
    </row>
    <row r="152" spans="1:30" s="14" customFormat="1" ht="30" x14ac:dyDescent="0.25">
      <c r="A152" s="24" t="s">
        <v>378</v>
      </c>
      <c r="B152" s="22" t="s">
        <v>31</v>
      </c>
      <c r="C152" s="22" t="s">
        <v>32</v>
      </c>
      <c r="D152" s="22" t="s">
        <v>33</v>
      </c>
      <c r="E152" s="23">
        <v>47</v>
      </c>
      <c r="F152" s="23">
        <v>1</v>
      </c>
      <c r="G152" s="23">
        <v>1</v>
      </c>
      <c r="H152" s="23"/>
      <c r="I152" s="24" t="s">
        <v>34</v>
      </c>
      <c r="J152" s="24"/>
      <c r="K152" s="23"/>
      <c r="L152" s="23"/>
      <c r="M152" s="24"/>
      <c r="N152" s="24"/>
      <c r="O152" s="26" t="s">
        <v>379</v>
      </c>
      <c r="P152" s="26"/>
      <c r="Q152" s="23"/>
      <c r="R152" s="25"/>
      <c r="S152" s="25"/>
      <c r="T152" s="25"/>
      <c r="U152" s="25"/>
      <c r="V152" s="25"/>
      <c r="W152" s="23" t="s">
        <v>48</v>
      </c>
      <c r="X152" s="4" t="str">
        <f>IF(Tabela2[[#This Row],[SIGLA]]="","",VLOOKUP(Tabela2[[#This Row],[SIGLA]],créditos_base!B:C,2,0))</f>
        <v>MÁRCIO GUERRA/ARQUIVO DA EDITORA</v>
      </c>
      <c r="Y152" s="24"/>
      <c r="Z152" s="24" t="str">
        <f>Tabela2[[#This Row],[ILUSTRADOR CRIAÇÃO]]</f>
        <v>MÁRCIO GUERRA/ARQUIVO DA EDITORA</v>
      </c>
      <c r="AA152" s="23"/>
      <c r="AB152" s="22"/>
      <c r="AC152" s="22"/>
      <c r="AD152" s="4" t="str">
        <f t="shared" si="2"/>
        <v>EF1 E001 HGC</v>
      </c>
    </row>
    <row r="153" spans="1:30" s="14" customFormat="1" ht="30" x14ac:dyDescent="0.25">
      <c r="A153" s="24" t="s">
        <v>380</v>
      </c>
      <c r="B153" s="22" t="s">
        <v>83</v>
      </c>
      <c r="C153" s="22" t="s">
        <v>32</v>
      </c>
      <c r="D153" s="22" t="s">
        <v>33</v>
      </c>
      <c r="E153" s="23">
        <v>47</v>
      </c>
      <c r="F153" s="23">
        <v>1</v>
      </c>
      <c r="G153" s="23">
        <v>1</v>
      </c>
      <c r="H153" s="23"/>
      <c r="I153" s="24" t="s">
        <v>177</v>
      </c>
      <c r="J153" s="24"/>
      <c r="K153" s="23"/>
      <c r="L153" s="23"/>
      <c r="M153" s="24"/>
      <c r="N153" s="24"/>
      <c r="O153" s="26" t="s">
        <v>381</v>
      </c>
      <c r="P153" s="26"/>
      <c r="Q153" s="23">
        <v>6</v>
      </c>
      <c r="R153" s="25">
        <v>45754</v>
      </c>
      <c r="S153" s="25"/>
      <c r="T153" s="25"/>
      <c r="U153" s="25"/>
      <c r="V153" s="25"/>
      <c r="W153" s="23"/>
      <c r="X153" s="4" t="str">
        <f>IF(Tabela2[[#This Row],[SIGLA]]="","",VLOOKUP(Tabela2[[#This Row],[SIGLA]],créditos_base!B:C,2,0))</f>
        <v/>
      </c>
      <c r="Y153" s="24"/>
      <c r="Z153" s="24" t="str">
        <f>Tabela2[[#This Row],[ILUSTRADOR CRIAÇÃO]]</f>
        <v/>
      </c>
      <c r="AA153" s="23"/>
      <c r="AB153" s="22"/>
      <c r="AC153" s="22"/>
      <c r="AD153" s="4" t="str">
        <f t="shared" si="2"/>
        <v>EF1 E001 HGC</v>
      </c>
    </row>
    <row r="154" spans="1:30" s="14" customFormat="1" ht="75" x14ac:dyDescent="0.25">
      <c r="A154" s="24" t="s">
        <v>382</v>
      </c>
      <c r="B154" s="22" t="s">
        <v>31</v>
      </c>
      <c r="C154" s="22" t="s">
        <v>368</v>
      </c>
      <c r="D154" s="22" t="s">
        <v>33</v>
      </c>
      <c r="E154" s="23">
        <v>64</v>
      </c>
      <c r="F154" s="23">
        <v>1</v>
      </c>
      <c r="G154" s="23">
        <v>1</v>
      </c>
      <c r="H154" s="23"/>
      <c r="I154" s="24" t="s">
        <v>38</v>
      </c>
      <c r="J154" s="24"/>
      <c r="K154" s="23"/>
      <c r="L154" s="23"/>
      <c r="M154" s="24"/>
      <c r="N154" s="24"/>
      <c r="O154" s="26" t="s">
        <v>383</v>
      </c>
      <c r="P154" s="26"/>
      <c r="Q154" s="23">
        <v>6</v>
      </c>
      <c r="R154" s="25">
        <v>45754</v>
      </c>
      <c r="S154" s="25">
        <v>45754</v>
      </c>
      <c r="T154" s="25"/>
      <c r="U154" s="25"/>
      <c r="V154" s="25">
        <v>45758</v>
      </c>
      <c r="W154" s="23" t="s">
        <v>370</v>
      </c>
      <c r="X154" s="4" t="str">
        <f>IF(Tabela2[[#This Row],[SIGLA]]="","",VLOOKUP(Tabela2[[#This Row],[SIGLA]],créditos_base!B:C,2,0))</f>
        <v>VER DOCUMENTO DE ILS. TÉCNICAS</v>
      </c>
      <c r="Y154" s="24" t="s">
        <v>371</v>
      </c>
      <c r="Z154" s="24" t="s">
        <v>372</v>
      </c>
      <c r="AA154" s="23">
        <v>11</v>
      </c>
      <c r="AB154" s="22" t="s">
        <v>373</v>
      </c>
      <c r="AC154" s="22" t="s">
        <v>43</v>
      </c>
      <c r="AD154" s="4" t="str">
        <f t="shared" si="2"/>
        <v>EF1 E001 HGC</v>
      </c>
    </row>
    <row r="155" spans="1:30" s="14" customFormat="1" ht="75" x14ac:dyDescent="0.25">
      <c r="A155" s="24" t="s">
        <v>384</v>
      </c>
      <c r="B155" s="22" t="s">
        <v>31</v>
      </c>
      <c r="C155" s="22" t="s">
        <v>368</v>
      </c>
      <c r="D155" s="22" t="s">
        <v>33</v>
      </c>
      <c r="E155" s="23">
        <v>68</v>
      </c>
      <c r="F155" s="23">
        <v>1</v>
      </c>
      <c r="G155" s="23">
        <v>1</v>
      </c>
      <c r="H155" s="23"/>
      <c r="I155" s="24" t="s">
        <v>38</v>
      </c>
      <c r="J155" s="24"/>
      <c r="K155" s="23"/>
      <c r="L155" s="23"/>
      <c r="M155" s="24"/>
      <c r="N155" s="24"/>
      <c r="O155" s="26" t="s">
        <v>385</v>
      </c>
      <c r="P155" s="26"/>
      <c r="Q155" s="23">
        <v>6</v>
      </c>
      <c r="R155" s="25">
        <v>45754</v>
      </c>
      <c r="S155" s="25">
        <v>45754</v>
      </c>
      <c r="T155" s="25"/>
      <c r="U155" s="25"/>
      <c r="V155" s="25">
        <v>45758</v>
      </c>
      <c r="W155" s="23" t="s">
        <v>370</v>
      </c>
      <c r="X155" s="4" t="str">
        <f>IF(Tabela2[[#This Row],[SIGLA]]="","",VLOOKUP(Tabela2[[#This Row],[SIGLA]],créditos_base!B:C,2,0))</f>
        <v>VER DOCUMENTO DE ILS. TÉCNICAS</v>
      </c>
      <c r="Y155" s="24" t="s">
        <v>371</v>
      </c>
      <c r="Z155" s="24" t="s">
        <v>372</v>
      </c>
      <c r="AA155" s="23">
        <v>11</v>
      </c>
      <c r="AB155" s="22" t="s">
        <v>373</v>
      </c>
      <c r="AC155" s="22" t="s">
        <v>43</v>
      </c>
      <c r="AD155" s="4" t="str">
        <f t="shared" si="2"/>
        <v>EF1 E001 HGC</v>
      </c>
    </row>
    <row r="156" spans="1:30" s="14" customFormat="1" x14ac:dyDescent="0.25">
      <c r="A156" s="24"/>
      <c r="B156" s="22"/>
      <c r="C156" s="22"/>
      <c r="D156" s="22"/>
      <c r="E156" s="23"/>
      <c r="F156" s="23"/>
      <c r="G156" s="23"/>
      <c r="H156" s="23"/>
      <c r="I156" s="24"/>
      <c r="J156" s="24"/>
      <c r="K156" s="23"/>
      <c r="L156" s="23"/>
      <c r="M156" s="24"/>
      <c r="N156" s="24"/>
      <c r="O156" s="26"/>
      <c r="P156" s="26"/>
      <c r="Q156" s="23"/>
      <c r="R156" s="25"/>
      <c r="S156" s="25"/>
      <c r="T156" s="25"/>
      <c r="U156" s="25"/>
      <c r="V156" s="25"/>
      <c r="W156" s="23"/>
      <c r="X156" s="4" t="str">
        <f>IF(Tabela2[[#This Row],[SIGLA]]="","",VLOOKUP(Tabela2[[#This Row],[SIGLA]],créditos_base!B:C,2,0))</f>
        <v/>
      </c>
      <c r="Y156" s="24"/>
      <c r="Z156" s="24" t="str">
        <f>Tabela2[[#This Row],[ILUSTRADOR CRIAÇÃO]]</f>
        <v/>
      </c>
      <c r="AA156" s="23"/>
      <c r="AB156" s="22"/>
      <c r="AC156" s="22"/>
      <c r="AD156" s="4" t="str">
        <f t="shared" si="2"/>
        <v>EF1 E001 HGC</v>
      </c>
    </row>
    <row r="157" spans="1:30" s="14" customFormat="1" ht="45" x14ac:dyDescent="0.25">
      <c r="A157" s="24" t="s">
        <v>386</v>
      </c>
      <c r="B157" s="22" t="s">
        <v>31</v>
      </c>
      <c r="C157" s="22" t="s">
        <v>32</v>
      </c>
      <c r="D157" s="22" t="s">
        <v>33</v>
      </c>
      <c r="E157" s="23">
        <v>148</v>
      </c>
      <c r="F157" s="23">
        <v>1</v>
      </c>
      <c r="G157" s="23">
        <v>3</v>
      </c>
      <c r="H157" s="23"/>
      <c r="I157" s="24" t="s">
        <v>34</v>
      </c>
      <c r="J157" s="24"/>
      <c r="K157" s="23"/>
      <c r="L157" s="23"/>
      <c r="M157" s="24"/>
      <c r="N157" s="24"/>
      <c r="O157" s="26" t="s">
        <v>387</v>
      </c>
      <c r="P157" s="26"/>
      <c r="Q157" s="23"/>
      <c r="R157" s="25"/>
      <c r="S157" s="25"/>
      <c r="T157" s="25"/>
      <c r="U157" s="25"/>
      <c r="V157" s="25"/>
      <c r="W157" s="23" t="s">
        <v>154</v>
      </c>
      <c r="X157" s="4" t="str">
        <f>IF(Tabela2[[#This Row],[SIGLA]]="","",VLOOKUP(Tabela2[[#This Row],[SIGLA]],créditos_base!B:C,2,0))</f>
        <v>VICTOR LEMOS/ARQUIVO DA EDITORA</v>
      </c>
      <c r="Y157" s="24"/>
      <c r="Z157" s="24" t="str">
        <f>Tabela2[[#This Row],[ILUSTRADOR CRIAÇÃO]]</f>
        <v>VICTOR LEMOS/ARQUIVO DA EDITORA</v>
      </c>
      <c r="AA157" s="23"/>
      <c r="AB157" s="22"/>
      <c r="AC157" s="22"/>
      <c r="AD157" s="4" t="str">
        <f t="shared" si="2"/>
        <v>EF1 E001 HGC</v>
      </c>
    </row>
    <row r="158" spans="1:30" s="14" customFormat="1" ht="30" x14ac:dyDescent="0.25">
      <c r="A158" s="30" t="s">
        <v>388</v>
      </c>
      <c r="B158" s="22" t="s">
        <v>31</v>
      </c>
      <c r="C158" s="31" t="s">
        <v>32</v>
      </c>
      <c r="D158" s="31" t="s">
        <v>33</v>
      </c>
      <c r="E158" s="32">
        <v>148</v>
      </c>
      <c r="F158" s="32">
        <v>1</v>
      </c>
      <c r="G158" s="32">
        <v>3</v>
      </c>
      <c r="H158" s="32"/>
      <c r="I158" s="30" t="s">
        <v>34</v>
      </c>
      <c r="J158" s="30"/>
      <c r="K158" s="32"/>
      <c r="L158" s="32"/>
      <c r="M158" s="30"/>
      <c r="N158" s="30"/>
      <c r="O158" s="33" t="s">
        <v>389</v>
      </c>
      <c r="P158" s="26"/>
      <c r="Q158" s="23"/>
      <c r="R158" s="25"/>
      <c r="S158" s="25"/>
      <c r="T158" s="25"/>
      <c r="U158" s="25"/>
      <c r="V158" s="25"/>
      <c r="W158" s="23" t="s">
        <v>154</v>
      </c>
      <c r="X158" s="4" t="str">
        <f>IF(Tabela2[[#This Row],[SIGLA]]="","",VLOOKUP(Tabela2[[#This Row],[SIGLA]],créditos_base!B:C,2,0))</f>
        <v>VICTOR LEMOS/ARQUIVO DA EDITORA</v>
      </c>
      <c r="Y158" s="24"/>
      <c r="Z158" s="24" t="str">
        <f>Tabela2[[#This Row],[ILUSTRADOR CRIAÇÃO]]</f>
        <v>VICTOR LEMOS/ARQUIVO DA EDITORA</v>
      </c>
      <c r="AA158" s="23"/>
      <c r="AB158" s="22"/>
      <c r="AC158" s="22"/>
      <c r="AD158" s="4" t="str">
        <f t="shared" si="2"/>
        <v>EF1 E001 HGC</v>
      </c>
    </row>
    <row r="159" spans="1:30" s="14" customFormat="1" ht="30" x14ac:dyDescent="0.25">
      <c r="A159" s="24" t="s">
        <v>390</v>
      </c>
      <c r="B159" s="22" t="s">
        <v>31</v>
      </c>
      <c r="C159" s="22" t="s">
        <v>32</v>
      </c>
      <c r="D159" s="22" t="s">
        <v>33</v>
      </c>
      <c r="E159" s="23">
        <v>149</v>
      </c>
      <c r="F159" s="23">
        <v>1</v>
      </c>
      <c r="G159" s="23">
        <v>3</v>
      </c>
      <c r="H159" s="23"/>
      <c r="I159" s="24" t="s">
        <v>34</v>
      </c>
      <c r="J159" s="24"/>
      <c r="K159" s="23"/>
      <c r="L159" s="23"/>
      <c r="M159" s="24"/>
      <c r="N159" s="24"/>
      <c r="O159" s="26" t="s">
        <v>391</v>
      </c>
      <c r="P159" s="26"/>
      <c r="Q159" s="23"/>
      <c r="R159" s="25"/>
      <c r="S159" s="25"/>
      <c r="T159" s="25"/>
      <c r="U159" s="25"/>
      <c r="V159" s="25"/>
      <c r="W159" s="23" t="s">
        <v>154</v>
      </c>
      <c r="X159" s="4" t="str">
        <f>IF(Tabela2[[#This Row],[SIGLA]]="","",VLOOKUP(Tabela2[[#This Row],[SIGLA]],créditos_base!B:C,2,0))</f>
        <v>VICTOR LEMOS/ARQUIVO DA EDITORA</v>
      </c>
      <c r="Y159" s="24"/>
      <c r="Z159" s="24" t="str">
        <f>Tabela2[[#This Row],[ILUSTRADOR CRIAÇÃO]]</f>
        <v>VICTOR LEMOS/ARQUIVO DA EDITORA</v>
      </c>
      <c r="AA159" s="23"/>
      <c r="AB159" s="22"/>
      <c r="AC159" s="22"/>
      <c r="AD159" s="4" t="str">
        <f t="shared" si="2"/>
        <v>EF1 E001 HGC</v>
      </c>
    </row>
    <row r="160" spans="1:30" s="14" customFormat="1" ht="30" x14ac:dyDescent="0.25">
      <c r="A160" s="30" t="s">
        <v>392</v>
      </c>
      <c r="B160" s="22" t="s">
        <v>31</v>
      </c>
      <c r="C160" s="31" t="s">
        <v>32</v>
      </c>
      <c r="D160" s="31" t="s">
        <v>33</v>
      </c>
      <c r="E160" s="32">
        <v>149</v>
      </c>
      <c r="F160" s="32">
        <v>1</v>
      </c>
      <c r="G160" s="32">
        <v>3</v>
      </c>
      <c r="H160" s="32"/>
      <c r="I160" s="30" t="s">
        <v>34</v>
      </c>
      <c r="J160" s="30"/>
      <c r="K160" s="32"/>
      <c r="L160" s="32"/>
      <c r="M160" s="30"/>
      <c r="N160" s="30"/>
      <c r="O160" s="33" t="s">
        <v>393</v>
      </c>
      <c r="P160" s="26"/>
      <c r="Q160" s="23"/>
      <c r="R160" s="25"/>
      <c r="S160" s="25"/>
      <c r="T160" s="25"/>
      <c r="U160" s="25"/>
      <c r="V160" s="25"/>
      <c r="W160" s="23" t="s">
        <v>154</v>
      </c>
      <c r="X160" s="4" t="str">
        <f>IF(Tabela2[[#This Row],[SIGLA]]="","",VLOOKUP(Tabela2[[#This Row],[SIGLA]],créditos_base!B:C,2,0))</f>
        <v>VICTOR LEMOS/ARQUIVO DA EDITORA</v>
      </c>
      <c r="Y160" s="24"/>
      <c r="Z160" s="24" t="str">
        <f>Tabela2[[#This Row],[ILUSTRADOR CRIAÇÃO]]</f>
        <v>VICTOR LEMOS/ARQUIVO DA EDITORA</v>
      </c>
      <c r="AA160" s="23"/>
      <c r="AB160" s="22"/>
      <c r="AC160" s="22"/>
      <c r="AD160" s="4" t="str">
        <f t="shared" si="2"/>
        <v>EF1 E001 HGC</v>
      </c>
    </row>
    <row r="161" spans="1:30" s="14" customFormat="1" ht="105" x14ac:dyDescent="0.25">
      <c r="A161" s="24" t="s">
        <v>394</v>
      </c>
      <c r="B161" s="22" t="s">
        <v>31</v>
      </c>
      <c r="C161" s="22" t="s">
        <v>32</v>
      </c>
      <c r="D161" s="22" t="s">
        <v>33</v>
      </c>
      <c r="E161" s="23">
        <v>151</v>
      </c>
      <c r="F161" s="23">
        <v>1</v>
      </c>
      <c r="G161" s="23">
        <v>3</v>
      </c>
      <c r="H161" s="23"/>
      <c r="I161" s="24" t="s">
        <v>38</v>
      </c>
      <c r="J161" s="24"/>
      <c r="K161" s="23"/>
      <c r="L161" s="23"/>
      <c r="M161" s="24"/>
      <c r="N161" s="24"/>
      <c r="O161" s="26" t="s">
        <v>395</v>
      </c>
      <c r="P161" s="26"/>
      <c r="Q161" s="23">
        <v>16</v>
      </c>
      <c r="R161" s="25">
        <v>45812</v>
      </c>
      <c r="S161" s="25">
        <v>45817</v>
      </c>
      <c r="T161" s="25"/>
      <c r="U161" s="25"/>
      <c r="V161" s="25">
        <v>45817</v>
      </c>
      <c r="W161" s="23" t="s">
        <v>59</v>
      </c>
      <c r="X161" s="4" t="str">
        <f>IF(Tabela2[[#This Row],[SIGLA]]="","",VLOOKUP(Tabela2[[#This Row],[SIGLA]],créditos_base!B:C,2,0))</f>
        <v>DANILO SANTOS/ARQUIVO DA EDITORA</v>
      </c>
      <c r="Y161" s="24" t="s">
        <v>170</v>
      </c>
      <c r="Z161" s="24" t="str">
        <f>Tabela2[[#This Row],[ILUSTRADOR CRIAÇÃO]]</f>
        <v>DANILO SANTOS/ARQUIVO DA EDITORA</v>
      </c>
      <c r="AA161" s="23">
        <v>13</v>
      </c>
      <c r="AB161" s="22" t="s">
        <v>396</v>
      </c>
      <c r="AC161" s="22" t="s">
        <v>43</v>
      </c>
      <c r="AD161" s="4" t="str">
        <f t="shared" si="2"/>
        <v>EF1 E001 HGC</v>
      </c>
    </row>
    <row r="162" spans="1:30" s="14" customFormat="1" ht="30" x14ac:dyDescent="0.25">
      <c r="A162" s="30" t="s">
        <v>397</v>
      </c>
      <c r="B162" s="22" t="s">
        <v>31</v>
      </c>
      <c r="C162" s="31" t="s">
        <v>32</v>
      </c>
      <c r="D162" s="31" t="s">
        <v>33</v>
      </c>
      <c r="E162" s="32">
        <v>151</v>
      </c>
      <c r="F162" s="32">
        <v>1</v>
      </c>
      <c r="G162" s="32">
        <v>3</v>
      </c>
      <c r="H162" s="32"/>
      <c r="I162" s="30" t="s">
        <v>34</v>
      </c>
      <c r="J162" s="30"/>
      <c r="K162" s="32"/>
      <c r="L162" s="32"/>
      <c r="M162" s="30"/>
      <c r="N162" s="30"/>
      <c r="O162" s="33" t="s">
        <v>398</v>
      </c>
      <c r="P162" s="26"/>
      <c r="Q162" s="23"/>
      <c r="R162" s="25"/>
      <c r="S162" s="25"/>
      <c r="T162" s="25"/>
      <c r="U162" s="25"/>
      <c r="V162" s="25"/>
      <c r="W162" s="23" t="s">
        <v>59</v>
      </c>
      <c r="X162" s="4" t="str">
        <f>IF(Tabela2[[#This Row],[SIGLA]]="","",VLOOKUP(Tabela2[[#This Row],[SIGLA]],créditos_base!B:C,2,0))</f>
        <v>DANILO SANTOS/ARQUIVO DA EDITORA</v>
      </c>
      <c r="Y162" s="24"/>
      <c r="Z162" s="24" t="str">
        <f>Tabela2[[#This Row],[ILUSTRADOR CRIAÇÃO]]</f>
        <v>DANILO SANTOS/ARQUIVO DA EDITORA</v>
      </c>
      <c r="AA162" s="23"/>
      <c r="AB162" s="22"/>
      <c r="AC162" s="22"/>
      <c r="AD162" s="4" t="str">
        <f t="shared" si="2"/>
        <v>EF1 E001 HGC</v>
      </c>
    </row>
    <row r="163" spans="1:30" s="14" customFormat="1" ht="30" x14ac:dyDescent="0.25">
      <c r="A163" s="24" t="s">
        <v>399</v>
      </c>
      <c r="B163" s="22" t="s">
        <v>31</v>
      </c>
      <c r="C163" s="22" t="s">
        <v>32</v>
      </c>
      <c r="D163" s="22" t="s">
        <v>33</v>
      </c>
      <c r="E163" s="23">
        <v>151</v>
      </c>
      <c r="F163" s="23">
        <v>1</v>
      </c>
      <c r="G163" s="23">
        <v>3</v>
      </c>
      <c r="H163" s="23"/>
      <c r="I163" s="24" t="s">
        <v>34</v>
      </c>
      <c r="J163" s="24"/>
      <c r="K163" s="23"/>
      <c r="L163" s="23"/>
      <c r="M163" s="24"/>
      <c r="N163" s="24"/>
      <c r="O163" s="26" t="s">
        <v>400</v>
      </c>
      <c r="P163" s="26"/>
      <c r="Q163" s="23"/>
      <c r="R163" s="25"/>
      <c r="S163" s="25"/>
      <c r="T163" s="25"/>
      <c r="U163" s="25"/>
      <c r="V163" s="25"/>
      <c r="W163" s="23" t="s">
        <v>59</v>
      </c>
      <c r="X163" s="4" t="str">
        <f>IF(Tabela2[[#This Row],[SIGLA]]="","",VLOOKUP(Tabela2[[#This Row],[SIGLA]],créditos_base!B:C,2,0))</f>
        <v>DANILO SANTOS/ARQUIVO DA EDITORA</v>
      </c>
      <c r="Y163" s="24"/>
      <c r="Z163" s="24" t="str">
        <f>Tabela2[[#This Row],[ILUSTRADOR CRIAÇÃO]]</f>
        <v>DANILO SANTOS/ARQUIVO DA EDITORA</v>
      </c>
      <c r="AA163" s="23"/>
      <c r="AB163" s="22"/>
      <c r="AC163" s="22"/>
      <c r="AD163" s="4" t="str">
        <f t="shared" si="2"/>
        <v>EF1 E001 HGC</v>
      </c>
    </row>
    <row r="164" spans="1:30" s="14" customFormat="1" ht="30" x14ac:dyDescent="0.25">
      <c r="A164" s="30" t="s">
        <v>401</v>
      </c>
      <c r="B164" s="22" t="s">
        <v>31</v>
      </c>
      <c r="C164" s="31" t="s">
        <v>32</v>
      </c>
      <c r="D164" s="31" t="s">
        <v>33</v>
      </c>
      <c r="E164" s="32">
        <v>151</v>
      </c>
      <c r="F164" s="32">
        <v>1</v>
      </c>
      <c r="G164" s="32">
        <v>3</v>
      </c>
      <c r="H164" s="32"/>
      <c r="I164" s="30" t="s">
        <v>34</v>
      </c>
      <c r="J164" s="30"/>
      <c r="K164" s="32"/>
      <c r="L164" s="32"/>
      <c r="M164" s="30"/>
      <c r="N164" s="30"/>
      <c r="O164" s="33" t="s">
        <v>402</v>
      </c>
      <c r="P164" s="26"/>
      <c r="Q164" s="23"/>
      <c r="R164" s="25"/>
      <c r="S164" s="25"/>
      <c r="T164" s="25"/>
      <c r="U164" s="25"/>
      <c r="V164" s="25"/>
      <c r="W164" s="23" t="s">
        <v>59</v>
      </c>
      <c r="X164" s="4" t="str">
        <f>IF(Tabela2[[#This Row],[SIGLA]]="","",VLOOKUP(Tabela2[[#This Row],[SIGLA]],créditos_base!B:C,2,0))</f>
        <v>DANILO SANTOS/ARQUIVO DA EDITORA</v>
      </c>
      <c r="Y164" s="24"/>
      <c r="Z164" s="24" t="str">
        <f>Tabela2[[#This Row],[ILUSTRADOR CRIAÇÃO]]</f>
        <v>DANILO SANTOS/ARQUIVO DA EDITORA</v>
      </c>
      <c r="AA164" s="23"/>
      <c r="AB164" s="22"/>
      <c r="AC164" s="22"/>
      <c r="AD164" s="4" t="str">
        <f t="shared" si="2"/>
        <v>EF1 E001 HGC</v>
      </c>
    </row>
    <row r="165" spans="1:30" s="14" customFormat="1" ht="180" x14ac:dyDescent="0.25">
      <c r="A165" s="24" t="s">
        <v>403</v>
      </c>
      <c r="B165" s="22" t="s">
        <v>31</v>
      </c>
      <c r="C165" s="22" t="s">
        <v>32</v>
      </c>
      <c r="D165" s="22" t="s">
        <v>33</v>
      </c>
      <c r="E165" s="23">
        <v>154</v>
      </c>
      <c r="F165" s="23">
        <v>1</v>
      </c>
      <c r="G165" s="23">
        <v>3</v>
      </c>
      <c r="H165" s="23"/>
      <c r="I165" s="24" t="s">
        <v>38</v>
      </c>
      <c r="J165" s="24"/>
      <c r="K165" s="23"/>
      <c r="L165" s="23"/>
      <c r="M165" s="24"/>
      <c r="N165" s="24"/>
      <c r="O165" s="26" t="s">
        <v>404</v>
      </c>
      <c r="P165" s="26"/>
      <c r="Q165" s="23">
        <v>7</v>
      </c>
      <c r="R165" s="25">
        <v>45757</v>
      </c>
      <c r="S165" s="25">
        <v>45757</v>
      </c>
      <c r="T165" s="25"/>
      <c r="U165" s="25"/>
      <c r="V165" s="25">
        <v>45761</v>
      </c>
      <c r="W165" s="23" t="s">
        <v>405</v>
      </c>
      <c r="X165" s="4" t="str">
        <f>IF(Tabela2[[#This Row],[SIGLA]]="","",VLOOKUP(Tabela2[[#This Row],[SIGLA]],créditos_base!B:C,2,0))</f>
        <v>THIAGO LOPES/ARQUIVO DA EDITORA</v>
      </c>
      <c r="Y165" s="24" t="s">
        <v>70</v>
      </c>
      <c r="Z165" s="24" t="str">
        <f>Tabela2[[#This Row],[ILUSTRADOR CRIAÇÃO]]</f>
        <v>THIAGO LOPES/ARQUIVO DA EDITORA</v>
      </c>
      <c r="AA165" s="23">
        <v>13</v>
      </c>
      <c r="AB165" s="22" t="s">
        <v>71</v>
      </c>
      <c r="AC165" s="22" t="s">
        <v>43</v>
      </c>
      <c r="AD165" s="4" t="str">
        <f t="shared" si="2"/>
        <v>EF1 E001 HGC</v>
      </c>
    </row>
    <row r="166" spans="1:30" s="14" customFormat="1" ht="150" x14ac:dyDescent="0.25">
      <c r="A166" s="30" t="s">
        <v>406</v>
      </c>
      <c r="B166" s="22" t="s">
        <v>175</v>
      </c>
      <c r="C166" s="31" t="s">
        <v>32</v>
      </c>
      <c r="D166" s="31" t="s">
        <v>33</v>
      </c>
      <c r="E166" s="32">
        <v>154</v>
      </c>
      <c r="F166" s="32">
        <v>1</v>
      </c>
      <c r="G166" s="32">
        <v>3</v>
      </c>
      <c r="H166" s="32"/>
      <c r="I166" s="30" t="s">
        <v>38</v>
      </c>
      <c r="J166" s="30"/>
      <c r="K166" s="32"/>
      <c r="L166" s="32"/>
      <c r="M166" s="30"/>
      <c r="N166" s="30"/>
      <c r="O166" s="33" t="s">
        <v>407</v>
      </c>
      <c r="P166" s="26"/>
      <c r="Q166" s="23">
        <v>7</v>
      </c>
      <c r="R166" s="25">
        <v>45757</v>
      </c>
      <c r="S166" s="25">
        <v>45757</v>
      </c>
      <c r="T166" s="25"/>
      <c r="U166" s="25"/>
      <c r="V166" s="25">
        <v>45761</v>
      </c>
      <c r="W166" s="23" t="s">
        <v>169</v>
      </c>
      <c r="X166" s="4" t="str">
        <f>IF(Tabela2[[#This Row],[SIGLA]]="","",VLOOKUP(Tabela2[[#This Row],[SIGLA]],créditos_base!B:C,2,0))</f>
        <v>GUSTAVO RAMOS/ARQUIVO DA EDITORA</v>
      </c>
      <c r="Y166" s="24" t="s">
        <v>70</v>
      </c>
      <c r="Z166" s="24" t="str">
        <f>Tabela2[[#This Row],[ILUSTRADOR CRIAÇÃO]]</f>
        <v>GUSTAVO RAMOS/ARQUIVO DA EDITORA</v>
      </c>
      <c r="AA166" s="23">
        <v>13</v>
      </c>
      <c r="AB166" s="22" t="s">
        <v>71</v>
      </c>
      <c r="AC166" s="22" t="s">
        <v>43</v>
      </c>
      <c r="AD166" s="4" t="str">
        <f t="shared" si="2"/>
        <v>EF1 E001 HGC</v>
      </c>
    </row>
    <row r="167" spans="1:30" s="14" customFormat="1" ht="45" x14ac:dyDescent="0.25">
      <c r="A167" s="24" t="s">
        <v>408</v>
      </c>
      <c r="B167" s="31" t="s">
        <v>31</v>
      </c>
      <c r="C167" s="22" t="s">
        <v>32</v>
      </c>
      <c r="D167" s="22" t="s">
        <v>33</v>
      </c>
      <c r="E167" s="23">
        <v>154</v>
      </c>
      <c r="F167" s="23">
        <v>1</v>
      </c>
      <c r="G167" s="23">
        <v>3</v>
      </c>
      <c r="H167" s="23"/>
      <c r="I167" s="24" t="s">
        <v>38</v>
      </c>
      <c r="J167" s="24"/>
      <c r="K167" s="23"/>
      <c r="L167" s="23"/>
      <c r="M167" s="24"/>
      <c r="N167" s="24"/>
      <c r="O167" s="26" t="s">
        <v>409</v>
      </c>
      <c r="P167" s="26"/>
      <c r="Q167" s="23">
        <v>16</v>
      </c>
      <c r="R167" s="25">
        <v>45812</v>
      </c>
      <c r="S167" s="25">
        <v>45817</v>
      </c>
      <c r="T167" s="25"/>
      <c r="U167" s="25"/>
      <c r="V167" s="25">
        <v>45817</v>
      </c>
      <c r="W167" s="23" t="s">
        <v>169</v>
      </c>
      <c r="X167" s="4" t="str">
        <f>IF(Tabela2[[#This Row],[SIGLA]]="","",VLOOKUP(Tabela2[[#This Row],[SIGLA]],créditos_base!B:C,2,0))</f>
        <v>GUSTAVO RAMOS/ARQUIVO DA EDITORA</v>
      </c>
      <c r="Y167" s="24" t="s">
        <v>170</v>
      </c>
      <c r="Z167" s="24" t="str">
        <f>Tabela2[[#This Row],[ILUSTRADOR CRIAÇÃO]]</f>
        <v>GUSTAVO RAMOS/ARQUIVO DA EDITORA</v>
      </c>
      <c r="AA167" s="23">
        <v>13</v>
      </c>
      <c r="AB167" s="22" t="s">
        <v>396</v>
      </c>
      <c r="AC167" s="22" t="s">
        <v>43</v>
      </c>
      <c r="AD167" s="4" t="str">
        <f t="shared" si="2"/>
        <v>EF1 E001 HGC</v>
      </c>
    </row>
    <row r="168" spans="1:30" s="14" customFormat="1" ht="45" x14ac:dyDescent="0.25">
      <c r="A168" s="30" t="s">
        <v>410</v>
      </c>
      <c r="B168" s="22" t="s">
        <v>31</v>
      </c>
      <c r="C168" s="31" t="s">
        <v>32</v>
      </c>
      <c r="D168" s="31" t="s">
        <v>33</v>
      </c>
      <c r="E168" s="32">
        <v>160</v>
      </c>
      <c r="F168" s="32">
        <v>1</v>
      </c>
      <c r="G168" s="32">
        <v>3</v>
      </c>
      <c r="H168" s="32"/>
      <c r="I168" s="30" t="s">
        <v>34</v>
      </c>
      <c r="J168" s="30"/>
      <c r="K168" s="32"/>
      <c r="L168" s="32"/>
      <c r="M168" s="30"/>
      <c r="N168" s="30"/>
      <c r="O168" s="33" t="s">
        <v>411</v>
      </c>
      <c r="P168" s="26"/>
      <c r="Q168" s="23"/>
      <c r="R168" s="25"/>
      <c r="S168" s="25"/>
      <c r="T168" s="25"/>
      <c r="U168" s="25"/>
      <c r="V168" s="25"/>
      <c r="W168" s="23" t="s">
        <v>412</v>
      </c>
      <c r="X168" s="4" t="str">
        <f>IF(Tabela2[[#This Row],[SIGLA]]="","",VLOOKUP(Tabela2[[#This Row],[SIGLA]],créditos_base!B:C,2,0))</f>
        <v>ERIK MALAGRINO/ARQUIVO DA EDITORA</v>
      </c>
      <c r="Y168" s="24"/>
      <c r="Z168" s="24" t="str">
        <f>Tabela2[[#This Row],[ILUSTRADOR CRIAÇÃO]]</f>
        <v>ERIK MALAGRINO/ARQUIVO DA EDITORA</v>
      </c>
      <c r="AA168" s="23"/>
      <c r="AB168" s="22"/>
      <c r="AC168" s="22"/>
      <c r="AD168" s="4" t="str">
        <f t="shared" si="2"/>
        <v>EF1 E001 HGC</v>
      </c>
    </row>
    <row r="169" spans="1:30" s="14" customFormat="1" ht="45" x14ac:dyDescent="0.25">
      <c r="A169" s="24" t="s">
        <v>413</v>
      </c>
      <c r="B169" s="22" t="s">
        <v>31</v>
      </c>
      <c r="C169" s="22" t="s">
        <v>32</v>
      </c>
      <c r="D169" s="22" t="s">
        <v>33</v>
      </c>
      <c r="E169" s="23">
        <v>161</v>
      </c>
      <c r="F169" s="23">
        <v>1</v>
      </c>
      <c r="G169" s="23">
        <v>3</v>
      </c>
      <c r="H169" s="23"/>
      <c r="I169" s="24" t="s">
        <v>34</v>
      </c>
      <c r="J169" s="24"/>
      <c r="K169" s="23"/>
      <c r="L169" s="23"/>
      <c r="M169" s="24"/>
      <c r="N169" s="24"/>
      <c r="O169" s="26" t="s">
        <v>414</v>
      </c>
      <c r="P169" s="26"/>
      <c r="Q169" s="23"/>
      <c r="R169" s="25"/>
      <c r="S169" s="25"/>
      <c r="T169" s="25"/>
      <c r="U169" s="25"/>
      <c r="V169" s="25"/>
      <c r="W169" s="23" t="s">
        <v>412</v>
      </c>
      <c r="X169" s="4" t="str">
        <f>IF(Tabela2[[#This Row],[SIGLA]]="","",VLOOKUP(Tabela2[[#This Row],[SIGLA]],créditos_base!B:C,2,0))</f>
        <v>ERIK MALAGRINO/ARQUIVO DA EDITORA</v>
      </c>
      <c r="Y169" s="24"/>
      <c r="Z169" s="24" t="str">
        <f>Tabela2[[#This Row],[ILUSTRADOR CRIAÇÃO]]</f>
        <v>ERIK MALAGRINO/ARQUIVO DA EDITORA</v>
      </c>
      <c r="AA169" s="23"/>
      <c r="AB169" s="22"/>
      <c r="AC169" s="22"/>
      <c r="AD169" s="4" t="str">
        <f t="shared" si="2"/>
        <v>EF1 E001 HGC</v>
      </c>
    </row>
    <row r="170" spans="1:30" s="14" customFormat="1" ht="75" x14ac:dyDescent="0.25">
      <c r="A170" s="30" t="s">
        <v>415</v>
      </c>
      <c r="B170" s="31" t="s">
        <v>31</v>
      </c>
      <c r="C170" s="31" t="s">
        <v>32</v>
      </c>
      <c r="D170" s="31" t="s">
        <v>33</v>
      </c>
      <c r="E170" s="32">
        <v>161</v>
      </c>
      <c r="F170" s="32">
        <v>1</v>
      </c>
      <c r="G170" s="32">
        <v>3</v>
      </c>
      <c r="H170" s="32"/>
      <c r="I170" s="30" t="s">
        <v>38</v>
      </c>
      <c r="J170" s="30"/>
      <c r="K170" s="32"/>
      <c r="L170" s="32"/>
      <c r="M170" s="30"/>
      <c r="N170" s="30"/>
      <c r="O170" s="33" t="s">
        <v>416</v>
      </c>
      <c r="P170" s="26"/>
      <c r="Q170" s="23">
        <v>7</v>
      </c>
      <c r="R170" s="25">
        <v>45757</v>
      </c>
      <c r="S170" s="25">
        <v>45757</v>
      </c>
      <c r="T170" s="25"/>
      <c r="U170" s="25"/>
      <c r="V170" s="25">
        <v>45761</v>
      </c>
      <c r="W170" s="23" t="s">
        <v>412</v>
      </c>
      <c r="X170" s="4" t="str">
        <f>IF(Tabela2[[#This Row],[SIGLA]]="","",VLOOKUP(Tabela2[[#This Row],[SIGLA]],créditos_base!B:C,2,0))</f>
        <v>ERIK MALAGRINO/ARQUIVO DA EDITORA</v>
      </c>
      <c r="Y170" s="24" t="s">
        <v>70</v>
      </c>
      <c r="Z170" s="24" t="str">
        <f>Tabela2[[#This Row],[ILUSTRADOR CRIAÇÃO]]</f>
        <v>ERIK MALAGRINO/ARQUIVO DA EDITORA</v>
      </c>
      <c r="AA170" s="23">
        <v>13</v>
      </c>
      <c r="AB170" s="22" t="s">
        <v>71</v>
      </c>
      <c r="AC170" s="22" t="s">
        <v>43</v>
      </c>
      <c r="AD170" s="4" t="str">
        <f t="shared" si="2"/>
        <v>EF1 E001 HGC</v>
      </c>
    </row>
    <row r="171" spans="1:30" s="14" customFormat="1" ht="45" x14ac:dyDescent="0.25">
      <c r="A171" s="24" t="s">
        <v>417</v>
      </c>
      <c r="B171" s="22" t="s">
        <v>31</v>
      </c>
      <c r="C171" s="22" t="s">
        <v>32</v>
      </c>
      <c r="D171" s="22" t="s">
        <v>33</v>
      </c>
      <c r="E171" s="23">
        <v>161</v>
      </c>
      <c r="F171" s="23">
        <v>1</v>
      </c>
      <c r="G171" s="23">
        <v>3</v>
      </c>
      <c r="H171" s="23"/>
      <c r="I171" s="24" t="s">
        <v>34</v>
      </c>
      <c r="J171" s="24"/>
      <c r="K171" s="23"/>
      <c r="L171" s="23"/>
      <c r="M171" s="24"/>
      <c r="N171" s="24"/>
      <c r="O171" s="26" t="s">
        <v>418</v>
      </c>
      <c r="P171" s="26"/>
      <c r="Q171" s="23"/>
      <c r="R171" s="25"/>
      <c r="S171" s="25"/>
      <c r="T171" s="25"/>
      <c r="U171" s="25"/>
      <c r="V171" s="25"/>
      <c r="W171" s="23" t="s">
        <v>412</v>
      </c>
      <c r="X171" s="4" t="str">
        <f>IF(Tabela2[[#This Row],[SIGLA]]="","",VLOOKUP(Tabela2[[#This Row],[SIGLA]],créditos_base!B:C,2,0))</f>
        <v>ERIK MALAGRINO/ARQUIVO DA EDITORA</v>
      </c>
      <c r="Y171" s="24"/>
      <c r="Z171" s="24" t="str">
        <f>Tabela2[[#This Row],[ILUSTRADOR CRIAÇÃO]]</f>
        <v>ERIK MALAGRINO/ARQUIVO DA EDITORA</v>
      </c>
      <c r="AA171" s="23"/>
      <c r="AB171" s="22"/>
      <c r="AC171" s="22"/>
      <c r="AD171" s="4" t="str">
        <f t="shared" si="2"/>
        <v>EF1 E001 HGC</v>
      </c>
    </row>
    <row r="172" spans="1:30" s="14" customFormat="1" ht="75" x14ac:dyDescent="0.25">
      <c r="A172" s="30" t="s">
        <v>419</v>
      </c>
      <c r="B172" s="31" t="s">
        <v>31</v>
      </c>
      <c r="C172" s="31" t="s">
        <v>32</v>
      </c>
      <c r="D172" s="31" t="s">
        <v>33</v>
      </c>
      <c r="E172" s="32">
        <v>161</v>
      </c>
      <c r="F172" s="32">
        <v>1</v>
      </c>
      <c r="G172" s="32">
        <v>3</v>
      </c>
      <c r="H172" s="32"/>
      <c r="I172" s="30" t="s">
        <v>38</v>
      </c>
      <c r="J172" s="30"/>
      <c r="K172" s="32"/>
      <c r="L172" s="32"/>
      <c r="M172" s="30"/>
      <c r="N172" s="30"/>
      <c r="O172" s="33" t="s">
        <v>420</v>
      </c>
      <c r="P172" s="26"/>
      <c r="Q172" s="23">
        <v>7</v>
      </c>
      <c r="R172" s="25">
        <v>45757</v>
      </c>
      <c r="S172" s="25">
        <v>45757</v>
      </c>
      <c r="T172" s="25"/>
      <c r="U172" s="25"/>
      <c r="V172" s="25">
        <v>45761</v>
      </c>
      <c r="W172" s="23" t="s">
        <v>412</v>
      </c>
      <c r="X172" s="4" t="str">
        <f>IF(Tabela2[[#This Row],[SIGLA]]="","",VLOOKUP(Tabela2[[#This Row],[SIGLA]],créditos_base!B:C,2,0))</f>
        <v>ERIK MALAGRINO/ARQUIVO DA EDITORA</v>
      </c>
      <c r="Y172" s="24" t="s">
        <v>70</v>
      </c>
      <c r="Z172" s="24" t="str">
        <f>Tabela2[[#This Row],[ILUSTRADOR CRIAÇÃO]]</f>
        <v>ERIK MALAGRINO/ARQUIVO DA EDITORA</v>
      </c>
      <c r="AA172" s="23">
        <v>13</v>
      </c>
      <c r="AB172" s="22" t="s">
        <v>71</v>
      </c>
      <c r="AC172" s="22" t="s">
        <v>43</v>
      </c>
      <c r="AD172" s="4" t="str">
        <f t="shared" si="2"/>
        <v>EF1 E001 HGC</v>
      </c>
    </row>
    <row r="173" spans="1:30" s="14" customFormat="1" ht="60" x14ac:dyDescent="0.25">
      <c r="A173" s="24" t="s">
        <v>421</v>
      </c>
      <c r="B173" s="22" t="s">
        <v>83</v>
      </c>
      <c r="C173" s="22" t="s">
        <v>32</v>
      </c>
      <c r="D173" s="22" t="s">
        <v>33</v>
      </c>
      <c r="E173" s="23">
        <v>163</v>
      </c>
      <c r="F173" s="23">
        <v>1</v>
      </c>
      <c r="G173" s="23">
        <v>3</v>
      </c>
      <c r="H173" s="23"/>
      <c r="I173" s="24" t="s">
        <v>34</v>
      </c>
      <c r="J173" s="24"/>
      <c r="K173" s="23"/>
      <c r="L173" s="23"/>
      <c r="M173" s="24"/>
      <c r="N173" s="24"/>
      <c r="O173" s="26" t="s">
        <v>422</v>
      </c>
      <c r="P173" s="26"/>
      <c r="Q173" s="23"/>
      <c r="R173" s="25"/>
      <c r="S173" s="25"/>
      <c r="T173" s="25"/>
      <c r="U173" s="25"/>
      <c r="V173" s="25"/>
      <c r="W173" s="23" t="s">
        <v>169</v>
      </c>
      <c r="X173" s="4" t="str">
        <f>IF(Tabela2[[#This Row],[SIGLA]]="","",VLOOKUP(Tabela2[[#This Row],[SIGLA]],créditos_base!B:C,2,0))</f>
        <v>GUSTAVO RAMOS/ARQUIVO DA EDITORA</v>
      </c>
      <c r="Y173" s="24"/>
      <c r="Z173" s="24" t="str">
        <f>Tabela2[[#This Row],[ILUSTRADOR CRIAÇÃO]]</f>
        <v>GUSTAVO RAMOS/ARQUIVO DA EDITORA</v>
      </c>
      <c r="AA173" s="23"/>
      <c r="AB173" s="22"/>
      <c r="AC173" s="22"/>
      <c r="AD173" s="4" t="str">
        <f t="shared" si="2"/>
        <v>EF1 E001 HGC</v>
      </c>
    </row>
    <row r="174" spans="1:30" s="14" customFormat="1" ht="45" x14ac:dyDescent="0.25">
      <c r="A174" s="30" t="s">
        <v>423</v>
      </c>
      <c r="B174" s="22" t="s">
        <v>31</v>
      </c>
      <c r="C174" s="31" t="s">
        <v>32</v>
      </c>
      <c r="D174" s="31" t="s">
        <v>33</v>
      </c>
      <c r="E174" s="32">
        <v>163</v>
      </c>
      <c r="F174" s="32">
        <v>1</v>
      </c>
      <c r="G174" s="32">
        <v>3</v>
      </c>
      <c r="H174" s="32"/>
      <c r="I174" s="30" t="s">
        <v>34</v>
      </c>
      <c r="J174" s="30"/>
      <c r="K174" s="32"/>
      <c r="L174" s="32"/>
      <c r="M174" s="30"/>
      <c r="N174" s="30"/>
      <c r="O174" s="33" t="s">
        <v>424</v>
      </c>
      <c r="P174" s="26"/>
      <c r="Q174" s="23"/>
      <c r="R174" s="25"/>
      <c r="S174" s="25"/>
      <c r="T174" s="25"/>
      <c r="U174" s="25"/>
      <c r="V174" s="25"/>
      <c r="W174" s="23" t="s">
        <v>412</v>
      </c>
      <c r="X174" s="4" t="str">
        <f>IF(Tabela2[[#This Row],[SIGLA]]="","",VLOOKUP(Tabela2[[#This Row],[SIGLA]],créditos_base!B:C,2,0))</f>
        <v>ERIK MALAGRINO/ARQUIVO DA EDITORA</v>
      </c>
      <c r="Y174" s="24"/>
      <c r="Z174" s="24" t="str">
        <f>Tabela2[[#This Row],[ILUSTRADOR CRIAÇÃO]]</f>
        <v>ERIK MALAGRINO/ARQUIVO DA EDITORA</v>
      </c>
      <c r="AA174" s="23"/>
      <c r="AB174" s="22"/>
      <c r="AC174" s="22"/>
      <c r="AD174" s="4" t="str">
        <f t="shared" si="2"/>
        <v>EF1 E001 HGC</v>
      </c>
    </row>
    <row r="175" spans="1:30" s="14" customFormat="1" ht="45" x14ac:dyDescent="0.25">
      <c r="A175" s="24" t="s">
        <v>425</v>
      </c>
      <c r="B175" s="22" t="s">
        <v>31</v>
      </c>
      <c r="C175" s="22" t="s">
        <v>32</v>
      </c>
      <c r="D175" s="22" t="s">
        <v>33</v>
      </c>
      <c r="E175" s="23">
        <v>163</v>
      </c>
      <c r="F175" s="23">
        <v>1</v>
      </c>
      <c r="G175" s="23">
        <v>3</v>
      </c>
      <c r="H175" s="23"/>
      <c r="I175" s="24" t="s">
        <v>34</v>
      </c>
      <c r="J175" s="24"/>
      <c r="K175" s="23"/>
      <c r="L175" s="23"/>
      <c r="M175" s="24"/>
      <c r="N175" s="24"/>
      <c r="O175" s="26" t="s">
        <v>426</v>
      </c>
      <c r="P175" s="26"/>
      <c r="Q175" s="23"/>
      <c r="R175" s="25"/>
      <c r="S175" s="25"/>
      <c r="T175" s="25"/>
      <c r="U175" s="25"/>
      <c r="V175" s="25"/>
      <c r="W175" s="23" t="s">
        <v>412</v>
      </c>
      <c r="X175" s="4" t="str">
        <f>IF(Tabela2[[#This Row],[SIGLA]]="","",VLOOKUP(Tabela2[[#This Row],[SIGLA]],créditos_base!B:C,2,0))</f>
        <v>ERIK MALAGRINO/ARQUIVO DA EDITORA</v>
      </c>
      <c r="Y175" s="24"/>
      <c r="Z175" s="24" t="str">
        <f>Tabela2[[#This Row],[ILUSTRADOR CRIAÇÃO]]</f>
        <v>ERIK MALAGRINO/ARQUIVO DA EDITORA</v>
      </c>
      <c r="AA175" s="23"/>
      <c r="AB175" s="22"/>
      <c r="AC175" s="22"/>
      <c r="AD175" s="4" t="str">
        <f t="shared" si="2"/>
        <v>EF1 E001 HGC</v>
      </c>
    </row>
    <row r="176" spans="1:30" s="14" customFormat="1" ht="90" x14ac:dyDescent="0.25">
      <c r="A176" s="30" t="s">
        <v>427</v>
      </c>
      <c r="B176" s="31" t="s">
        <v>31</v>
      </c>
      <c r="C176" s="31" t="s">
        <v>32</v>
      </c>
      <c r="D176" s="31" t="s">
        <v>33</v>
      </c>
      <c r="E176" s="32">
        <v>166</v>
      </c>
      <c r="F176" s="32">
        <v>1</v>
      </c>
      <c r="G176" s="32">
        <v>3</v>
      </c>
      <c r="H176" s="32"/>
      <c r="I176" s="30" t="s">
        <v>38</v>
      </c>
      <c r="J176" s="30"/>
      <c r="K176" s="32"/>
      <c r="L176" s="32"/>
      <c r="M176" s="30"/>
      <c r="N176" s="30"/>
      <c r="O176" s="33" t="s">
        <v>428</v>
      </c>
      <c r="P176" s="26"/>
      <c r="Q176" s="23">
        <v>7</v>
      </c>
      <c r="R176" s="25">
        <v>45757</v>
      </c>
      <c r="S176" s="25">
        <v>45757</v>
      </c>
      <c r="T176" s="25"/>
      <c r="U176" s="25"/>
      <c r="V176" s="25">
        <v>45761</v>
      </c>
      <c r="W176" s="23" t="s">
        <v>412</v>
      </c>
      <c r="X176" s="4" t="str">
        <f>IF(Tabela2[[#This Row],[SIGLA]]="","",VLOOKUP(Tabela2[[#This Row],[SIGLA]],créditos_base!B:C,2,0))</f>
        <v>ERIK MALAGRINO/ARQUIVO DA EDITORA</v>
      </c>
      <c r="Y176" s="24" t="s">
        <v>70</v>
      </c>
      <c r="Z176" s="24" t="str">
        <f>Tabela2[[#This Row],[ILUSTRADOR CRIAÇÃO]]</f>
        <v>ERIK MALAGRINO/ARQUIVO DA EDITORA</v>
      </c>
      <c r="AA176" s="23">
        <v>13</v>
      </c>
      <c r="AB176" s="22" t="s">
        <v>71</v>
      </c>
      <c r="AC176" s="22" t="s">
        <v>43</v>
      </c>
      <c r="AD176" s="4" t="str">
        <f t="shared" si="2"/>
        <v>EF1 E001 HGC</v>
      </c>
    </row>
    <row r="177" spans="1:30" s="14" customFormat="1" ht="45" x14ac:dyDescent="0.25">
      <c r="A177" s="24" t="s">
        <v>429</v>
      </c>
      <c r="B177" s="22" t="s">
        <v>83</v>
      </c>
      <c r="C177" s="22" t="s">
        <v>32</v>
      </c>
      <c r="D177" s="22" t="s">
        <v>33</v>
      </c>
      <c r="E177" s="23">
        <v>166</v>
      </c>
      <c r="F177" s="23">
        <v>1</v>
      </c>
      <c r="G177" s="23">
        <v>3</v>
      </c>
      <c r="H177" s="23"/>
      <c r="I177" s="24" t="s">
        <v>34</v>
      </c>
      <c r="J177" s="24"/>
      <c r="K177" s="23"/>
      <c r="L177" s="23"/>
      <c r="M177" s="24"/>
      <c r="N177" s="24"/>
      <c r="O177" s="26" t="s">
        <v>430</v>
      </c>
      <c r="P177" s="26"/>
      <c r="Q177" s="23"/>
      <c r="R177" s="25"/>
      <c r="S177" s="25"/>
      <c r="T177" s="25"/>
      <c r="U177" s="25"/>
      <c r="V177" s="25"/>
      <c r="W177" s="23" t="s">
        <v>412</v>
      </c>
      <c r="X177" s="4" t="str">
        <f>IF(Tabela2[[#This Row],[SIGLA]]="","",VLOOKUP(Tabela2[[#This Row],[SIGLA]],créditos_base!B:C,2,0))</f>
        <v>ERIK MALAGRINO/ARQUIVO DA EDITORA</v>
      </c>
      <c r="Y177" s="24"/>
      <c r="Z177" s="24" t="str">
        <f>Tabela2[[#This Row],[ILUSTRADOR CRIAÇÃO]]</f>
        <v>ERIK MALAGRINO/ARQUIVO DA EDITORA</v>
      </c>
      <c r="AA177" s="23"/>
      <c r="AB177" s="22"/>
      <c r="AC177" s="22"/>
      <c r="AD177" s="4" t="str">
        <f t="shared" si="2"/>
        <v>EF1 E001 HGC</v>
      </c>
    </row>
    <row r="178" spans="1:30" s="14" customFormat="1" ht="30" x14ac:dyDescent="0.25">
      <c r="A178" s="30" t="s">
        <v>431</v>
      </c>
      <c r="B178" s="22" t="s">
        <v>31</v>
      </c>
      <c r="C178" s="31" t="s">
        <v>32</v>
      </c>
      <c r="D178" s="31" t="s">
        <v>33</v>
      </c>
      <c r="E178" s="32">
        <v>167</v>
      </c>
      <c r="F178" s="32">
        <v>1</v>
      </c>
      <c r="G178" s="32">
        <v>3</v>
      </c>
      <c r="H178" s="32"/>
      <c r="I178" s="30" t="s">
        <v>34</v>
      </c>
      <c r="J178" s="30"/>
      <c r="K178" s="32"/>
      <c r="L178" s="32"/>
      <c r="M178" s="30"/>
      <c r="N178" s="30"/>
      <c r="O178" s="33" t="s">
        <v>432</v>
      </c>
      <c r="P178" s="26"/>
      <c r="Q178" s="23"/>
      <c r="R178" s="25"/>
      <c r="S178" s="25"/>
      <c r="T178" s="25"/>
      <c r="U178" s="25"/>
      <c r="V178" s="25"/>
      <c r="W178" s="23" t="s">
        <v>59</v>
      </c>
      <c r="X178" s="4" t="str">
        <f>IF(Tabela2[[#This Row],[SIGLA]]="","",VLOOKUP(Tabela2[[#This Row],[SIGLA]],créditos_base!B:C,2,0))</f>
        <v>DANILO SANTOS/ARQUIVO DA EDITORA</v>
      </c>
      <c r="Y178" s="24"/>
      <c r="Z178" s="24" t="str">
        <f>Tabela2[[#This Row],[ILUSTRADOR CRIAÇÃO]]</f>
        <v>DANILO SANTOS/ARQUIVO DA EDITORA</v>
      </c>
      <c r="AA178" s="23"/>
      <c r="AB178" s="22"/>
      <c r="AC178" s="22"/>
      <c r="AD178" s="4" t="str">
        <f t="shared" si="2"/>
        <v>EF1 E001 HGC</v>
      </c>
    </row>
    <row r="179" spans="1:30" s="14" customFormat="1" ht="30" x14ac:dyDescent="0.25">
      <c r="A179" s="24" t="s">
        <v>433</v>
      </c>
      <c r="B179" s="22" t="s">
        <v>434</v>
      </c>
      <c r="C179" s="22" t="s">
        <v>32</v>
      </c>
      <c r="D179" s="22" t="s">
        <v>33</v>
      </c>
      <c r="E179" s="23">
        <v>167</v>
      </c>
      <c r="F179" s="23">
        <v>1</v>
      </c>
      <c r="G179" s="23">
        <v>3</v>
      </c>
      <c r="H179" s="23"/>
      <c r="I179" s="24" t="s">
        <v>38</v>
      </c>
      <c r="J179" s="24"/>
      <c r="K179" s="23"/>
      <c r="L179" s="23"/>
      <c r="M179" s="24"/>
      <c r="N179" s="24"/>
      <c r="O179" s="26" t="s">
        <v>435</v>
      </c>
      <c r="P179" s="26"/>
      <c r="Q179" s="23">
        <v>35</v>
      </c>
      <c r="R179" s="25">
        <v>45925</v>
      </c>
      <c r="S179" s="25">
        <v>45925</v>
      </c>
      <c r="T179" s="25"/>
      <c r="U179" s="25"/>
      <c r="V179" s="25">
        <v>45925</v>
      </c>
      <c r="W179" s="23" t="s">
        <v>59</v>
      </c>
      <c r="X179" s="4" t="str">
        <f>IF(Tabela2[[#This Row],[SIGLA]]="","",VLOOKUP(Tabela2[[#This Row],[SIGLA]],créditos_base!B:C,2,0))</f>
        <v>DANILO SANTOS/ARQUIVO DA EDITORA</v>
      </c>
      <c r="Y179" s="24" t="s">
        <v>70</v>
      </c>
      <c r="Z179" s="24" t="str">
        <f>Tabela2[[#This Row],[ILUSTRADOR CRIAÇÃO]]</f>
        <v>DANILO SANTOS/ARQUIVO DA EDITORA</v>
      </c>
      <c r="AA179" s="23">
        <v>13</v>
      </c>
      <c r="AB179" s="22" t="s">
        <v>71</v>
      </c>
      <c r="AC179" s="22" t="s">
        <v>43</v>
      </c>
      <c r="AD179" s="4" t="str">
        <f t="shared" si="2"/>
        <v>EF1 E001 HGC</v>
      </c>
    </row>
    <row r="180" spans="1:30" s="14" customFormat="1" ht="30" x14ac:dyDescent="0.25">
      <c r="A180" s="30" t="s">
        <v>436</v>
      </c>
      <c r="B180" s="31" t="s">
        <v>83</v>
      </c>
      <c r="C180" s="31" t="s">
        <v>32</v>
      </c>
      <c r="D180" s="31" t="s">
        <v>33</v>
      </c>
      <c r="E180" s="32">
        <v>171</v>
      </c>
      <c r="F180" s="32">
        <v>1</v>
      </c>
      <c r="G180" s="32">
        <v>3</v>
      </c>
      <c r="H180" s="32"/>
      <c r="I180" s="30" t="s">
        <v>34</v>
      </c>
      <c r="J180" s="30"/>
      <c r="K180" s="32"/>
      <c r="L180" s="32"/>
      <c r="M180" s="30"/>
      <c r="N180" s="30"/>
      <c r="O180" s="33" t="s">
        <v>437</v>
      </c>
      <c r="P180" s="26"/>
      <c r="Q180" s="23"/>
      <c r="R180" s="25"/>
      <c r="S180" s="25"/>
      <c r="T180" s="25"/>
      <c r="U180" s="25"/>
      <c r="V180" s="25"/>
      <c r="W180" s="23" t="s">
        <v>59</v>
      </c>
      <c r="X180" s="4" t="str">
        <f>IF(Tabela2[[#This Row],[SIGLA]]="","",VLOOKUP(Tabela2[[#This Row],[SIGLA]],créditos_base!B:C,2,0))</f>
        <v>DANILO SANTOS/ARQUIVO DA EDITORA</v>
      </c>
      <c r="Y180" s="24"/>
      <c r="Z180" s="24" t="str">
        <f>Tabela2[[#This Row],[ILUSTRADOR CRIAÇÃO]]</f>
        <v>DANILO SANTOS/ARQUIVO DA EDITORA</v>
      </c>
      <c r="AA180" s="23"/>
      <c r="AB180" s="22"/>
      <c r="AC180" s="22"/>
      <c r="AD180" s="4" t="str">
        <f t="shared" si="2"/>
        <v>EF1 E001 HGC</v>
      </c>
    </row>
    <row r="181" spans="1:30" s="14" customFormat="1" ht="45" x14ac:dyDescent="0.25">
      <c r="A181" s="24" t="s">
        <v>438</v>
      </c>
      <c r="B181" s="22" t="s">
        <v>83</v>
      </c>
      <c r="C181" s="22" t="s">
        <v>32</v>
      </c>
      <c r="D181" s="22" t="s">
        <v>33</v>
      </c>
      <c r="E181" s="23">
        <v>171</v>
      </c>
      <c r="F181" s="23">
        <v>1</v>
      </c>
      <c r="G181" s="23">
        <v>3</v>
      </c>
      <c r="H181" s="23"/>
      <c r="I181" s="24" t="s">
        <v>34</v>
      </c>
      <c r="J181" s="24"/>
      <c r="K181" s="23"/>
      <c r="L181" s="23"/>
      <c r="M181" s="24"/>
      <c r="N181" s="24"/>
      <c r="O181" s="26" t="s">
        <v>439</v>
      </c>
      <c r="P181" s="26"/>
      <c r="Q181" s="23"/>
      <c r="R181" s="25"/>
      <c r="S181" s="25"/>
      <c r="T181" s="25"/>
      <c r="U181" s="25"/>
      <c r="V181" s="25"/>
      <c r="W181" s="23" t="s">
        <v>59</v>
      </c>
      <c r="X181" s="4" t="str">
        <f>IF(Tabela2[[#This Row],[SIGLA]]="","",VLOOKUP(Tabela2[[#This Row],[SIGLA]],créditos_base!B:C,2,0))</f>
        <v>DANILO SANTOS/ARQUIVO DA EDITORA</v>
      </c>
      <c r="Y181" s="24"/>
      <c r="Z181" s="24" t="str">
        <f>Tabela2[[#This Row],[ILUSTRADOR CRIAÇÃO]]</f>
        <v>DANILO SANTOS/ARQUIVO DA EDITORA</v>
      </c>
      <c r="AA181" s="23"/>
      <c r="AB181" s="22"/>
      <c r="AC181" s="22"/>
      <c r="AD181" s="4" t="str">
        <f t="shared" si="2"/>
        <v>EF1 E001 HGC</v>
      </c>
    </row>
    <row r="182" spans="1:30" s="14" customFormat="1" ht="60" x14ac:dyDescent="0.25">
      <c r="A182" s="30" t="s">
        <v>440</v>
      </c>
      <c r="B182" s="31" t="s">
        <v>83</v>
      </c>
      <c r="C182" s="31" t="s">
        <v>32</v>
      </c>
      <c r="D182" s="31" t="s">
        <v>33</v>
      </c>
      <c r="E182" s="32">
        <v>172</v>
      </c>
      <c r="F182" s="32">
        <v>1</v>
      </c>
      <c r="G182" s="32">
        <v>3</v>
      </c>
      <c r="H182" s="32"/>
      <c r="I182" s="30" t="s">
        <v>38</v>
      </c>
      <c r="J182" s="30"/>
      <c r="K182" s="32"/>
      <c r="L182" s="32"/>
      <c r="M182" s="30"/>
      <c r="N182" s="30"/>
      <c r="O182" s="33" t="s">
        <v>441</v>
      </c>
      <c r="P182" s="26"/>
      <c r="Q182" s="23">
        <v>7</v>
      </c>
      <c r="R182" s="25">
        <v>45757</v>
      </c>
      <c r="S182" s="25">
        <v>45757</v>
      </c>
      <c r="T182" s="25"/>
      <c r="U182" s="25"/>
      <c r="V182" s="25">
        <v>45761</v>
      </c>
      <c r="W182" s="23" t="s">
        <v>48</v>
      </c>
      <c r="X182" s="4" t="str">
        <f>IF(Tabela2[[#This Row],[SIGLA]]="","",VLOOKUP(Tabela2[[#This Row],[SIGLA]],créditos_base!B:C,2,0))</f>
        <v>MÁRCIO GUERRA/ARQUIVO DA EDITORA</v>
      </c>
      <c r="Y182" s="24" t="s">
        <v>70</v>
      </c>
      <c r="Z182" s="24" t="str">
        <f>Tabela2[[#This Row],[ILUSTRADOR CRIAÇÃO]]</f>
        <v>MÁRCIO GUERRA/ARQUIVO DA EDITORA</v>
      </c>
      <c r="AA182" s="23">
        <v>13</v>
      </c>
      <c r="AB182" s="22" t="s">
        <v>71</v>
      </c>
      <c r="AC182" s="22" t="s">
        <v>43</v>
      </c>
      <c r="AD182" s="4" t="str">
        <f t="shared" si="2"/>
        <v>EF1 E001 HGC</v>
      </c>
    </row>
    <row r="183" spans="1:30" s="14" customFormat="1" ht="90" x14ac:dyDescent="0.25">
      <c r="A183" s="24" t="s">
        <v>442</v>
      </c>
      <c r="B183" s="31" t="s">
        <v>31</v>
      </c>
      <c r="C183" s="22" t="s">
        <v>32</v>
      </c>
      <c r="D183" s="22" t="s">
        <v>33</v>
      </c>
      <c r="E183" s="23">
        <v>174</v>
      </c>
      <c r="F183" s="23">
        <v>1</v>
      </c>
      <c r="G183" s="23">
        <v>3</v>
      </c>
      <c r="H183" s="23"/>
      <c r="I183" s="24" t="s">
        <v>38</v>
      </c>
      <c r="J183" s="24"/>
      <c r="K183" s="23"/>
      <c r="L183" s="23"/>
      <c r="M183" s="24"/>
      <c r="N183" s="24"/>
      <c r="O183" s="26" t="s">
        <v>443</v>
      </c>
      <c r="P183" s="26"/>
      <c r="Q183" s="23">
        <v>7</v>
      </c>
      <c r="R183" s="25">
        <v>45757</v>
      </c>
      <c r="S183" s="25">
        <v>45757</v>
      </c>
      <c r="T183" s="25"/>
      <c r="U183" s="25"/>
      <c r="V183" s="25">
        <v>45761</v>
      </c>
      <c r="W183" s="23" t="s">
        <v>40</v>
      </c>
      <c r="X183" s="4" t="str">
        <f>IF(Tabela2[[#This Row],[SIGLA]]="","",VLOOKUP(Tabela2[[#This Row],[SIGLA]],créditos_base!B:C,2,0))</f>
        <v>LISLLEY GOMES FEIGE/ARQUIVO DA EDITORA</v>
      </c>
      <c r="Y183" s="24" t="s">
        <v>70</v>
      </c>
      <c r="Z183" s="24" t="str">
        <f>Tabela2[[#This Row],[ILUSTRADOR CRIAÇÃO]]</f>
        <v>LISLLEY GOMES FEIGE/ARQUIVO DA EDITORA</v>
      </c>
      <c r="AA183" s="23">
        <v>13</v>
      </c>
      <c r="AB183" s="22" t="s">
        <v>71</v>
      </c>
      <c r="AC183" s="22" t="s">
        <v>43</v>
      </c>
      <c r="AD183" s="4" t="str">
        <f t="shared" si="2"/>
        <v>EF1 E001 HGC</v>
      </c>
    </row>
    <row r="184" spans="1:30" s="14" customFormat="1" ht="30" x14ac:dyDescent="0.25">
      <c r="A184" s="30" t="s">
        <v>444</v>
      </c>
      <c r="B184" s="22" t="s">
        <v>31</v>
      </c>
      <c r="C184" s="31" t="s">
        <v>32</v>
      </c>
      <c r="D184" s="31" t="s">
        <v>33</v>
      </c>
      <c r="E184" s="32">
        <v>178</v>
      </c>
      <c r="F184" s="32">
        <v>1</v>
      </c>
      <c r="G184" s="32">
        <v>3</v>
      </c>
      <c r="H184" s="32"/>
      <c r="I184" s="30" t="s">
        <v>34</v>
      </c>
      <c r="J184" s="30"/>
      <c r="K184" s="32"/>
      <c r="L184" s="32"/>
      <c r="M184" s="30"/>
      <c r="N184" s="30"/>
      <c r="O184" s="33" t="s">
        <v>445</v>
      </c>
      <c r="P184" s="26"/>
      <c r="Q184" s="23"/>
      <c r="R184" s="25"/>
      <c r="S184" s="25"/>
      <c r="T184" s="25"/>
      <c r="U184" s="25"/>
      <c r="V184" s="25"/>
      <c r="W184" s="23" t="s">
        <v>59</v>
      </c>
      <c r="X184" s="4" t="str">
        <f>IF(Tabela2[[#This Row],[SIGLA]]="","",VLOOKUP(Tabela2[[#This Row],[SIGLA]],créditos_base!B:C,2,0))</f>
        <v>DANILO SANTOS/ARQUIVO DA EDITORA</v>
      </c>
      <c r="Y184" s="24"/>
      <c r="Z184" s="24" t="str">
        <f>Tabela2[[#This Row],[ILUSTRADOR CRIAÇÃO]]</f>
        <v>DANILO SANTOS/ARQUIVO DA EDITORA</v>
      </c>
      <c r="AA184" s="23"/>
      <c r="AB184" s="22"/>
      <c r="AC184" s="22"/>
      <c r="AD184" s="4" t="str">
        <f t="shared" si="2"/>
        <v>EF1 E001 HGC</v>
      </c>
    </row>
    <row r="185" spans="1:30" s="14" customFormat="1" ht="30" x14ac:dyDescent="0.25">
      <c r="A185" s="24" t="s">
        <v>446</v>
      </c>
      <c r="B185" s="22" t="s">
        <v>31</v>
      </c>
      <c r="C185" s="22" t="s">
        <v>32</v>
      </c>
      <c r="D185" s="22" t="s">
        <v>33</v>
      </c>
      <c r="E185" s="23">
        <v>178</v>
      </c>
      <c r="F185" s="23">
        <v>1</v>
      </c>
      <c r="G185" s="23">
        <v>3</v>
      </c>
      <c r="H185" s="23"/>
      <c r="I185" s="24" t="s">
        <v>34</v>
      </c>
      <c r="J185" s="24"/>
      <c r="K185" s="23"/>
      <c r="L185" s="23"/>
      <c r="M185" s="24"/>
      <c r="N185" s="24"/>
      <c r="O185" s="26" t="s">
        <v>447</v>
      </c>
      <c r="P185" s="26"/>
      <c r="Q185" s="23"/>
      <c r="R185" s="25"/>
      <c r="S185" s="25"/>
      <c r="T185" s="25"/>
      <c r="U185" s="25"/>
      <c r="V185" s="25"/>
      <c r="W185" s="23" t="s">
        <v>59</v>
      </c>
      <c r="X185" s="4" t="str">
        <f>IF(Tabela2[[#This Row],[SIGLA]]="","",VLOOKUP(Tabela2[[#This Row],[SIGLA]],créditos_base!B:C,2,0))</f>
        <v>DANILO SANTOS/ARQUIVO DA EDITORA</v>
      </c>
      <c r="Y185" s="24"/>
      <c r="Z185" s="24" t="str">
        <f>Tabela2[[#This Row],[ILUSTRADOR CRIAÇÃO]]</f>
        <v>DANILO SANTOS/ARQUIVO DA EDITORA</v>
      </c>
      <c r="AA185" s="23"/>
      <c r="AB185" s="22"/>
      <c r="AC185" s="22"/>
      <c r="AD185" s="4" t="str">
        <f t="shared" si="2"/>
        <v>EF1 E001 HGC</v>
      </c>
    </row>
    <row r="186" spans="1:30" s="14" customFormat="1" ht="30" x14ac:dyDescent="0.25">
      <c r="A186" s="30" t="s">
        <v>448</v>
      </c>
      <c r="B186" s="22" t="s">
        <v>31</v>
      </c>
      <c r="C186" s="31" t="s">
        <v>32</v>
      </c>
      <c r="D186" s="31" t="s">
        <v>33</v>
      </c>
      <c r="E186" s="32">
        <v>178</v>
      </c>
      <c r="F186" s="32">
        <v>1</v>
      </c>
      <c r="G186" s="32">
        <v>3</v>
      </c>
      <c r="H186" s="32"/>
      <c r="I186" s="30" t="s">
        <v>34</v>
      </c>
      <c r="J186" s="30"/>
      <c r="K186" s="32"/>
      <c r="L186" s="32"/>
      <c r="M186" s="30"/>
      <c r="N186" s="30"/>
      <c r="O186" s="33" t="s">
        <v>449</v>
      </c>
      <c r="P186" s="26"/>
      <c r="Q186" s="23"/>
      <c r="R186" s="25"/>
      <c r="S186" s="25"/>
      <c r="T186" s="25"/>
      <c r="U186" s="25"/>
      <c r="V186" s="25"/>
      <c r="W186" s="23" t="s">
        <v>59</v>
      </c>
      <c r="X186" s="4" t="str">
        <f>IF(Tabela2[[#This Row],[SIGLA]]="","",VLOOKUP(Tabela2[[#This Row],[SIGLA]],créditos_base!B:C,2,0))</f>
        <v>DANILO SANTOS/ARQUIVO DA EDITORA</v>
      </c>
      <c r="Y186" s="24"/>
      <c r="Z186" s="24" t="str">
        <f>Tabela2[[#This Row],[ILUSTRADOR CRIAÇÃO]]</f>
        <v>DANILO SANTOS/ARQUIVO DA EDITORA</v>
      </c>
      <c r="AA186" s="23"/>
      <c r="AB186" s="22"/>
      <c r="AC186" s="22"/>
      <c r="AD186" s="4" t="str">
        <f t="shared" si="2"/>
        <v>EF1 E001 HGC</v>
      </c>
    </row>
    <row r="187" spans="1:30" s="14" customFormat="1" ht="30" x14ac:dyDescent="0.25">
      <c r="A187" s="24" t="s">
        <v>450</v>
      </c>
      <c r="B187" s="22" t="s">
        <v>31</v>
      </c>
      <c r="C187" s="22" t="s">
        <v>32</v>
      </c>
      <c r="D187" s="22" t="s">
        <v>33</v>
      </c>
      <c r="E187" s="23">
        <v>178</v>
      </c>
      <c r="F187" s="23">
        <v>1</v>
      </c>
      <c r="G187" s="23">
        <v>3</v>
      </c>
      <c r="H187" s="23"/>
      <c r="I187" s="24" t="s">
        <v>34</v>
      </c>
      <c r="J187" s="24"/>
      <c r="K187" s="23"/>
      <c r="L187" s="23"/>
      <c r="M187" s="24"/>
      <c r="N187" s="24"/>
      <c r="O187" s="26" t="s">
        <v>451</v>
      </c>
      <c r="P187" s="26"/>
      <c r="Q187" s="23"/>
      <c r="R187" s="25"/>
      <c r="S187" s="25"/>
      <c r="T187" s="25"/>
      <c r="U187" s="25"/>
      <c r="V187" s="25"/>
      <c r="W187" s="23" t="s">
        <v>59</v>
      </c>
      <c r="X187" s="4" t="str">
        <f>IF(Tabela2[[#This Row],[SIGLA]]="","",VLOOKUP(Tabela2[[#This Row],[SIGLA]],créditos_base!B:C,2,0))</f>
        <v>DANILO SANTOS/ARQUIVO DA EDITORA</v>
      </c>
      <c r="Y187" s="24"/>
      <c r="Z187" s="24" t="str">
        <f>Tabela2[[#This Row],[ILUSTRADOR CRIAÇÃO]]</f>
        <v>DANILO SANTOS/ARQUIVO DA EDITORA</v>
      </c>
      <c r="AA187" s="23"/>
      <c r="AB187" s="22"/>
      <c r="AC187" s="22"/>
      <c r="AD187" s="4" t="str">
        <f t="shared" si="2"/>
        <v>EF1 E001 HGC</v>
      </c>
    </row>
    <row r="188" spans="1:30" s="14" customFormat="1" ht="30" x14ac:dyDescent="0.25">
      <c r="A188" s="30" t="s">
        <v>452</v>
      </c>
      <c r="B188" s="22" t="s">
        <v>31</v>
      </c>
      <c r="C188" s="31" t="s">
        <v>32</v>
      </c>
      <c r="D188" s="31" t="s">
        <v>33</v>
      </c>
      <c r="E188" s="32">
        <v>178</v>
      </c>
      <c r="F188" s="32">
        <v>1</v>
      </c>
      <c r="G188" s="32">
        <v>3</v>
      </c>
      <c r="H188" s="32"/>
      <c r="I188" s="30" t="s">
        <v>34</v>
      </c>
      <c r="J188" s="30"/>
      <c r="K188" s="32"/>
      <c r="L188" s="32"/>
      <c r="M188" s="30"/>
      <c r="N188" s="30"/>
      <c r="O188" s="33" t="s">
        <v>453</v>
      </c>
      <c r="P188" s="26"/>
      <c r="Q188" s="23"/>
      <c r="R188" s="25"/>
      <c r="S188" s="25"/>
      <c r="T188" s="25"/>
      <c r="U188" s="25"/>
      <c r="V188" s="25"/>
      <c r="W188" s="23" t="s">
        <v>59</v>
      </c>
      <c r="X188" s="4" t="str">
        <f>IF(Tabela2[[#This Row],[SIGLA]]="","",VLOOKUP(Tabela2[[#This Row],[SIGLA]],créditos_base!B:C,2,0))</f>
        <v>DANILO SANTOS/ARQUIVO DA EDITORA</v>
      </c>
      <c r="Y188" s="24"/>
      <c r="Z188" s="24" t="str">
        <f>Tabela2[[#This Row],[ILUSTRADOR CRIAÇÃO]]</f>
        <v>DANILO SANTOS/ARQUIVO DA EDITORA</v>
      </c>
      <c r="AA188" s="23"/>
      <c r="AB188" s="22"/>
      <c r="AC188" s="22"/>
      <c r="AD188" s="4" t="str">
        <f t="shared" si="2"/>
        <v>EF1 E001 HGC</v>
      </c>
    </row>
    <row r="189" spans="1:30" s="14" customFormat="1" ht="30" x14ac:dyDescent="0.25">
      <c r="A189" s="24" t="s">
        <v>454</v>
      </c>
      <c r="B189" s="22" t="s">
        <v>31</v>
      </c>
      <c r="C189" s="22" t="s">
        <v>32</v>
      </c>
      <c r="D189" s="22" t="s">
        <v>33</v>
      </c>
      <c r="E189" s="23">
        <v>178</v>
      </c>
      <c r="F189" s="23">
        <v>1</v>
      </c>
      <c r="G189" s="23">
        <v>3</v>
      </c>
      <c r="H189" s="23"/>
      <c r="I189" s="24" t="s">
        <v>34</v>
      </c>
      <c r="J189" s="24"/>
      <c r="K189" s="23"/>
      <c r="L189" s="23"/>
      <c r="M189" s="24"/>
      <c r="N189" s="24"/>
      <c r="O189" s="26" t="s">
        <v>455</v>
      </c>
      <c r="P189" s="26"/>
      <c r="Q189" s="23"/>
      <c r="R189" s="25"/>
      <c r="S189" s="25"/>
      <c r="T189" s="25"/>
      <c r="U189" s="25"/>
      <c r="V189" s="25"/>
      <c r="W189" s="23" t="s">
        <v>59</v>
      </c>
      <c r="X189" s="4" t="str">
        <f>IF(Tabela2[[#This Row],[SIGLA]]="","",VLOOKUP(Tabela2[[#This Row],[SIGLA]],créditos_base!B:C,2,0))</f>
        <v>DANILO SANTOS/ARQUIVO DA EDITORA</v>
      </c>
      <c r="Y189" s="24"/>
      <c r="Z189" s="24" t="str">
        <f>Tabela2[[#This Row],[ILUSTRADOR CRIAÇÃO]]</f>
        <v>DANILO SANTOS/ARQUIVO DA EDITORA</v>
      </c>
      <c r="AA189" s="23"/>
      <c r="AB189" s="22"/>
      <c r="AC189" s="22"/>
      <c r="AD189" s="4" t="str">
        <f t="shared" si="2"/>
        <v>EF1 E001 HGC</v>
      </c>
    </row>
    <row r="190" spans="1:30" s="14" customFormat="1" ht="30" x14ac:dyDescent="0.25">
      <c r="A190" s="30" t="s">
        <v>456</v>
      </c>
      <c r="B190" s="22" t="s">
        <v>31</v>
      </c>
      <c r="C190" s="31" t="s">
        <v>32</v>
      </c>
      <c r="D190" s="31" t="s">
        <v>33</v>
      </c>
      <c r="E190" s="32">
        <v>178</v>
      </c>
      <c r="F190" s="32">
        <v>1</v>
      </c>
      <c r="G190" s="32">
        <v>3</v>
      </c>
      <c r="H190" s="32"/>
      <c r="I190" s="30" t="s">
        <v>34</v>
      </c>
      <c r="J190" s="30"/>
      <c r="K190" s="32"/>
      <c r="L190" s="32"/>
      <c r="M190" s="30"/>
      <c r="N190" s="30"/>
      <c r="O190" s="33" t="s">
        <v>457</v>
      </c>
      <c r="P190" s="26"/>
      <c r="Q190" s="23"/>
      <c r="R190" s="25"/>
      <c r="S190" s="25"/>
      <c r="T190" s="25"/>
      <c r="U190" s="25"/>
      <c r="V190" s="25"/>
      <c r="W190" s="23" t="s">
        <v>59</v>
      </c>
      <c r="X190" s="4" t="str">
        <f>IF(Tabela2[[#This Row],[SIGLA]]="","",VLOOKUP(Tabela2[[#This Row],[SIGLA]],créditos_base!B:C,2,0))</f>
        <v>DANILO SANTOS/ARQUIVO DA EDITORA</v>
      </c>
      <c r="Y190" s="24"/>
      <c r="Z190" s="24" t="str">
        <f>Tabela2[[#This Row],[ILUSTRADOR CRIAÇÃO]]</f>
        <v>DANILO SANTOS/ARQUIVO DA EDITORA</v>
      </c>
      <c r="AA190" s="23"/>
      <c r="AB190" s="22"/>
      <c r="AC190" s="22"/>
      <c r="AD190" s="4" t="str">
        <f t="shared" si="2"/>
        <v>EF1 E001 HGC</v>
      </c>
    </row>
    <row r="191" spans="1:30" s="14" customFormat="1" ht="30" x14ac:dyDescent="0.25">
      <c r="A191" s="24" t="s">
        <v>458</v>
      </c>
      <c r="B191" s="22" t="s">
        <v>31</v>
      </c>
      <c r="C191" s="22" t="s">
        <v>32</v>
      </c>
      <c r="D191" s="22" t="s">
        <v>33</v>
      </c>
      <c r="E191" s="23">
        <v>178</v>
      </c>
      <c r="F191" s="23">
        <v>1</v>
      </c>
      <c r="G191" s="23">
        <v>3</v>
      </c>
      <c r="H191" s="23"/>
      <c r="I191" s="24" t="s">
        <v>34</v>
      </c>
      <c r="J191" s="24"/>
      <c r="K191" s="23"/>
      <c r="L191" s="23"/>
      <c r="M191" s="24"/>
      <c r="N191" s="24"/>
      <c r="O191" s="26" t="s">
        <v>459</v>
      </c>
      <c r="P191" s="26"/>
      <c r="Q191" s="23"/>
      <c r="R191" s="25"/>
      <c r="S191" s="25"/>
      <c r="T191" s="25"/>
      <c r="U191" s="25"/>
      <c r="V191" s="25"/>
      <c r="W191" s="23" t="s">
        <v>59</v>
      </c>
      <c r="X191" s="4" t="str">
        <f>IF(Tabela2[[#This Row],[SIGLA]]="","",VLOOKUP(Tabela2[[#This Row],[SIGLA]],créditos_base!B:C,2,0))</f>
        <v>DANILO SANTOS/ARQUIVO DA EDITORA</v>
      </c>
      <c r="Y191" s="24"/>
      <c r="Z191" s="24" t="str">
        <f>Tabela2[[#This Row],[ILUSTRADOR CRIAÇÃO]]</f>
        <v>DANILO SANTOS/ARQUIVO DA EDITORA</v>
      </c>
      <c r="AA191" s="23"/>
      <c r="AB191" s="22"/>
      <c r="AC191" s="22"/>
      <c r="AD191" s="4" t="str">
        <f t="shared" si="2"/>
        <v>EF1 E001 HGC</v>
      </c>
    </row>
    <row r="192" spans="1:30" s="14" customFormat="1" ht="45" x14ac:dyDescent="0.25">
      <c r="A192" s="30" t="s">
        <v>460</v>
      </c>
      <c r="B192" s="22" t="s">
        <v>31</v>
      </c>
      <c r="C192" s="31" t="s">
        <v>32</v>
      </c>
      <c r="D192" s="31" t="s">
        <v>33</v>
      </c>
      <c r="E192" s="32">
        <v>184</v>
      </c>
      <c r="F192" s="32">
        <v>1</v>
      </c>
      <c r="G192" s="32">
        <v>3</v>
      </c>
      <c r="H192" s="32"/>
      <c r="I192" s="30" t="s">
        <v>34</v>
      </c>
      <c r="J192" s="30"/>
      <c r="K192" s="32"/>
      <c r="L192" s="32"/>
      <c r="M192" s="30"/>
      <c r="N192" s="30"/>
      <c r="O192" s="33" t="s">
        <v>461</v>
      </c>
      <c r="P192" s="26"/>
      <c r="Q192" s="23"/>
      <c r="R192" s="25"/>
      <c r="S192" s="25"/>
      <c r="T192" s="25"/>
      <c r="U192" s="25"/>
      <c r="V192" s="25"/>
      <c r="W192" s="23" t="s">
        <v>59</v>
      </c>
      <c r="X192" s="4" t="str">
        <f>IF(Tabela2[[#This Row],[SIGLA]]="","",VLOOKUP(Tabela2[[#This Row],[SIGLA]],créditos_base!B:C,2,0))</f>
        <v>DANILO SANTOS/ARQUIVO DA EDITORA</v>
      </c>
      <c r="Y192" s="24"/>
      <c r="Z192" s="24" t="str">
        <f>Tabela2[[#This Row],[ILUSTRADOR CRIAÇÃO]]</f>
        <v>DANILO SANTOS/ARQUIVO DA EDITORA</v>
      </c>
      <c r="AA192" s="23"/>
      <c r="AB192" s="22"/>
      <c r="AC192" s="22"/>
      <c r="AD192" s="4" t="str">
        <f t="shared" si="2"/>
        <v>EF1 E001 HGC</v>
      </c>
    </row>
    <row r="193" spans="1:30" s="14" customFormat="1" ht="45" x14ac:dyDescent="0.25">
      <c r="A193" s="24" t="s">
        <v>462</v>
      </c>
      <c r="B193" s="22" t="s">
        <v>31</v>
      </c>
      <c r="C193" s="22" t="s">
        <v>32</v>
      </c>
      <c r="D193" s="22" t="s">
        <v>33</v>
      </c>
      <c r="E193" s="23">
        <v>184</v>
      </c>
      <c r="F193" s="23">
        <v>1</v>
      </c>
      <c r="G193" s="23">
        <v>3</v>
      </c>
      <c r="H193" s="23"/>
      <c r="I193" s="24" t="s">
        <v>38</v>
      </c>
      <c r="J193" s="24"/>
      <c r="K193" s="23"/>
      <c r="L193" s="23"/>
      <c r="M193" s="24"/>
      <c r="N193" s="24"/>
      <c r="O193" s="26" t="s">
        <v>463</v>
      </c>
      <c r="P193" s="26"/>
      <c r="Q193" s="23">
        <v>16</v>
      </c>
      <c r="R193" s="25">
        <v>45812</v>
      </c>
      <c r="S193" s="25">
        <v>45817</v>
      </c>
      <c r="T193" s="25"/>
      <c r="U193" s="25"/>
      <c r="V193" s="25">
        <v>45817</v>
      </c>
      <c r="W193" s="23" t="s">
        <v>154</v>
      </c>
      <c r="X193" s="4" t="str">
        <f>IF(Tabela2[[#This Row],[SIGLA]]="","",VLOOKUP(Tabela2[[#This Row],[SIGLA]],créditos_base!B:C,2,0))</f>
        <v>VICTOR LEMOS/ARQUIVO DA EDITORA</v>
      </c>
      <c r="Y193" s="24" t="s">
        <v>170</v>
      </c>
      <c r="Z193" s="24" t="str">
        <f>Tabela2[[#This Row],[ILUSTRADOR CRIAÇÃO]]</f>
        <v>VICTOR LEMOS/ARQUIVO DA EDITORA</v>
      </c>
      <c r="AA193" s="23">
        <v>13</v>
      </c>
      <c r="AB193" s="22" t="s">
        <v>396</v>
      </c>
      <c r="AC193" s="22" t="s">
        <v>43</v>
      </c>
      <c r="AD193" s="4" t="str">
        <f t="shared" si="2"/>
        <v>EF1 E001 HGC</v>
      </c>
    </row>
    <row r="194" spans="1:30" s="14" customFormat="1" ht="45" x14ac:dyDescent="0.25">
      <c r="A194" s="30" t="s">
        <v>464</v>
      </c>
      <c r="B194" s="22" t="s">
        <v>31</v>
      </c>
      <c r="C194" s="31" t="s">
        <v>32</v>
      </c>
      <c r="D194" s="31" t="s">
        <v>33</v>
      </c>
      <c r="E194" s="32">
        <v>185</v>
      </c>
      <c r="F194" s="32">
        <v>1</v>
      </c>
      <c r="G194" s="32">
        <v>3</v>
      </c>
      <c r="H194" s="32"/>
      <c r="I194" s="30" t="s">
        <v>34</v>
      </c>
      <c r="J194" s="30"/>
      <c r="K194" s="32"/>
      <c r="L194" s="32"/>
      <c r="M194" s="30"/>
      <c r="N194" s="30"/>
      <c r="O194" s="33" t="s">
        <v>465</v>
      </c>
      <c r="P194" s="26"/>
      <c r="Q194" s="23"/>
      <c r="R194" s="25"/>
      <c r="S194" s="25"/>
      <c r="T194" s="25"/>
      <c r="U194" s="25"/>
      <c r="V194" s="25"/>
      <c r="W194" s="23" t="s">
        <v>154</v>
      </c>
      <c r="X194" s="4" t="str">
        <f>IF(Tabela2[[#This Row],[SIGLA]]="","",VLOOKUP(Tabela2[[#This Row],[SIGLA]],créditos_base!B:C,2,0))</f>
        <v>VICTOR LEMOS/ARQUIVO DA EDITORA</v>
      </c>
      <c r="Y194" s="24"/>
      <c r="Z194" s="24" t="str">
        <f>Tabela2[[#This Row],[ILUSTRADOR CRIAÇÃO]]</f>
        <v>VICTOR LEMOS/ARQUIVO DA EDITORA</v>
      </c>
      <c r="AA194" s="23"/>
      <c r="AB194" s="22"/>
      <c r="AC194" s="22"/>
      <c r="AD194" s="4" t="str">
        <f t="shared" ref="AD194:AD257" si="3">"EF1 E001 HGC"</f>
        <v>EF1 E001 HGC</v>
      </c>
    </row>
    <row r="195" spans="1:30" s="14" customFormat="1" ht="45" x14ac:dyDescent="0.25">
      <c r="A195" s="24" t="s">
        <v>466</v>
      </c>
      <c r="B195" s="22" t="s">
        <v>31</v>
      </c>
      <c r="C195" s="22" t="s">
        <v>32</v>
      </c>
      <c r="D195" s="22" t="s">
        <v>33</v>
      </c>
      <c r="E195" s="23">
        <v>190</v>
      </c>
      <c r="F195" s="23">
        <v>1</v>
      </c>
      <c r="G195" s="23">
        <v>3</v>
      </c>
      <c r="H195" s="23"/>
      <c r="I195" s="24" t="s">
        <v>34</v>
      </c>
      <c r="J195" s="24"/>
      <c r="K195" s="23"/>
      <c r="L195" s="23"/>
      <c r="M195" s="24"/>
      <c r="N195" s="24"/>
      <c r="O195" s="26" t="s">
        <v>467</v>
      </c>
      <c r="P195" s="26"/>
      <c r="Q195" s="23"/>
      <c r="R195" s="25"/>
      <c r="S195" s="25"/>
      <c r="T195" s="25"/>
      <c r="U195" s="25"/>
      <c r="V195" s="25"/>
      <c r="W195" s="23" t="s">
        <v>193</v>
      </c>
      <c r="X195" s="4" t="str">
        <f>IF(Tabela2[[#This Row],[SIGLA]]="","",VLOOKUP(Tabela2[[#This Row],[SIGLA]],créditos_base!B:C,2,0))</f>
        <v>NATANAELE BILMAIA/ARQUIVO DA EDITORA</v>
      </c>
      <c r="Y195" s="24"/>
      <c r="Z195" s="24" t="str">
        <f>Tabela2[[#This Row],[ILUSTRADOR CRIAÇÃO]]</f>
        <v>NATANAELE BILMAIA/ARQUIVO DA EDITORA</v>
      </c>
      <c r="AA195" s="23"/>
      <c r="AB195" s="22"/>
      <c r="AC195" s="22"/>
      <c r="AD195" s="4" t="str">
        <f t="shared" si="3"/>
        <v>EF1 E001 HGC</v>
      </c>
    </row>
    <row r="196" spans="1:30" s="14" customFormat="1" ht="105" x14ac:dyDescent="0.25">
      <c r="A196" s="30" t="s">
        <v>468</v>
      </c>
      <c r="B196" s="31" t="s">
        <v>67</v>
      </c>
      <c r="C196" s="31" t="s">
        <v>32</v>
      </c>
      <c r="D196" s="31" t="s">
        <v>33</v>
      </c>
      <c r="E196" s="32">
        <v>190</v>
      </c>
      <c r="F196" s="32">
        <v>1</v>
      </c>
      <c r="G196" s="32">
        <v>3</v>
      </c>
      <c r="H196" s="32"/>
      <c r="I196" s="30" t="s">
        <v>38</v>
      </c>
      <c r="J196" s="30"/>
      <c r="K196" s="32"/>
      <c r="L196" s="32"/>
      <c r="M196" s="30"/>
      <c r="N196" s="30"/>
      <c r="O196" s="33" t="s">
        <v>469</v>
      </c>
      <c r="P196" s="26"/>
      <c r="Q196" s="23">
        <v>16</v>
      </c>
      <c r="R196" s="25">
        <v>45812</v>
      </c>
      <c r="S196" s="25">
        <v>45817</v>
      </c>
      <c r="T196" s="25"/>
      <c r="U196" s="25"/>
      <c r="V196" s="25">
        <v>45817</v>
      </c>
      <c r="W196" s="23" t="s">
        <v>193</v>
      </c>
      <c r="X196" s="4" t="str">
        <f>IF(Tabela2[[#This Row],[SIGLA]]="","",VLOOKUP(Tabela2[[#This Row],[SIGLA]],créditos_base!B:C,2,0))</f>
        <v>NATANAELE BILMAIA/ARQUIVO DA EDITORA</v>
      </c>
      <c r="Y196" s="24" t="s">
        <v>170</v>
      </c>
      <c r="Z196" s="24" t="str">
        <f>Tabela2[[#This Row],[ILUSTRADOR CRIAÇÃO]]</f>
        <v>NATANAELE BILMAIA/ARQUIVO DA EDITORA</v>
      </c>
      <c r="AA196" s="23">
        <v>13</v>
      </c>
      <c r="AB196" s="22" t="s">
        <v>396</v>
      </c>
      <c r="AC196" s="22" t="s">
        <v>43</v>
      </c>
      <c r="AD196" s="4" t="str">
        <f t="shared" si="3"/>
        <v>EF1 E001 HGC</v>
      </c>
    </row>
    <row r="197" spans="1:30" s="14" customFormat="1" ht="60" x14ac:dyDescent="0.25">
      <c r="A197" s="24" t="s">
        <v>470</v>
      </c>
      <c r="B197" s="31" t="s">
        <v>31</v>
      </c>
      <c r="C197" s="22" t="s">
        <v>32</v>
      </c>
      <c r="D197" s="22" t="s">
        <v>33</v>
      </c>
      <c r="E197" s="23">
        <v>195</v>
      </c>
      <c r="F197" s="23">
        <v>1</v>
      </c>
      <c r="G197" s="23">
        <v>3</v>
      </c>
      <c r="H197" s="23"/>
      <c r="I197" s="24" t="s">
        <v>38</v>
      </c>
      <c r="J197" s="24"/>
      <c r="K197" s="23"/>
      <c r="L197" s="23"/>
      <c r="M197" s="24"/>
      <c r="N197" s="24"/>
      <c r="O197" s="26" t="s">
        <v>471</v>
      </c>
      <c r="P197" s="26"/>
      <c r="Q197" s="23">
        <v>7</v>
      </c>
      <c r="R197" s="25">
        <v>45757</v>
      </c>
      <c r="S197" s="25">
        <v>45757</v>
      </c>
      <c r="T197" s="25"/>
      <c r="U197" s="25"/>
      <c r="V197" s="25">
        <v>45761</v>
      </c>
      <c r="W197" s="23" t="s">
        <v>169</v>
      </c>
      <c r="X197" s="4" t="str">
        <f>IF(Tabela2[[#This Row],[SIGLA]]="","",VLOOKUP(Tabela2[[#This Row],[SIGLA]],créditos_base!B:C,2,0))</f>
        <v>GUSTAVO RAMOS/ARQUIVO DA EDITORA</v>
      </c>
      <c r="Y197" s="24" t="s">
        <v>70</v>
      </c>
      <c r="Z197" s="24" t="str">
        <f>Tabela2[[#This Row],[ILUSTRADOR CRIAÇÃO]]</f>
        <v>GUSTAVO RAMOS/ARQUIVO DA EDITORA</v>
      </c>
      <c r="AA197" s="23">
        <v>13</v>
      </c>
      <c r="AB197" s="22" t="s">
        <v>71</v>
      </c>
      <c r="AC197" s="22" t="s">
        <v>43</v>
      </c>
      <c r="AD197" s="4" t="str">
        <f t="shared" si="3"/>
        <v>EF1 E001 HGC</v>
      </c>
    </row>
    <row r="198" spans="1:30" s="14" customFormat="1" ht="60" x14ac:dyDescent="0.25">
      <c r="A198" s="30" t="s">
        <v>472</v>
      </c>
      <c r="B198" s="31" t="s">
        <v>31</v>
      </c>
      <c r="C198" s="31" t="s">
        <v>32</v>
      </c>
      <c r="D198" s="31" t="s">
        <v>33</v>
      </c>
      <c r="E198" s="32">
        <v>195</v>
      </c>
      <c r="F198" s="32">
        <v>1</v>
      </c>
      <c r="G198" s="32">
        <v>3</v>
      </c>
      <c r="H198" s="32"/>
      <c r="I198" s="24" t="s">
        <v>38</v>
      </c>
      <c r="J198" s="30"/>
      <c r="K198" s="32"/>
      <c r="L198" s="32"/>
      <c r="M198" s="30"/>
      <c r="N198" s="30"/>
      <c r="O198" s="33" t="s">
        <v>473</v>
      </c>
      <c r="P198" s="26"/>
      <c r="Q198" s="23">
        <v>7</v>
      </c>
      <c r="R198" s="25">
        <v>45757</v>
      </c>
      <c r="S198" s="25">
        <v>45757</v>
      </c>
      <c r="T198" s="25"/>
      <c r="U198" s="25"/>
      <c r="V198" s="25">
        <v>45761</v>
      </c>
      <c r="W198" s="23" t="s">
        <v>169</v>
      </c>
      <c r="X198" s="4" t="str">
        <f>IF(Tabela2[[#This Row],[SIGLA]]="","",VLOOKUP(Tabela2[[#This Row],[SIGLA]],créditos_base!B:C,2,0))</f>
        <v>GUSTAVO RAMOS/ARQUIVO DA EDITORA</v>
      </c>
      <c r="Y198" s="24" t="s">
        <v>70</v>
      </c>
      <c r="Z198" s="24" t="str">
        <f>Tabela2[[#This Row],[ILUSTRADOR CRIAÇÃO]]</f>
        <v>GUSTAVO RAMOS/ARQUIVO DA EDITORA</v>
      </c>
      <c r="AA198" s="23">
        <v>13</v>
      </c>
      <c r="AB198" s="22" t="s">
        <v>71</v>
      </c>
      <c r="AC198" s="22" t="s">
        <v>43</v>
      </c>
      <c r="AD198" s="4" t="str">
        <f t="shared" si="3"/>
        <v>EF1 E001 HGC</v>
      </c>
    </row>
    <row r="199" spans="1:30" s="14" customFormat="1" ht="105" x14ac:dyDescent="0.25">
      <c r="A199" s="24" t="s">
        <v>474</v>
      </c>
      <c r="B199" s="31" t="s">
        <v>67</v>
      </c>
      <c r="C199" s="22" t="s">
        <v>32</v>
      </c>
      <c r="D199" s="22" t="s">
        <v>33</v>
      </c>
      <c r="E199" s="23">
        <v>200</v>
      </c>
      <c r="F199" s="23">
        <v>1</v>
      </c>
      <c r="G199" s="23">
        <v>3</v>
      </c>
      <c r="H199" s="23"/>
      <c r="I199" s="24" t="s">
        <v>38</v>
      </c>
      <c r="J199" s="24"/>
      <c r="K199" s="23"/>
      <c r="L199" s="23"/>
      <c r="M199" s="24"/>
      <c r="N199" s="24"/>
      <c r="O199" s="26" t="s">
        <v>475</v>
      </c>
      <c r="P199" s="26"/>
      <c r="Q199" s="23">
        <v>7</v>
      </c>
      <c r="R199" s="25">
        <v>45757</v>
      </c>
      <c r="S199" s="25">
        <v>45757</v>
      </c>
      <c r="T199" s="25"/>
      <c r="U199" s="25"/>
      <c r="V199" s="25">
        <v>45761</v>
      </c>
      <c r="W199" s="23" t="s">
        <v>412</v>
      </c>
      <c r="X199" s="4" t="str">
        <f>IF(Tabela2[[#This Row],[SIGLA]]="","",VLOOKUP(Tabela2[[#This Row],[SIGLA]],créditos_base!B:C,2,0))</f>
        <v>ERIK MALAGRINO/ARQUIVO DA EDITORA</v>
      </c>
      <c r="Y199" s="24" t="s">
        <v>70</v>
      </c>
      <c r="Z199" s="24" t="str">
        <f>Tabela2[[#This Row],[ILUSTRADOR CRIAÇÃO]]</f>
        <v>ERIK MALAGRINO/ARQUIVO DA EDITORA</v>
      </c>
      <c r="AA199" s="23">
        <v>13</v>
      </c>
      <c r="AB199" s="22" t="s">
        <v>71</v>
      </c>
      <c r="AC199" s="22" t="s">
        <v>43</v>
      </c>
      <c r="AD199" s="4" t="str">
        <f t="shared" si="3"/>
        <v>EF1 E001 HGC</v>
      </c>
    </row>
    <row r="200" spans="1:30" s="14" customFormat="1" ht="45" x14ac:dyDescent="0.25">
      <c r="A200" s="30" t="s">
        <v>476</v>
      </c>
      <c r="B200" s="22" t="s">
        <v>31</v>
      </c>
      <c r="C200" s="31" t="s">
        <v>32</v>
      </c>
      <c r="D200" s="31" t="s">
        <v>33</v>
      </c>
      <c r="E200" s="32">
        <v>201</v>
      </c>
      <c r="F200" s="32">
        <v>1</v>
      </c>
      <c r="G200" s="32">
        <v>3</v>
      </c>
      <c r="H200" s="32"/>
      <c r="I200" s="30" t="s">
        <v>34</v>
      </c>
      <c r="J200" s="30"/>
      <c r="K200" s="32"/>
      <c r="L200" s="32"/>
      <c r="M200" s="30"/>
      <c r="N200" s="30"/>
      <c r="O200" s="33" t="s">
        <v>477</v>
      </c>
      <c r="P200" s="26"/>
      <c r="Q200" s="23"/>
      <c r="R200" s="25"/>
      <c r="S200" s="25"/>
      <c r="T200" s="25"/>
      <c r="U200" s="25"/>
      <c r="V200" s="25"/>
      <c r="W200" s="23" t="s">
        <v>412</v>
      </c>
      <c r="X200" s="4" t="str">
        <f>IF(Tabela2[[#This Row],[SIGLA]]="","",VLOOKUP(Tabela2[[#This Row],[SIGLA]],créditos_base!B:C,2,0))</f>
        <v>ERIK MALAGRINO/ARQUIVO DA EDITORA</v>
      </c>
      <c r="Y200" s="24"/>
      <c r="Z200" s="24" t="str">
        <f>Tabela2[[#This Row],[ILUSTRADOR CRIAÇÃO]]</f>
        <v>ERIK MALAGRINO/ARQUIVO DA EDITORA</v>
      </c>
      <c r="AA200" s="23"/>
      <c r="AB200" s="22"/>
      <c r="AC200" s="22"/>
      <c r="AD200" s="4" t="str">
        <f t="shared" si="3"/>
        <v>EF1 E001 HGC</v>
      </c>
    </row>
    <row r="201" spans="1:30" s="14" customFormat="1" ht="45" x14ac:dyDescent="0.25">
      <c r="A201" s="24" t="s">
        <v>478</v>
      </c>
      <c r="B201" s="22" t="s">
        <v>31</v>
      </c>
      <c r="C201" s="22" t="s">
        <v>32</v>
      </c>
      <c r="D201" s="22" t="s">
        <v>33</v>
      </c>
      <c r="E201" s="23">
        <v>201</v>
      </c>
      <c r="F201" s="23">
        <v>1</v>
      </c>
      <c r="G201" s="23">
        <v>3</v>
      </c>
      <c r="H201" s="23"/>
      <c r="I201" s="24" t="s">
        <v>34</v>
      </c>
      <c r="J201" s="24"/>
      <c r="K201" s="23"/>
      <c r="L201" s="23"/>
      <c r="M201" s="24"/>
      <c r="N201" s="24"/>
      <c r="O201" s="26" t="s">
        <v>479</v>
      </c>
      <c r="P201" s="26"/>
      <c r="Q201" s="23"/>
      <c r="R201" s="25"/>
      <c r="S201" s="25"/>
      <c r="T201" s="25"/>
      <c r="U201" s="25"/>
      <c r="V201" s="25"/>
      <c r="W201" s="23" t="s">
        <v>412</v>
      </c>
      <c r="X201" s="4" t="str">
        <f>IF(Tabela2[[#This Row],[SIGLA]]="","",VLOOKUP(Tabela2[[#This Row],[SIGLA]],créditos_base!B:C,2,0))</f>
        <v>ERIK MALAGRINO/ARQUIVO DA EDITORA</v>
      </c>
      <c r="Y201" s="24"/>
      <c r="Z201" s="24" t="str">
        <f>Tabela2[[#This Row],[ILUSTRADOR CRIAÇÃO]]</f>
        <v>ERIK MALAGRINO/ARQUIVO DA EDITORA</v>
      </c>
      <c r="AA201" s="23"/>
      <c r="AB201" s="22"/>
      <c r="AC201" s="22"/>
      <c r="AD201" s="4" t="str">
        <f t="shared" si="3"/>
        <v>EF1 E001 HGC</v>
      </c>
    </row>
    <row r="202" spans="1:30" s="14" customFormat="1" ht="45" x14ac:dyDescent="0.25">
      <c r="A202" s="24" t="s">
        <v>480</v>
      </c>
      <c r="B202" s="22" t="s">
        <v>31</v>
      </c>
      <c r="C202" s="22" t="s">
        <v>32</v>
      </c>
      <c r="D202" s="22" t="s">
        <v>33</v>
      </c>
      <c r="E202" s="23">
        <v>201</v>
      </c>
      <c r="F202" s="23">
        <v>1</v>
      </c>
      <c r="G202" s="23">
        <v>3</v>
      </c>
      <c r="H202" s="23"/>
      <c r="I202" s="24" t="s">
        <v>34</v>
      </c>
      <c r="J202" s="24"/>
      <c r="K202" s="23"/>
      <c r="L202" s="23"/>
      <c r="M202" s="24"/>
      <c r="N202" s="24"/>
      <c r="O202" s="26" t="s">
        <v>481</v>
      </c>
      <c r="P202" s="26"/>
      <c r="Q202" s="23"/>
      <c r="R202" s="25"/>
      <c r="S202" s="25"/>
      <c r="T202" s="25"/>
      <c r="U202" s="25"/>
      <c r="V202" s="25"/>
      <c r="W202" s="23" t="s">
        <v>412</v>
      </c>
      <c r="X202" s="4" t="str">
        <f>IF(Tabela2[[#This Row],[SIGLA]]="","",VLOOKUP(Tabela2[[#This Row],[SIGLA]],créditos_base!B:C,2,0))</f>
        <v>ERIK MALAGRINO/ARQUIVO DA EDITORA</v>
      </c>
      <c r="Y202" s="24"/>
      <c r="Z202" s="24" t="str">
        <f>Tabela2[[#This Row],[ILUSTRADOR CRIAÇÃO]]</f>
        <v>ERIK MALAGRINO/ARQUIVO DA EDITORA</v>
      </c>
      <c r="AA202" s="23"/>
      <c r="AB202" s="22"/>
      <c r="AC202" s="22"/>
      <c r="AD202" s="4" t="str">
        <f t="shared" si="3"/>
        <v>EF1 E001 HGC</v>
      </c>
    </row>
    <row r="203" spans="1:30" s="14" customFormat="1" ht="45" x14ac:dyDescent="0.25">
      <c r="A203" s="24" t="s">
        <v>482</v>
      </c>
      <c r="B203" s="22" t="s">
        <v>31</v>
      </c>
      <c r="C203" s="22" t="s">
        <v>32</v>
      </c>
      <c r="D203" s="22" t="s">
        <v>33</v>
      </c>
      <c r="E203" s="23">
        <v>201</v>
      </c>
      <c r="F203" s="23">
        <v>1</v>
      </c>
      <c r="G203" s="23">
        <v>3</v>
      </c>
      <c r="H203" s="23"/>
      <c r="I203" s="24" t="s">
        <v>34</v>
      </c>
      <c r="J203" s="24"/>
      <c r="K203" s="23"/>
      <c r="L203" s="23"/>
      <c r="M203" s="24"/>
      <c r="N203" s="24"/>
      <c r="O203" s="26" t="s">
        <v>483</v>
      </c>
      <c r="P203" s="26"/>
      <c r="Q203" s="23"/>
      <c r="R203" s="25"/>
      <c r="S203" s="25"/>
      <c r="T203" s="25"/>
      <c r="U203" s="25"/>
      <c r="V203" s="25"/>
      <c r="W203" s="23" t="s">
        <v>412</v>
      </c>
      <c r="X203" s="4" t="str">
        <f>IF(Tabela2[[#This Row],[SIGLA]]="","",VLOOKUP(Tabela2[[#This Row],[SIGLA]],créditos_base!B:C,2,0))</f>
        <v>ERIK MALAGRINO/ARQUIVO DA EDITORA</v>
      </c>
      <c r="Y203" s="24"/>
      <c r="Z203" s="24" t="str">
        <f>Tabela2[[#This Row],[ILUSTRADOR CRIAÇÃO]]</f>
        <v>ERIK MALAGRINO/ARQUIVO DA EDITORA</v>
      </c>
      <c r="AA203" s="23"/>
      <c r="AB203" s="22"/>
      <c r="AC203" s="22"/>
      <c r="AD203" s="4" t="str">
        <f t="shared" si="3"/>
        <v>EF1 E001 HGC</v>
      </c>
    </row>
    <row r="204" spans="1:30" s="14" customFormat="1" ht="45" x14ac:dyDescent="0.25">
      <c r="A204" s="24" t="s">
        <v>484</v>
      </c>
      <c r="B204" s="22" t="s">
        <v>31</v>
      </c>
      <c r="C204" s="22" t="s">
        <v>32</v>
      </c>
      <c r="D204" s="22" t="s">
        <v>33</v>
      </c>
      <c r="E204" s="23">
        <v>201</v>
      </c>
      <c r="F204" s="23">
        <v>1</v>
      </c>
      <c r="G204" s="23">
        <v>3</v>
      </c>
      <c r="H204" s="23"/>
      <c r="I204" s="24" t="s">
        <v>34</v>
      </c>
      <c r="J204" s="24"/>
      <c r="K204" s="23"/>
      <c r="L204" s="23"/>
      <c r="M204" s="24"/>
      <c r="N204" s="24"/>
      <c r="O204" s="26" t="s">
        <v>485</v>
      </c>
      <c r="P204" s="26"/>
      <c r="Q204" s="23"/>
      <c r="R204" s="25"/>
      <c r="S204" s="25"/>
      <c r="T204" s="25"/>
      <c r="U204" s="25"/>
      <c r="V204" s="25"/>
      <c r="W204" s="23" t="s">
        <v>412</v>
      </c>
      <c r="X204" s="4" t="str">
        <f>IF(Tabela2[[#This Row],[SIGLA]]="","",VLOOKUP(Tabela2[[#This Row],[SIGLA]],créditos_base!B:C,2,0))</f>
        <v>ERIK MALAGRINO/ARQUIVO DA EDITORA</v>
      </c>
      <c r="Y204" s="24"/>
      <c r="Z204" s="24" t="str">
        <f>Tabela2[[#This Row],[ILUSTRADOR CRIAÇÃO]]</f>
        <v>ERIK MALAGRINO/ARQUIVO DA EDITORA</v>
      </c>
      <c r="AA204" s="23"/>
      <c r="AB204" s="22"/>
      <c r="AC204" s="22"/>
      <c r="AD204" s="4" t="str">
        <f t="shared" si="3"/>
        <v>EF1 E001 HGC</v>
      </c>
    </row>
    <row r="205" spans="1:30" s="14" customFormat="1" ht="45" x14ac:dyDescent="0.25">
      <c r="A205" s="24" t="s">
        <v>486</v>
      </c>
      <c r="B205" s="22" t="s">
        <v>31</v>
      </c>
      <c r="C205" s="22" t="s">
        <v>32</v>
      </c>
      <c r="D205" s="22" t="s">
        <v>33</v>
      </c>
      <c r="E205" s="23">
        <v>201</v>
      </c>
      <c r="F205" s="23">
        <v>1</v>
      </c>
      <c r="G205" s="23">
        <v>3</v>
      </c>
      <c r="H205" s="23"/>
      <c r="I205" s="24" t="s">
        <v>34</v>
      </c>
      <c r="J205" s="24"/>
      <c r="K205" s="23"/>
      <c r="L205" s="23"/>
      <c r="M205" s="24"/>
      <c r="N205" s="24"/>
      <c r="O205" s="26" t="s">
        <v>487</v>
      </c>
      <c r="P205" s="26"/>
      <c r="Q205" s="23"/>
      <c r="R205" s="25"/>
      <c r="S205" s="25"/>
      <c r="T205" s="25"/>
      <c r="U205" s="25"/>
      <c r="V205" s="25"/>
      <c r="W205" s="23" t="s">
        <v>412</v>
      </c>
      <c r="X205" s="4" t="str">
        <f>IF(Tabela2[[#This Row],[SIGLA]]="","",VLOOKUP(Tabela2[[#This Row],[SIGLA]],créditos_base!B:C,2,0))</f>
        <v>ERIK MALAGRINO/ARQUIVO DA EDITORA</v>
      </c>
      <c r="Y205" s="24"/>
      <c r="Z205" s="24" t="str">
        <f>Tabela2[[#This Row],[ILUSTRADOR CRIAÇÃO]]</f>
        <v>ERIK MALAGRINO/ARQUIVO DA EDITORA</v>
      </c>
      <c r="AA205" s="23"/>
      <c r="AB205" s="22"/>
      <c r="AC205" s="22"/>
      <c r="AD205" s="4" t="str">
        <f t="shared" si="3"/>
        <v>EF1 E001 HGC</v>
      </c>
    </row>
    <row r="206" spans="1:30" s="14" customFormat="1" ht="45" x14ac:dyDescent="0.25">
      <c r="A206" s="24" t="s">
        <v>488</v>
      </c>
      <c r="B206" s="22" t="s">
        <v>31</v>
      </c>
      <c r="C206" s="22" t="s">
        <v>32</v>
      </c>
      <c r="D206" s="22" t="s">
        <v>33</v>
      </c>
      <c r="E206" s="23">
        <v>201</v>
      </c>
      <c r="F206" s="23">
        <v>1</v>
      </c>
      <c r="G206" s="23">
        <v>3</v>
      </c>
      <c r="H206" s="23"/>
      <c r="I206" s="24" t="s">
        <v>34</v>
      </c>
      <c r="J206" s="24"/>
      <c r="K206" s="23"/>
      <c r="L206" s="23"/>
      <c r="M206" s="24"/>
      <c r="N206" s="24"/>
      <c r="O206" s="26" t="s">
        <v>489</v>
      </c>
      <c r="P206" s="26"/>
      <c r="Q206" s="23"/>
      <c r="R206" s="25"/>
      <c r="S206" s="25"/>
      <c r="T206" s="25"/>
      <c r="U206" s="25"/>
      <c r="V206" s="25"/>
      <c r="W206" s="23" t="s">
        <v>412</v>
      </c>
      <c r="X206" s="4" t="str">
        <f>IF(Tabela2[[#This Row],[SIGLA]]="","",VLOOKUP(Tabela2[[#This Row],[SIGLA]],créditos_base!B:C,2,0))</f>
        <v>ERIK MALAGRINO/ARQUIVO DA EDITORA</v>
      </c>
      <c r="Y206" s="24"/>
      <c r="Z206" s="24" t="str">
        <f>Tabela2[[#This Row],[ILUSTRADOR CRIAÇÃO]]</f>
        <v>ERIK MALAGRINO/ARQUIVO DA EDITORA</v>
      </c>
      <c r="AA206" s="23"/>
      <c r="AB206" s="22"/>
      <c r="AC206" s="22"/>
      <c r="AD206" s="4" t="str">
        <f t="shared" si="3"/>
        <v>EF1 E001 HGC</v>
      </c>
    </row>
    <row r="207" spans="1:30" s="14" customFormat="1" ht="30" x14ac:dyDescent="0.25">
      <c r="A207" s="24" t="s">
        <v>490</v>
      </c>
      <c r="B207" s="22" t="s">
        <v>31</v>
      </c>
      <c r="C207" s="22" t="s">
        <v>32</v>
      </c>
      <c r="D207" s="22" t="s">
        <v>33</v>
      </c>
      <c r="E207" s="23">
        <v>201</v>
      </c>
      <c r="F207" s="23">
        <v>1</v>
      </c>
      <c r="G207" s="23">
        <v>3</v>
      </c>
      <c r="H207" s="23"/>
      <c r="I207" s="24" t="s">
        <v>34</v>
      </c>
      <c r="J207" s="24"/>
      <c r="K207" s="23"/>
      <c r="L207" s="23"/>
      <c r="M207" s="24"/>
      <c r="N207" s="24"/>
      <c r="O207" s="26" t="s">
        <v>491</v>
      </c>
      <c r="P207" s="26"/>
      <c r="Q207" s="23"/>
      <c r="R207" s="25"/>
      <c r="S207" s="25"/>
      <c r="T207" s="25"/>
      <c r="U207" s="25"/>
      <c r="V207" s="25"/>
      <c r="W207" s="23" t="s">
        <v>412</v>
      </c>
      <c r="X207" s="4" t="str">
        <f>IF(Tabela2[[#This Row],[SIGLA]]="","",VLOOKUP(Tabela2[[#This Row],[SIGLA]],créditos_base!B:C,2,0))</f>
        <v>ERIK MALAGRINO/ARQUIVO DA EDITORA</v>
      </c>
      <c r="Y207" s="24"/>
      <c r="Z207" s="24" t="str">
        <f>Tabela2[[#This Row],[ILUSTRADOR CRIAÇÃO]]</f>
        <v>ERIK MALAGRINO/ARQUIVO DA EDITORA</v>
      </c>
      <c r="AA207" s="23"/>
      <c r="AB207" s="22"/>
      <c r="AC207" s="22"/>
      <c r="AD207" s="4" t="str">
        <f t="shared" si="3"/>
        <v>EF1 E001 HGC</v>
      </c>
    </row>
    <row r="208" spans="1:30" s="14" customFormat="1" ht="45" x14ac:dyDescent="0.25">
      <c r="A208" s="24" t="s">
        <v>492</v>
      </c>
      <c r="B208" s="22" t="s">
        <v>31</v>
      </c>
      <c r="C208" s="22" t="s">
        <v>32</v>
      </c>
      <c r="D208" s="22" t="s">
        <v>33</v>
      </c>
      <c r="E208" s="23">
        <v>201</v>
      </c>
      <c r="F208" s="23">
        <v>1</v>
      </c>
      <c r="G208" s="23">
        <v>3</v>
      </c>
      <c r="H208" s="23"/>
      <c r="I208" s="24" t="s">
        <v>34</v>
      </c>
      <c r="J208" s="24"/>
      <c r="K208" s="23"/>
      <c r="L208" s="23"/>
      <c r="M208" s="24"/>
      <c r="N208" s="24"/>
      <c r="O208" s="26" t="s">
        <v>493</v>
      </c>
      <c r="P208" s="26"/>
      <c r="Q208" s="23"/>
      <c r="R208" s="25"/>
      <c r="S208" s="25"/>
      <c r="T208" s="25"/>
      <c r="U208" s="25"/>
      <c r="V208" s="25"/>
      <c r="W208" s="23" t="s">
        <v>412</v>
      </c>
      <c r="X208" s="4" t="str">
        <f>IF(Tabela2[[#This Row],[SIGLA]]="","",VLOOKUP(Tabela2[[#This Row],[SIGLA]],créditos_base!B:C,2,0))</f>
        <v>ERIK MALAGRINO/ARQUIVO DA EDITORA</v>
      </c>
      <c r="Y208" s="24"/>
      <c r="Z208" s="24" t="str">
        <f>Tabela2[[#This Row],[ILUSTRADOR CRIAÇÃO]]</f>
        <v>ERIK MALAGRINO/ARQUIVO DA EDITORA</v>
      </c>
      <c r="AA208" s="23"/>
      <c r="AB208" s="22"/>
      <c r="AC208" s="22"/>
      <c r="AD208" s="4" t="str">
        <f t="shared" si="3"/>
        <v>EF1 E001 HGC</v>
      </c>
    </row>
    <row r="209" spans="1:30" s="14" customFormat="1" ht="90" x14ac:dyDescent="0.25">
      <c r="A209" s="24" t="s">
        <v>494</v>
      </c>
      <c r="B209" s="31" t="s">
        <v>67</v>
      </c>
      <c r="C209" s="22" t="s">
        <v>32</v>
      </c>
      <c r="D209" s="22" t="s">
        <v>33</v>
      </c>
      <c r="E209" s="23">
        <v>204</v>
      </c>
      <c r="F209" s="23">
        <v>1</v>
      </c>
      <c r="G209" s="23">
        <v>3</v>
      </c>
      <c r="H209" s="23"/>
      <c r="I209" s="24" t="s">
        <v>38</v>
      </c>
      <c r="J209" s="24"/>
      <c r="K209" s="23"/>
      <c r="L209" s="23"/>
      <c r="M209" s="24"/>
      <c r="N209" s="24"/>
      <c r="O209" s="26" t="s">
        <v>495</v>
      </c>
      <c r="P209" s="26"/>
      <c r="Q209" s="23">
        <v>7</v>
      </c>
      <c r="R209" s="25">
        <v>45757</v>
      </c>
      <c r="S209" s="25">
        <v>45757</v>
      </c>
      <c r="T209" s="25"/>
      <c r="U209" s="25"/>
      <c r="V209" s="25">
        <v>45761</v>
      </c>
      <c r="W209" s="23" t="s">
        <v>59</v>
      </c>
      <c r="X209" s="4" t="str">
        <f>IF(Tabela2[[#This Row],[SIGLA]]="","",VLOOKUP(Tabela2[[#This Row],[SIGLA]],créditos_base!B:C,2,0))</f>
        <v>DANILO SANTOS/ARQUIVO DA EDITORA</v>
      </c>
      <c r="Y209" s="24" t="s">
        <v>70</v>
      </c>
      <c r="Z209" s="24" t="str">
        <f>Tabela2[[#This Row],[ILUSTRADOR CRIAÇÃO]]</f>
        <v>DANILO SANTOS/ARQUIVO DA EDITORA</v>
      </c>
      <c r="AA209" s="23">
        <v>13</v>
      </c>
      <c r="AB209" s="22" t="s">
        <v>71</v>
      </c>
      <c r="AC209" s="22" t="s">
        <v>43</v>
      </c>
      <c r="AD209" s="4" t="str">
        <f t="shared" si="3"/>
        <v>EF1 E001 HGC</v>
      </c>
    </row>
    <row r="210" spans="1:30" s="14" customFormat="1" ht="30" x14ac:dyDescent="0.25">
      <c r="A210" s="24" t="s">
        <v>496</v>
      </c>
      <c r="B210" s="22" t="s">
        <v>31</v>
      </c>
      <c r="C210" s="22" t="s">
        <v>32</v>
      </c>
      <c r="D210" s="22" t="s">
        <v>33</v>
      </c>
      <c r="E210" s="23">
        <v>205</v>
      </c>
      <c r="F210" s="23">
        <v>1</v>
      </c>
      <c r="G210" s="23">
        <v>3</v>
      </c>
      <c r="H210" s="23"/>
      <c r="I210" s="24" t="s">
        <v>34</v>
      </c>
      <c r="J210" s="24"/>
      <c r="K210" s="23"/>
      <c r="L210" s="23"/>
      <c r="M210" s="24"/>
      <c r="N210" s="24"/>
      <c r="O210" s="26" t="s">
        <v>497</v>
      </c>
      <c r="P210" s="26"/>
      <c r="Q210" s="23"/>
      <c r="R210" s="25"/>
      <c r="S210" s="25"/>
      <c r="T210" s="25"/>
      <c r="U210" s="25"/>
      <c r="V210" s="25"/>
      <c r="W210" s="23" t="s">
        <v>59</v>
      </c>
      <c r="X210" s="4" t="str">
        <f>IF(Tabela2[[#This Row],[SIGLA]]="","",VLOOKUP(Tabela2[[#This Row],[SIGLA]],créditos_base!B:C,2,0))</f>
        <v>DANILO SANTOS/ARQUIVO DA EDITORA</v>
      </c>
      <c r="Y210" s="24"/>
      <c r="Z210" s="24" t="str">
        <f>Tabela2[[#This Row],[ILUSTRADOR CRIAÇÃO]]</f>
        <v>DANILO SANTOS/ARQUIVO DA EDITORA</v>
      </c>
      <c r="AA210" s="23"/>
      <c r="AB210" s="22"/>
      <c r="AC210" s="22"/>
      <c r="AD210" s="4" t="str">
        <f t="shared" si="3"/>
        <v>EF1 E001 HGC</v>
      </c>
    </row>
    <row r="211" spans="1:30" s="14" customFormat="1" ht="45" x14ac:dyDescent="0.25">
      <c r="A211" s="24" t="s">
        <v>498</v>
      </c>
      <c r="B211" s="22" t="s">
        <v>31</v>
      </c>
      <c r="C211" s="22" t="s">
        <v>32</v>
      </c>
      <c r="D211" s="22" t="s">
        <v>33</v>
      </c>
      <c r="E211" s="23">
        <v>205</v>
      </c>
      <c r="F211" s="23">
        <v>1</v>
      </c>
      <c r="G211" s="23">
        <v>3</v>
      </c>
      <c r="H211" s="23"/>
      <c r="I211" s="24" t="s">
        <v>34</v>
      </c>
      <c r="J211" s="24"/>
      <c r="K211" s="23"/>
      <c r="L211" s="23"/>
      <c r="M211" s="24"/>
      <c r="N211" s="24"/>
      <c r="O211" s="26" t="s">
        <v>499</v>
      </c>
      <c r="P211" s="26"/>
      <c r="Q211" s="23"/>
      <c r="R211" s="25"/>
      <c r="S211" s="25"/>
      <c r="T211" s="25"/>
      <c r="U211" s="25"/>
      <c r="V211" s="25"/>
      <c r="W211" s="23" t="s">
        <v>59</v>
      </c>
      <c r="X211" s="4" t="str">
        <f>IF(Tabela2[[#This Row],[SIGLA]]="","",VLOOKUP(Tabela2[[#This Row],[SIGLA]],créditos_base!B:C,2,0))</f>
        <v>DANILO SANTOS/ARQUIVO DA EDITORA</v>
      </c>
      <c r="Y211" s="24"/>
      <c r="Z211" s="24" t="str">
        <f>Tabela2[[#This Row],[ILUSTRADOR CRIAÇÃO]]</f>
        <v>DANILO SANTOS/ARQUIVO DA EDITORA</v>
      </c>
      <c r="AA211" s="23"/>
      <c r="AB211" s="22"/>
      <c r="AC211" s="22"/>
      <c r="AD211" s="4" t="str">
        <f t="shared" si="3"/>
        <v>EF1 E001 HGC</v>
      </c>
    </row>
    <row r="212" spans="1:30" s="14" customFormat="1" ht="45" x14ac:dyDescent="0.25">
      <c r="A212" s="24" t="s">
        <v>500</v>
      </c>
      <c r="B212" s="22" t="s">
        <v>31</v>
      </c>
      <c r="C212" s="22" t="s">
        <v>32</v>
      </c>
      <c r="D212" s="22" t="s">
        <v>33</v>
      </c>
      <c r="E212" s="23">
        <v>205</v>
      </c>
      <c r="F212" s="23">
        <v>1</v>
      </c>
      <c r="G212" s="23">
        <v>3</v>
      </c>
      <c r="H212" s="23"/>
      <c r="I212" s="24" t="s">
        <v>34</v>
      </c>
      <c r="J212" s="24"/>
      <c r="K212" s="23"/>
      <c r="L212" s="23"/>
      <c r="M212" s="24"/>
      <c r="N212" s="24"/>
      <c r="O212" s="26" t="s">
        <v>501</v>
      </c>
      <c r="P212" s="26"/>
      <c r="Q212" s="23"/>
      <c r="R212" s="25"/>
      <c r="S212" s="25"/>
      <c r="T212" s="25"/>
      <c r="U212" s="25"/>
      <c r="V212" s="25"/>
      <c r="W212" s="23" t="s">
        <v>59</v>
      </c>
      <c r="X212" s="4" t="str">
        <f>IF(Tabela2[[#This Row],[SIGLA]]="","",VLOOKUP(Tabela2[[#This Row],[SIGLA]],créditos_base!B:C,2,0))</f>
        <v>DANILO SANTOS/ARQUIVO DA EDITORA</v>
      </c>
      <c r="Y212" s="24"/>
      <c r="Z212" s="24" t="str">
        <f>Tabela2[[#This Row],[ILUSTRADOR CRIAÇÃO]]</f>
        <v>DANILO SANTOS/ARQUIVO DA EDITORA</v>
      </c>
      <c r="AA212" s="23"/>
      <c r="AB212" s="22"/>
      <c r="AC212" s="22"/>
      <c r="AD212" s="4" t="str">
        <f t="shared" si="3"/>
        <v>EF1 E001 HGC</v>
      </c>
    </row>
    <row r="213" spans="1:30" s="14" customFormat="1" ht="30" x14ac:dyDescent="0.25">
      <c r="A213" s="24" t="s">
        <v>502</v>
      </c>
      <c r="B213" s="22" t="s">
        <v>31</v>
      </c>
      <c r="C213" s="22" t="s">
        <v>32</v>
      </c>
      <c r="D213" s="22" t="s">
        <v>33</v>
      </c>
      <c r="E213" s="23">
        <v>205</v>
      </c>
      <c r="F213" s="23">
        <v>1</v>
      </c>
      <c r="G213" s="23">
        <v>3</v>
      </c>
      <c r="H213" s="23"/>
      <c r="I213" s="24" t="s">
        <v>34</v>
      </c>
      <c r="J213" s="24"/>
      <c r="K213" s="23"/>
      <c r="L213" s="23"/>
      <c r="M213" s="24"/>
      <c r="N213" s="24"/>
      <c r="O213" s="26" t="s">
        <v>503</v>
      </c>
      <c r="P213" s="26"/>
      <c r="Q213" s="23"/>
      <c r="R213" s="25"/>
      <c r="S213" s="25"/>
      <c r="T213" s="25"/>
      <c r="U213" s="25"/>
      <c r="V213" s="25"/>
      <c r="W213" s="23" t="s">
        <v>59</v>
      </c>
      <c r="X213" s="4" t="str">
        <f>IF(Tabela2[[#This Row],[SIGLA]]="","",VLOOKUP(Tabela2[[#This Row],[SIGLA]],créditos_base!B:C,2,0))</f>
        <v>DANILO SANTOS/ARQUIVO DA EDITORA</v>
      </c>
      <c r="Y213" s="24"/>
      <c r="Z213" s="24" t="str">
        <f>Tabela2[[#This Row],[ILUSTRADOR CRIAÇÃO]]</f>
        <v>DANILO SANTOS/ARQUIVO DA EDITORA</v>
      </c>
      <c r="AA213" s="23"/>
      <c r="AB213" s="22"/>
      <c r="AC213" s="22"/>
      <c r="AD213" s="4" t="str">
        <f t="shared" si="3"/>
        <v>EF1 E001 HGC</v>
      </c>
    </row>
    <row r="214" spans="1:30" s="14" customFormat="1" ht="30" x14ac:dyDescent="0.25">
      <c r="A214" s="24" t="s">
        <v>504</v>
      </c>
      <c r="B214" s="22" t="s">
        <v>31</v>
      </c>
      <c r="C214" s="22" t="s">
        <v>32</v>
      </c>
      <c r="D214" s="22" t="s">
        <v>33</v>
      </c>
      <c r="E214" s="23">
        <v>205</v>
      </c>
      <c r="F214" s="23">
        <v>1</v>
      </c>
      <c r="G214" s="23">
        <v>3</v>
      </c>
      <c r="H214" s="23"/>
      <c r="I214" s="24" t="s">
        <v>34</v>
      </c>
      <c r="J214" s="24"/>
      <c r="K214" s="23"/>
      <c r="L214" s="23"/>
      <c r="M214" s="24"/>
      <c r="N214" s="24"/>
      <c r="O214" s="26" t="s">
        <v>505</v>
      </c>
      <c r="P214" s="26"/>
      <c r="Q214" s="23"/>
      <c r="R214" s="25"/>
      <c r="S214" s="25"/>
      <c r="T214" s="25"/>
      <c r="U214" s="25"/>
      <c r="V214" s="25"/>
      <c r="W214" s="23" t="s">
        <v>59</v>
      </c>
      <c r="X214" s="4" t="str">
        <f>IF(Tabela2[[#This Row],[SIGLA]]="","",VLOOKUP(Tabela2[[#This Row],[SIGLA]],créditos_base!B:C,2,0))</f>
        <v>DANILO SANTOS/ARQUIVO DA EDITORA</v>
      </c>
      <c r="Y214" s="24"/>
      <c r="Z214" s="24" t="str">
        <f>Tabela2[[#This Row],[ILUSTRADOR CRIAÇÃO]]</f>
        <v>DANILO SANTOS/ARQUIVO DA EDITORA</v>
      </c>
      <c r="AA214" s="23"/>
      <c r="AB214" s="22"/>
      <c r="AC214" s="22"/>
      <c r="AD214" s="4" t="str">
        <f t="shared" si="3"/>
        <v>EF1 E001 HGC</v>
      </c>
    </row>
    <row r="215" spans="1:30" s="14" customFormat="1" ht="30" x14ac:dyDescent="0.25">
      <c r="A215" s="24" t="s">
        <v>506</v>
      </c>
      <c r="B215" s="31" t="s">
        <v>31</v>
      </c>
      <c r="C215" s="22" t="s">
        <v>32</v>
      </c>
      <c r="D215" s="22" t="s">
        <v>33</v>
      </c>
      <c r="E215" s="23">
        <v>205</v>
      </c>
      <c r="F215" s="23">
        <v>1</v>
      </c>
      <c r="G215" s="23">
        <v>3</v>
      </c>
      <c r="H215" s="23"/>
      <c r="I215" s="24" t="s">
        <v>34</v>
      </c>
      <c r="J215" s="24"/>
      <c r="K215" s="23"/>
      <c r="L215" s="23"/>
      <c r="M215" s="24"/>
      <c r="N215" s="24"/>
      <c r="O215" s="26" t="s">
        <v>507</v>
      </c>
      <c r="P215" s="26"/>
      <c r="Q215" s="23"/>
      <c r="R215" s="25"/>
      <c r="S215" s="25"/>
      <c r="T215" s="25"/>
      <c r="U215" s="25"/>
      <c r="V215" s="25"/>
      <c r="W215" s="23" t="s">
        <v>59</v>
      </c>
      <c r="X215" s="4" t="str">
        <f>IF(Tabela2[[#This Row],[SIGLA]]="","",VLOOKUP(Tabela2[[#This Row],[SIGLA]],créditos_base!B:C,2,0))</f>
        <v>DANILO SANTOS/ARQUIVO DA EDITORA</v>
      </c>
      <c r="Y215" s="24"/>
      <c r="Z215" s="24" t="str">
        <f>Tabela2[[#This Row],[ILUSTRADOR CRIAÇÃO]]</f>
        <v>DANILO SANTOS/ARQUIVO DA EDITORA</v>
      </c>
      <c r="AA215" s="23"/>
      <c r="AB215" s="22"/>
      <c r="AC215" s="22"/>
      <c r="AD215" s="4" t="str">
        <f t="shared" si="3"/>
        <v>EF1 E001 HGC</v>
      </c>
    </row>
    <row r="216" spans="1:30" s="14" customFormat="1" ht="30" x14ac:dyDescent="0.25">
      <c r="A216" s="24" t="s">
        <v>508</v>
      </c>
      <c r="B216" s="22" t="s">
        <v>31</v>
      </c>
      <c r="C216" s="22" t="s">
        <v>32</v>
      </c>
      <c r="D216" s="22" t="s">
        <v>33</v>
      </c>
      <c r="E216" s="23">
        <v>205</v>
      </c>
      <c r="F216" s="23">
        <v>1</v>
      </c>
      <c r="G216" s="23">
        <v>3</v>
      </c>
      <c r="H216" s="23"/>
      <c r="I216" s="24" t="s">
        <v>34</v>
      </c>
      <c r="J216" s="24"/>
      <c r="K216" s="23"/>
      <c r="L216" s="23"/>
      <c r="M216" s="24"/>
      <c r="N216" s="24"/>
      <c r="O216" s="26" t="s">
        <v>509</v>
      </c>
      <c r="P216" s="26"/>
      <c r="Q216" s="23"/>
      <c r="R216" s="25"/>
      <c r="S216" s="25"/>
      <c r="T216" s="25"/>
      <c r="U216" s="25"/>
      <c r="V216" s="25"/>
      <c r="W216" s="23" t="s">
        <v>59</v>
      </c>
      <c r="X216" s="4" t="str">
        <f>IF(Tabela2[[#This Row],[SIGLA]]="","",VLOOKUP(Tabela2[[#This Row],[SIGLA]],créditos_base!B:C,2,0))</f>
        <v>DANILO SANTOS/ARQUIVO DA EDITORA</v>
      </c>
      <c r="Y216" s="24"/>
      <c r="Z216" s="24" t="str">
        <f>Tabela2[[#This Row],[ILUSTRADOR CRIAÇÃO]]</f>
        <v>DANILO SANTOS/ARQUIVO DA EDITORA</v>
      </c>
      <c r="AA216" s="23"/>
      <c r="AB216" s="22"/>
      <c r="AC216" s="22"/>
      <c r="AD216" s="4" t="str">
        <f t="shared" si="3"/>
        <v>EF1 E001 HGC</v>
      </c>
    </row>
    <row r="217" spans="1:30" s="14" customFormat="1" ht="30" x14ac:dyDescent="0.25">
      <c r="A217" s="24" t="s">
        <v>510</v>
      </c>
      <c r="B217" s="22" t="s">
        <v>31</v>
      </c>
      <c r="C217" s="22" t="s">
        <v>32</v>
      </c>
      <c r="D217" s="22" t="s">
        <v>33</v>
      </c>
      <c r="E217" s="23">
        <v>205</v>
      </c>
      <c r="F217" s="23">
        <v>1</v>
      </c>
      <c r="G217" s="23">
        <v>3</v>
      </c>
      <c r="H217" s="23"/>
      <c r="I217" s="24" t="s">
        <v>34</v>
      </c>
      <c r="J217" s="24"/>
      <c r="K217" s="23"/>
      <c r="L217" s="23"/>
      <c r="M217" s="24"/>
      <c r="N217" s="24"/>
      <c r="O217" s="26" t="s">
        <v>511</v>
      </c>
      <c r="P217" s="26"/>
      <c r="Q217" s="23"/>
      <c r="R217" s="25"/>
      <c r="S217" s="25"/>
      <c r="T217" s="25"/>
      <c r="U217" s="25"/>
      <c r="V217" s="25"/>
      <c r="W217" s="23" t="s">
        <v>59</v>
      </c>
      <c r="X217" s="4" t="str">
        <f>IF(Tabela2[[#This Row],[SIGLA]]="","",VLOOKUP(Tabela2[[#This Row],[SIGLA]],créditos_base!B:C,2,0))</f>
        <v>DANILO SANTOS/ARQUIVO DA EDITORA</v>
      </c>
      <c r="Y217" s="24"/>
      <c r="Z217" s="24" t="str">
        <f>Tabela2[[#This Row],[ILUSTRADOR CRIAÇÃO]]</f>
        <v>DANILO SANTOS/ARQUIVO DA EDITORA</v>
      </c>
      <c r="AA217" s="23"/>
      <c r="AB217" s="22"/>
      <c r="AC217" s="22"/>
      <c r="AD217" s="4" t="str">
        <f t="shared" si="3"/>
        <v>EF1 E001 HGC</v>
      </c>
    </row>
    <row r="218" spans="1:30" s="14" customFormat="1" ht="45" x14ac:dyDescent="0.25">
      <c r="A218" s="24" t="s">
        <v>512</v>
      </c>
      <c r="B218" s="22" t="s">
        <v>31</v>
      </c>
      <c r="C218" s="22" t="s">
        <v>32</v>
      </c>
      <c r="D218" s="22" t="s">
        <v>33</v>
      </c>
      <c r="E218" s="23">
        <v>205</v>
      </c>
      <c r="F218" s="23">
        <v>1</v>
      </c>
      <c r="G218" s="23">
        <v>3</v>
      </c>
      <c r="H218" s="23"/>
      <c r="I218" s="24" t="s">
        <v>34</v>
      </c>
      <c r="J218" s="24"/>
      <c r="K218" s="23"/>
      <c r="L218" s="23"/>
      <c r="M218" s="24"/>
      <c r="N218" s="24"/>
      <c r="O218" s="26" t="s">
        <v>513</v>
      </c>
      <c r="P218" s="26"/>
      <c r="Q218" s="23"/>
      <c r="R218" s="25"/>
      <c r="S218" s="25"/>
      <c r="T218" s="25"/>
      <c r="U218" s="25"/>
      <c r="V218" s="25"/>
      <c r="W218" s="23" t="s">
        <v>280</v>
      </c>
      <c r="X218" s="4" t="str">
        <f>IF(Tabela2[[#This Row],[SIGLA]]="","",VLOOKUP(Tabela2[[#This Row],[SIGLA]],créditos_base!B:C,2,0))</f>
        <v>HELOÍSA PINTARELLI/ARQUIVO DA EDITORA</v>
      </c>
      <c r="Y218" s="24"/>
      <c r="Z218" s="24" t="str">
        <f>Tabela2[[#This Row],[ILUSTRADOR CRIAÇÃO]]</f>
        <v>HELOÍSA PINTARELLI/ARQUIVO DA EDITORA</v>
      </c>
      <c r="AA218" s="23"/>
      <c r="AB218" s="22"/>
      <c r="AC218" s="22"/>
      <c r="AD218" s="4" t="str">
        <f t="shared" si="3"/>
        <v>EF1 E001 HGC</v>
      </c>
    </row>
    <row r="219" spans="1:30" s="14" customFormat="1" ht="30" x14ac:dyDescent="0.25">
      <c r="A219" s="24" t="s">
        <v>514</v>
      </c>
      <c r="B219" s="22" t="s">
        <v>31</v>
      </c>
      <c r="C219" s="22" t="s">
        <v>32</v>
      </c>
      <c r="D219" s="22" t="s">
        <v>33</v>
      </c>
      <c r="E219" s="23">
        <v>205</v>
      </c>
      <c r="F219" s="23">
        <v>1</v>
      </c>
      <c r="G219" s="23">
        <v>3</v>
      </c>
      <c r="H219" s="23"/>
      <c r="I219" s="24" t="s">
        <v>34</v>
      </c>
      <c r="J219" s="24"/>
      <c r="K219" s="23"/>
      <c r="L219" s="23"/>
      <c r="M219" s="24"/>
      <c r="N219" s="24"/>
      <c r="O219" s="26" t="s">
        <v>515</v>
      </c>
      <c r="P219" s="26"/>
      <c r="Q219" s="23"/>
      <c r="R219" s="25"/>
      <c r="S219" s="25"/>
      <c r="T219" s="25"/>
      <c r="U219" s="25"/>
      <c r="V219" s="25"/>
      <c r="W219" s="23" t="s">
        <v>280</v>
      </c>
      <c r="X219" s="4" t="str">
        <f>IF(Tabela2[[#This Row],[SIGLA]]="","",VLOOKUP(Tabela2[[#This Row],[SIGLA]],créditos_base!B:C,2,0))</f>
        <v>HELOÍSA PINTARELLI/ARQUIVO DA EDITORA</v>
      </c>
      <c r="Y219" s="24"/>
      <c r="Z219" s="24" t="str">
        <f>Tabela2[[#This Row],[ILUSTRADOR CRIAÇÃO]]</f>
        <v>HELOÍSA PINTARELLI/ARQUIVO DA EDITORA</v>
      </c>
      <c r="AA219" s="23"/>
      <c r="AB219" s="22"/>
      <c r="AC219" s="22"/>
      <c r="AD219" s="4" t="str">
        <f t="shared" si="3"/>
        <v>EF1 E001 HGC</v>
      </c>
    </row>
    <row r="220" spans="1:30" s="14" customFormat="1" ht="30" x14ac:dyDescent="0.25">
      <c r="A220" s="24" t="s">
        <v>516</v>
      </c>
      <c r="B220" s="22" t="s">
        <v>83</v>
      </c>
      <c r="C220" s="22" t="s">
        <v>32</v>
      </c>
      <c r="D220" s="22" t="s">
        <v>33</v>
      </c>
      <c r="E220" s="23">
        <v>205</v>
      </c>
      <c r="F220" s="23">
        <v>1</v>
      </c>
      <c r="G220" s="23">
        <v>3</v>
      </c>
      <c r="H220" s="23"/>
      <c r="I220" s="24" t="s">
        <v>34</v>
      </c>
      <c r="J220" s="24"/>
      <c r="K220" s="23"/>
      <c r="L220" s="23"/>
      <c r="M220" s="24"/>
      <c r="N220" s="24"/>
      <c r="O220" s="26" t="s">
        <v>517</v>
      </c>
      <c r="P220" s="26"/>
      <c r="Q220" s="23"/>
      <c r="R220" s="25"/>
      <c r="S220" s="25"/>
      <c r="T220" s="25"/>
      <c r="U220" s="25"/>
      <c r="V220" s="25"/>
      <c r="W220" s="23" t="s">
        <v>280</v>
      </c>
      <c r="X220" s="4" t="str">
        <f>IF(Tabela2[[#This Row],[SIGLA]]="","",VLOOKUP(Tabela2[[#This Row],[SIGLA]],créditos_base!B:C,2,0))</f>
        <v>HELOÍSA PINTARELLI/ARQUIVO DA EDITORA</v>
      </c>
      <c r="Y220" s="24"/>
      <c r="Z220" s="24" t="str">
        <f>Tabela2[[#This Row],[ILUSTRADOR CRIAÇÃO]]</f>
        <v>HELOÍSA PINTARELLI/ARQUIVO DA EDITORA</v>
      </c>
      <c r="AA220" s="23"/>
      <c r="AB220" s="22"/>
      <c r="AC220" s="22"/>
      <c r="AD220" s="4" t="str">
        <f t="shared" si="3"/>
        <v>EF1 E001 HGC</v>
      </c>
    </row>
    <row r="221" spans="1:30" s="14" customFormat="1" ht="45" x14ac:dyDescent="0.25">
      <c r="A221" s="24" t="s">
        <v>518</v>
      </c>
      <c r="B221" s="22" t="s">
        <v>67</v>
      </c>
      <c r="C221" s="22" t="s">
        <v>32</v>
      </c>
      <c r="D221" s="22" t="s">
        <v>33</v>
      </c>
      <c r="E221" s="23">
        <v>14</v>
      </c>
      <c r="F221" s="23">
        <v>1</v>
      </c>
      <c r="G221" s="23"/>
      <c r="H221" s="23" t="s">
        <v>519</v>
      </c>
      <c r="I221" s="24" t="s">
        <v>34</v>
      </c>
      <c r="J221" s="24"/>
      <c r="K221" s="23"/>
      <c r="L221" s="23"/>
      <c r="M221" s="24"/>
      <c r="N221" s="24"/>
      <c r="O221" s="26" t="s">
        <v>520</v>
      </c>
      <c r="P221" s="26"/>
      <c r="Q221" s="23"/>
      <c r="R221" s="25"/>
      <c r="S221" s="25"/>
      <c r="T221" s="25"/>
      <c r="U221" s="25"/>
      <c r="V221" s="25"/>
      <c r="W221" s="23" t="s">
        <v>521</v>
      </c>
      <c r="X221" s="4" t="str">
        <f>IF(Tabela2[[#This Row],[SIGLA]]="","",VLOOKUP(Tabela2[[#This Row],[SIGLA]],créditos_base!B:C,2,0))</f>
        <v>CAIO TANAKA/ARQUIVO DA EDITORA</v>
      </c>
      <c r="Y221" s="24"/>
      <c r="Z221" s="24" t="str">
        <f>Tabela2[[#This Row],[ILUSTRADOR CRIAÇÃO]]</f>
        <v>CAIO TANAKA/ARQUIVO DA EDITORA</v>
      </c>
      <c r="AA221" s="23"/>
      <c r="AB221" s="22"/>
      <c r="AC221" s="22"/>
      <c r="AD221" s="4" t="str">
        <f t="shared" si="3"/>
        <v>EF1 E001 HGC</v>
      </c>
    </row>
    <row r="222" spans="1:30" s="14" customFormat="1" ht="45" x14ac:dyDescent="0.25">
      <c r="A222" s="24" t="s">
        <v>522</v>
      </c>
      <c r="B222" s="22" t="s">
        <v>67</v>
      </c>
      <c r="C222" s="22" t="s">
        <v>32</v>
      </c>
      <c r="D222" s="22" t="s">
        <v>33</v>
      </c>
      <c r="E222" s="23">
        <v>14</v>
      </c>
      <c r="F222" s="23">
        <v>1</v>
      </c>
      <c r="G222" s="23"/>
      <c r="H222" s="23" t="s">
        <v>519</v>
      </c>
      <c r="I222" s="24" t="s">
        <v>38</v>
      </c>
      <c r="J222" s="24"/>
      <c r="K222" s="23"/>
      <c r="L222" s="23"/>
      <c r="M222" s="24"/>
      <c r="N222" s="24"/>
      <c r="O222" s="26" t="s">
        <v>523</v>
      </c>
      <c r="P222" s="26"/>
      <c r="Q222" s="23">
        <v>13</v>
      </c>
      <c r="R222" s="25">
        <v>45776</v>
      </c>
      <c r="S222" s="25">
        <v>45776</v>
      </c>
      <c r="T222" s="25"/>
      <c r="U222" s="25"/>
      <c r="V222" s="25">
        <v>45777</v>
      </c>
      <c r="W222" s="23" t="s">
        <v>521</v>
      </c>
      <c r="X222" s="4" t="str">
        <f>IF(Tabela2[[#This Row],[SIGLA]]="","",VLOOKUP(Tabela2[[#This Row],[SIGLA]],créditos_base!B:C,2,0))</f>
        <v>CAIO TANAKA/ARQUIVO DA EDITORA</v>
      </c>
      <c r="Y222" s="24" t="s">
        <v>70</v>
      </c>
      <c r="Z222" s="24" t="str">
        <f>Tabela2[[#This Row],[ILUSTRADOR CRIAÇÃO]]</f>
        <v>CAIO TANAKA/ARQUIVO DA EDITORA</v>
      </c>
      <c r="AA222" s="23">
        <v>13</v>
      </c>
      <c r="AB222" s="22" t="s">
        <v>524</v>
      </c>
      <c r="AC222" s="22" t="s">
        <v>43</v>
      </c>
      <c r="AD222" s="4" t="str">
        <f t="shared" si="3"/>
        <v>EF1 E001 HGC</v>
      </c>
    </row>
    <row r="223" spans="1:30" s="14" customFormat="1" ht="45" x14ac:dyDescent="0.25">
      <c r="A223" s="24" t="s">
        <v>525</v>
      </c>
      <c r="B223" s="22" t="s">
        <v>67</v>
      </c>
      <c r="C223" s="22" t="s">
        <v>32</v>
      </c>
      <c r="D223" s="22" t="s">
        <v>33</v>
      </c>
      <c r="E223" s="23">
        <v>14</v>
      </c>
      <c r="F223" s="23">
        <v>1</v>
      </c>
      <c r="G223" s="23"/>
      <c r="H223" s="23" t="s">
        <v>519</v>
      </c>
      <c r="I223" s="24" t="s">
        <v>38</v>
      </c>
      <c r="J223" s="24"/>
      <c r="K223" s="23"/>
      <c r="L223" s="23"/>
      <c r="M223" s="24"/>
      <c r="N223" s="24"/>
      <c r="O223" s="26" t="s">
        <v>526</v>
      </c>
      <c r="P223" s="26"/>
      <c r="Q223" s="23">
        <v>13</v>
      </c>
      <c r="R223" s="25">
        <v>45776</v>
      </c>
      <c r="S223" s="25">
        <v>45776</v>
      </c>
      <c r="T223" s="25"/>
      <c r="U223" s="25"/>
      <c r="V223" s="25">
        <v>45777</v>
      </c>
      <c r="W223" s="23" t="s">
        <v>521</v>
      </c>
      <c r="X223" s="4" t="str">
        <f>IF(Tabela2[[#This Row],[SIGLA]]="","",VLOOKUP(Tabela2[[#This Row],[SIGLA]],créditos_base!B:C,2,0))</f>
        <v>CAIO TANAKA/ARQUIVO DA EDITORA</v>
      </c>
      <c r="Y223" s="24" t="s">
        <v>70</v>
      </c>
      <c r="Z223" s="24" t="str">
        <f>Tabela2[[#This Row],[ILUSTRADOR CRIAÇÃO]]</f>
        <v>CAIO TANAKA/ARQUIVO DA EDITORA</v>
      </c>
      <c r="AA223" s="23">
        <v>13</v>
      </c>
      <c r="AB223" s="22" t="s">
        <v>524</v>
      </c>
      <c r="AC223" s="22" t="s">
        <v>43</v>
      </c>
      <c r="AD223" s="4" t="str">
        <f t="shared" si="3"/>
        <v>EF1 E001 HGC</v>
      </c>
    </row>
    <row r="224" spans="1:30" s="14" customFormat="1" ht="45" x14ac:dyDescent="0.25">
      <c r="A224" s="24" t="s">
        <v>527</v>
      </c>
      <c r="B224" s="22" t="s">
        <v>67</v>
      </c>
      <c r="C224" s="22" t="s">
        <v>32</v>
      </c>
      <c r="D224" s="22" t="s">
        <v>33</v>
      </c>
      <c r="E224" s="23">
        <v>14</v>
      </c>
      <c r="F224" s="23">
        <v>1</v>
      </c>
      <c r="G224" s="23"/>
      <c r="H224" s="23" t="s">
        <v>519</v>
      </c>
      <c r="I224" s="24" t="s">
        <v>38</v>
      </c>
      <c r="J224" s="24"/>
      <c r="K224" s="23"/>
      <c r="L224" s="23"/>
      <c r="M224" s="24"/>
      <c r="N224" s="24"/>
      <c r="O224" s="26" t="s">
        <v>528</v>
      </c>
      <c r="P224" s="26"/>
      <c r="Q224" s="23">
        <v>13</v>
      </c>
      <c r="R224" s="25">
        <v>45776</v>
      </c>
      <c r="S224" s="25">
        <v>45776</v>
      </c>
      <c r="T224" s="25"/>
      <c r="U224" s="25"/>
      <c r="V224" s="25">
        <v>45777</v>
      </c>
      <c r="W224" s="23" t="s">
        <v>521</v>
      </c>
      <c r="X224" s="4" t="str">
        <f>IF(Tabela2[[#This Row],[SIGLA]]="","",VLOOKUP(Tabela2[[#This Row],[SIGLA]],créditos_base!B:C,2,0))</f>
        <v>CAIO TANAKA/ARQUIVO DA EDITORA</v>
      </c>
      <c r="Y224" s="24" t="s">
        <v>70</v>
      </c>
      <c r="Z224" s="24" t="str">
        <f>Tabela2[[#This Row],[ILUSTRADOR CRIAÇÃO]]</f>
        <v>CAIO TANAKA/ARQUIVO DA EDITORA</v>
      </c>
      <c r="AA224" s="23">
        <v>13</v>
      </c>
      <c r="AB224" s="22" t="s">
        <v>524</v>
      </c>
      <c r="AC224" s="22" t="s">
        <v>43</v>
      </c>
      <c r="AD224" s="4" t="str">
        <f t="shared" si="3"/>
        <v>EF1 E001 HGC</v>
      </c>
    </row>
    <row r="225" spans="1:30" s="14" customFormat="1" ht="45" x14ac:dyDescent="0.25">
      <c r="A225" s="24" t="s">
        <v>529</v>
      </c>
      <c r="B225" s="22" t="s">
        <v>67</v>
      </c>
      <c r="C225" s="22" t="s">
        <v>32</v>
      </c>
      <c r="D225" s="22" t="s">
        <v>33</v>
      </c>
      <c r="E225" s="23">
        <v>14</v>
      </c>
      <c r="F225" s="23">
        <v>1</v>
      </c>
      <c r="G225" s="23"/>
      <c r="H225" s="23" t="s">
        <v>519</v>
      </c>
      <c r="I225" s="24" t="s">
        <v>38</v>
      </c>
      <c r="J225" s="24"/>
      <c r="K225" s="23"/>
      <c r="L225" s="23"/>
      <c r="M225" s="24"/>
      <c r="N225" s="24"/>
      <c r="O225" s="26" t="s">
        <v>530</v>
      </c>
      <c r="P225" s="26"/>
      <c r="Q225" s="23">
        <v>13</v>
      </c>
      <c r="R225" s="25">
        <v>45776</v>
      </c>
      <c r="S225" s="25">
        <v>45776</v>
      </c>
      <c r="T225" s="25"/>
      <c r="U225" s="25"/>
      <c r="V225" s="25">
        <v>45777</v>
      </c>
      <c r="W225" s="23" t="s">
        <v>521</v>
      </c>
      <c r="X225" s="4" t="str">
        <f>IF(Tabela2[[#This Row],[SIGLA]]="","",VLOOKUP(Tabela2[[#This Row],[SIGLA]],créditos_base!B:C,2,0))</f>
        <v>CAIO TANAKA/ARQUIVO DA EDITORA</v>
      </c>
      <c r="Y225" s="24" t="s">
        <v>70</v>
      </c>
      <c r="Z225" s="24" t="str">
        <f>Tabela2[[#This Row],[ILUSTRADOR CRIAÇÃO]]</f>
        <v>CAIO TANAKA/ARQUIVO DA EDITORA</v>
      </c>
      <c r="AA225" s="23">
        <v>13</v>
      </c>
      <c r="AB225" s="22" t="s">
        <v>524</v>
      </c>
      <c r="AC225" s="22" t="s">
        <v>43</v>
      </c>
      <c r="AD225" s="4" t="str">
        <f t="shared" si="3"/>
        <v>EF1 E001 HGC</v>
      </c>
    </row>
    <row r="226" spans="1:30" s="14" customFormat="1" ht="30" x14ac:dyDescent="0.25">
      <c r="A226" s="24" t="s">
        <v>531</v>
      </c>
      <c r="B226" s="22" t="s">
        <v>67</v>
      </c>
      <c r="C226" s="22" t="s">
        <v>32</v>
      </c>
      <c r="D226" s="22" t="s">
        <v>33</v>
      </c>
      <c r="E226" s="23">
        <v>14</v>
      </c>
      <c r="F226" s="23">
        <v>1</v>
      </c>
      <c r="G226" s="23"/>
      <c r="H226" s="23" t="s">
        <v>519</v>
      </c>
      <c r="I226" s="24" t="s">
        <v>34</v>
      </c>
      <c r="J226" s="24"/>
      <c r="K226" s="23"/>
      <c r="L226" s="23"/>
      <c r="M226" s="24"/>
      <c r="N226" s="24"/>
      <c r="O226" s="26" t="s">
        <v>532</v>
      </c>
      <c r="P226" s="26"/>
      <c r="Q226" s="23"/>
      <c r="R226" s="25"/>
      <c r="S226" s="25"/>
      <c r="T226" s="25"/>
      <c r="U226" s="25"/>
      <c r="V226" s="25"/>
      <c r="W226" s="23" t="s">
        <v>154</v>
      </c>
      <c r="X226" s="4" t="str">
        <f>IF(Tabela2[[#This Row],[SIGLA]]="","",VLOOKUP(Tabela2[[#This Row],[SIGLA]],créditos_base!B:C,2,0))</f>
        <v>VICTOR LEMOS/ARQUIVO DA EDITORA</v>
      </c>
      <c r="Y226" s="24"/>
      <c r="Z226" s="24" t="str">
        <f>Tabela2[[#This Row],[ILUSTRADOR CRIAÇÃO]]</f>
        <v>VICTOR LEMOS/ARQUIVO DA EDITORA</v>
      </c>
      <c r="AA226" s="23"/>
      <c r="AB226" s="22"/>
      <c r="AC226" s="22"/>
      <c r="AD226" s="4" t="str">
        <f t="shared" si="3"/>
        <v>EF1 E001 HGC</v>
      </c>
    </row>
    <row r="227" spans="1:30" s="14" customFormat="1" ht="30" x14ac:dyDescent="0.25">
      <c r="A227" s="24" t="s">
        <v>533</v>
      </c>
      <c r="B227" s="22" t="s">
        <v>67</v>
      </c>
      <c r="C227" s="22" t="s">
        <v>32</v>
      </c>
      <c r="D227" s="22" t="s">
        <v>33</v>
      </c>
      <c r="E227" s="23">
        <v>14</v>
      </c>
      <c r="F227" s="23">
        <v>1</v>
      </c>
      <c r="G227" s="23"/>
      <c r="H227" s="23" t="s">
        <v>519</v>
      </c>
      <c r="I227" s="24" t="s">
        <v>34</v>
      </c>
      <c r="J227" s="24"/>
      <c r="K227" s="23"/>
      <c r="L227" s="23"/>
      <c r="M227" s="24"/>
      <c r="N227" s="24"/>
      <c r="O227" s="26" t="s">
        <v>534</v>
      </c>
      <c r="P227" s="26"/>
      <c r="Q227" s="23"/>
      <c r="R227" s="25"/>
      <c r="S227" s="25"/>
      <c r="T227" s="25"/>
      <c r="U227" s="25"/>
      <c r="V227" s="25"/>
      <c r="W227" s="23" t="s">
        <v>154</v>
      </c>
      <c r="X227" s="4" t="str">
        <f>IF(Tabela2[[#This Row],[SIGLA]]="","",VLOOKUP(Tabela2[[#This Row],[SIGLA]],créditos_base!B:C,2,0))</f>
        <v>VICTOR LEMOS/ARQUIVO DA EDITORA</v>
      </c>
      <c r="Y227" s="24"/>
      <c r="Z227" s="24" t="str">
        <f>Tabela2[[#This Row],[ILUSTRADOR CRIAÇÃO]]</f>
        <v>VICTOR LEMOS/ARQUIVO DA EDITORA</v>
      </c>
      <c r="AA227" s="23"/>
      <c r="AB227" s="22"/>
      <c r="AC227" s="22"/>
      <c r="AD227" s="4" t="str">
        <f t="shared" si="3"/>
        <v>EF1 E001 HGC</v>
      </c>
    </row>
    <row r="228" spans="1:30" s="14" customFormat="1" ht="75" x14ac:dyDescent="0.25">
      <c r="A228" s="24" t="s">
        <v>535</v>
      </c>
      <c r="B228" s="22" t="s">
        <v>67</v>
      </c>
      <c r="C228" s="22" t="s">
        <v>32</v>
      </c>
      <c r="D228" s="22" t="s">
        <v>33</v>
      </c>
      <c r="E228" s="23">
        <v>17</v>
      </c>
      <c r="F228" s="23">
        <v>1</v>
      </c>
      <c r="G228" s="23"/>
      <c r="H228" s="23" t="s">
        <v>519</v>
      </c>
      <c r="I228" s="24" t="s">
        <v>34</v>
      </c>
      <c r="J228" s="24"/>
      <c r="K228" s="23"/>
      <c r="L228" s="23"/>
      <c r="M228" s="24"/>
      <c r="N228" s="24"/>
      <c r="O228" s="26" t="s">
        <v>536</v>
      </c>
      <c r="P228" s="26"/>
      <c r="Q228" s="23"/>
      <c r="R228" s="25"/>
      <c r="S228" s="25"/>
      <c r="T228" s="25"/>
      <c r="U228" s="25"/>
      <c r="V228" s="25"/>
      <c r="W228" s="23" t="s">
        <v>537</v>
      </c>
      <c r="X228" s="4" t="str">
        <f>IF(Tabela2[[#This Row],[SIGLA]]="","",VLOOKUP(Tabela2[[#This Row],[SIGLA]],créditos_base!B:C,2,0))</f>
        <v>THAMIRES PAREDES/ARQUIVO DA EDITORA</v>
      </c>
      <c r="Y228" s="24"/>
      <c r="Z228" s="24" t="str">
        <f>Tabela2[[#This Row],[ILUSTRADOR CRIAÇÃO]]</f>
        <v>THAMIRES PAREDES/ARQUIVO DA EDITORA</v>
      </c>
      <c r="AA228" s="23"/>
      <c r="AB228" s="22"/>
      <c r="AC228" s="22"/>
      <c r="AD228" s="4" t="str">
        <f t="shared" si="3"/>
        <v>EF1 E001 HGC</v>
      </c>
    </row>
    <row r="229" spans="1:30" s="14" customFormat="1" ht="75" x14ac:dyDescent="0.25">
      <c r="A229" s="24" t="s">
        <v>538</v>
      </c>
      <c r="B229" s="22" t="s">
        <v>67</v>
      </c>
      <c r="C229" s="22" t="s">
        <v>32</v>
      </c>
      <c r="D229" s="22" t="s">
        <v>33</v>
      </c>
      <c r="E229" s="23">
        <v>17</v>
      </c>
      <c r="F229" s="23">
        <v>1</v>
      </c>
      <c r="G229" s="23"/>
      <c r="H229" s="23" t="s">
        <v>519</v>
      </c>
      <c r="I229" s="24" t="s">
        <v>34</v>
      </c>
      <c r="J229" s="24"/>
      <c r="K229" s="23"/>
      <c r="L229" s="23"/>
      <c r="M229" s="24"/>
      <c r="N229" s="24"/>
      <c r="O229" s="26" t="s">
        <v>539</v>
      </c>
      <c r="P229" s="26"/>
      <c r="Q229" s="23"/>
      <c r="R229" s="25"/>
      <c r="S229" s="25"/>
      <c r="T229" s="25"/>
      <c r="U229" s="25"/>
      <c r="V229" s="25"/>
      <c r="W229" s="23" t="s">
        <v>537</v>
      </c>
      <c r="X229" s="4" t="str">
        <f>IF(Tabela2[[#This Row],[SIGLA]]="","",VLOOKUP(Tabela2[[#This Row],[SIGLA]],créditos_base!B:C,2,0))</f>
        <v>THAMIRES PAREDES/ARQUIVO DA EDITORA</v>
      </c>
      <c r="Y229" s="24"/>
      <c r="Z229" s="24" t="str">
        <f>Tabela2[[#This Row],[ILUSTRADOR CRIAÇÃO]]</f>
        <v>THAMIRES PAREDES/ARQUIVO DA EDITORA</v>
      </c>
      <c r="AA229" s="23"/>
      <c r="AB229" s="22"/>
      <c r="AC229" s="22"/>
      <c r="AD229" s="4" t="str">
        <f t="shared" si="3"/>
        <v>EF1 E001 HGC</v>
      </c>
    </row>
    <row r="230" spans="1:30" s="14" customFormat="1" ht="75" x14ac:dyDescent="0.25">
      <c r="A230" s="24" t="s">
        <v>540</v>
      </c>
      <c r="B230" s="22" t="s">
        <v>67</v>
      </c>
      <c r="C230" s="22" t="s">
        <v>32</v>
      </c>
      <c r="D230" s="22" t="s">
        <v>33</v>
      </c>
      <c r="E230" s="23">
        <v>17</v>
      </c>
      <c r="F230" s="23">
        <v>1</v>
      </c>
      <c r="G230" s="23"/>
      <c r="H230" s="23" t="s">
        <v>519</v>
      </c>
      <c r="I230" s="24" t="s">
        <v>34</v>
      </c>
      <c r="J230" s="24"/>
      <c r="K230" s="23"/>
      <c r="L230" s="23"/>
      <c r="M230" s="24"/>
      <c r="N230" s="24"/>
      <c r="O230" s="26" t="s">
        <v>541</v>
      </c>
      <c r="P230" s="26"/>
      <c r="Q230" s="23"/>
      <c r="R230" s="25"/>
      <c r="S230" s="25"/>
      <c r="T230" s="25"/>
      <c r="U230" s="25"/>
      <c r="V230" s="25"/>
      <c r="W230" s="23" t="s">
        <v>537</v>
      </c>
      <c r="X230" s="4" t="str">
        <f>IF(Tabela2[[#This Row],[SIGLA]]="","",VLOOKUP(Tabela2[[#This Row],[SIGLA]],créditos_base!B:C,2,0))</f>
        <v>THAMIRES PAREDES/ARQUIVO DA EDITORA</v>
      </c>
      <c r="Y230" s="24"/>
      <c r="Z230" s="24" t="str">
        <f>Tabela2[[#This Row],[ILUSTRADOR CRIAÇÃO]]</f>
        <v>THAMIRES PAREDES/ARQUIVO DA EDITORA</v>
      </c>
      <c r="AA230" s="23"/>
      <c r="AB230" s="22"/>
      <c r="AC230" s="22"/>
      <c r="AD230" s="4" t="str">
        <f t="shared" si="3"/>
        <v>EF1 E001 HGC</v>
      </c>
    </row>
    <row r="231" spans="1:30" s="14" customFormat="1" ht="60" x14ac:dyDescent="0.25">
      <c r="A231" s="24" t="s">
        <v>542</v>
      </c>
      <c r="B231" s="22" t="s">
        <v>67</v>
      </c>
      <c r="C231" s="22" t="s">
        <v>32</v>
      </c>
      <c r="D231" s="22" t="s">
        <v>33</v>
      </c>
      <c r="E231" s="23">
        <v>17</v>
      </c>
      <c r="F231" s="23">
        <v>1</v>
      </c>
      <c r="G231" s="23"/>
      <c r="H231" s="23" t="s">
        <v>519</v>
      </c>
      <c r="I231" s="24" t="s">
        <v>34</v>
      </c>
      <c r="J231" s="24"/>
      <c r="K231" s="23"/>
      <c r="L231" s="23"/>
      <c r="M231" s="24"/>
      <c r="N231" s="24"/>
      <c r="O231" s="26" t="s">
        <v>543</v>
      </c>
      <c r="P231" s="26"/>
      <c r="Q231" s="23"/>
      <c r="R231" s="25"/>
      <c r="S231" s="25"/>
      <c r="T231" s="25"/>
      <c r="U231" s="25"/>
      <c r="V231" s="25"/>
      <c r="W231" s="23" t="s">
        <v>544</v>
      </c>
      <c r="X231" s="4" t="str">
        <f>IF(Tabela2[[#This Row],[SIGLA]]="","",VLOOKUP(Tabela2[[#This Row],[SIGLA]],créditos_base!B:C,2,0))</f>
        <v>JORGE ZAIBA/ARQUIVO DA EDITORA</v>
      </c>
      <c r="Y231" s="24"/>
      <c r="Z231" s="24" t="str">
        <f>Tabela2[[#This Row],[ILUSTRADOR CRIAÇÃO]]</f>
        <v>JORGE ZAIBA/ARQUIVO DA EDITORA</v>
      </c>
      <c r="AA231" s="23"/>
      <c r="AB231" s="22"/>
      <c r="AC231" s="22"/>
      <c r="AD231" s="4" t="str">
        <f t="shared" si="3"/>
        <v>EF1 E001 HGC</v>
      </c>
    </row>
    <row r="232" spans="1:30" s="14" customFormat="1" ht="45" x14ac:dyDescent="0.25">
      <c r="A232" s="24" t="s">
        <v>545</v>
      </c>
      <c r="B232" s="22" t="s">
        <v>67</v>
      </c>
      <c r="C232" s="22" t="s">
        <v>32</v>
      </c>
      <c r="D232" s="22" t="s">
        <v>33</v>
      </c>
      <c r="E232" s="23">
        <v>17</v>
      </c>
      <c r="F232" s="23">
        <v>1</v>
      </c>
      <c r="G232" s="23"/>
      <c r="H232" s="23" t="s">
        <v>519</v>
      </c>
      <c r="I232" s="24" t="s">
        <v>34</v>
      </c>
      <c r="J232" s="24"/>
      <c r="K232" s="23"/>
      <c r="L232" s="23"/>
      <c r="M232" s="24"/>
      <c r="N232" s="24"/>
      <c r="O232" s="26" t="s">
        <v>546</v>
      </c>
      <c r="P232" s="26"/>
      <c r="Q232" s="23"/>
      <c r="R232" s="25"/>
      <c r="S232" s="25"/>
      <c r="T232" s="25"/>
      <c r="U232" s="25"/>
      <c r="V232" s="25"/>
      <c r="W232" s="23" t="s">
        <v>544</v>
      </c>
      <c r="X232" s="4" t="str">
        <f>IF(Tabela2[[#This Row],[SIGLA]]="","",VLOOKUP(Tabela2[[#This Row],[SIGLA]],créditos_base!B:C,2,0))</f>
        <v>JORGE ZAIBA/ARQUIVO DA EDITORA</v>
      </c>
      <c r="Y232" s="24"/>
      <c r="Z232" s="24" t="str">
        <f>Tabela2[[#This Row],[ILUSTRADOR CRIAÇÃO]]</f>
        <v>JORGE ZAIBA/ARQUIVO DA EDITORA</v>
      </c>
      <c r="AA232" s="23"/>
      <c r="AB232" s="22"/>
      <c r="AC232" s="22"/>
      <c r="AD232" s="4" t="str">
        <f t="shared" si="3"/>
        <v>EF1 E001 HGC</v>
      </c>
    </row>
    <row r="233" spans="1:30" s="14" customFormat="1" ht="45" x14ac:dyDescent="0.25">
      <c r="A233" s="24" t="s">
        <v>547</v>
      </c>
      <c r="B233" s="22" t="s">
        <v>67</v>
      </c>
      <c r="C233" s="22" t="s">
        <v>32</v>
      </c>
      <c r="D233" s="22" t="s">
        <v>33</v>
      </c>
      <c r="E233" s="23">
        <v>17</v>
      </c>
      <c r="F233" s="23">
        <v>1</v>
      </c>
      <c r="G233" s="23"/>
      <c r="H233" s="23" t="s">
        <v>519</v>
      </c>
      <c r="I233" s="24" t="s">
        <v>34</v>
      </c>
      <c r="J233" s="24"/>
      <c r="K233" s="23"/>
      <c r="L233" s="23"/>
      <c r="M233" s="24"/>
      <c r="N233" s="24"/>
      <c r="O233" s="26" t="s">
        <v>548</v>
      </c>
      <c r="P233" s="26"/>
      <c r="Q233" s="23"/>
      <c r="R233" s="25"/>
      <c r="S233" s="25"/>
      <c r="T233" s="25"/>
      <c r="U233" s="25"/>
      <c r="V233" s="25"/>
      <c r="W233" s="23" t="s">
        <v>544</v>
      </c>
      <c r="X233" s="4" t="str">
        <f>IF(Tabela2[[#This Row],[SIGLA]]="","",VLOOKUP(Tabela2[[#This Row],[SIGLA]],créditos_base!B:C,2,0))</f>
        <v>JORGE ZAIBA/ARQUIVO DA EDITORA</v>
      </c>
      <c r="Y233" s="24"/>
      <c r="Z233" s="24" t="str">
        <f>Tabela2[[#This Row],[ILUSTRADOR CRIAÇÃO]]</f>
        <v>JORGE ZAIBA/ARQUIVO DA EDITORA</v>
      </c>
      <c r="AA233" s="23"/>
      <c r="AB233" s="22"/>
      <c r="AC233" s="22"/>
      <c r="AD233" s="4" t="str">
        <f t="shared" si="3"/>
        <v>EF1 E001 HGC</v>
      </c>
    </row>
    <row r="234" spans="1:30" s="14" customFormat="1" ht="45" x14ac:dyDescent="0.25">
      <c r="A234" s="24" t="s">
        <v>549</v>
      </c>
      <c r="B234" s="22" t="s">
        <v>67</v>
      </c>
      <c r="C234" s="22" t="s">
        <v>32</v>
      </c>
      <c r="D234" s="22" t="s">
        <v>33</v>
      </c>
      <c r="E234" s="23">
        <v>17</v>
      </c>
      <c r="F234" s="23">
        <v>1</v>
      </c>
      <c r="G234" s="23"/>
      <c r="H234" s="23" t="s">
        <v>519</v>
      </c>
      <c r="I234" s="24" t="s">
        <v>34</v>
      </c>
      <c r="J234" s="24"/>
      <c r="K234" s="23"/>
      <c r="L234" s="23"/>
      <c r="M234" s="24"/>
      <c r="N234" s="24"/>
      <c r="O234" s="26" t="s">
        <v>550</v>
      </c>
      <c r="P234" s="26"/>
      <c r="Q234" s="23"/>
      <c r="R234" s="25"/>
      <c r="S234" s="25"/>
      <c r="T234" s="25"/>
      <c r="U234" s="25"/>
      <c r="V234" s="25"/>
      <c r="W234" s="23" t="s">
        <v>544</v>
      </c>
      <c r="X234" s="4" t="str">
        <f>IF(Tabela2[[#This Row],[SIGLA]]="","",VLOOKUP(Tabela2[[#This Row],[SIGLA]],créditos_base!B:C,2,0))</f>
        <v>JORGE ZAIBA/ARQUIVO DA EDITORA</v>
      </c>
      <c r="Y234" s="24"/>
      <c r="Z234" s="24" t="str">
        <f>Tabela2[[#This Row],[ILUSTRADOR CRIAÇÃO]]</f>
        <v>JORGE ZAIBA/ARQUIVO DA EDITORA</v>
      </c>
      <c r="AA234" s="23"/>
      <c r="AB234" s="22"/>
      <c r="AC234" s="22"/>
      <c r="AD234" s="4" t="str">
        <f t="shared" si="3"/>
        <v>EF1 E001 HGC</v>
      </c>
    </row>
    <row r="235" spans="1:30" s="14" customFormat="1" ht="45" x14ac:dyDescent="0.25">
      <c r="A235" s="24" t="s">
        <v>551</v>
      </c>
      <c r="B235" s="22" t="s">
        <v>67</v>
      </c>
      <c r="C235" s="22" t="s">
        <v>32</v>
      </c>
      <c r="D235" s="22" t="s">
        <v>33</v>
      </c>
      <c r="E235" s="23">
        <v>17</v>
      </c>
      <c r="F235" s="23">
        <v>1</v>
      </c>
      <c r="G235" s="23"/>
      <c r="H235" s="23" t="s">
        <v>519</v>
      </c>
      <c r="I235" s="24" t="s">
        <v>34</v>
      </c>
      <c r="J235" s="24"/>
      <c r="K235" s="23"/>
      <c r="L235" s="23"/>
      <c r="M235" s="24"/>
      <c r="N235" s="24"/>
      <c r="O235" s="26" t="s">
        <v>552</v>
      </c>
      <c r="P235" s="26"/>
      <c r="Q235" s="23"/>
      <c r="R235" s="25"/>
      <c r="S235" s="25"/>
      <c r="T235" s="25"/>
      <c r="U235" s="25"/>
      <c r="V235" s="25"/>
      <c r="W235" s="23" t="s">
        <v>544</v>
      </c>
      <c r="X235" s="4" t="str">
        <f>IF(Tabela2[[#This Row],[SIGLA]]="","",VLOOKUP(Tabela2[[#This Row],[SIGLA]],créditos_base!B:C,2,0))</f>
        <v>JORGE ZAIBA/ARQUIVO DA EDITORA</v>
      </c>
      <c r="Y235" s="24"/>
      <c r="Z235" s="24" t="str">
        <f>Tabela2[[#This Row],[ILUSTRADOR CRIAÇÃO]]</f>
        <v>JORGE ZAIBA/ARQUIVO DA EDITORA</v>
      </c>
      <c r="AA235" s="23"/>
      <c r="AB235" s="22"/>
      <c r="AC235" s="22"/>
      <c r="AD235" s="4" t="str">
        <f t="shared" si="3"/>
        <v>EF1 E001 HGC</v>
      </c>
    </row>
    <row r="236" spans="1:30" s="14" customFormat="1" ht="45" x14ac:dyDescent="0.25">
      <c r="A236" s="24" t="s">
        <v>553</v>
      </c>
      <c r="B236" s="22" t="s">
        <v>67</v>
      </c>
      <c r="C236" s="22" t="s">
        <v>32</v>
      </c>
      <c r="D236" s="22" t="s">
        <v>33</v>
      </c>
      <c r="E236" s="23">
        <v>17</v>
      </c>
      <c r="F236" s="23">
        <v>1</v>
      </c>
      <c r="G236" s="23"/>
      <c r="H236" s="23" t="s">
        <v>519</v>
      </c>
      <c r="I236" s="24" t="s">
        <v>34</v>
      </c>
      <c r="J236" s="24"/>
      <c r="K236" s="23"/>
      <c r="L236" s="23"/>
      <c r="M236" s="24"/>
      <c r="N236" s="24"/>
      <c r="O236" s="26" t="s">
        <v>554</v>
      </c>
      <c r="P236" s="26"/>
      <c r="Q236" s="23"/>
      <c r="R236" s="25"/>
      <c r="S236" s="25"/>
      <c r="T236" s="25"/>
      <c r="U236" s="25"/>
      <c r="V236" s="25"/>
      <c r="W236" s="23" t="s">
        <v>544</v>
      </c>
      <c r="X236" s="4" t="str">
        <f>IF(Tabela2[[#This Row],[SIGLA]]="","",VLOOKUP(Tabela2[[#This Row],[SIGLA]],créditos_base!B:C,2,0))</f>
        <v>JORGE ZAIBA/ARQUIVO DA EDITORA</v>
      </c>
      <c r="Y236" s="24"/>
      <c r="Z236" s="24" t="str">
        <f>Tabela2[[#This Row],[ILUSTRADOR CRIAÇÃO]]</f>
        <v>JORGE ZAIBA/ARQUIVO DA EDITORA</v>
      </c>
      <c r="AA236" s="23"/>
      <c r="AB236" s="22"/>
      <c r="AC236" s="22"/>
      <c r="AD236" s="4" t="str">
        <f t="shared" si="3"/>
        <v>EF1 E001 HGC</v>
      </c>
    </row>
    <row r="237" spans="1:30" s="14" customFormat="1" ht="45" x14ac:dyDescent="0.25">
      <c r="A237" s="24" t="s">
        <v>555</v>
      </c>
      <c r="B237" s="22" t="s">
        <v>67</v>
      </c>
      <c r="C237" s="22" t="s">
        <v>32</v>
      </c>
      <c r="D237" s="22" t="s">
        <v>33</v>
      </c>
      <c r="E237" s="23">
        <v>17</v>
      </c>
      <c r="F237" s="23">
        <v>1</v>
      </c>
      <c r="G237" s="23"/>
      <c r="H237" s="23" t="s">
        <v>519</v>
      </c>
      <c r="I237" s="24" t="s">
        <v>34</v>
      </c>
      <c r="J237" s="24"/>
      <c r="K237" s="23"/>
      <c r="L237" s="23"/>
      <c r="M237" s="24"/>
      <c r="N237" s="24"/>
      <c r="O237" s="26" t="s">
        <v>556</v>
      </c>
      <c r="P237" s="26"/>
      <c r="Q237" s="23"/>
      <c r="R237" s="25"/>
      <c r="S237" s="25"/>
      <c r="T237" s="25"/>
      <c r="U237" s="25"/>
      <c r="V237" s="25"/>
      <c r="W237" s="23" t="s">
        <v>521</v>
      </c>
      <c r="X237" s="4" t="str">
        <f>IF(Tabela2[[#This Row],[SIGLA]]="","",VLOOKUP(Tabela2[[#This Row],[SIGLA]],créditos_base!B:C,2,0))</f>
        <v>CAIO TANAKA/ARQUIVO DA EDITORA</v>
      </c>
      <c r="Y237" s="24"/>
      <c r="Z237" s="24" t="str">
        <f>Tabela2[[#This Row],[ILUSTRADOR CRIAÇÃO]]</f>
        <v>CAIO TANAKA/ARQUIVO DA EDITORA</v>
      </c>
      <c r="AA237" s="23"/>
      <c r="AB237" s="22"/>
      <c r="AC237" s="22"/>
      <c r="AD237" s="4" t="str">
        <f t="shared" si="3"/>
        <v>EF1 E001 HGC</v>
      </c>
    </row>
    <row r="238" spans="1:30" s="14" customFormat="1" ht="45" x14ac:dyDescent="0.25">
      <c r="A238" s="24" t="s">
        <v>557</v>
      </c>
      <c r="B238" s="22" t="s">
        <v>67</v>
      </c>
      <c r="C238" s="22" t="s">
        <v>32</v>
      </c>
      <c r="D238" s="22" t="s">
        <v>33</v>
      </c>
      <c r="E238" s="23">
        <v>17</v>
      </c>
      <c r="F238" s="23">
        <v>1</v>
      </c>
      <c r="G238" s="23"/>
      <c r="H238" s="23" t="s">
        <v>519</v>
      </c>
      <c r="I238" s="24" t="s">
        <v>34</v>
      </c>
      <c r="J238" s="24"/>
      <c r="K238" s="23"/>
      <c r="L238" s="23"/>
      <c r="M238" s="24"/>
      <c r="N238" s="24"/>
      <c r="O238" s="26" t="s">
        <v>558</v>
      </c>
      <c r="P238" s="26"/>
      <c r="Q238" s="23"/>
      <c r="R238" s="25"/>
      <c r="S238" s="25"/>
      <c r="T238" s="25"/>
      <c r="U238" s="25"/>
      <c r="V238" s="25"/>
      <c r="W238" s="23" t="s">
        <v>521</v>
      </c>
      <c r="X238" s="4" t="str">
        <f>IF(Tabela2[[#This Row],[SIGLA]]="","",VLOOKUP(Tabela2[[#This Row],[SIGLA]],créditos_base!B:C,2,0))</f>
        <v>CAIO TANAKA/ARQUIVO DA EDITORA</v>
      </c>
      <c r="Y238" s="24"/>
      <c r="Z238" s="24" t="str">
        <f>Tabela2[[#This Row],[ILUSTRADOR CRIAÇÃO]]</f>
        <v>CAIO TANAKA/ARQUIVO DA EDITORA</v>
      </c>
      <c r="AA238" s="23"/>
      <c r="AB238" s="22"/>
      <c r="AC238" s="22"/>
      <c r="AD238" s="4" t="str">
        <f t="shared" si="3"/>
        <v>EF1 E001 HGC</v>
      </c>
    </row>
    <row r="239" spans="1:30" s="14" customFormat="1" x14ac:dyDescent="0.25">
      <c r="A239" s="24" t="s">
        <v>559</v>
      </c>
      <c r="B239" s="22" t="s">
        <v>67</v>
      </c>
      <c r="C239" s="22" t="s">
        <v>32</v>
      </c>
      <c r="D239" s="22" t="s">
        <v>33</v>
      </c>
      <c r="E239" s="23">
        <v>278</v>
      </c>
      <c r="F239" s="23">
        <v>1</v>
      </c>
      <c r="G239" s="23"/>
      <c r="H239" s="23" t="s">
        <v>560</v>
      </c>
      <c r="I239" s="24" t="s">
        <v>34</v>
      </c>
      <c r="J239" s="24"/>
      <c r="K239" s="23"/>
      <c r="L239" s="23"/>
      <c r="M239" s="24"/>
      <c r="N239" s="24"/>
      <c r="O239" s="26" t="s">
        <v>561</v>
      </c>
      <c r="P239" s="26"/>
      <c r="Q239" s="23"/>
      <c r="R239" s="25"/>
      <c r="S239" s="25"/>
      <c r="T239" s="25"/>
      <c r="U239" s="25"/>
      <c r="V239" s="25"/>
      <c r="W239" s="23" t="s">
        <v>521</v>
      </c>
      <c r="X239" s="4" t="str">
        <f>IF(Tabela2[[#This Row],[SIGLA]]="","",VLOOKUP(Tabela2[[#This Row],[SIGLA]],créditos_base!B:C,2,0))</f>
        <v>CAIO TANAKA/ARQUIVO DA EDITORA</v>
      </c>
      <c r="Y239" s="24"/>
      <c r="Z239" s="24" t="str">
        <f>Tabela2[[#This Row],[ILUSTRADOR CRIAÇÃO]]</f>
        <v>CAIO TANAKA/ARQUIVO DA EDITORA</v>
      </c>
      <c r="AA239" s="23"/>
      <c r="AB239" s="22"/>
      <c r="AC239" s="22"/>
      <c r="AD239" s="4" t="str">
        <f t="shared" si="3"/>
        <v>EF1 E001 HGC</v>
      </c>
    </row>
    <row r="240" spans="1:30" s="14" customFormat="1" ht="30" x14ac:dyDescent="0.25">
      <c r="A240" s="24" t="s">
        <v>562</v>
      </c>
      <c r="B240" s="22" t="s">
        <v>67</v>
      </c>
      <c r="C240" s="22" t="s">
        <v>32</v>
      </c>
      <c r="D240" s="22" t="s">
        <v>33</v>
      </c>
      <c r="E240" s="23">
        <v>281</v>
      </c>
      <c r="F240" s="23">
        <v>1</v>
      </c>
      <c r="G240" s="23"/>
      <c r="H240" s="23" t="s">
        <v>563</v>
      </c>
      <c r="I240" s="24" t="s">
        <v>177</v>
      </c>
      <c r="J240" s="24"/>
      <c r="K240" s="23"/>
      <c r="L240" s="23"/>
      <c r="M240" s="24"/>
      <c r="N240" s="24"/>
      <c r="O240" s="26" t="s">
        <v>564</v>
      </c>
      <c r="P240" s="26"/>
      <c r="Q240" s="23">
        <v>13</v>
      </c>
      <c r="R240" s="25">
        <v>45776</v>
      </c>
      <c r="S240" s="25">
        <v>45776</v>
      </c>
      <c r="T240" s="25"/>
      <c r="U240" s="25"/>
      <c r="V240" s="25">
        <v>45777</v>
      </c>
      <c r="W240" s="23" t="s">
        <v>322</v>
      </c>
      <c r="X240" s="4" t="str">
        <f>IF(Tabela2[[#This Row],[SIGLA]]="","",VLOOKUP(Tabela2[[#This Row],[SIGLA]],créditos_base!B:C,2,0))</f>
        <v>CAMILA CARMONA/ARQUIVO DA EDITORA</v>
      </c>
      <c r="Y240" s="24" t="s">
        <v>70</v>
      </c>
      <c r="Z240" s="24" t="s">
        <v>323</v>
      </c>
      <c r="AA240" s="23">
        <v>13</v>
      </c>
      <c r="AB240" s="22" t="s">
        <v>565</v>
      </c>
      <c r="AC240" s="22" t="s">
        <v>43</v>
      </c>
      <c r="AD240" s="4" t="str">
        <f t="shared" si="3"/>
        <v>EF1 E001 HGC</v>
      </c>
    </row>
    <row r="241" spans="1:30" s="14" customFormat="1" x14ac:dyDescent="0.25">
      <c r="A241" s="24"/>
      <c r="B241" s="22"/>
      <c r="C241" s="22"/>
      <c r="D241" s="22"/>
      <c r="E241" s="23"/>
      <c r="F241" s="23"/>
      <c r="G241" s="23"/>
      <c r="H241" s="23"/>
      <c r="I241" s="24"/>
      <c r="J241" s="24"/>
      <c r="K241" s="23"/>
      <c r="L241" s="23"/>
      <c r="M241" s="24"/>
      <c r="N241" s="24"/>
      <c r="O241" s="26"/>
      <c r="P241" s="26"/>
      <c r="Q241" s="23"/>
      <c r="R241" s="25"/>
      <c r="S241" s="25"/>
      <c r="T241" s="25"/>
      <c r="U241" s="25"/>
      <c r="V241" s="25"/>
      <c r="W241" s="23"/>
      <c r="X241" s="4" t="str">
        <f>IF(Tabela2[[#This Row],[SIGLA]]="","",VLOOKUP(Tabela2[[#This Row],[SIGLA]],créditos_base!B:C,2,0))</f>
        <v/>
      </c>
      <c r="Y241" s="24"/>
      <c r="Z241" s="24" t="str">
        <f>Tabela2[[#This Row],[ILUSTRADOR CRIAÇÃO]]</f>
        <v/>
      </c>
      <c r="AA241" s="23"/>
      <c r="AB241" s="22"/>
      <c r="AC241" s="22"/>
      <c r="AD241" s="4" t="str">
        <f t="shared" si="3"/>
        <v>EF1 E001 HGC</v>
      </c>
    </row>
    <row r="242" spans="1:30" s="14" customFormat="1" x14ac:dyDescent="0.25">
      <c r="A242" s="24"/>
      <c r="B242" s="22"/>
      <c r="C242" s="22"/>
      <c r="D242" s="22"/>
      <c r="E242" s="23"/>
      <c r="F242" s="23"/>
      <c r="G242" s="23"/>
      <c r="H242" s="23"/>
      <c r="I242" s="24"/>
      <c r="J242" s="24"/>
      <c r="K242" s="23"/>
      <c r="L242" s="23"/>
      <c r="M242" s="24"/>
      <c r="N242" s="24"/>
      <c r="O242" s="26"/>
      <c r="P242" s="26"/>
      <c r="Q242" s="23"/>
      <c r="R242" s="25"/>
      <c r="S242" s="25"/>
      <c r="T242" s="25"/>
      <c r="U242" s="25"/>
      <c r="V242" s="25"/>
      <c r="W242" s="23"/>
      <c r="X242" s="4" t="str">
        <f>IF(Tabela2[[#This Row],[SIGLA]]="","",VLOOKUP(Tabela2[[#This Row],[SIGLA]],créditos_base!B:C,2,0))</f>
        <v/>
      </c>
      <c r="Y242" s="24"/>
      <c r="Z242" s="24" t="str">
        <f>Tabela2[[#This Row],[ILUSTRADOR CRIAÇÃO]]</f>
        <v/>
      </c>
      <c r="AA242" s="23"/>
      <c r="AB242" s="22"/>
      <c r="AC242" s="22"/>
      <c r="AD242" s="4" t="str">
        <f t="shared" si="3"/>
        <v>EF1 E001 HGC</v>
      </c>
    </row>
    <row r="243" spans="1:30" s="14" customFormat="1" x14ac:dyDescent="0.25">
      <c r="A243" s="24"/>
      <c r="B243" s="22"/>
      <c r="C243" s="22"/>
      <c r="D243" s="22"/>
      <c r="E243" s="23"/>
      <c r="F243" s="23"/>
      <c r="G243" s="23"/>
      <c r="H243" s="23"/>
      <c r="I243" s="24"/>
      <c r="J243" s="24"/>
      <c r="K243" s="23"/>
      <c r="L243" s="23"/>
      <c r="M243" s="24"/>
      <c r="N243" s="24"/>
      <c r="O243" s="26"/>
      <c r="P243" s="26"/>
      <c r="Q243" s="23"/>
      <c r="R243" s="25"/>
      <c r="S243" s="25"/>
      <c r="T243" s="25"/>
      <c r="U243" s="25"/>
      <c r="V243" s="25"/>
      <c r="W243" s="23"/>
      <c r="X243" s="4" t="str">
        <f>IF(Tabela2[[#This Row],[SIGLA]]="","",VLOOKUP(Tabela2[[#This Row],[SIGLA]],créditos_base!B:C,2,0))</f>
        <v/>
      </c>
      <c r="Y243" s="24"/>
      <c r="Z243" s="24" t="str">
        <f>Tabela2[[#This Row],[ILUSTRADOR CRIAÇÃO]]</f>
        <v/>
      </c>
      <c r="AA243" s="23"/>
      <c r="AB243" s="22"/>
      <c r="AC243" s="22"/>
      <c r="AD243" s="4" t="str">
        <f t="shared" si="3"/>
        <v>EF1 E001 HGC</v>
      </c>
    </row>
    <row r="244" spans="1:30" s="14" customFormat="1" x14ac:dyDescent="0.25">
      <c r="A244" s="24"/>
      <c r="B244" s="22"/>
      <c r="C244" s="22"/>
      <c r="D244" s="22"/>
      <c r="E244" s="23"/>
      <c r="F244" s="23"/>
      <c r="G244" s="23"/>
      <c r="H244" s="23"/>
      <c r="I244" s="24"/>
      <c r="J244" s="24"/>
      <c r="K244" s="23"/>
      <c r="L244" s="23"/>
      <c r="M244" s="24"/>
      <c r="N244" s="24"/>
      <c r="O244" s="26"/>
      <c r="P244" s="26"/>
      <c r="Q244" s="23"/>
      <c r="R244" s="25"/>
      <c r="S244" s="25"/>
      <c r="T244" s="25"/>
      <c r="U244" s="25"/>
      <c r="V244" s="25"/>
      <c r="W244" s="23"/>
      <c r="X244" s="4" t="str">
        <f>IF(Tabela2[[#This Row],[SIGLA]]="","",VLOOKUP(Tabela2[[#This Row],[SIGLA]],créditos_base!B:C,2,0))</f>
        <v/>
      </c>
      <c r="Y244" s="24"/>
      <c r="Z244" s="24" t="str">
        <f>Tabela2[[#This Row],[ILUSTRADOR CRIAÇÃO]]</f>
        <v/>
      </c>
      <c r="AA244" s="23"/>
      <c r="AB244" s="22"/>
      <c r="AC244" s="22"/>
      <c r="AD244" s="4" t="str">
        <f t="shared" si="3"/>
        <v>EF1 E001 HGC</v>
      </c>
    </row>
    <row r="245" spans="1:30" s="14" customFormat="1" x14ac:dyDescent="0.25">
      <c r="A245" s="24"/>
      <c r="B245" s="22"/>
      <c r="C245" s="22"/>
      <c r="D245" s="22"/>
      <c r="E245" s="23"/>
      <c r="F245" s="23"/>
      <c r="G245" s="23"/>
      <c r="H245" s="23"/>
      <c r="I245" s="24"/>
      <c r="J245" s="24"/>
      <c r="K245" s="23"/>
      <c r="L245" s="23"/>
      <c r="M245" s="24"/>
      <c r="N245" s="24"/>
      <c r="O245" s="26"/>
      <c r="P245" s="26"/>
      <c r="Q245" s="23"/>
      <c r="R245" s="25"/>
      <c r="S245" s="25"/>
      <c r="T245" s="25"/>
      <c r="U245" s="25"/>
      <c r="V245" s="25"/>
      <c r="W245" s="23"/>
      <c r="X245" s="4" t="str">
        <f>IF(Tabela2[[#This Row],[SIGLA]]="","",VLOOKUP(Tabela2[[#This Row],[SIGLA]],créditos_base!B:C,2,0))</f>
        <v/>
      </c>
      <c r="Y245" s="24"/>
      <c r="Z245" s="24" t="str">
        <f>Tabela2[[#This Row],[ILUSTRADOR CRIAÇÃO]]</f>
        <v/>
      </c>
      <c r="AA245" s="23"/>
      <c r="AB245" s="22"/>
      <c r="AC245" s="22"/>
      <c r="AD245" s="4" t="str">
        <f t="shared" si="3"/>
        <v>EF1 E001 HGC</v>
      </c>
    </row>
    <row r="246" spans="1:30" s="14" customFormat="1" x14ac:dyDescent="0.25">
      <c r="A246" s="24"/>
      <c r="B246" s="22"/>
      <c r="C246" s="22"/>
      <c r="D246" s="22"/>
      <c r="E246" s="23"/>
      <c r="F246" s="23"/>
      <c r="G246" s="23"/>
      <c r="H246" s="23"/>
      <c r="I246" s="24"/>
      <c r="J246" s="24"/>
      <c r="K246" s="23"/>
      <c r="L246" s="23"/>
      <c r="M246" s="24"/>
      <c r="N246" s="24"/>
      <c r="O246" s="26"/>
      <c r="P246" s="26"/>
      <c r="Q246" s="23"/>
      <c r="R246" s="25"/>
      <c r="S246" s="25"/>
      <c r="T246" s="25"/>
      <c r="U246" s="25"/>
      <c r="V246" s="25"/>
      <c r="W246" s="23"/>
      <c r="X246" s="4" t="str">
        <f>IF(Tabela2[[#This Row],[SIGLA]]="","",VLOOKUP(Tabela2[[#This Row],[SIGLA]],créditos_base!B:C,2,0))</f>
        <v/>
      </c>
      <c r="Y246" s="24"/>
      <c r="Z246" s="24" t="str">
        <f>Tabela2[[#This Row],[ILUSTRADOR CRIAÇÃO]]</f>
        <v/>
      </c>
      <c r="AA246" s="23"/>
      <c r="AB246" s="22"/>
      <c r="AC246" s="22"/>
      <c r="AD246" s="4" t="str">
        <f t="shared" si="3"/>
        <v>EF1 E001 HGC</v>
      </c>
    </row>
    <row r="247" spans="1:30" s="14" customFormat="1" x14ac:dyDescent="0.25">
      <c r="A247" s="24"/>
      <c r="B247" s="22"/>
      <c r="C247" s="22"/>
      <c r="D247" s="22"/>
      <c r="E247" s="23"/>
      <c r="F247" s="23"/>
      <c r="G247" s="23"/>
      <c r="H247" s="23"/>
      <c r="I247" s="24"/>
      <c r="J247" s="24"/>
      <c r="K247" s="23"/>
      <c r="L247" s="23"/>
      <c r="M247" s="24"/>
      <c r="N247" s="24"/>
      <c r="O247" s="26"/>
      <c r="P247" s="26"/>
      <c r="Q247" s="23"/>
      <c r="R247" s="25"/>
      <c r="S247" s="25"/>
      <c r="T247" s="25"/>
      <c r="U247" s="25"/>
      <c r="V247" s="25"/>
      <c r="W247" s="23"/>
      <c r="X247" s="4" t="str">
        <f>IF(Tabela2[[#This Row],[SIGLA]]="","",VLOOKUP(Tabela2[[#This Row],[SIGLA]],créditos_base!B:C,2,0))</f>
        <v/>
      </c>
      <c r="Y247" s="24"/>
      <c r="Z247" s="24" t="str">
        <f>Tabela2[[#This Row],[ILUSTRADOR CRIAÇÃO]]</f>
        <v/>
      </c>
      <c r="AA247" s="23"/>
      <c r="AB247" s="22"/>
      <c r="AC247" s="22"/>
      <c r="AD247" s="4" t="str">
        <f t="shared" si="3"/>
        <v>EF1 E001 HGC</v>
      </c>
    </row>
    <row r="248" spans="1:30" s="14" customFormat="1" x14ac:dyDescent="0.25">
      <c r="A248" s="24"/>
      <c r="B248" s="22"/>
      <c r="C248" s="22"/>
      <c r="D248" s="22"/>
      <c r="E248" s="23"/>
      <c r="F248" s="23"/>
      <c r="G248" s="23"/>
      <c r="H248" s="23"/>
      <c r="I248" s="24"/>
      <c r="J248" s="24"/>
      <c r="K248" s="23"/>
      <c r="L248" s="23"/>
      <c r="M248" s="24"/>
      <c r="N248" s="24"/>
      <c r="O248" s="26"/>
      <c r="P248" s="26"/>
      <c r="Q248" s="23"/>
      <c r="R248" s="25"/>
      <c r="S248" s="25"/>
      <c r="T248" s="25"/>
      <c r="U248" s="25"/>
      <c r="V248" s="25"/>
      <c r="W248" s="23"/>
      <c r="X248" s="4" t="str">
        <f>IF(Tabela2[[#This Row],[SIGLA]]="","",VLOOKUP(Tabela2[[#This Row],[SIGLA]],créditos_base!B:C,2,0))</f>
        <v/>
      </c>
      <c r="Y248" s="24"/>
      <c r="Z248" s="24" t="str">
        <f>Tabela2[[#This Row],[ILUSTRADOR CRIAÇÃO]]</f>
        <v/>
      </c>
      <c r="AA248" s="23"/>
      <c r="AB248" s="22"/>
      <c r="AC248" s="22"/>
      <c r="AD248" s="4" t="str">
        <f t="shared" si="3"/>
        <v>EF1 E001 HGC</v>
      </c>
    </row>
    <row r="249" spans="1:30" s="14" customFormat="1" x14ac:dyDescent="0.25">
      <c r="A249" s="24"/>
      <c r="B249" s="22"/>
      <c r="C249" s="22"/>
      <c r="D249" s="22"/>
      <c r="E249" s="23"/>
      <c r="F249" s="23"/>
      <c r="G249" s="23"/>
      <c r="H249" s="23"/>
      <c r="I249" s="24"/>
      <c r="J249" s="24"/>
      <c r="K249" s="23"/>
      <c r="L249" s="23"/>
      <c r="M249" s="24"/>
      <c r="N249" s="24"/>
      <c r="O249" s="26"/>
      <c r="P249" s="26"/>
      <c r="Q249" s="23"/>
      <c r="R249" s="25"/>
      <c r="S249" s="25"/>
      <c r="T249" s="25"/>
      <c r="U249" s="25"/>
      <c r="V249" s="25"/>
      <c r="W249" s="23"/>
      <c r="X249" s="4" t="str">
        <f>IF(Tabela2[[#This Row],[SIGLA]]="","",VLOOKUP(Tabela2[[#This Row],[SIGLA]],créditos_base!B:C,2,0))</f>
        <v/>
      </c>
      <c r="Y249" s="24"/>
      <c r="Z249" s="24" t="str">
        <f>Tabela2[[#This Row],[ILUSTRADOR CRIAÇÃO]]</f>
        <v/>
      </c>
      <c r="AA249" s="23"/>
      <c r="AB249" s="22"/>
      <c r="AC249" s="22"/>
      <c r="AD249" s="4" t="str">
        <f t="shared" si="3"/>
        <v>EF1 E001 HGC</v>
      </c>
    </row>
    <row r="250" spans="1:30" s="14" customFormat="1" x14ac:dyDescent="0.25">
      <c r="A250" s="24"/>
      <c r="B250" s="22"/>
      <c r="C250" s="22"/>
      <c r="D250" s="22"/>
      <c r="E250" s="23"/>
      <c r="F250" s="23"/>
      <c r="G250" s="23"/>
      <c r="H250" s="23"/>
      <c r="I250" s="24"/>
      <c r="J250" s="24"/>
      <c r="K250" s="23"/>
      <c r="L250" s="23"/>
      <c r="M250" s="24"/>
      <c r="N250" s="24"/>
      <c r="O250" s="26"/>
      <c r="P250" s="26"/>
      <c r="Q250" s="23"/>
      <c r="R250" s="25"/>
      <c r="S250" s="25"/>
      <c r="T250" s="25"/>
      <c r="U250" s="25"/>
      <c r="V250" s="25"/>
      <c r="W250" s="23"/>
      <c r="X250" s="4" t="str">
        <f>IF(Tabela2[[#This Row],[SIGLA]]="","",VLOOKUP(Tabela2[[#This Row],[SIGLA]],créditos_base!B:C,2,0))</f>
        <v/>
      </c>
      <c r="Y250" s="24"/>
      <c r="Z250" s="24" t="str">
        <f>Tabela2[[#This Row],[ILUSTRADOR CRIAÇÃO]]</f>
        <v/>
      </c>
      <c r="AA250" s="23"/>
      <c r="AB250" s="22"/>
      <c r="AC250" s="22"/>
      <c r="AD250" s="4" t="str">
        <f t="shared" si="3"/>
        <v>EF1 E001 HGC</v>
      </c>
    </row>
    <row r="251" spans="1:30" s="14" customFormat="1" ht="45" x14ac:dyDescent="0.25">
      <c r="A251" s="24" t="s">
        <v>566</v>
      </c>
      <c r="B251" s="22" t="s">
        <v>83</v>
      </c>
      <c r="C251" s="22" t="s">
        <v>32</v>
      </c>
      <c r="D251" s="22" t="s">
        <v>33</v>
      </c>
      <c r="E251" s="23">
        <v>247</v>
      </c>
      <c r="F251" s="23">
        <v>1</v>
      </c>
      <c r="G251" s="23">
        <v>4</v>
      </c>
      <c r="H251" s="23"/>
      <c r="I251" s="24" t="s">
        <v>38</v>
      </c>
      <c r="J251" s="24"/>
      <c r="K251" s="23"/>
      <c r="L251" s="23"/>
      <c r="M251" s="24"/>
      <c r="N251" s="24"/>
      <c r="O251" s="26" t="s">
        <v>567</v>
      </c>
      <c r="P251" s="26" t="s">
        <v>568</v>
      </c>
      <c r="Q251" s="23"/>
      <c r="R251" s="25"/>
      <c r="S251" s="25"/>
      <c r="T251" s="25"/>
      <c r="U251" s="25"/>
      <c r="V251" s="25"/>
      <c r="W251" s="23"/>
      <c r="X251" s="4" t="str">
        <f>IF(Tabela2[[#This Row],[SIGLA]]="","",VLOOKUP(Tabela2[[#This Row],[SIGLA]],créditos_base!B:C,2,0))</f>
        <v/>
      </c>
      <c r="Y251" s="24"/>
      <c r="Z251" s="24" t="str">
        <f>Tabela2[[#This Row],[ILUSTRADOR CRIAÇÃO]]</f>
        <v/>
      </c>
      <c r="AA251" s="23"/>
      <c r="AB251" s="22"/>
      <c r="AC251" s="22"/>
      <c r="AD251" s="4" t="str">
        <f t="shared" si="3"/>
        <v>EF1 E001 HGC</v>
      </c>
    </row>
    <row r="252" spans="1:30" s="14" customFormat="1" ht="60" x14ac:dyDescent="0.25">
      <c r="A252" s="24" t="s">
        <v>569</v>
      </c>
      <c r="B252" s="22" t="s">
        <v>67</v>
      </c>
      <c r="C252" s="22" t="s">
        <v>32</v>
      </c>
      <c r="D252" s="22" t="s">
        <v>33</v>
      </c>
      <c r="E252" s="23">
        <v>28</v>
      </c>
      <c r="F252" s="23">
        <v>1</v>
      </c>
      <c r="G252" s="23">
        <v>1</v>
      </c>
      <c r="H252" s="23"/>
      <c r="I252" s="24" t="s">
        <v>177</v>
      </c>
      <c r="J252" s="24"/>
      <c r="K252" s="23"/>
      <c r="L252" s="23"/>
      <c r="M252" s="24"/>
      <c r="N252" s="24"/>
      <c r="O252" s="26" t="s">
        <v>570</v>
      </c>
      <c r="P252" s="26"/>
      <c r="Q252" s="23">
        <v>9</v>
      </c>
      <c r="R252" s="25">
        <v>45763</v>
      </c>
      <c r="S252" s="25">
        <v>45769</v>
      </c>
      <c r="T252" s="25">
        <v>45772</v>
      </c>
      <c r="U252" s="25">
        <v>45777</v>
      </c>
      <c r="V252" s="25">
        <v>45777</v>
      </c>
      <c r="W252" s="23" t="s">
        <v>36</v>
      </c>
      <c r="X252" s="4" t="str">
        <f>IF(Tabela2[[#This Row],[SIGLA]]="","",VLOOKUP(Tabela2[[#This Row],[SIGLA]],créditos_base!B:C,2,0))</f>
        <v>REINALDO ROSA/ARQUIVO DA EDITORA</v>
      </c>
      <c r="Y252" s="24"/>
      <c r="Z252" s="24" t="str">
        <f>Tabela2[[#This Row],[ILUSTRADOR CRIAÇÃO]]</f>
        <v>REINALDO ROSA/ARQUIVO DA EDITORA</v>
      </c>
      <c r="AA252" s="23">
        <v>5</v>
      </c>
      <c r="AB252" s="26" t="s">
        <v>571</v>
      </c>
      <c r="AC252" s="22" t="s">
        <v>340</v>
      </c>
      <c r="AD252" s="4" t="str">
        <f t="shared" si="3"/>
        <v>EF1 E001 HGC</v>
      </c>
    </row>
    <row r="253" spans="1:30" s="14" customFormat="1" x14ac:dyDescent="0.25">
      <c r="A253" s="24"/>
      <c r="B253" s="22"/>
      <c r="C253" s="22"/>
      <c r="D253" s="22"/>
      <c r="E253" s="23"/>
      <c r="F253" s="23"/>
      <c r="G253" s="23"/>
      <c r="H253" s="23"/>
      <c r="I253" s="24"/>
      <c r="J253" s="24"/>
      <c r="K253" s="23"/>
      <c r="L253" s="23"/>
      <c r="M253" s="24"/>
      <c r="N253" s="24"/>
      <c r="O253" s="26"/>
      <c r="P253" s="26"/>
      <c r="Q253" s="23">
        <v>9</v>
      </c>
      <c r="R253" s="25">
        <v>45763</v>
      </c>
      <c r="S253" s="25"/>
      <c r="T253" s="25"/>
      <c r="U253" s="25"/>
      <c r="V253" s="25"/>
      <c r="W253" s="23"/>
      <c r="X253" s="4" t="str">
        <f>IF(Tabela2[[#This Row],[SIGLA]]="","",VLOOKUP(Tabela2[[#This Row],[SIGLA]],créditos_base!B:C,2,0))</f>
        <v/>
      </c>
      <c r="Y253" s="24"/>
      <c r="Z253" s="24" t="str">
        <f>Tabela2[[#This Row],[ILUSTRADOR CRIAÇÃO]]</f>
        <v/>
      </c>
      <c r="AA253" s="23"/>
      <c r="AB253" s="22"/>
      <c r="AC253" s="22"/>
      <c r="AD253" s="4" t="str">
        <f t="shared" si="3"/>
        <v>EF1 E001 HGC</v>
      </c>
    </row>
    <row r="254" spans="1:30" s="14" customFormat="1" ht="75" x14ac:dyDescent="0.25">
      <c r="A254" s="24" t="s">
        <v>572</v>
      </c>
      <c r="B254" s="22" t="s">
        <v>31</v>
      </c>
      <c r="C254" s="22" t="s">
        <v>32</v>
      </c>
      <c r="D254" s="22" t="s">
        <v>33</v>
      </c>
      <c r="E254" s="23">
        <v>47</v>
      </c>
      <c r="F254" s="23">
        <v>1</v>
      </c>
      <c r="G254" s="23">
        <v>1</v>
      </c>
      <c r="H254" s="23"/>
      <c r="I254" s="24" t="s">
        <v>177</v>
      </c>
      <c r="J254" s="24"/>
      <c r="K254" s="23"/>
      <c r="L254" s="23"/>
      <c r="M254" s="24"/>
      <c r="N254" s="24"/>
      <c r="O254" s="26" t="s">
        <v>573</v>
      </c>
      <c r="P254" s="26"/>
      <c r="Q254" s="23">
        <v>9</v>
      </c>
      <c r="R254" s="25">
        <v>45763</v>
      </c>
      <c r="S254" s="25">
        <v>45769</v>
      </c>
      <c r="T254" s="25">
        <v>45775</v>
      </c>
      <c r="U254" s="25">
        <v>45777</v>
      </c>
      <c r="V254" s="25">
        <v>45777</v>
      </c>
      <c r="W254" s="23" t="s">
        <v>36</v>
      </c>
      <c r="X254" s="4" t="str">
        <f>IF(Tabela2[[#This Row],[SIGLA]]="","",VLOOKUP(Tabela2[[#This Row],[SIGLA]],créditos_base!B:C,2,0))</f>
        <v>REINALDO ROSA/ARQUIVO DA EDITORA</v>
      </c>
      <c r="Y254" s="24"/>
      <c r="Z254" s="24" t="str">
        <f>Tabela2[[#This Row],[ILUSTRADOR CRIAÇÃO]]</f>
        <v>REINALDO ROSA/ARQUIVO DA EDITORA</v>
      </c>
      <c r="AA254" s="23">
        <v>4</v>
      </c>
      <c r="AB254" s="26" t="s">
        <v>571</v>
      </c>
      <c r="AC254" s="22" t="s">
        <v>340</v>
      </c>
      <c r="AD254" s="4" t="str">
        <f t="shared" si="3"/>
        <v>EF1 E001 HGC</v>
      </c>
    </row>
    <row r="255" spans="1:30" s="14" customFormat="1" ht="255" x14ac:dyDescent="0.25">
      <c r="A255" s="24" t="s">
        <v>574</v>
      </c>
      <c r="B255" s="22" t="s">
        <v>67</v>
      </c>
      <c r="C255" s="22" t="s">
        <v>575</v>
      </c>
      <c r="D255" s="22" t="s">
        <v>33</v>
      </c>
      <c r="E255" s="23">
        <v>28</v>
      </c>
      <c r="F255" s="23">
        <v>1</v>
      </c>
      <c r="G255" s="23">
        <v>1</v>
      </c>
      <c r="H255" s="23"/>
      <c r="I255" s="24" t="s">
        <v>177</v>
      </c>
      <c r="J255" s="24"/>
      <c r="K255" s="23"/>
      <c r="L255" s="23"/>
      <c r="M255" s="24"/>
      <c r="N255" s="24"/>
      <c r="O255" s="26" t="s">
        <v>576</v>
      </c>
      <c r="P255" s="26"/>
      <c r="Q255" s="23">
        <v>9</v>
      </c>
      <c r="R255" s="25">
        <v>45771</v>
      </c>
      <c r="S255" s="25">
        <v>45769</v>
      </c>
      <c r="T255" s="25"/>
      <c r="U255" s="25"/>
      <c r="V255" s="25">
        <v>45776</v>
      </c>
      <c r="W255" s="23" t="s">
        <v>577</v>
      </c>
      <c r="X255" s="4" t="str">
        <f>IF(Tabela2[[#This Row],[SIGLA]]="","",VLOOKUP(Tabela2[[#This Row],[SIGLA]],créditos_base!B:C,2,0))</f>
        <v>INGRIDHI BORGES/ARQUIVO DA EDITORA</v>
      </c>
      <c r="Y255" s="24" t="s">
        <v>180</v>
      </c>
      <c r="Z255" s="24" t="str">
        <f>Tabela2[[#This Row],[ILUSTRADOR CRIAÇÃO]]</f>
        <v>INGRIDHI BORGES/ARQUIVO DA EDITORA</v>
      </c>
      <c r="AA255" s="23">
        <v>12</v>
      </c>
      <c r="AB255" s="22" t="s">
        <v>578</v>
      </c>
      <c r="AC255" s="22" t="s">
        <v>43</v>
      </c>
      <c r="AD255" s="4" t="str">
        <f t="shared" si="3"/>
        <v>EF1 E001 HGC</v>
      </c>
    </row>
    <row r="256" spans="1:30" s="14" customFormat="1" ht="120" x14ac:dyDescent="0.25">
      <c r="A256" s="24" t="s">
        <v>579</v>
      </c>
      <c r="B256" s="22" t="s">
        <v>83</v>
      </c>
      <c r="C256" s="22" t="s">
        <v>575</v>
      </c>
      <c r="D256" s="22" t="s">
        <v>33</v>
      </c>
      <c r="E256" s="23">
        <v>29</v>
      </c>
      <c r="F256" s="23">
        <v>1</v>
      </c>
      <c r="G256" s="23">
        <v>1</v>
      </c>
      <c r="H256" s="23"/>
      <c r="I256" s="24" t="s">
        <v>177</v>
      </c>
      <c r="J256" s="24"/>
      <c r="K256" s="23"/>
      <c r="L256" s="23"/>
      <c r="M256" s="24"/>
      <c r="N256" s="24"/>
      <c r="O256" s="26" t="s">
        <v>580</v>
      </c>
      <c r="P256" s="26"/>
      <c r="Q256" s="23">
        <v>9</v>
      </c>
      <c r="R256" s="25">
        <v>45771</v>
      </c>
      <c r="S256" s="25">
        <v>45769</v>
      </c>
      <c r="T256" s="25"/>
      <c r="U256" s="25"/>
      <c r="V256" s="25">
        <v>45776</v>
      </c>
      <c r="W256" s="23" t="s">
        <v>577</v>
      </c>
      <c r="X256" s="4" t="str">
        <f>IF(Tabela2[[#This Row],[SIGLA]]="","",VLOOKUP(Tabela2[[#This Row],[SIGLA]],créditos_base!B:C,2,0))</f>
        <v>INGRIDHI BORGES/ARQUIVO DA EDITORA</v>
      </c>
      <c r="Y256" s="24" t="s">
        <v>180</v>
      </c>
      <c r="Z256" s="24" t="str">
        <f>Tabela2[[#This Row],[ILUSTRADOR CRIAÇÃO]]</f>
        <v>INGRIDHI BORGES/ARQUIVO DA EDITORA</v>
      </c>
      <c r="AA256" s="23">
        <v>12</v>
      </c>
      <c r="AB256" s="22" t="s">
        <v>578</v>
      </c>
      <c r="AC256" s="22" t="s">
        <v>43</v>
      </c>
      <c r="AD256" s="4" t="str">
        <f t="shared" si="3"/>
        <v>EF1 E001 HGC</v>
      </c>
    </row>
    <row r="257" spans="1:30" s="14" customFormat="1" ht="135" x14ac:dyDescent="0.25">
      <c r="A257" s="24" t="s">
        <v>581</v>
      </c>
      <c r="B257" s="22" t="s">
        <v>31</v>
      </c>
      <c r="C257" s="22" t="s">
        <v>32</v>
      </c>
      <c r="D257" s="22" t="s">
        <v>33</v>
      </c>
      <c r="E257" s="23">
        <v>48</v>
      </c>
      <c r="F257" s="23">
        <v>1</v>
      </c>
      <c r="G257" s="23">
        <v>1</v>
      </c>
      <c r="H257" s="23"/>
      <c r="I257" s="24" t="s">
        <v>38</v>
      </c>
      <c r="J257" s="24"/>
      <c r="K257" s="23"/>
      <c r="L257" s="23"/>
      <c r="M257" s="24"/>
      <c r="N257" s="24"/>
      <c r="O257" s="26" t="s">
        <v>582</v>
      </c>
      <c r="P257" s="26"/>
      <c r="Q257" s="23">
        <v>9</v>
      </c>
      <c r="R257" s="25">
        <v>45763</v>
      </c>
      <c r="S257" s="25">
        <v>45769</v>
      </c>
      <c r="T257" s="25"/>
      <c r="U257" s="25"/>
      <c r="V257" s="25">
        <v>45770</v>
      </c>
      <c r="W257" s="23" t="s">
        <v>48</v>
      </c>
      <c r="X257" s="4" t="str">
        <f>IF(Tabela2[[#This Row],[SIGLA]]="","",VLOOKUP(Tabela2[[#This Row],[SIGLA]],créditos_base!B:C,2,0))</f>
        <v>MÁRCIO GUERRA/ARQUIVO DA EDITORA</v>
      </c>
      <c r="Y257" s="24" t="s">
        <v>583</v>
      </c>
      <c r="Z257" s="24" t="str">
        <f>Tabela2[[#This Row],[ILUSTRADOR CRIAÇÃO]]</f>
        <v>MÁRCIO GUERRA/ARQUIVO DA EDITORA</v>
      </c>
      <c r="AA257" s="23">
        <v>13</v>
      </c>
      <c r="AB257" s="22" t="s">
        <v>171</v>
      </c>
      <c r="AC257" s="22" t="s">
        <v>43</v>
      </c>
      <c r="AD257" s="4" t="str">
        <f t="shared" si="3"/>
        <v>EF1 E001 HGC</v>
      </c>
    </row>
    <row r="258" spans="1:30" s="14" customFormat="1" ht="30" x14ac:dyDescent="0.25">
      <c r="A258" s="24" t="s">
        <v>584</v>
      </c>
      <c r="B258" s="22" t="s">
        <v>434</v>
      </c>
      <c r="C258" s="22" t="s">
        <v>32</v>
      </c>
      <c r="D258" s="22" t="s">
        <v>33</v>
      </c>
      <c r="E258" s="23">
        <v>50</v>
      </c>
      <c r="F258" s="23">
        <v>1</v>
      </c>
      <c r="G258" s="23">
        <v>1</v>
      </c>
      <c r="H258" s="23"/>
      <c r="I258" s="24" t="s">
        <v>34</v>
      </c>
      <c r="J258" s="24"/>
      <c r="K258" s="23"/>
      <c r="L258" s="23"/>
      <c r="M258" s="24"/>
      <c r="N258" s="24"/>
      <c r="O258" s="26" t="s">
        <v>585</v>
      </c>
      <c r="P258" s="26"/>
      <c r="Q258" s="23"/>
      <c r="R258" s="25"/>
      <c r="S258" s="25">
        <v>45840</v>
      </c>
      <c r="T258" s="25"/>
      <c r="U258" s="25"/>
      <c r="V258" s="25">
        <v>45840</v>
      </c>
      <c r="W258" s="23" t="s">
        <v>48</v>
      </c>
      <c r="X258" s="4" t="str">
        <f>IF(Tabela2[[#This Row],[SIGLA]]="","",VLOOKUP(Tabela2[[#This Row],[SIGLA]],créditos_base!B:C,2,0))</f>
        <v>MÁRCIO GUERRA/ARQUIVO DA EDITORA</v>
      </c>
      <c r="Y258" s="24" t="s">
        <v>170</v>
      </c>
      <c r="Z258" s="24" t="str">
        <f>Tabela2[[#This Row],[ILUSTRADOR CRIAÇÃO]]</f>
        <v>MÁRCIO GUERRA/ARQUIVO DA EDITORA</v>
      </c>
      <c r="AA258" s="23">
        <v>13</v>
      </c>
      <c r="AB258" s="22" t="s">
        <v>171</v>
      </c>
      <c r="AC258" s="22" t="s">
        <v>43</v>
      </c>
      <c r="AD258" s="4" t="str">
        <f t="shared" ref="AD258:AD321" si="4">"EF1 E001 HGC"</f>
        <v>EF1 E001 HGC</v>
      </c>
    </row>
    <row r="259" spans="1:30" s="14" customFormat="1" ht="30" x14ac:dyDescent="0.25">
      <c r="A259" s="24" t="s">
        <v>586</v>
      </c>
      <c r="B259" s="22" t="s">
        <v>434</v>
      </c>
      <c r="C259" s="22" t="s">
        <v>32</v>
      </c>
      <c r="D259" s="22" t="s">
        <v>33</v>
      </c>
      <c r="E259" s="23">
        <v>50</v>
      </c>
      <c r="F259" s="23">
        <v>1</v>
      </c>
      <c r="G259" s="23">
        <v>1</v>
      </c>
      <c r="H259" s="23"/>
      <c r="I259" s="24" t="s">
        <v>34</v>
      </c>
      <c r="J259" s="24"/>
      <c r="K259" s="23"/>
      <c r="L259" s="23"/>
      <c r="M259" s="24"/>
      <c r="N259" s="24"/>
      <c r="O259" s="26" t="s">
        <v>587</v>
      </c>
      <c r="P259" s="26"/>
      <c r="Q259" s="23"/>
      <c r="R259" s="25"/>
      <c r="S259" s="25">
        <v>45840</v>
      </c>
      <c r="T259" s="25"/>
      <c r="U259" s="25"/>
      <c r="V259" s="25">
        <v>45840</v>
      </c>
      <c r="W259" s="23" t="s">
        <v>193</v>
      </c>
      <c r="X259" s="4" t="str">
        <f>IF(Tabela2[[#This Row],[SIGLA]]="","",VLOOKUP(Tabela2[[#This Row],[SIGLA]],créditos_base!B:C,2,0))</f>
        <v>NATANAELE BILMAIA/ARQUIVO DA EDITORA</v>
      </c>
      <c r="Y259" s="24" t="s">
        <v>170</v>
      </c>
      <c r="Z259" s="24" t="str">
        <f>Tabela2[[#This Row],[ILUSTRADOR CRIAÇÃO]]</f>
        <v>NATANAELE BILMAIA/ARQUIVO DA EDITORA</v>
      </c>
      <c r="AA259" s="23">
        <v>13</v>
      </c>
      <c r="AB259" s="22" t="s">
        <v>171</v>
      </c>
      <c r="AC259" s="22" t="s">
        <v>43</v>
      </c>
      <c r="AD259" s="4" t="str">
        <f t="shared" si="4"/>
        <v>EF1 E001 HGC</v>
      </c>
    </row>
    <row r="260" spans="1:30" s="14" customFormat="1" ht="150" x14ac:dyDescent="0.25">
      <c r="A260" s="24" t="s">
        <v>588</v>
      </c>
      <c r="B260" s="22" t="s">
        <v>31</v>
      </c>
      <c r="C260" s="22" t="s">
        <v>32</v>
      </c>
      <c r="D260" s="22" t="s">
        <v>33</v>
      </c>
      <c r="E260" s="23">
        <v>62</v>
      </c>
      <c r="F260" s="23">
        <v>1</v>
      </c>
      <c r="G260" s="23">
        <v>1</v>
      </c>
      <c r="H260" s="23"/>
      <c r="I260" s="24" t="s">
        <v>38</v>
      </c>
      <c r="J260" s="24"/>
      <c r="K260" s="23"/>
      <c r="L260" s="23"/>
      <c r="M260" s="24"/>
      <c r="N260" s="24"/>
      <c r="O260" s="26" t="s">
        <v>589</v>
      </c>
      <c r="P260" s="26"/>
      <c r="Q260" s="23">
        <v>9</v>
      </c>
      <c r="R260" s="25">
        <v>45763</v>
      </c>
      <c r="S260" s="25"/>
      <c r="T260" s="25"/>
      <c r="U260" s="25"/>
      <c r="V260" s="25">
        <v>45776</v>
      </c>
      <c r="W260" s="23" t="s">
        <v>48</v>
      </c>
      <c r="X260" s="4" t="str">
        <f>IF(Tabela2[[#This Row],[SIGLA]]="","",VLOOKUP(Tabela2[[#This Row],[SIGLA]],créditos_base!B:C,2,0))</f>
        <v>MÁRCIO GUERRA/ARQUIVO DA EDITORA</v>
      </c>
      <c r="Y260" s="24" t="s">
        <v>583</v>
      </c>
      <c r="Z260" s="24" t="str">
        <f>Tabela2[[#This Row],[ILUSTRADOR CRIAÇÃO]]</f>
        <v>MÁRCIO GUERRA/ARQUIVO DA EDITORA</v>
      </c>
      <c r="AA260" s="23">
        <v>13</v>
      </c>
      <c r="AB260" s="22" t="s">
        <v>171</v>
      </c>
      <c r="AC260" s="22" t="s">
        <v>43</v>
      </c>
      <c r="AD260" s="4" t="str">
        <f t="shared" si="4"/>
        <v>EF1 E001 HGC</v>
      </c>
    </row>
    <row r="261" spans="1:30" s="14" customFormat="1" ht="60" x14ac:dyDescent="0.25">
      <c r="A261" s="24" t="s">
        <v>590</v>
      </c>
      <c r="B261" s="22" t="s">
        <v>31</v>
      </c>
      <c r="C261" s="22" t="s">
        <v>32</v>
      </c>
      <c r="D261" s="22" t="s">
        <v>33</v>
      </c>
      <c r="E261" s="23">
        <v>78</v>
      </c>
      <c r="F261" s="23">
        <v>1</v>
      </c>
      <c r="G261" s="23">
        <v>1</v>
      </c>
      <c r="H261" s="23"/>
      <c r="I261" s="24" t="s">
        <v>34</v>
      </c>
      <c r="J261" s="24"/>
      <c r="K261" s="23"/>
      <c r="L261" s="23"/>
      <c r="M261" s="24"/>
      <c r="N261" s="24"/>
      <c r="O261" s="26" t="s">
        <v>591</v>
      </c>
      <c r="P261" s="26"/>
      <c r="Q261" s="23"/>
      <c r="R261" s="25"/>
      <c r="S261" s="25"/>
      <c r="T261" s="25"/>
      <c r="U261" s="25"/>
      <c r="V261" s="25"/>
      <c r="W261" s="23" t="s">
        <v>521</v>
      </c>
      <c r="X261" s="4" t="str">
        <f>IF(Tabela2[[#This Row],[SIGLA]]="","",VLOOKUP(Tabela2[[#This Row],[SIGLA]],créditos_base!B:C,2,0))</f>
        <v>CAIO TANAKA/ARQUIVO DA EDITORA</v>
      </c>
      <c r="Y261" s="24"/>
      <c r="Z261" s="24" t="str">
        <f>Tabela2[[#This Row],[ILUSTRADOR CRIAÇÃO]]</f>
        <v>CAIO TANAKA/ARQUIVO DA EDITORA</v>
      </c>
      <c r="AA261" s="23"/>
      <c r="AB261" s="22"/>
      <c r="AC261" s="22"/>
      <c r="AD261" s="4" t="str">
        <f t="shared" si="4"/>
        <v>EF1 E001 HGC</v>
      </c>
    </row>
    <row r="262" spans="1:30" s="14" customFormat="1" ht="45" x14ac:dyDescent="0.25">
      <c r="A262" s="24" t="s">
        <v>592</v>
      </c>
      <c r="B262" s="22" t="s">
        <v>31</v>
      </c>
      <c r="C262" s="22" t="s">
        <v>32</v>
      </c>
      <c r="D262" s="22" t="s">
        <v>33</v>
      </c>
      <c r="E262" s="23">
        <v>78</v>
      </c>
      <c r="F262" s="23">
        <v>1</v>
      </c>
      <c r="G262" s="23">
        <v>1</v>
      </c>
      <c r="H262" s="23"/>
      <c r="I262" s="24" t="s">
        <v>38</v>
      </c>
      <c r="J262" s="24"/>
      <c r="K262" s="23"/>
      <c r="L262" s="23"/>
      <c r="M262" s="24"/>
      <c r="N262" s="24"/>
      <c r="O262" s="26" t="s">
        <v>593</v>
      </c>
      <c r="P262" s="26"/>
      <c r="Q262" s="23">
        <v>12</v>
      </c>
      <c r="R262" s="25">
        <v>45775</v>
      </c>
      <c r="S262" s="25">
        <v>45775</v>
      </c>
      <c r="T262" s="25"/>
      <c r="U262" s="25"/>
      <c r="V262" s="25">
        <v>45775</v>
      </c>
      <c r="W262" s="23" t="s">
        <v>521</v>
      </c>
      <c r="X262" s="4" t="str">
        <f>IF(Tabela2[[#This Row],[SIGLA]]="","",VLOOKUP(Tabela2[[#This Row],[SIGLA]],créditos_base!B:C,2,0))</f>
        <v>CAIO TANAKA/ARQUIVO DA EDITORA</v>
      </c>
      <c r="Y262" s="24" t="s">
        <v>594</v>
      </c>
      <c r="Z262" s="24" t="str">
        <f>Tabela2[[#This Row],[ILUSTRADOR CRIAÇÃO]]</f>
        <v>CAIO TANAKA/ARQUIVO DA EDITORA</v>
      </c>
      <c r="AA262" s="23">
        <v>14</v>
      </c>
      <c r="AB262" s="22" t="s">
        <v>171</v>
      </c>
      <c r="AC262" s="22" t="s">
        <v>43</v>
      </c>
      <c r="AD262" s="4" t="str">
        <f t="shared" si="4"/>
        <v>EF1 E001 HGC</v>
      </c>
    </row>
    <row r="263" spans="1:30" s="14" customFormat="1" ht="45" x14ac:dyDescent="0.25">
      <c r="A263" s="24" t="s">
        <v>595</v>
      </c>
      <c r="B263" s="22" t="s">
        <v>83</v>
      </c>
      <c r="C263" s="22" t="s">
        <v>32</v>
      </c>
      <c r="D263" s="22" t="s">
        <v>33</v>
      </c>
      <c r="E263" s="23">
        <v>78</v>
      </c>
      <c r="F263" s="23">
        <v>1</v>
      </c>
      <c r="G263" s="23">
        <v>1</v>
      </c>
      <c r="H263" s="23"/>
      <c r="I263" s="24" t="s">
        <v>38</v>
      </c>
      <c r="J263" s="24"/>
      <c r="K263" s="23"/>
      <c r="L263" s="23"/>
      <c r="M263" s="24"/>
      <c r="N263" s="24"/>
      <c r="O263" s="26" t="s">
        <v>596</v>
      </c>
      <c r="P263" s="26"/>
      <c r="Q263" s="23">
        <v>12</v>
      </c>
      <c r="R263" s="25">
        <v>45775</v>
      </c>
      <c r="S263" s="25">
        <v>45775</v>
      </c>
      <c r="T263" s="25"/>
      <c r="U263" s="25"/>
      <c r="V263" s="25">
        <v>45775</v>
      </c>
      <c r="W263" s="23" t="s">
        <v>521</v>
      </c>
      <c r="X263" s="4" t="str">
        <f>IF(Tabela2[[#This Row],[SIGLA]]="","",VLOOKUP(Tabela2[[#This Row],[SIGLA]],créditos_base!B:C,2,0))</f>
        <v>CAIO TANAKA/ARQUIVO DA EDITORA</v>
      </c>
      <c r="Y263" s="24" t="s">
        <v>594</v>
      </c>
      <c r="Z263" s="24" t="str">
        <f>Tabela2[[#This Row],[ILUSTRADOR CRIAÇÃO]]</f>
        <v>CAIO TANAKA/ARQUIVO DA EDITORA</v>
      </c>
      <c r="AA263" s="23">
        <v>14</v>
      </c>
      <c r="AB263" s="22" t="s">
        <v>171</v>
      </c>
      <c r="AC263" s="22" t="s">
        <v>43</v>
      </c>
      <c r="AD263" s="4" t="str">
        <f t="shared" si="4"/>
        <v>EF1 E001 HGC</v>
      </c>
    </row>
    <row r="264" spans="1:30" s="14" customFormat="1" ht="45" x14ac:dyDescent="0.25">
      <c r="A264" s="24" t="s">
        <v>597</v>
      </c>
      <c r="B264" s="22" t="s">
        <v>31</v>
      </c>
      <c r="C264" s="22" t="s">
        <v>32</v>
      </c>
      <c r="D264" s="22" t="s">
        <v>33</v>
      </c>
      <c r="E264" s="23">
        <v>78</v>
      </c>
      <c r="F264" s="23">
        <v>1</v>
      </c>
      <c r="G264" s="23">
        <v>1</v>
      </c>
      <c r="H264" s="23"/>
      <c r="I264" s="24" t="s">
        <v>38</v>
      </c>
      <c r="J264" s="24"/>
      <c r="K264" s="23"/>
      <c r="L264" s="23"/>
      <c r="M264" s="24"/>
      <c r="N264" s="24"/>
      <c r="O264" s="26" t="s">
        <v>598</v>
      </c>
      <c r="P264" s="26"/>
      <c r="Q264" s="23">
        <v>12</v>
      </c>
      <c r="R264" s="25">
        <v>45775</v>
      </c>
      <c r="S264" s="25">
        <v>45775</v>
      </c>
      <c r="T264" s="25"/>
      <c r="U264" s="25"/>
      <c r="V264" s="25">
        <v>45775</v>
      </c>
      <c r="W264" s="23" t="s">
        <v>521</v>
      </c>
      <c r="X264" s="4" t="str">
        <f>IF(Tabela2[[#This Row],[SIGLA]]="","",VLOOKUP(Tabela2[[#This Row],[SIGLA]],créditos_base!B:C,2,0))</f>
        <v>CAIO TANAKA/ARQUIVO DA EDITORA</v>
      </c>
      <c r="Y264" s="24" t="s">
        <v>594</v>
      </c>
      <c r="Z264" s="24" t="str">
        <f>Tabela2[[#This Row],[ILUSTRADOR CRIAÇÃO]]</f>
        <v>CAIO TANAKA/ARQUIVO DA EDITORA</v>
      </c>
      <c r="AA264" s="23">
        <v>14</v>
      </c>
      <c r="AB264" s="22" t="s">
        <v>171</v>
      </c>
      <c r="AC264" s="22" t="s">
        <v>43</v>
      </c>
      <c r="AD264" s="4" t="str">
        <f t="shared" si="4"/>
        <v>EF1 E001 HGC</v>
      </c>
    </row>
    <row r="265" spans="1:30" s="14" customFormat="1" ht="45" x14ac:dyDescent="0.25">
      <c r="A265" s="24" t="s">
        <v>599</v>
      </c>
      <c r="B265" s="22" t="s">
        <v>83</v>
      </c>
      <c r="C265" s="22" t="s">
        <v>32</v>
      </c>
      <c r="D265" s="22" t="s">
        <v>33</v>
      </c>
      <c r="E265" s="23">
        <v>78</v>
      </c>
      <c r="F265" s="23">
        <v>1</v>
      </c>
      <c r="G265" s="23">
        <v>1</v>
      </c>
      <c r="H265" s="23"/>
      <c r="I265" s="24" t="s">
        <v>34</v>
      </c>
      <c r="J265" s="24"/>
      <c r="K265" s="23"/>
      <c r="L265" s="23"/>
      <c r="M265" s="24"/>
      <c r="N265" s="24"/>
      <c r="O265" s="26" t="s">
        <v>600</v>
      </c>
      <c r="P265" s="26"/>
      <c r="Q265" s="23"/>
      <c r="R265" s="25"/>
      <c r="S265" s="25"/>
      <c r="T265" s="25"/>
      <c r="U265" s="25"/>
      <c r="V265" s="25"/>
      <c r="W265" s="23" t="s">
        <v>521</v>
      </c>
      <c r="X265" s="4" t="str">
        <f>IF(Tabela2[[#This Row],[SIGLA]]="","",VLOOKUP(Tabela2[[#This Row],[SIGLA]],créditos_base!B:C,2,0))</f>
        <v>CAIO TANAKA/ARQUIVO DA EDITORA</v>
      </c>
      <c r="Y265" s="24"/>
      <c r="Z265" s="24" t="str">
        <f>Tabela2[[#This Row],[ILUSTRADOR CRIAÇÃO]]</f>
        <v>CAIO TANAKA/ARQUIVO DA EDITORA</v>
      </c>
      <c r="AA265" s="23"/>
      <c r="AB265" s="22"/>
      <c r="AC265" s="22"/>
      <c r="AD265" s="4" t="str">
        <f t="shared" si="4"/>
        <v>EF1 E001 HGC</v>
      </c>
    </row>
    <row r="266" spans="1:30" s="14" customFormat="1" ht="45" x14ac:dyDescent="0.25">
      <c r="A266" s="24" t="s">
        <v>601</v>
      </c>
      <c r="B266" s="22" t="s">
        <v>83</v>
      </c>
      <c r="C266" s="22" t="s">
        <v>32</v>
      </c>
      <c r="D266" s="22" t="s">
        <v>33</v>
      </c>
      <c r="E266" s="23">
        <v>78</v>
      </c>
      <c r="F266" s="23">
        <v>1</v>
      </c>
      <c r="G266" s="23">
        <v>1</v>
      </c>
      <c r="H266" s="23"/>
      <c r="I266" s="24" t="s">
        <v>34</v>
      </c>
      <c r="J266" s="24"/>
      <c r="K266" s="23"/>
      <c r="L266" s="23"/>
      <c r="M266" s="24"/>
      <c r="N266" s="24"/>
      <c r="O266" s="26" t="s">
        <v>596</v>
      </c>
      <c r="P266" s="26"/>
      <c r="Q266" s="23"/>
      <c r="R266" s="25"/>
      <c r="S266" s="25"/>
      <c r="T266" s="25"/>
      <c r="U266" s="25"/>
      <c r="V266" s="25"/>
      <c r="W266" s="23" t="s">
        <v>521</v>
      </c>
      <c r="X266" s="4" t="str">
        <f>IF(Tabela2[[#This Row],[SIGLA]]="","",VLOOKUP(Tabela2[[#This Row],[SIGLA]],créditos_base!B:C,2,0))</f>
        <v>CAIO TANAKA/ARQUIVO DA EDITORA</v>
      </c>
      <c r="Y266" s="24"/>
      <c r="Z266" s="24" t="str">
        <f>Tabela2[[#This Row],[ILUSTRADOR CRIAÇÃO]]</f>
        <v>CAIO TANAKA/ARQUIVO DA EDITORA</v>
      </c>
      <c r="AA266" s="23"/>
      <c r="AB266" s="22"/>
      <c r="AC266" s="22"/>
      <c r="AD266" s="4" t="str">
        <f t="shared" si="4"/>
        <v>EF1 E001 HGC</v>
      </c>
    </row>
    <row r="267" spans="1:30" s="14" customFormat="1" ht="45" x14ac:dyDescent="0.25">
      <c r="A267" s="24" t="s">
        <v>602</v>
      </c>
      <c r="B267" s="22" t="s">
        <v>83</v>
      </c>
      <c r="C267" s="22" t="s">
        <v>32</v>
      </c>
      <c r="D267" s="22" t="s">
        <v>33</v>
      </c>
      <c r="E267" s="23">
        <v>78</v>
      </c>
      <c r="F267" s="23">
        <v>1</v>
      </c>
      <c r="G267" s="23">
        <v>1</v>
      </c>
      <c r="H267" s="23"/>
      <c r="I267" s="24" t="s">
        <v>34</v>
      </c>
      <c r="J267" s="24"/>
      <c r="K267" s="23"/>
      <c r="L267" s="23"/>
      <c r="M267" s="24"/>
      <c r="N267" s="24"/>
      <c r="O267" s="26" t="s">
        <v>598</v>
      </c>
      <c r="P267" s="26"/>
      <c r="Q267" s="23"/>
      <c r="R267" s="25"/>
      <c r="S267" s="25"/>
      <c r="T267" s="25"/>
      <c r="U267" s="25"/>
      <c r="V267" s="25"/>
      <c r="W267" s="23" t="s">
        <v>521</v>
      </c>
      <c r="X267" s="4" t="str">
        <f>IF(Tabela2[[#This Row],[SIGLA]]="","",VLOOKUP(Tabela2[[#This Row],[SIGLA]],créditos_base!B:C,2,0))</f>
        <v>CAIO TANAKA/ARQUIVO DA EDITORA</v>
      </c>
      <c r="Y267" s="24"/>
      <c r="Z267" s="24" t="str">
        <f>Tabela2[[#This Row],[ILUSTRADOR CRIAÇÃO]]</f>
        <v>CAIO TANAKA/ARQUIVO DA EDITORA</v>
      </c>
      <c r="AA267" s="23"/>
      <c r="AB267" s="22"/>
      <c r="AC267" s="22"/>
      <c r="AD267" s="4" t="str">
        <f t="shared" si="4"/>
        <v>EF1 E001 HGC</v>
      </c>
    </row>
    <row r="268" spans="1:30" s="14" customFormat="1" ht="45" x14ac:dyDescent="0.25">
      <c r="A268" s="24" t="s">
        <v>603</v>
      </c>
      <c r="B268" s="22" t="s">
        <v>31</v>
      </c>
      <c r="C268" s="22" t="s">
        <v>32</v>
      </c>
      <c r="D268" s="22" t="s">
        <v>33</v>
      </c>
      <c r="E268" s="23">
        <v>78</v>
      </c>
      <c r="F268" s="23">
        <v>1</v>
      </c>
      <c r="G268" s="23">
        <v>1</v>
      </c>
      <c r="H268" s="23"/>
      <c r="I268" s="24" t="s">
        <v>34</v>
      </c>
      <c r="J268" s="24"/>
      <c r="K268" s="23"/>
      <c r="L268" s="23"/>
      <c r="M268" s="24"/>
      <c r="N268" s="24"/>
      <c r="O268" s="26" t="s">
        <v>604</v>
      </c>
      <c r="P268" s="26"/>
      <c r="Q268" s="23"/>
      <c r="R268" s="25"/>
      <c r="S268" s="25"/>
      <c r="T268" s="25"/>
      <c r="U268" s="25"/>
      <c r="V268" s="25"/>
      <c r="W268" s="23" t="s">
        <v>521</v>
      </c>
      <c r="X268" s="4" t="str">
        <f>IF(Tabela2[[#This Row],[SIGLA]]="","",VLOOKUP(Tabela2[[#This Row],[SIGLA]],créditos_base!B:C,2,0))</f>
        <v>CAIO TANAKA/ARQUIVO DA EDITORA</v>
      </c>
      <c r="Y268" s="24"/>
      <c r="Z268" s="24" t="str">
        <f>Tabela2[[#This Row],[ILUSTRADOR CRIAÇÃO]]</f>
        <v>CAIO TANAKA/ARQUIVO DA EDITORA</v>
      </c>
      <c r="AA268" s="23"/>
      <c r="AB268" s="22"/>
      <c r="AC268" s="22"/>
      <c r="AD268" s="4" t="str">
        <f t="shared" si="4"/>
        <v>EF1 E001 HGC</v>
      </c>
    </row>
    <row r="269" spans="1:30" s="14" customFormat="1" ht="45" x14ac:dyDescent="0.25">
      <c r="A269" s="24" t="s">
        <v>605</v>
      </c>
      <c r="B269" s="22" t="s">
        <v>31</v>
      </c>
      <c r="C269" s="22" t="s">
        <v>32</v>
      </c>
      <c r="D269" s="22" t="s">
        <v>33</v>
      </c>
      <c r="E269" s="23">
        <v>49</v>
      </c>
      <c r="F269" s="23">
        <v>1</v>
      </c>
      <c r="G269" s="23">
        <v>1</v>
      </c>
      <c r="H269" s="23"/>
      <c r="I269" s="24" t="s">
        <v>177</v>
      </c>
      <c r="J269" s="24"/>
      <c r="K269" s="23"/>
      <c r="L269" s="23"/>
      <c r="M269" s="24"/>
      <c r="N269" s="24"/>
      <c r="O269" s="26" t="s">
        <v>606</v>
      </c>
      <c r="P269" s="26"/>
      <c r="Q269" s="23">
        <v>9</v>
      </c>
      <c r="R269" s="25">
        <v>45763</v>
      </c>
      <c r="S269" s="25">
        <v>45769</v>
      </c>
      <c r="T269" s="25"/>
      <c r="U269" s="25"/>
      <c r="V269" s="25">
        <v>45770</v>
      </c>
      <c r="W269" s="23" t="s">
        <v>48</v>
      </c>
      <c r="X269" s="4" t="str">
        <f>IF(Tabela2[[#This Row],[SIGLA]]="","",VLOOKUP(Tabela2[[#This Row],[SIGLA]],créditos_base!B:C,2,0))</f>
        <v>MÁRCIO GUERRA/ARQUIVO DA EDITORA</v>
      </c>
      <c r="Y269" s="24" t="s">
        <v>583</v>
      </c>
      <c r="Z269" s="24" t="str">
        <f>Tabela2[[#This Row],[ILUSTRADOR CRIAÇÃO]]</f>
        <v>MÁRCIO GUERRA/ARQUIVO DA EDITORA</v>
      </c>
      <c r="AA269" s="23">
        <v>13</v>
      </c>
      <c r="AB269" s="22" t="s">
        <v>171</v>
      </c>
      <c r="AC269" s="22" t="s">
        <v>43</v>
      </c>
      <c r="AD269" s="4" t="str">
        <f t="shared" si="4"/>
        <v>EF1 E001 HGC</v>
      </c>
    </row>
    <row r="270" spans="1:30" s="14" customFormat="1" ht="45" x14ac:dyDescent="0.25">
      <c r="A270" s="24" t="s">
        <v>607</v>
      </c>
      <c r="B270" s="22" t="s">
        <v>31</v>
      </c>
      <c r="C270" s="22" t="s">
        <v>32</v>
      </c>
      <c r="D270" s="22" t="s">
        <v>33</v>
      </c>
      <c r="E270" s="23">
        <v>49</v>
      </c>
      <c r="F270" s="23">
        <v>1</v>
      </c>
      <c r="G270" s="23">
        <v>1</v>
      </c>
      <c r="H270" s="23"/>
      <c r="I270" s="24" t="s">
        <v>177</v>
      </c>
      <c r="J270" s="24"/>
      <c r="K270" s="23"/>
      <c r="L270" s="23"/>
      <c r="M270" s="24"/>
      <c r="N270" s="24"/>
      <c r="O270" s="26" t="s">
        <v>608</v>
      </c>
      <c r="P270" s="26"/>
      <c r="Q270" s="23">
        <v>9</v>
      </c>
      <c r="R270" s="25">
        <v>45763</v>
      </c>
      <c r="S270" s="25">
        <v>45769</v>
      </c>
      <c r="T270" s="25"/>
      <c r="U270" s="25"/>
      <c r="V270" s="25">
        <v>45770</v>
      </c>
      <c r="W270" s="23" t="s">
        <v>48</v>
      </c>
      <c r="X270" s="4" t="str">
        <f>IF(Tabela2[[#This Row],[SIGLA]]="","",VLOOKUP(Tabela2[[#This Row],[SIGLA]],créditos_base!B:C,2,0))</f>
        <v>MÁRCIO GUERRA/ARQUIVO DA EDITORA</v>
      </c>
      <c r="Y270" s="24" t="s">
        <v>583</v>
      </c>
      <c r="Z270" s="24" t="str">
        <f>Tabela2[[#This Row],[ILUSTRADOR CRIAÇÃO]]</f>
        <v>MÁRCIO GUERRA/ARQUIVO DA EDITORA</v>
      </c>
      <c r="AA270" s="23">
        <v>13</v>
      </c>
      <c r="AB270" s="22" t="s">
        <v>171</v>
      </c>
      <c r="AC270" s="22" t="s">
        <v>43</v>
      </c>
      <c r="AD270" s="4" t="str">
        <f t="shared" si="4"/>
        <v>EF1 E001 HGC</v>
      </c>
    </row>
    <row r="271" spans="1:30" s="14" customFormat="1" ht="45" x14ac:dyDescent="0.25">
      <c r="A271" s="24" t="s">
        <v>609</v>
      </c>
      <c r="B271" s="22" t="s">
        <v>31</v>
      </c>
      <c r="C271" s="22" t="s">
        <v>32</v>
      </c>
      <c r="D271" s="22" t="s">
        <v>33</v>
      </c>
      <c r="E271" s="23">
        <v>49</v>
      </c>
      <c r="F271" s="23">
        <v>1</v>
      </c>
      <c r="G271" s="23">
        <v>1</v>
      </c>
      <c r="H271" s="23"/>
      <c r="I271" s="24" t="s">
        <v>177</v>
      </c>
      <c r="J271" s="24"/>
      <c r="K271" s="23"/>
      <c r="L271" s="23"/>
      <c r="M271" s="24"/>
      <c r="N271" s="24"/>
      <c r="O271" s="26" t="s">
        <v>610</v>
      </c>
      <c r="P271" s="26"/>
      <c r="Q271" s="23">
        <v>9</v>
      </c>
      <c r="R271" s="25">
        <v>45763</v>
      </c>
      <c r="S271" s="25">
        <v>45769</v>
      </c>
      <c r="T271" s="25"/>
      <c r="U271" s="25"/>
      <c r="V271" s="25">
        <v>45770</v>
      </c>
      <c r="W271" s="23" t="s">
        <v>48</v>
      </c>
      <c r="X271" s="4" t="str">
        <f>IF(Tabela2[[#This Row],[SIGLA]]="","",VLOOKUP(Tabela2[[#This Row],[SIGLA]],créditos_base!B:C,2,0))</f>
        <v>MÁRCIO GUERRA/ARQUIVO DA EDITORA</v>
      </c>
      <c r="Y271" s="24" t="s">
        <v>583</v>
      </c>
      <c r="Z271" s="24" t="str">
        <f>Tabela2[[#This Row],[ILUSTRADOR CRIAÇÃO]]</f>
        <v>MÁRCIO GUERRA/ARQUIVO DA EDITORA</v>
      </c>
      <c r="AA271" s="23">
        <v>13</v>
      </c>
      <c r="AB271" s="22" t="s">
        <v>171</v>
      </c>
      <c r="AC271" s="22" t="s">
        <v>43</v>
      </c>
      <c r="AD271" s="4" t="str">
        <f t="shared" si="4"/>
        <v>EF1 E001 HGC</v>
      </c>
    </row>
    <row r="272" spans="1:30" s="14" customFormat="1" ht="30" x14ac:dyDescent="0.25">
      <c r="A272" s="24" t="s">
        <v>611</v>
      </c>
      <c r="B272" s="22" t="s">
        <v>31</v>
      </c>
      <c r="C272" s="22" t="s">
        <v>32</v>
      </c>
      <c r="D272" s="22" t="s">
        <v>33</v>
      </c>
      <c r="E272" s="23">
        <v>49</v>
      </c>
      <c r="F272" s="23">
        <v>1</v>
      </c>
      <c r="G272" s="23">
        <v>1</v>
      </c>
      <c r="H272" s="23"/>
      <c r="I272" s="24" t="s">
        <v>177</v>
      </c>
      <c r="J272" s="24"/>
      <c r="K272" s="23"/>
      <c r="L272" s="23"/>
      <c r="M272" s="24"/>
      <c r="N272" s="24"/>
      <c r="O272" s="26" t="s">
        <v>612</v>
      </c>
      <c r="P272" s="26"/>
      <c r="Q272" s="23">
        <v>9</v>
      </c>
      <c r="R272" s="25">
        <v>45763</v>
      </c>
      <c r="S272" s="25">
        <v>45769</v>
      </c>
      <c r="T272" s="25"/>
      <c r="U272" s="25"/>
      <c r="V272" s="25">
        <v>45770</v>
      </c>
      <c r="W272" s="23" t="s">
        <v>48</v>
      </c>
      <c r="X272" s="4" t="str">
        <f>IF(Tabela2[[#This Row],[SIGLA]]="","",VLOOKUP(Tabela2[[#This Row],[SIGLA]],créditos_base!B:C,2,0))</f>
        <v>MÁRCIO GUERRA/ARQUIVO DA EDITORA</v>
      </c>
      <c r="Y272" s="24" t="s">
        <v>583</v>
      </c>
      <c r="Z272" s="24" t="str">
        <f>Tabela2[[#This Row],[ILUSTRADOR CRIAÇÃO]]</f>
        <v>MÁRCIO GUERRA/ARQUIVO DA EDITORA</v>
      </c>
      <c r="AA272" s="23">
        <v>13</v>
      </c>
      <c r="AB272" s="22" t="s">
        <v>171</v>
      </c>
      <c r="AC272" s="22" t="s">
        <v>43</v>
      </c>
      <c r="AD272" s="4" t="str">
        <f t="shared" si="4"/>
        <v>EF1 E001 HGC</v>
      </c>
    </row>
    <row r="273" spans="1:30" s="14" customFormat="1" ht="45" x14ac:dyDescent="0.25">
      <c r="A273" s="24" t="s">
        <v>613</v>
      </c>
      <c r="B273" s="22" t="s">
        <v>31</v>
      </c>
      <c r="C273" s="22" t="s">
        <v>32</v>
      </c>
      <c r="D273" s="22" t="s">
        <v>33</v>
      </c>
      <c r="E273" s="23">
        <v>49</v>
      </c>
      <c r="F273" s="23">
        <v>1</v>
      </c>
      <c r="G273" s="23">
        <v>1</v>
      </c>
      <c r="H273" s="23"/>
      <c r="I273" s="24" t="s">
        <v>177</v>
      </c>
      <c r="J273" s="24"/>
      <c r="K273" s="23"/>
      <c r="L273" s="23"/>
      <c r="M273" s="24"/>
      <c r="N273" s="24"/>
      <c r="O273" s="26" t="s">
        <v>614</v>
      </c>
      <c r="P273" s="26"/>
      <c r="Q273" s="23">
        <v>9</v>
      </c>
      <c r="R273" s="25">
        <v>45763</v>
      </c>
      <c r="S273" s="25">
        <v>45769</v>
      </c>
      <c r="T273" s="25"/>
      <c r="U273" s="25"/>
      <c r="V273" s="25">
        <v>45770</v>
      </c>
      <c r="W273" s="23" t="s">
        <v>48</v>
      </c>
      <c r="X273" s="4" t="str">
        <f>IF(Tabela2[[#This Row],[SIGLA]]="","",VLOOKUP(Tabela2[[#This Row],[SIGLA]],créditos_base!B:C,2,0))</f>
        <v>MÁRCIO GUERRA/ARQUIVO DA EDITORA</v>
      </c>
      <c r="Y273" s="24" t="s">
        <v>583</v>
      </c>
      <c r="Z273" s="24" t="str">
        <f>Tabela2[[#This Row],[ILUSTRADOR CRIAÇÃO]]</f>
        <v>MÁRCIO GUERRA/ARQUIVO DA EDITORA</v>
      </c>
      <c r="AA273" s="23">
        <v>13</v>
      </c>
      <c r="AB273" s="22" t="s">
        <v>171</v>
      </c>
      <c r="AC273" s="22" t="s">
        <v>43</v>
      </c>
      <c r="AD273" s="4" t="str">
        <f t="shared" si="4"/>
        <v>EF1 E001 HGC</v>
      </c>
    </row>
    <row r="274" spans="1:30" s="14" customFormat="1" ht="30" x14ac:dyDescent="0.25">
      <c r="A274" s="24" t="s">
        <v>615</v>
      </c>
      <c r="B274" s="22" t="s">
        <v>67</v>
      </c>
      <c r="C274" s="22" t="s">
        <v>32</v>
      </c>
      <c r="D274" s="22" t="s">
        <v>33</v>
      </c>
      <c r="E274" s="23">
        <v>94</v>
      </c>
      <c r="F274" s="23">
        <v>1</v>
      </c>
      <c r="G274" s="23">
        <v>2</v>
      </c>
      <c r="H274" s="23"/>
      <c r="I274" s="24" t="s">
        <v>34</v>
      </c>
      <c r="J274" s="24"/>
      <c r="K274" s="23"/>
      <c r="L274" s="23"/>
      <c r="M274" s="24"/>
      <c r="N274" s="24"/>
      <c r="O274" s="26" t="s">
        <v>616</v>
      </c>
      <c r="P274" s="26"/>
      <c r="Q274" s="23"/>
      <c r="R274" s="25"/>
      <c r="S274" s="25"/>
      <c r="T274" s="25"/>
      <c r="U274" s="25"/>
      <c r="V274" s="25"/>
      <c r="W274" s="23" t="s">
        <v>59</v>
      </c>
      <c r="X274" s="4" t="str">
        <f>IF(Tabela2[[#This Row],[SIGLA]]="","",VLOOKUP(Tabela2[[#This Row],[SIGLA]],créditos_base!B:C,2,0))</f>
        <v>DANILO SANTOS/ARQUIVO DA EDITORA</v>
      </c>
      <c r="Y274" s="24"/>
      <c r="Z274" s="24" t="str">
        <f>Tabela2[[#This Row],[ILUSTRADOR CRIAÇÃO]]</f>
        <v>DANILO SANTOS/ARQUIVO DA EDITORA</v>
      </c>
      <c r="AA274" s="23"/>
      <c r="AB274" s="22"/>
      <c r="AC274" s="22"/>
      <c r="AD274" s="4" t="str">
        <f t="shared" si="4"/>
        <v>EF1 E001 HGC</v>
      </c>
    </row>
    <row r="275" spans="1:30" s="14" customFormat="1" ht="30" x14ac:dyDescent="0.25">
      <c r="A275" s="24" t="s">
        <v>617</v>
      </c>
      <c r="B275" s="22" t="s">
        <v>67</v>
      </c>
      <c r="C275" s="22" t="s">
        <v>32</v>
      </c>
      <c r="D275" s="22" t="s">
        <v>33</v>
      </c>
      <c r="E275" s="23">
        <v>94</v>
      </c>
      <c r="F275" s="23">
        <v>1</v>
      </c>
      <c r="G275" s="23">
        <v>2</v>
      </c>
      <c r="H275" s="23"/>
      <c r="I275" s="24" t="s">
        <v>34</v>
      </c>
      <c r="J275" s="24"/>
      <c r="K275" s="23"/>
      <c r="L275" s="23"/>
      <c r="M275" s="24"/>
      <c r="N275" s="24"/>
      <c r="O275" s="26" t="s">
        <v>618</v>
      </c>
      <c r="P275" s="26"/>
      <c r="Q275" s="23"/>
      <c r="R275" s="25"/>
      <c r="S275" s="25"/>
      <c r="T275" s="25"/>
      <c r="U275" s="25"/>
      <c r="V275" s="25"/>
      <c r="W275" s="23" t="s">
        <v>59</v>
      </c>
      <c r="X275" s="4" t="str">
        <f>IF(Tabela2[[#This Row],[SIGLA]]="","",VLOOKUP(Tabela2[[#This Row],[SIGLA]],créditos_base!B:C,2,0))</f>
        <v>DANILO SANTOS/ARQUIVO DA EDITORA</v>
      </c>
      <c r="Y275" s="24"/>
      <c r="Z275" s="24" t="str">
        <f>Tabela2[[#This Row],[ILUSTRADOR CRIAÇÃO]]</f>
        <v>DANILO SANTOS/ARQUIVO DA EDITORA</v>
      </c>
      <c r="AA275" s="23"/>
      <c r="AB275" s="22"/>
      <c r="AC275" s="22"/>
      <c r="AD275" s="4" t="str">
        <f t="shared" si="4"/>
        <v>EF1 E001 HGC</v>
      </c>
    </row>
    <row r="276" spans="1:30" s="14" customFormat="1" ht="45" x14ac:dyDescent="0.25">
      <c r="A276" s="24" t="s">
        <v>619</v>
      </c>
      <c r="B276" s="22" t="s">
        <v>67</v>
      </c>
      <c r="C276" s="22" t="s">
        <v>32</v>
      </c>
      <c r="D276" s="22" t="s">
        <v>33</v>
      </c>
      <c r="E276" s="23">
        <v>94</v>
      </c>
      <c r="F276" s="23">
        <v>1</v>
      </c>
      <c r="G276" s="23">
        <v>2</v>
      </c>
      <c r="H276" s="23"/>
      <c r="I276" s="24" t="s">
        <v>38</v>
      </c>
      <c r="J276" s="24"/>
      <c r="K276" s="23"/>
      <c r="L276" s="23"/>
      <c r="M276" s="24"/>
      <c r="N276" s="24"/>
      <c r="O276" s="26" t="s">
        <v>620</v>
      </c>
      <c r="P276" s="26"/>
      <c r="Q276" s="23">
        <v>14</v>
      </c>
      <c r="R276" s="25">
        <v>45779</v>
      </c>
      <c r="S276" s="25">
        <v>45779</v>
      </c>
      <c r="T276" s="25"/>
      <c r="U276" s="25"/>
      <c r="V276" s="25">
        <v>45779</v>
      </c>
      <c r="W276" s="23" t="s">
        <v>59</v>
      </c>
      <c r="X276" s="4" t="str">
        <f>IF(Tabela2[[#This Row],[SIGLA]]="","",VLOOKUP(Tabela2[[#This Row],[SIGLA]],créditos_base!B:C,2,0))</f>
        <v>DANILO SANTOS/ARQUIVO DA EDITORA</v>
      </c>
      <c r="Y276" s="24" t="s">
        <v>70</v>
      </c>
      <c r="Z276" s="24" t="str">
        <f>Tabela2[[#This Row],[ILUSTRADOR CRIAÇÃO]]</f>
        <v>DANILO SANTOS/ARQUIVO DA EDITORA</v>
      </c>
      <c r="AA276" s="23">
        <v>13</v>
      </c>
      <c r="AB276" s="22" t="s">
        <v>71</v>
      </c>
      <c r="AC276" s="22" t="s">
        <v>43</v>
      </c>
      <c r="AD276" s="4" t="str">
        <f t="shared" si="4"/>
        <v>EF1 E001 HGC</v>
      </c>
    </row>
    <row r="277" spans="1:30" s="14" customFormat="1" ht="30" x14ac:dyDescent="0.25">
      <c r="A277" s="24" t="s">
        <v>621</v>
      </c>
      <c r="B277" s="22" t="s">
        <v>67</v>
      </c>
      <c r="C277" s="22" t="s">
        <v>32</v>
      </c>
      <c r="D277" s="22" t="s">
        <v>33</v>
      </c>
      <c r="E277" s="23">
        <v>94</v>
      </c>
      <c r="F277" s="23">
        <v>1</v>
      </c>
      <c r="G277" s="23">
        <v>2</v>
      </c>
      <c r="H277" s="23"/>
      <c r="I277" s="24" t="s">
        <v>34</v>
      </c>
      <c r="J277" s="24"/>
      <c r="K277" s="23"/>
      <c r="L277" s="23"/>
      <c r="M277" s="24"/>
      <c r="N277" s="24"/>
      <c r="O277" s="26" t="s">
        <v>622</v>
      </c>
      <c r="P277" s="26"/>
      <c r="Q277" s="23"/>
      <c r="R277" s="25"/>
      <c r="S277" s="25"/>
      <c r="T277" s="25"/>
      <c r="U277" s="25"/>
      <c r="V277" s="25"/>
      <c r="W277" s="23" t="s">
        <v>59</v>
      </c>
      <c r="X277" s="4" t="str">
        <f>IF(Tabela2[[#This Row],[SIGLA]]="","",VLOOKUP(Tabela2[[#This Row],[SIGLA]],créditos_base!B:C,2,0))</f>
        <v>DANILO SANTOS/ARQUIVO DA EDITORA</v>
      </c>
      <c r="Y277" s="24"/>
      <c r="Z277" s="24" t="str">
        <f>Tabela2[[#This Row],[ILUSTRADOR CRIAÇÃO]]</f>
        <v>DANILO SANTOS/ARQUIVO DA EDITORA</v>
      </c>
      <c r="AA277" s="23"/>
      <c r="AB277" s="22"/>
      <c r="AC277" s="22"/>
      <c r="AD277" s="4" t="str">
        <f t="shared" si="4"/>
        <v>EF1 E001 HGC</v>
      </c>
    </row>
    <row r="278" spans="1:30" s="14" customFormat="1" ht="60" x14ac:dyDescent="0.25">
      <c r="A278" s="24" t="s">
        <v>623</v>
      </c>
      <c r="B278" s="22" t="s">
        <v>67</v>
      </c>
      <c r="C278" s="22" t="s">
        <v>32</v>
      </c>
      <c r="D278" s="22" t="s">
        <v>33</v>
      </c>
      <c r="E278" s="23">
        <v>94</v>
      </c>
      <c r="F278" s="23">
        <v>1</v>
      </c>
      <c r="G278" s="23">
        <v>2</v>
      </c>
      <c r="H278" s="23"/>
      <c r="I278" s="24" t="s">
        <v>38</v>
      </c>
      <c r="J278" s="24"/>
      <c r="K278" s="23"/>
      <c r="L278" s="23"/>
      <c r="M278" s="24"/>
      <c r="N278" s="24"/>
      <c r="O278" s="26" t="s">
        <v>624</v>
      </c>
      <c r="P278" s="26"/>
      <c r="Q278" s="23">
        <v>14</v>
      </c>
      <c r="R278" s="25">
        <v>45779</v>
      </c>
      <c r="S278" s="25">
        <v>45779</v>
      </c>
      <c r="T278" s="25"/>
      <c r="U278" s="25"/>
      <c r="V278" s="25">
        <v>45779</v>
      </c>
      <c r="W278" s="23" t="s">
        <v>59</v>
      </c>
      <c r="X278" s="4" t="str">
        <f>IF(Tabela2[[#This Row],[SIGLA]]="","",VLOOKUP(Tabela2[[#This Row],[SIGLA]],créditos_base!B:C,2,0))</f>
        <v>DANILO SANTOS/ARQUIVO DA EDITORA</v>
      </c>
      <c r="Y278" s="24" t="s">
        <v>70</v>
      </c>
      <c r="Z278" s="24" t="str">
        <f>Tabela2[[#This Row],[ILUSTRADOR CRIAÇÃO]]</f>
        <v>DANILO SANTOS/ARQUIVO DA EDITORA</v>
      </c>
      <c r="AA278" s="23">
        <v>13</v>
      </c>
      <c r="AB278" s="22" t="s">
        <v>71</v>
      </c>
      <c r="AC278" s="22" t="s">
        <v>43</v>
      </c>
      <c r="AD278" s="4" t="str">
        <f t="shared" si="4"/>
        <v>EF1 E001 HGC</v>
      </c>
    </row>
    <row r="279" spans="1:30" s="14" customFormat="1" ht="30" x14ac:dyDescent="0.25">
      <c r="A279" s="24" t="s">
        <v>625</v>
      </c>
      <c r="B279" s="22" t="s">
        <v>67</v>
      </c>
      <c r="C279" s="22" t="s">
        <v>32</v>
      </c>
      <c r="D279" s="22" t="s">
        <v>33</v>
      </c>
      <c r="E279" s="23">
        <v>97</v>
      </c>
      <c r="F279" s="23">
        <v>1</v>
      </c>
      <c r="G279" s="23">
        <v>2</v>
      </c>
      <c r="H279" s="23"/>
      <c r="I279" s="24" t="s">
        <v>34</v>
      </c>
      <c r="J279" s="24"/>
      <c r="K279" s="23"/>
      <c r="L279" s="23"/>
      <c r="M279" s="24"/>
      <c r="N279" s="24"/>
      <c r="O279" s="26" t="s">
        <v>626</v>
      </c>
      <c r="P279" s="26"/>
      <c r="Q279" s="23"/>
      <c r="R279" s="25"/>
      <c r="S279" s="25"/>
      <c r="T279" s="25"/>
      <c r="U279" s="25"/>
      <c r="V279" s="25"/>
      <c r="W279" s="23" t="s">
        <v>193</v>
      </c>
      <c r="X279" s="4" t="str">
        <f>IF(Tabela2[[#This Row],[SIGLA]]="","",VLOOKUP(Tabela2[[#This Row],[SIGLA]],créditos_base!B:C,2,0))</f>
        <v>NATANAELE BILMAIA/ARQUIVO DA EDITORA</v>
      </c>
      <c r="Y279" s="24"/>
      <c r="Z279" s="24" t="str">
        <f>Tabela2[[#This Row],[ILUSTRADOR CRIAÇÃO]]</f>
        <v>NATANAELE BILMAIA/ARQUIVO DA EDITORA</v>
      </c>
      <c r="AA279" s="23"/>
      <c r="AB279" s="22"/>
      <c r="AC279" s="22"/>
      <c r="AD279" s="4" t="str">
        <f t="shared" si="4"/>
        <v>EF1 E001 HGC</v>
      </c>
    </row>
    <row r="280" spans="1:30" s="14" customFormat="1" ht="30" x14ac:dyDescent="0.25">
      <c r="A280" s="24" t="s">
        <v>627</v>
      </c>
      <c r="B280" s="22" t="s">
        <v>67</v>
      </c>
      <c r="C280" s="22" t="s">
        <v>32</v>
      </c>
      <c r="D280" s="22" t="s">
        <v>33</v>
      </c>
      <c r="E280" s="23">
        <v>97</v>
      </c>
      <c r="F280" s="23">
        <v>1</v>
      </c>
      <c r="G280" s="23">
        <v>2</v>
      </c>
      <c r="H280" s="23"/>
      <c r="I280" s="24" t="s">
        <v>34</v>
      </c>
      <c r="J280" s="24"/>
      <c r="K280" s="23"/>
      <c r="L280" s="23"/>
      <c r="M280" s="24"/>
      <c r="N280" s="24"/>
      <c r="O280" s="26" t="s">
        <v>628</v>
      </c>
      <c r="P280" s="26"/>
      <c r="Q280" s="23"/>
      <c r="R280" s="25"/>
      <c r="S280" s="25"/>
      <c r="T280" s="25"/>
      <c r="U280" s="25"/>
      <c r="V280" s="25"/>
      <c r="W280" s="23" t="s">
        <v>193</v>
      </c>
      <c r="X280" s="4" t="str">
        <f>IF(Tabela2[[#This Row],[SIGLA]]="","",VLOOKUP(Tabela2[[#This Row],[SIGLA]],créditos_base!B:C,2,0))</f>
        <v>NATANAELE BILMAIA/ARQUIVO DA EDITORA</v>
      </c>
      <c r="Y280" s="24"/>
      <c r="Z280" s="24" t="str">
        <f>Tabela2[[#This Row],[ILUSTRADOR CRIAÇÃO]]</f>
        <v>NATANAELE BILMAIA/ARQUIVO DA EDITORA</v>
      </c>
      <c r="AA280" s="23"/>
      <c r="AB280" s="22"/>
      <c r="AC280" s="22"/>
      <c r="AD280" s="4" t="str">
        <f t="shared" si="4"/>
        <v>EF1 E001 HGC</v>
      </c>
    </row>
    <row r="281" spans="1:30" s="14" customFormat="1" ht="30" x14ac:dyDescent="0.25">
      <c r="A281" s="24" t="s">
        <v>629</v>
      </c>
      <c r="B281" s="22" t="s">
        <v>67</v>
      </c>
      <c r="C281" s="22" t="s">
        <v>32</v>
      </c>
      <c r="D281" s="22" t="s">
        <v>33</v>
      </c>
      <c r="E281" s="23">
        <v>97</v>
      </c>
      <c r="F281" s="23">
        <v>1</v>
      </c>
      <c r="G281" s="23">
        <v>2</v>
      </c>
      <c r="H281" s="23"/>
      <c r="I281" s="24" t="s">
        <v>34</v>
      </c>
      <c r="J281" s="24"/>
      <c r="K281" s="23"/>
      <c r="L281" s="23"/>
      <c r="M281" s="24"/>
      <c r="N281" s="24"/>
      <c r="O281" s="26" t="s">
        <v>630</v>
      </c>
      <c r="P281" s="26"/>
      <c r="Q281" s="23"/>
      <c r="R281" s="25"/>
      <c r="S281" s="25"/>
      <c r="T281" s="25"/>
      <c r="U281" s="25"/>
      <c r="V281" s="25"/>
      <c r="W281" s="23" t="s">
        <v>193</v>
      </c>
      <c r="X281" s="4" t="str">
        <f>IF(Tabela2[[#This Row],[SIGLA]]="","",VLOOKUP(Tabela2[[#This Row],[SIGLA]],créditos_base!B:C,2,0))</f>
        <v>NATANAELE BILMAIA/ARQUIVO DA EDITORA</v>
      </c>
      <c r="Y281" s="24"/>
      <c r="Z281" s="24" t="str">
        <f>Tabela2[[#This Row],[ILUSTRADOR CRIAÇÃO]]</f>
        <v>NATANAELE BILMAIA/ARQUIVO DA EDITORA</v>
      </c>
      <c r="AA281" s="23"/>
      <c r="AB281" s="22"/>
      <c r="AC281" s="22"/>
      <c r="AD281" s="4" t="str">
        <f t="shared" si="4"/>
        <v>EF1 E001 HGC</v>
      </c>
    </row>
    <row r="282" spans="1:30" s="14" customFormat="1" ht="165" x14ac:dyDescent="0.25">
      <c r="A282" s="24" t="s">
        <v>631</v>
      </c>
      <c r="B282" s="22" t="s">
        <v>67</v>
      </c>
      <c r="C282" s="22" t="s">
        <v>32</v>
      </c>
      <c r="D282" s="22" t="s">
        <v>33</v>
      </c>
      <c r="E282" s="23">
        <v>100</v>
      </c>
      <c r="F282" s="23">
        <v>1</v>
      </c>
      <c r="G282" s="23">
        <v>2</v>
      </c>
      <c r="H282" s="23"/>
      <c r="I282" s="24" t="s">
        <v>177</v>
      </c>
      <c r="J282" s="24"/>
      <c r="K282" s="23"/>
      <c r="L282" s="23"/>
      <c r="M282" s="24"/>
      <c r="N282" s="24"/>
      <c r="O282" s="26" t="s">
        <v>632</v>
      </c>
      <c r="P282" s="26"/>
      <c r="Q282" s="23">
        <v>14</v>
      </c>
      <c r="R282" s="25">
        <v>45779</v>
      </c>
      <c r="S282" s="25">
        <v>45779</v>
      </c>
      <c r="T282" s="25">
        <v>45784</v>
      </c>
      <c r="U282" s="25">
        <v>45786</v>
      </c>
      <c r="V282" s="25">
        <v>45798</v>
      </c>
      <c r="W282" s="23" t="s">
        <v>633</v>
      </c>
      <c r="X282" s="4" t="str">
        <f>IF(Tabela2[[#This Row],[SIGLA]]="","",VLOOKUP(Tabela2[[#This Row],[SIGLA]],créditos_base!B:C,2,0))</f>
        <v>LEONARDO DE MOURA AMARAL/ARQUIVO DA EDITORA</v>
      </c>
      <c r="Y282" s="24"/>
      <c r="Z282" s="24" t="str">
        <f>Tabela2[[#This Row],[ILUSTRADOR CRIAÇÃO]]</f>
        <v>LEONARDO DE MOURA AMARAL/ARQUIVO DA EDITORA</v>
      </c>
      <c r="AA282" s="23">
        <v>2</v>
      </c>
      <c r="AB282" s="22" t="s">
        <v>634</v>
      </c>
      <c r="AC282" s="22" t="s">
        <v>340</v>
      </c>
      <c r="AD282" s="4" t="str">
        <f t="shared" si="4"/>
        <v>EF1 E001 HGC</v>
      </c>
    </row>
    <row r="283" spans="1:30" s="14" customFormat="1" ht="30" x14ac:dyDescent="0.25">
      <c r="A283" s="24" t="s">
        <v>635</v>
      </c>
      <c r="B283" s="22" t="s">
        <v>83</v>
      </c>
      <c r="C283" s="22" t="s">
        <v>32</v>
      </c>
      <c r="D283" s="22" t="s">
        <v>33</v>
      </c>
      <c r="E283" s="23">
        <v>103</v>
      </c>
      <c r="F283" s="23">
        <v>1</v>
      </c>
      <c r="G283" s="23">
        <v>2</v>
      </c>
      <c r="H283" s="23"/>
      <c r="I283" s="24" t="s">
        <v>34</v>
      </c>
      <c r="J283" s="24"/>
      <c r="K283" s="23"/>
      <c r="L283" s="23"/>
      <c r="M283" s="24"/>
      <c r="N283" s="24"/>
      <c r="O283" s="26" t="s">
        <v>636</v>
      </c>
      <c r="P283" s="26"/>
      <c r="Q283" s="23"/>
      <c r="R283" s="25"/>
      <c r="S283" s="25"/>
      <c r="T283" s="25"/>
      <c r="U283" s="25"/>
      <c r="V283" s="25"/>
      <c r="W283" s="23" t="s">
        <v>280</v>
      </c>
      <c r="X283" s="4" t="str">
        <f>IF(Tabela2[[#This Row],[SIGLA]]="","",VLOOKUP(Tabela2[[#This Row],[SIGLA]],créditos_base!B:C,2,0))</f>
        <v>HELOÍSA PINTARELLI/ARQUIVO DA EDITORA</v>
      </c>
      <c r="Y283" s="24"/>
      <c r="Z283" s="24" t="str">
        <f>Tabela2[[#This Row],[ILUSTRADOR CRIAÇÃO]]</f>
        <v>HELOÍSA PINTARELLI/ARQUIVO DA EDITORA</v>
      </c>
      <c r="AA283" s="23"/>
      <c r="AB283" s="22"/>
      <c r="AC283" s="22"/>
      <c r="AD283" s="4" t="str">
        <f t="shared" si="4"/>
        <v>EF1 E001 HGC</v>
      </c>
    </row>
    <row r="284" spans="1:30" s="14" customFormat="1" ht="30" x14ac:dyDescent="0.25">
      <c r="A284" s="24" t="s">
        <v>637</v>
      </c>
      <c r="B284" s="22" t="s">
        <v>67</v>
      </c>
      <c r="C284" s="22" t="s">
        <v>32</v>
      </c>
      <c r="D284" s="22" t="s">
        <v>33</v>
      </c>
      <c r="E284" s="23">
        <v>103</v>
      </c>
      <c r="F284" s="23">
        <v>1</v>
      </c>
      <c r="G284" s="23">
        <v>2</v>
      </c>
      <c r="H284" s="23"/>
      <c r="I284" s="24" t="s">
        <v>34</v>
      </c>
      <c r="J284" s="24"/>
      <c r="K284" s="23"/>
      <c r="L284" s="23"/>
      <c r="M284" s="24"/>
      <c r="N284" s="24"/>
      <c r="O284" s="26" t="s">
        <v>638</v>
      </c>
      <c r="P284" s="26"/>
      <c r="Q284" s="23"/>
      <c r="R284" s="25"/>
      <c r="S284" s="25"/>
      <c r="T284" s="25"/>
      <c r="U284" s="25"/>
      <c r="V284" s="25"/>
      <c r="W284" s="23" t="s">
        <v>280</v>
      </c>
      <c r="X284" s="4" t="str">
        <f>IF(Tabela2[[#This Row],[SIGLA]]="","",VLOOKUP(Tabela2[[#This Row],[SIGLA]],créditos_base!B:C,2,0))</f>
        <v>HELOÍSA PINTARELLI/ARQUIVO DA EDITORA</v>
      </c>
      <c r="Y284" s="24"/>
      <c r="Z284" s="24" t="str">
        <f>Tabela2[[#This Row],[ILUSTRADOR CRIAÇÃO]]</f>
        <v>HELOÍSA PINTARELLI/ARQUIVO DA EDITORA</v>
      </c>
      <c r="AA284" s="23"/>
      <c r="AB284" s="22"/>
      <c r="AC284" s="22"/>
      <c r="AD284" s="4" t="str">
        <f t="shared" si="4"/>
        <v>EF1 E001 HGC</v>
      </c>
    </row>
    <row r="285" spans="1:30" s="14" customFormat="1" ht="30" x14ac:dyDescent="0.25">
      <c r="A285" s="24" t="s">
        <v>639</v>
      </c>
      <c r="B285" s="22" t="s">
        <v>67</v>
      </c>
      <c r="C285" s="22" t="s">
        <v>32</v>
      </c>
      <c r="D285" s="22" t="s">
        <v>33</v>
      </c>
      <c r="E285" s="23">
        <v>103</v>
      </c>
      <c r="F285" s="23">
        <v>1</v>
      </c>
      <c r="G285" s="23">
        <v>2</v>
      </c>
      <c r="H285" s="23"/>
      <c r="I285" s="24" t="s">
        <v>34</v>
      </c>
      <c r="J285" s="24"/>
      <c r="K285" s="23"/>
      <c r="L285" s="23"/>
      <c r="M285" s="24"/>
      <c r="N285" s="24"/>
      <c r="O285" s="26" t="s">
        <v>640</v>
      </c>
      <c r="P285" s="26"/>
      <c r="Q285" s="23"/>
      <c r="R285" s="25"/>
      <c r="S285" s="25"/>
      <c r="T285" s="25"/>
      <c r="U285" s="25"/>
      <c r="V285" s="25"/>
      <c r="W285" s="23" t="s">
        <v>280</v>
      </c>
      <c r="X285" s="4" t="str">
        <f>IF(Tabela2[[#This Row],[SIGLA]]="","",VLOOKUP(Tabela2[[#This Row],[SIGLA]],créditos_base!B:C,2,0))</f>
        <v>HELOÍSA PINTARELLI/ARQUIVO DA EDITORA</v>
      </c>
      <c r="Y285" s="24"/>
      <c r="Z285" s="24" t="str">
        <f>Tabela2[[#This Row],[ILUSTRADOR CRIAÇÃO]]</f>
        <v>HELOÍSA PINTARELLI/ARQUIVO DA EDITORA</v>
      </c>
      <c r="AA285" s="23"/>
      <c r="AB285" s="22"/>
      <c r="AC285" s="22"/>
      <c r="AD285" s="4" t="str">
        <f t="shared" si="4"/>
        <v>EF1 E001 HGC</v>
      </c>
    </row>
    <row r="286" spans="1:30" s="14" customFormat="1" ht="30" x14ac:dyDescent="0.25">
      <c r="A286" s="24" t="s">
        <v>641</v>
      </c>
      <c r="B286" s="22" t="s">
        <v>67</v>
      </c>
      <c r="C286" s="22" t="s">
        <v>32</v>
      </c>
      <c r="D286" s="22" t="s">
        <v>33</v>
      </c>
      <c r="E286" s="23">
        <v>103</v>
      </c>
      <c r="F286" s="23">
        <v>1</v>
      </c>
      <c r="G286" s="23">
        <v>2</v>
      </c>
      <c r="H286" s="23"/>
      <c r="I286" s="24" t="s">
        <v>34</v>
      </c>
      <c r="J286" s="24"/>
      <c r="K286" s="23"/>
      <c r="L286" s="23"/>
      <c r="M286" s="24"/>
      <c r="N286" s="24"/>
      <c r="O286" s="26" t="s">
        <v>642</v>
      </c>
      <c r="P286" s="26"/>
      <c r="Q286" s="23"/>
      <c r="R286" s="25"/>
      <c r="S286" s="25"/>
      <c r="T286" s="25"/>
      <c r="U286" s="25"/>
      <c r="V286" s="25"/>
      <c r="W286" s="23" t="s">
        <v>280</v>
      </c>
      <c r="X286" s="4" t="str">
        <f>IF(Tabela2[[#This Row],[SIGLA]]="","",VLOOKUP(Tabela2[[#This Row],[SIGLA]],créditos_base!B:C,2,0))</f>
        <v>HELOÍSA PINTARELLI/ARQUIVO DA EDITORA</v>
      </c>
      <c r="Y286" s="24"/>
      <c r="Z286" s="24" t="str">
        <f>Tabela2[[#This Row],[ILUSTRADOR CRIAÇÃO]]</f>
        <v>HELOÍSA PINTARELLI/ARQUIVO DA EDITORA</v>
      </c>
      <c r="AA286" s="23"/>
      <c r="AB286" s="22"/>
      <c r="AC286" s="22"/>
      <c r="AD286" s="4" t="str">
        <f t="shared" si="4"/>
        <v>EF1 E001 HGC</v>
      </c>
    </row>
    <row r="287" spans="1:30" s="14" customFormat="1" ht="30" x14ac:dyDescent="0.25">
      <c r="A287" s="24" t="s">
        <v>643</v>
      </c>
      <c r="B287" s="22" t="s">
        <v>67</v>
      </c>
      <c r="C287" s="22" t="s">
        <v>32</v>
      </c>
      <c r="D287" s="22" t="s">
        <v>33</v>
      </c>
      <c r="E287" s="23">
        <v>103</v>
      </c>
      <c r="F287" s="23">
        <v>1</v>
      </c>
      <c r="G287" s="23">
        <v>2</v>
      </c>
      <c r="H287" s="23"/>
      <c r="I287" s="24" t="s">
        <v>34</v>
      </c>
      <c r="J287" s="24"/>
      <c r="K287" s="23"/>
      <c r="L287" s="23"/>
      <c r="M287" s="24"/>
      <c r="N287" s="24"/>
      <c r="O287" s="26" t="s">
        <v>644</v>
      </c>
      <c r="P287" s="26"/>
      <c r="Q287" s="23"/>
      <c r="R287" s="25"/>
      <c r="S287" s="25"/>
      <c r="T287" s="25"/>
      <c r="U287" s="25"/>
      <c r="V287" s="25"/>
      <c r="W287" s="23" t="s">
        <v>59</v>
      </c>
      <c r="X287" s="4" t="str">
        <f>IF(Tabela2[[#This Row],[SIGLA]]="","",VLOOKUP(Tabela2[[#This Row],[SIGLA]],créditos_base!B:C,2,0))</f>
        <v>DANILO SANTOS/ARQUIVO DA EDITORA</v>
      </c>
      <c r="Y287" s="24"/>
      <c r="Z287" s="24" t="str">
        <f>Tabela2[[#This Row],[ILUSTRADOR CRIAÇÃO]]</f>
        <v>DANILO SANTOS/ARQUIVO DA EDITORA</v>
      </c>
      <c r="AA287" s="23"/>
      <c r="AB287" s="22"/>
      <c r="AC287" s="22"/>
      <c r="AD287" s="4" t="str">
        <f t="shared" si="4"/>
        <v>EF1 E001 HGC</v>
      </c>
    </row>
    <row r="288" spans="1:30" s="14" customFormat="1" ht="30" x14ac:dyDescent="0.25">
      <c r="A288" s="24" t="s">
        <v>645</v>
      </c>
      <c r="B288" s="22" t="s">
        <v>67</v>
      </c>
      <c r="C288" s="22" t="s">
        <v>32</v>
      </c>
      <c r="D288" s="22" t="s">
        <v>33</v>
      </c>
      <c r="E288" s="23">
        <v>103</v>
      </c>
      <c r="F288" s="23">
        <v>1</v>
      </c>
      <c r="G288" s="23">
        <v>2</v>
      </c>
      <c r="H288" s="23"/>
      <c r="I288" s="24" t="s">
        <v>34</v>
      </c>
      <c r="J288" s="24"/>
      <c r="K288" s="23"/>
      <c r="L288" s="23"/>
      <c r="M288" s="24"/>
      <c r="N288" s="24"/>
      <c r="O288" s="26" t="s">
        <v>644</v>
      </c>
      <c r="P288" s="26"/>
      <c r="Q288" s="23"/>
      <c r="R288" s="25"/>
      <c r="S288" s="25"/>
      <c r="T288" s="25"/>
      <c r="U288" s="25"/>
      <c r="V288" s="25"/>
      <c r="W288" s="23" t="s">
        <v>59</v>
      </c>
      <c r="X288" s="4" t="str">
        <f>IF(Tabela2[[#This Row],[SIGLA]]="","",VLOOKUP(Tabela2[[#This Row],[SIGLA]],créditos_base!B:C,2,0))</f>
        <v>DANILO SANTOS/ARQUIVO DA EDITORA</v>
      </c>
      <c r="Y288" s="24"/>
      <c r="Z288" s="24" t="str">
        <f>Tabela2[[#This Row],[ILUSTRADOR CRIAÇÃO]]</f>
        <v>DANILO SANTOS/ARQUIVO DA EDITORA</v>
      </c>
      <c r="AA288" s="23"/>
      <c r="AB288" s="22"/>
      <c r="AC288" s="22"/>
      <c r="AD288" s="4" t="str">
        <f t="shared" si="4"/>
        <v>EF1 E001 HGC</v>
      </c>
    </row>
    <row r="289" spans="1:30" s="14" customFormat="1" ht="30" x14ac:dyDescent="0.25">
      <c r="A289" s="24" t="s">
        <v>646</v>
      </c>
      <c r="B289" s="22" t="s">
        <v>67</v>
      </c>
      <c r="C289" s="22" t="s">
        <v>32</v>
      </c>
      <c r="D289" s="22" t="s">
        <v>33</v>
      </c>
      <c r="E289" s="23">
        <v>103</v>
      </c>
      <c r="F289" s="23">
        <v>1</v>
      </c>
      <c r="G289" s="23">
        <v>2</v>
      </c>
      <c r="H289" s="23"/>
      <c r="I289" s="24" t="s">
        <v>34</v>
      </c>
      <c r="J289" s="24"/>
      <c r="K289" s="23"/>
      <c r="L289" s="23"/>
      <c r="M289" s="24"/>
      <c r="N289" s="24"/>
      <c r="O289" s="26" t="s">
        <v>647</v>
      </c>
      <c r="P289" s="26"/>
      <c r="Q289" s="23"/>
      <c r="R289" s="25"/>
      <c r="S289" s="25"/>
      <c r="T289" s="25"/>
      <c r="U289" s="25"/>
      <c r="V289" s="25"/>
      <c r="W289" s="23" t="s">
        <v>59</v>
      </c>
      <c r="X289" s="4" t="str">
        <f>IF(Tabela2[[#This Row],[SIGLA]]="","",VLOOKUP(Tabela2[[#This Row],[SIGLA]],créditos_base!B:C,2,0))</f>
        <v>DANILO SANTOS/ARQUIVO DA EDITORA</v>
      </c>
      <c r="Y289" s="24"/>
      <c r="Z289" s="24" t="str">
        <f>Tabela2[[#This Row],[ILUSTRADOR CRIAÇÃO]]</f>
        <v>DANILO SANTOS/ARQUIVO DA EDITORA</v>
      </c>
      <c r="AA289" s="23"/>
      <c r="AB289" s="22"/>
      <c r="AC289" s="22"/>
      <c r="AD289" s="4" t="str">
        <f t="shared" si="4"/>
        <v>EF1 E001 HGC</v>
      </c>
    </row>
    <row r="290" spans="1:30" s="14" customFormat="1" ht="30" x14ac:dyDescent="0.25">
      <c r="A290" s="24" t="s">
        <v>648</v>
      </c>
      <c r="B290" s="22" t="s">
        <v>67</v>
      </c>
      <c r="C290" s="22" t="s">
        <v>32</v>
      </c>
      <c r="D290" s="22" t="s">
        <v>33</v>
      </c>
      <c r="E290" s="23">
        <v>103</v>
      </c>
      <c r="F290" s="23">
        <v>1</v>
      </c>
      <c r="G290" s="23">
        <v>2</v>
      </c>
      <c r="H290" s="23"/>
      <c r="I290" s="24" t="s">
        <v>34</v>
      </c>
      <c r="J290" s="24"/>
      <c r="K290" s="23"/>
      <c r="L290" s="23"/>
      <c r="M290" s="24"/>
      <c r="N290" s="24"/>
      <c r="O290" s="26" t="s">
        <v>649</v>
      </c>
      <c r="P290" s="26"/>
      <c r="Q290" s="23"/>
      <c r="R290" s="25"/>
      <c r="S290" s="25"/>
      <c r="T290" s="25"/>
      <c r="U290" s="25"/>
      <c r="V290" s="25"/>
      <c r="W290" s="23" t="s">
        <v>59</v>
      </c>
      <c r="X290" s="4" t="str">
        <f>IF(Tabela2[[#This Row],[SIGLA]]="","",VLOOKUP(Tabela2[[#This Row],[SIGLA]],créditos_base!B:C,2,0))</f>
        <v>DANILO SANTOS/ARQUIVO DA EDITORA</v>
      </c>
      <c r="Y290" s="24"/>
      <c r="Z290" s="24" t="str">
        <f>Tabela2[[#This Row],[ILUSTRADOR CRIAÇÃO]]</f>
        <v>DANILO SANTOS/ARQUIVO DA EDITORA</v>
      </c>
      <c r="AA290" s="23"/>
      <c r="AB290" s="22"/>
      <c r="AC290" s="22"/>
      <c r="AD290" s="4" t="str">
        <f t="shared" si="4"/>
        <v>EF1 E001 HGC</v>
      </c>
    </row>
    <row r="291" spans="1:30" s="14" customFormat="1" ht="30" x14ac:dyDescent="0.25">
      <c r="A291" s="24" t="s">
        <v>650</v>
      </c>
      <c r="B291" s="22" t="s">
        <v>67</v>
      </c>
      <c r="C291" s="22" t="s">
        <v>32</v>
      </c>
      <c r="D291" s="22" t="s">
        <v>33</v>
      </c>
      <c r="E291" s="23">
        <v>103</v>
      </c>
      <c r="F291" s="23">
        <v>1</v>
      </c>
      <c r="G291" s="23">
        <v>2</v>
      </c>
      <c r="H291" s="23"/>
      <c r="I291" s="24" t="s">
        <v>34</v>
      </c>
      <c r="J291" s="24"/>
      <c r="K291" s="23"/>
      <c r="L291" s="23"/>
      <c r="M291" s="24"/>
      <c r="N291" s="24"/>
      <c r="O291" s="26" t="s">
        <v>651</v>
      </c>
      <c r="P291" s="26"/>
      <c r="Q291" s="23"/>
      <c r="R291" s="25"/>
      <c r="S291" s="25"/>
      <c r="T291" s="25"/>
      <c r="U291" s="25"/>
      <c r="V291" s="25"/>
      <c r="W291" s="23" t="s">
        <v>59</v>
      </c>
      <c r="X291" s="4" t="str">
        <f>IF(Tabela2[[#This Row],[SIGLA]]="","",VLOOKUP(Tabela2[[#This Row],[SIGLA]],créditos_base!B:C,2,0))</f>
        <v>DANILO SANTOS/ARQUIVO DA EDITORA</v>
      </c>
      <c r="Y291" s="24"/>
      <c r="Z291" s="24" t="str">
        <f>Tabela2[[#This Row],[ILUSTRADOR CRIAÇÃO]]</f>
        <v>DANILO SANTOS/ARQUIVO DA EDITORA</v>
      </c>
      <c r="AA291" s="23"/>
      <c r="AB291" s="22"/>
      <c r="AC291" s="22"/>
      <c r="AD291" s="4" t="str">
        <f t="shared" si="4"/>
        <v>EF1 E001 HGC</v>
      </c>
    </row>
    <row r="292" spans="1:30" s="14" customFormat="1" ht="30" x14ac:dyDescent="0.25">
      <c r="A292" s="24" t="s">
        <v>652</v>
      </c>
      <c r="B292" s="22" t="s">
        <v>67</v>
      </c>
      <c r="C292" s="22" t="s">
        <v>32</v>
      </c>
      <c r="D292" s="22" t="s">
        <v>33</v>
      </c>
      <c r="E292" s="23">
        <v>103</v>
      </c>
      <c r="F292" s="23">
        <v>1</v>
      </c>
      <c r="G292" s="23">
        <v>2</v>
      </c>
      <c r="H292" s="23"/>
      <c r="I292" s="24" t="s">
        <v>34</v>
      </c>
      <c r="J292" s="24"/>
      <c r="K292" s="23"/>
      <c r="L292" s="23"/>
      <c r="M292" s="24"/>
      <c r="N292" s="24"/>
      <c r="O292" s="26" t="s">
        <v>653</v>
      </c>
      <c r="P292" s="26"/>
      <c r="Q292" s="23"/>
      <c r="R292" s="25"/>
      <c r="S292" s="25"/>
      <c r="T292" s="25"/>
      <c r="U292" s="25"/>
      <c r="V292" s="25"/>
      <c r="W292" s="23" t="s">
        <v>59</v>
      </c>
      <c r="X292" s="4" t="str">
        <f>IF(Tabela2[[#This Row],[SIGLA]]="","",VLOOKUP(Tabela2[[#This Row],[SIGLA]],créditos_base!B:C,2,0))</f>
        <v>DANILO SANTOS/ARQUIVO DA EDITORA</v>
      </c>
      <c r="Y292" s="24"/>
      <c r="Z292" s="24" t="str">
        <f>Tabela2[[#This Row],[ILUSTRADOR CRIAÇÃO]]</f>
        <v>DANILO SANTOS/ARQUIVO DA EDITORA</v>
      </c>
      <c r="AA292" s="23"/>
      <c r="AB292" s="22"/>
      <c r="AC292" s="22"/>
      <c r="AD292" s="4" t="str">
        <f t="shared" si="4"/>
        <v>EF1 E001 HGC</v>
      </c>
    </row>
    <row r="293" spans="1:30" s="14" customFormat="1" ht="30" x14ac:dyDescent="0.25">
      <c r="A293" s="24" t="s">
        <v>654</v>
      </c>
      <c r="B293" s="22" t="s">
        <v>67</v>
      </c>
      <c r="C293" s="22" t="s">
        <v>32</v>
      </c>
      <c r="D293" s="22" t="s">
        <v>33</v>
      </c>
      <c r="E293" s="23">
        <v>106</v>
      </c>
      <c r="F293" s="23">
        <v>1</v>
      </c>
      <c r="G293" s="23">
        <v>2</v>
      </c>
      <c r="H293" s="23"/>
      <c r="I293" s="24" t="s">
        <v>34</v>
      </c>
      <c r="J293" s="24"/>
      <c r="K293" s="23"/>
      <c r="L293" s="23"/>
      <c r="M293" s="24"/>
      <c r="N293" s="24"/>
      <c r="O293" s="26" t="s">
        <v>655</v>
      </c>
      <c r="P293" s="26"/>
      <c r="Q293" s="23"/>
      <c r="R293" s="25"/>
      <c r="S293" s="25"/>
      <c r="T293" s="25"/>
      <c r="U293" s="25"/>
      <c r="V293" s="25"/>
      <c r="W293" s="23" t="s">
        <v>40</v>
      </c>
      <c r="X293" s="4" t="str">
        <f>IF(Tabela2[[#This Row],[SIGLA]]="","",VLOOKUP(Tabela2[[#This Row],[SIGLA]],créditos_base!B:C,2,0))</f>
        <v>LISLLEY GOMES FEIGE/ARQUIVO DA EDITORA</v>
      </c>
      <c r="Y293" s="24"/>
      <c r="Z293" s="24" t="str">
        <f>Tabela2[[#This Row],[ILUSTRADOR CRIAÇÃO]]</f>
        <v>LISLLEY GOMES FEIGE/ARQUIVO DA EDITORA</v>
      </c>
      <c r="AA293" s="23"/>
      <c r="AB293" s="22"/>
      <c r="AC293" s="22"/>
      <c r="AD293" s="4" t="str">
        <f t="shared" si="4"/>
        <v>EF1 E001 HGC</v>
      </c>
    </row>
    <row r="294" spans="1:30" s="14" customFormat="1" ht="30" x14ac:dyDescent="0.25">
      <c r="A294" s="24" t="s">
        <v>656</v>
      </c>
      <c r="B294" s="22" t="s">
        <v>67</v>
      </c>
      <c r="C294" s="22" t="s">
        <v>32</v>
      </c>
      <c r="D294" s="22" t="s">
        <v>33</v>
      </c>
      <c r="E294" s="23">
        <v>106</v>
      </c>
      <c r="F294" s="23">
        <v>1</v>
      </c>
      <c r="G294" s="23">
        <v>2</v>
      </c>
      <c r="H294" s="23"/>
      <c r="I294" s="24" t="s">
        <v>34</v>
      </c>
      <c r="J294" s="24"/>
      <c r="K294" s="23"/>
      <c r="L294" s="23"/>
      <c r="M294" s="24"/>
      <c r="N294" s="24"/>
      <c r="O294" s="26" t="s">
        <v>657</v>
      </c>
      <c r="P294" s="26"/>
      <c r="Q294" s="23"/>
      <c r="R294" s="25"/>
      <c r="S294" s="25"/>
      <c r="T294" s="25"/>
      <c r="U294" s="25"/>
      <c r="V294" s="25"/>
      <c r="W294" s="23" t="s">
        <v>40</v>
      </c>
      <c r="X294" s="4" t="str">
        <f>IF(Tabela2[[#This Row],[SIGLA]]="","",VLOOKUP(Tabela2[[#This Row],[SIGLA]],créditos_base!B:C,2,0))</f>
        <v>LISLLEY GOMES FEIGE/ARQUIVO DA EDITORA</v>
      </c>
      <c r="Y294" s="24"/>
      <c r="Z294" s="24" t="str">
        <f>Tabela2[[#This Row],[ILUSTRADOR CRIAÇÃO]]</f>
        <v>LISLLEY GOMES FEIGE/ARQUIVO DA EDITORA</v>
      </c>
      <c r="AA294" s="23"/>
      <c r="AB294" s="22"/>
      <c r="AC294" s="22"/>
      <c r="AD294" s="4" t="str">
        <f t="shared" si="4"/>
        <v>EF1 E001 HGC</v>
      </c>
    </row>
    <row r="295" spans="1:30" s="14" customFormat="1" ht="30" x14ac:dyDescent="0.25">
      <c r="A295" s="24" t="s">
        <v>658</v>
      </c>
      <c r="B295" s="22" t="s">
        <v>67</v>
      </c>
      <c r="C295" s="22" t="s">
        <v>32</v>
      </c>
      <c r="D295" s="22" t="s">
        <v>33</v>
      </c>
      <c r="E295" s="23">
        <v>106</v>
      </c>
      <c r="F295" s="23">
        <v>1</v>
      </c>
      <c r="G295" s="23">
        <v>2</v>
      </c>
      <c r="H295" s="23"/>
      <c r="I295" s="24" t="s">
        <v>34</v>
      </c>
      <c r="J295" s="24"/>
      <c r="K295" s="23"/>
      <c r="L295" s="23"/>
      <c r="M295" s="24"/>
      <c r="N295" s="24"/>
      <c r="O295" s="26" t="s">
        <v>659</v>
      </c>
      <c r="P295" s="26"/>
      <c r="Q295" s="23"/>
      <c r="R295" s="25"/>
      <c r="S295" s="25"/>
      <c r="T295" s="25"/>
      <c r="U295" s="25"/>
      <c r="V295" s="25"/>
      <c r="W295" s="23" t="s">
        <v>40</v>
      </c>
      <c r="X295" s="4" t="str">
        <f>IF(Tabela2[[#This Row],[SIGLA]]="","",VLOOKUP(Tabela2[[#This Row],[SIGLA]],créditos_base!B:C,2,0))</f>
        <v>LISLLEY GOMES FEIGE/ARQUIVO DA EDITORA</v>
      </c>
      <c r="Y295" s="24"/>
      <c r="Z295" s="24" t="str">
        <f>Tabela2[[#This Row],[ILUSTRADOR CRIAÇÃO]]</f>
        <v>LISLLEY GOMES FEIGE/ARQUIVO DA EDITORA</v>
      </c>
      <c r="AA295" s="23"/>
      <c r="AB295" s="22"/>
      <c r="AC295" s="22"/>
      <c r="AD295" s="4" t="str">
        <f t="shared" si="4"/>
        <v>EF1 E001 HGC</v>
      </c>
    </row>
    <row r="296" spans="1:30" s="14" customFormat="1" ht="30" x14ac:dyDescent="0.25">
      <c r="A296" s="24" t="s">
        <v>660</v>
      </c>
      <c r="B296" s="22" t="s">
        <v>67</v>
      </c>
      <c r="C296" s="22" t="s">
        <v>32</v>
      </c>
      <c r="D296" s="22" t="s">
        <v>33</v>
      </c>
      <c r="E296" s="23">
        <v>106</v>
      </c>
      <c r="F296" s="23">
        <v>1</v>
      </c>
      <c r="G296" s="23">
        <v>2</v>
      </c>
      <c r="H296" s="23"/>
      <c r="I296" s="24" t="s">
        <v>34</v>
      </c>
      <c r="J296" s="24"/>
      <c r="K296" s="23"/>
      <c r="L296" s="23"/>
      <c r="M296" s="24"/>
      <c r="N296" s="24"/>
      <c r="O296" s="26" t="s">
        <v>661</v>
      </c>
      <c r="P296" s="26"/>
      <c r="Q296" s="23"/>
      <c r="R296" s="25"/>
      <c r="S296" s="25"/>
      <c r="T296" s="25"/>
      <c r="U296" s="25"/>
      <c r="V296" s="25"/>
      <c r="W296" s="23" t="s">
        <v>40</v>
      </c>
      <c r="X296" s="4" t="str">
        <f>IF(Tabela2[[#This Row],[SIGLA]]="","",VLOOKUP(Tabela2[[#This Row],[SIGLA]],créditos_base!B:C,2,0))</f>
        <v>LISLLEY GOMES FEIGE/ARQUIVO DA EDITORA</v>
      </c>
      <c r="Y296" s="24"/>
      <c r="Z296" s="24" t="str">
        <f>Tabela2[[#This Row],[ILUSTRADOR CRIAÇÃO]]</f>
        <v>LISLLEY GOMES FEIGE/ARQUIVO DA EDITORA</v>
      </c>
      <c r="AA296" s="23"/>
      <c r="AB296" s="22"/>
      <c r="AC296" s="22"/>
      <c r="AD296" s="4" t="str">
        <f t="shared" si="4"/>
        <v>EF1 E001 HGC</v>
      </c>
    </row>
    <row r="297" spans="1:30" s="14" customFormat="1" ht="30" x14ac:dyDescent="0.25">
      <c r="A297" s="24" t="s">
        <v>662</v>
      </c>
      <c r="B297" s="22" t="s">
        <v>67</v>
      </c>
      <c r="C297" s="22" t="s">
        <v>32</v>
      </c>
      <c r="D297" s="22" t="s">
        <v>33</v>
      </c>
      <c r="E297" s="23">
        <v>107</v>
      </c>
      <c r="F297" s="23">
        <v>1</v>
      </c>
      <c r="G297" s="23">
        <v>2</v>
      </c>
      <c r="H297" s="23"/>
      <c r="I297" s="24" t="s">
        <v>34</v>
      </c>
      <c r="J297" s="24"/>
      <c r="K297" s="23"/>
      <c r="L297" s="23"/>
      <c r="M297" s="24"/>
      <c r="N297" s="24"/>
      <c r="O297" s="26" t="s">
        <v>663</v>
      </c>
      <c r="P297" s="26"/>
      <c r="Q297" s="23"/>
      <c r="R297" s="25"/>
      <c r="S297" s="25"/>
      <c r="T297" s="25"/>
      <c r="U297" s="25"/>
      <c r="V297" s="25"/>
      <c r="W297" s="23" t="s">
        <v>48</v>
      </c>
      <c r="X297" s="4" t="str">
        <f>IF(Tabela2[[#This Row],[SIGLA]]="","",VLOOKUP(Tabela2[[#This Row],[SIGLA]],créditos_base!B:C,2,0))</f>
        <v>MÁRCIO GUERRA/ARQUIVO DA EDITORA</v>
      </c>
      <c r="Y297" s="24"/>
      <c r="Z297" s="24" t="str">
        <f>Tabela2[[#This Row],[ILUSTRADOR CRIAÇÃO]]</f>
        <v>MÁRCIO GUERRA/ARQUIVO DA EDITORA</v>
      </c>
      <c r="AA297" s="23"/>
      <c r="AB297" s="22"/>
      <c r="AC297" s="22"/>
      <c r="AD297" s="4" t="str">
        <f t="shared" si="4"/>
        <v>EF1 E001 HGC</v>
      </c>
    </row>
    <row r="298" spans="1:30" s="14" customFormat="1" ht="30" x14ac:dyDescent="0.25">
      <c r="A298" s="24" t="s">
        <v>664</v>
      </c>
      <c r="B298" s="22" t="s">
        <v>67</v>
      </c>
      <c r="C298" s="22" t="s">
        <v>32</v>
      </c>
      <c r="D298" s="22" t="s">
        <v>33</v>
      </c>
      <c r="E298" s="23">
        <v>113</v>
      </c>
      <c r="F298" s="23">
        <v>1</v>
      </c>
      <c r="G298" s="23">
        <v>2</v>
      </c>
      <c r="H298" s="23"/>
      <c r="I298" s="24" t="s">
        <v>34</v>
      </c>
      <c r="J298" s="24"/>
      <c r="K298" s="23"/>
      <c r="L298" s="23"/>
      <c r="M298" s="24"/>
      <c r="N298" s="24"/>
      <c r="O298" s="26" t="s">
        <v>665</v>
      </c>
      <c r="P298" s="26"/>
      <c r="Q298" s="23"/>
      <c r="R298" s="25"/>
      <c r="S298" s="25"/>
      <c r="T298" s="25"/>
      <c r="U298" s="25"/>
      <c r="V298" s="25"/>
      <c r="W298" s="23" t="s">
        <v>59</v>
      </c>
      <c r="X298" s="4" t="str">
        <f>IF(Tabela2[[#This Row],[SIGLA]]="","",VLOOKUP(Tabela2[[#This Row],[SIGLA]],créditos_base!B:C,2,0))</f>
        <v>DANILO SANTOS/ARQUIVO DA EDITORA</v>
      </c>
      <c r="Y298" s="24"/>
      <c r="Z298" s="24" t="str">
        <f>Tabela2[[#This Row],[ILUSTRADOR CRIAÇÃO]]</f>
        <v>DANILO SANTOS/ARQUIVO DA EDITORA</v>
      </c>
      <c r="AA298" s="23"/>
      <c r="AB298" s="22"/>
      <c r="AC298" s="22"/>
      <c r="AD298" s="4" t="str">
        <f t="shared" si="4"/>
        <v>EF1 E001 HGC</v>
      </c>
    </row>
    <row r="299" spans="1:30" s="14" customFormat="1" ht="60" x14ac:dyDescent="0.25">
      <c r="A299" s="24" t="s">
        <v>666</v>
      </c>
      <c r="B299" s="22" t="s">
        <v>67</v>
      </c>
      <c r="C299" s="22" t="s">
        <v>32</v>
      </c>
      <c r="D299" s="22" t="s">
        <v>33</v>
      </c>
      <c r="E299" s="23">
        <v>114</v>
      </c>
      <c r="F299" s="23">
        <v>1</v>
      </c>
      <c r="G299" s="23">
        <v>2</v>
      </c>
      <c r="H299" s="23"/>
      <c r="I299" s="24" t="s">
        <v>34</v>
      </c>
      <c r="J299" s="24"/>
      <c r="K299" s="23"/>
      <c r="L299" s="23"/>
      <c r="M299" s="24"/>
      <c r="N299" s="24"/>
      <c r="O299" s="26" t="s">
        <v>667</v>
      </c>
      <c r="P299" s="26"/>
      <c r="Q299" s="23"/>
      <c r="R299" s="25"/>
      <c r="S299" s="25"/>
      <c r="T299" s="25"/>
      <c r="U299" s="25"/>
      <c r="V299" s="25"/>
      <c r="W299" s="23" t="s">
        <v>226</v>
      </c>
      <c r="X299" s="4" t="str">
        <f>IF(Tabela2[[#This Row],[SIGLA]]="","",VLOOKUP(Tabela2[[#This Row],[SIGLA]],créditos_base!B:C,2,0))</f>
        <v>VERIDIANA SCARPELLI/ARQUIVO DA EDITORA</v>
      </c>
      <c r="Y299" s="24"/>
      <c r="Z299" s="24" t="str">
        <f>Tabela2[[#This Row],[ILUSTRADOR CRIAÇÃO]]</f>
        <v>VERIDIANA SCARPELLI/ARQUIVO DA EDITORA</v>
      </c>
      <c r="AA299" s="23"/>
      <c r="AB299" s="22"/>
      <c r="AC299" s="22"/>
      <c r="AD299" s="4" t="str">
        <f t="shared" si="4"/>
        <v>EF1 E001 HGC</v>
      </c>
    </row>
    <row r="300" spans="1:30" s="14" customFormat="1" ht="30" x14ac:dyDescent="0.25">
      <c r="A300" s="24" t="s">
        <v>668</v>
      </c>
      <c r="B300" s="22" t="s">
        <v>83</v>
      </c>
      <c r="C300" s="22" t="s">
        <v>32</v>
      </c>
      <c r="D300" s="22" t="s">
        <v>33</v>
      </c>
      <c r="E300" s="23"/>
      <c r="F300" s="23">
        <v>2</v>
      </c>
      <c r="G300" s="23">
        <v>1</v>
      </c>
      <c r="H300" s="23"/>
      <c r="I300" s="24" t="s">
        <v>34</v>
      </c>
      <c r="J300" s="24"/>
      <c r="K300" s="23"/>
      <c r="L300" s="23"/>
      <c r="M300" s="24"/>
      <c r="N300" s="24"/>
      <c r="O300" s="26" t="s">
        <v>669</v>
      </c>
      <c r="P300" s="26"/>
      <c r="Q300" s="23"/>
      <c r="R300" s="25"/>
      <c r="S300" s="25"/>
      <c r="T300" s="25"/>
      <c r="U300" s="25"/>
      <c r="V300" s="25"/>
      <c r="W300" s="23" t="s">
        <v>405</v>
      </c>
      <c r="X300" s="4" t="str">
        <f>IF(Tabela2[[#This Row],[SIGLA]]="","",VLOOKUP(Tabela2[[#This Row],[SIGLA]],créditos_base!B:C,2,0))</f>
        <v>THIAGO LOPES/ARQUIVO DA EDITORA</v>
      </c>
      <c r="Y300" s="24"/>
      <c r="Z300" s="24" t="str">
        <f>Tabela2[[#This Row],[ILUSTRADOR CRIAÇÃO]]</f>
        <v>THIAGO LOPES/ARQUIVO DA EDITORA</v>
      </c>
      <c r="AA300" s="23"/>
      <c r="AB300" s="22"/>
      <c r="AC300" s="22"/>
      <c r="AD300" s="4" t="str">
        <f t="shared" si="4"/>
        <v>EF1 E001 HGC</v>
      </c>
    </row>
    <row r="301" spans="1:30" s="14" customFormat="1" ht="30" x14ac:dyDescent="0.25">
      <c r="A301" s="24" t="s">
        <v>670</v>
      </c>
      <c r="B301" s="22" t="s">
        <v>83</v>
      </c>
      <c r="C301" s="22" t="s">
        <v>32</v>
      </c>
      <c r="D301" s="22" t="s">
        <v>33</v>
      </c>
      <c r="E301" s="23"/>
      <c r="F301" s="23">
        <v>2</v>
      </c>
      <c r="G301" s="23">
        <v>1</v>
      </c>
      <c r="H301" s="23"/>
      <c r="I301" s="24" t="s">
        <v>34</v>
      </c>
      <c r="J301" s="24"/>
      <c r="K301" s="23"/>
      <c r="L301" s="23"/>
      <c r="M301" s="24"/>
      <c r="N301" s="24"/>
      <c r="O301" s="26" t="s">
        <v>671</v>
      </c>
      <c r="P301" s="26"/>
      <c r="Q301" s="23"/>
      <c r="R301" s="25"/>
      <c r="S301" s="25"/>
      <c r="T301" s="25"/>
      <c r="U301" s="25"/>
      <c r="V301" s="25"/>
      <c r="W301" s="23" t="s">
        <v>405</v>
      </c>
      <c r="X301" s="4" t="str">
        <f>IF(Tabela2[[#This Row],[SIGLA]]="","",VLOOKUP(Tabela2[[#This Row],[SIGLA]],créditos_base!B:C,2,0))</f>
        <v>THIAGO LOPES/ARQUIVO DA EDITORA</v>
      </c>
      <c r="Y301" s="24"/>
      <c r="Z301" s="24" t="str">
        <f>Tabela2[[#This Row],[ILUSTRADOR CRIAÇÃO]]</f>
        <v>THIAGO LOPES/ARQUIVO DA EDITORA</v>
      </c>
      <c r="AA301" s="23"/>
      <c r="AB301" s="22"/>
      <c r="AC301" s="22"/>
      <c r="AD301" s="4" t="str">
        <f t="shared" si="4"/>
        <v>EF1 E001 HGC</v>
      </c>
    </row>
    <row r="302" spans="1:30" s="14" customFormat="1" ht="60" x14ac:dyDescent="0.25">
      <c r="A302" s="24" t="s">
        <v>672</v>
      </c>
      <c r="B302" s="22" t="s">
        <v>31</v>
      </c>
      <c r="C302" s="22" t="s">
        <v>32</v>
      </c>
      <c r="D302" s="22" t="s">
        <v>33</v>
      </c>
      <c r="E302" s="23">
        <v>80</v>
      </c>
      <c r="F302" s="23">
        <v>2</v>
      </c>
      <c r="G302" s="23">
        <v>2</v>
      </c>
      <c r="H302" s="23"/>
      <c r="I302" s="24" t="s">
        <v>38</v>
      </c>
      <c r="J302" s="24"/>
      <c r="K302" s="23"/>
      <c r="L302" s="23"/>
      <c r="M302" s="24"/>
      <c r="N302" s="24"/>
      <c r="O302" s="26" t="s">
        <v>673</v>
      </c>
      <c r="P302" s="26"/>
      <c r="Q302" s="23">
        <v>1</v>
      </c>
      <c r="R302" s="25">
        <v>45790</v>
      </c>
      <c r="S302" s="25">
        <v>45792</v>
      </c>
      <c r="T302" s="25"/>
      <c r="U302" s="25"/>
      <c r="V302" s="25">
        <v>45793</v>
      </c>
      <c r="W302" s="23" t="s">
        <v>169</v>
      </c>
      <c r="X302" s="4" t="str">
        <f>IF(Tabela2[[#This Row],[SIGLA]]="","",VLOOKUP(Tabela2[[#This Row],[SIGLA]],créditos_base!B:C,2,0))</f>
        <v>GUSTAVO RAMOS/ARQUIVO DA EDITORA</v>
      </c>
      <c r="Y302" s="24" t="s">
        <v>583</v>
      </c>
      <c r="Z302" s="24" t="str">
        <f>Tabela2[[#This Row],[ILUSTRADOR CRIAÇÃO]]</f>
        <v>GUSTAVO RAMOS/ARQUIVO DA EDITORA</v>
      </c>
      <c r="AA302" s="23"/>
      <c r="AB302" s="22"/>
      <c r="AC302" s="22" t="s">
        <v>43</v>
      </c>
      <c r="AD302" s="4" t="str">
        <f t="shared" si="4"/>
        <v>EF1 E001 HGC</v>
      </c>
    </row>
    <row r="303" spans="1:30" s="14" customFormat="1" ht="45" x14ac:dyDescent="0.25">
      <c r="A303" s="24" t="s">
        <v>674</v>
      </c>
      <c r="B303" s="22" t="s">
        <v>31</v>
      </c>
      <c r="C303" s="22" t="s">
        <v>32</v>
      </c>
      <c r="D303" s="22" t="s">
        <v>33</v>
      </c>
      <c r="E303" s="23">
        <v>80</v>
      </c>
      <c r="F303" s="23">
        <v>2</v>
      </c>
      <c r="G303" s="23">
        <v>2</v>
      </c>
      <c r="H303" s="23"/>
      <c r="I303" s="24" t="s">
        <v>34</v>
      </c>
      <c r="J303" s="24"/>
      <c r="K303" s="23"/>
      <c r="L303" s="23"/>
      <c r="M303" s="24"/>
      <c r="N303" s="24"/>
      <c r="O303" s="26" t="s">
        <v>675</v>
      </c>
      <c r="P303" s="26"/>
      <c r="Q303" s="23"/>
      <c r="R303" s="25"/>
      <c r="S303" s="25"/>
      <c r="T303" s="25"/>
      <c r="U303" s="25"/>
      <c r="V303" s="25"/>
      <c r="W303" s="23" t="s">
        <v>169</v>
      </c>
      <c r="X303" s="4" t="str">
        <f>IF(Tabela2[[#This Row],[SIGLA]]="","",VLOOKUP(Tabela2[[#This Row],[SIGLA]],créditos_base!B:C,2,0))</f>
        <v>GUSTAVO RAMOS/ARQUIVO DA EDITORA</v>
      </c>
      <c r="Y303" s="24"/>
      <c r="Z303" s="24" t="str">
        <f>Tabela2[[#This Row],[ILUSTRADOR CRIAÇÃO]]</f>
        <v>GUSTAVO RAMOS/ARQUIVO DA EDITORA</v>
      </c>
      <c r="AA303" s="23"/>
      <c r="AB303" s="22"/>
      <c r="AC303" s="22"/>
      <c r="AD303" s="4" t="str">
        <f t="shared" si="4"/>
        <v>EF1 E001 HGC</v>
      </c>
    </row>
    <row r="304" spans="1:30" s="14" customFormat="1" x14ac:dyDescent="0.25">
      <c r="A304" s="24" t="s">
        <v>676</v>
      </c>
      <c r="B304" s="22" t="s">
        <v>31</v>
      </c>
      <c r="C304" s="22" t="s">
        <v>32</v>
      </c>
      <c r="D304" s="22" t="s">
        <v>33</v>
      </c>
      <c r="E304" s="23">
        <v>81</v>
      </c>
      <c r="F304" s="23">
        <v>2</v>
      </c>
      <c r="G304" s="23">
        <v>2</v>
      </c>
      <c r="H304" s="23"/>
      <c r="I304" s="24" t="s">
        <v>34</v>
      </c>
      <c r="J304" s="24"/>
      <c r="K304" s="23"/>
      <c r="L304" s="23"/>
      <c r="M304" s="24"/>
      <c r="N304" s="24"/>
      <c r="O304" s="26" t="s">
        <v>677</v>
      </c>
      <c r="P304" s="26"/>
      <c r="Q304" s="23"/>
      <c r="R304" s="25"/>
      <c r="S304" s="25"/>
      <c r="T304" s="25"/>
      <c r="U304" s="25"/>
      <c r="V304" s="25"/>
      <c r="W304" s="23" t="s">
        <v>169</v>
      </c>
      <c r="X304" s="4" t="str">
        <f>IF(Tabela2[[#This Row],[SIGLA]]="","",VLOOKUP(Tabela2[[#This Row],[SIGLA]],créditos_base!B:C,2,0))</f>
        <v>GUSTAVO RAMOS/ARQUIVO DA EDITORA</v>
      </c>
      <c r="Y304" s="24"/>
      <c r="Z304" s="24" t="str">
        <f>Tabela2[[#This Row],[ILUSTRADOR CRIAÇÃO]]</f>
        <v>GUSTAVO RAMOS/ARQUIVO DA EDITORA</v>
      </c>
      <c r="AA304" s="23"/>
      <c r="AB304" s="22"/>
      <c r="AC304" s="22"/>
      <c r="AD304" s="4" t="str">
        <f t="shared" si="4"/>
        <v>EF1 E001 HGC</v>
      </c>
    </row>
    <row r="305" spans="1:30" s="14" customFormat="1" ht="30" x14ac:dyDescent="0.25">
      <c r="A305" s="24" t="s">
        <v>678</v>
      </c>
      <c r="B305" s="22" t="s">
        <v>31</v>
      </c>
      <c r="C305" s="22" t="s">
        <v>32</v>
      </c>
      <c r="D305" s="22" t="s">
        <v>33</v>
      </c>
      <c r="E305" s="23">
        <v>81</v>
      </c>
      <c r="F305" s="23">
        <v>2</v>
      </c>
      <c r="G305" s="23">
        <v>2</v>
      </c>
      <c r="H305" s="23"/>
      <c r="I305" s="24" t="s">
        <v>34</v>
      </c>
      <c r="J305" s="24"/>
      <c r="K305" s="23"/>
      <c r="L305" s="23"/>
      <c r="M305" s="24"/>
      <c r="N305" s="24"/>
      <c r="O305" s="26" t="s">
        <v>679</v>
      </c>
      <c r="P305" s="26"/>
      <c r="Q305" s="23"/>
      <c r="R305" s="25"/>
      <c r="S305" s="25"/>
      <c r="T305" s="25"/>
      <c r="U305" s="25"/>
      <c r="V305" s="25"/>
      <c r="W305" s="23" t="s">
        <v>169</v>
      </c>
      <c r="X305" s="4" t="str">
        <f>IF(Tabela2[[#This Row],[SIGLA]]="","",VLOOKUP(Tabela2[[#This Row],[SIGLA]],créditos_base!B:C,2,0))</f>
        <v>GUSTAVO RAMOS/ARQUIVO DA EDITORA</v>
      </c>
      <c r="Y305" s="24"/>
      <c r="Z305" s="24" t="str">
        <f>Tabela2[[#This Row],[ILUSTRADOR CRIAÇÃO]]</f>
        <v>GUSTAVO RAMOS/ARQUIVO DA EDITORA</v>
      </c>
      <c r="AA305" s="23"/>
      <c r="AB305" s="22"/>
      <c r="AC305" s="22"/>
      <c r="AD305" s="4" t="str">
        <f t="shared" si="4"/>
        <v>EF1 E001 HGC</v>
      </c>
    </row>
    <row r="306" spans="1:30" s="14" customFormat="1" ht="60" x14ac:dyDescent="0.25">
      <c r="A306" s="24" t="s">
        <v>680</v>
      </c>
      <c r="B306" s="22" t="s">
        <v>31</v>
      </c>
      <c r="C306" s="22" t="s">
        <v>32</v>
      </c>
      <c r="D306" s="22" t="s">
        <v>33</v>
      </c>
      <c r="E306" s="23">
        <v>84</v>
      </c>
      <c r="F306" s="23">
        <v>2</v>
      </c>
      <c r="G306" s="23">
        <v>2</v>
      </c>
      <c r="H306" s="23"/>
      <c r="I306" s="24" t="s">
        <v>38</v>
      </c>
      <c r="J306" s="24"/>
      <c r="K306" s="23"/>
      <c r="L306" s="23"/>
      <c r="M306" s="24"/>
      <c r="N306" s="24"/>
      <c r="O306" s="26" t="s">
        <v>681</v>
      </c>
      <c r="P306" s="26"/>
      <c r="Q306" s="23">
        <v>1</v>
      </c>
      <c r="R306" s="25">
        <v>45790</v>
      </c>
      <c r="S306" s="25">
        <v>45793</v>
      </c>
      <c r="T306" s="25"/>
      <c r="U306" s="25"/>
      <c r="V306" s="25">
        <v>45796</v>
      </c>
      <c r="W306" s="23" t="s">
        <v>169</v>
      </c>
      <c r="X306" s="4" t="str">
        <f>IF(Tabela2[[#This Row],[SIGLA]]="","",VLOOKUP(Tabela2[[#This Row],[SIGLA]],créditos_base!B:C,2,0))</f>
        <v>GUSTAVO RAMOS/ARQUIVO DA EDITORA</v>
      </c>
      <c r="Y306" s="24" t="s">
        <v>583</v>
      </c>
      <c r="Z306" s="24" t="str">
        <f>Tabela2[[#This Row],[ILUSTRADOR CRIAÇÃO]]</f>
        <v>GUSTAVO RAMOS/ARQUIVO DA EDITORA</v>
      </c>
      <c r="AA306" s="23">
        <v>13</v>
      </c>
      <c r="AB306" s="22" t="s">
        <v>578</v>
      </c>
      <c r="AC306" s="22" t="s">
        <v>43</v>
      </c>
      <c r="AD306" s="4" t="str">
        <f t="shared" si="4"/>
        <v>EF1 E001 HGC</v>
      </c>
    </row>
    <row r="307" spans="1:30" s="14" customFormat="1" ht="45" x14ac:dyDescent="0.25">
      <c r="A307" s="24" t="s">
        <v>682</v>
      </c>
      <c r="B307" s="22" t="s">
        <v>31</v>
      </c>
      <c r="C307" s="22" t="s">
        <v>575</v>
      </c>
      <c r="D307" s="22" t="s">
        <v>33</v>
      </c>
      <c r="E307" s="23">
        <v>86</v>
      </c>
      <c r="F307" s="23">
        <v>2</v>
      </c>
      <c r="G307" s="23">
        <v>2</v>
      </c>
      <c r="H307" s="23"/>
      <c r="I307" s="24" t="s">
        <v>38</v>
      </c>
      <c r="J307" s="24"/>
      <c r="K307" s="23"/>
      <c r="L307" s="23"/>
      <c r="M307" s="24"/>
      <c r="N307" s="24"/>
      <c r="O307" s="26" t="s">
        <v>683</v>
      </c>
      <c r="P307" s="26"/>
      <c r="Q307" s="23">
        <v>1</v>
      </c>
      <c r="R307" s="25">
        <v>45790</v>
      </c>
      <c r="S307" s="25">
        <v>45793</v>
      </c>
      <c r="T307" s="25"/>
      <c r="U307" s="25"/>
      <c r="V307" s="25">
        <v>45796</v>
      </c>
      <c r="W307" s="23" t="s">
        <v>370</v>
      </c>
      <c r="X307" s="4" t="str">
        <f>IF(Tabela2[[#This Row],[SIGLA]]="","",VLOOKUP(Tabela2[[#This Row],[SIGLA]],créditos_base!B:C,2,0))</f>
        <v>VER DOCUMENTO DE ILS. TÉCNICAS</v>
      </c>
      <c r="Y307" s="24" t="s">
        <v>583</v>
      </c>
      <c r="Z307" s="34" t="s">
        <v>684</v>
      </c>
      <c r="AA307" s="23">
        <v>13</v>
      </c>
      <c r="AB307" s="22" t="s">
        <v>578</v>
      </c>
      <c r="AC307" s="22" t="s">
        <v>43</v>
      </c>
      <c r="AD307" s="4" t="str">
        <f t="shared" si="4"/>
        <v>EF1 E001 HGC</v>
      </c>
    </row>
    <row r="308" spans="1:30" s="14" customFormat="1" ht="45" x14ac:dyDescent="0.25">
      <c r="A308" s="24" t="s">
        <v>685</v>
      </c>
      <c r="B308" s="22" t="s">
        <v>31</v>
      </c>
      <c r="C308" s="22" t="s">
        <v>32</v>
      </c>
      <c r="D308" s="22" t="s">
        <v>33</v>
      </c>
      <c r="E308" s="23">
        <v>86</v>
      </c>
      <c r="F308" s="23">
        <v>2</v>
      </c>
      <c r="G308" s="23">
        <v>2</v>
      </c>
      <c r="H308" s="23"/>
      <c r="I308" s="24" t="s">
        <v>34</v>
      </c>
      <c r="J308" s="24"/>
      <c r="K308" s="23"/>
      <c r="L308" s="23"/>
      <c r="M308" s="24"/>
      <c r="N308" s="24"/>
      <c r="O308" s="26" t="s">
        <v>686</v>
      </c>
      <c r="P308" s="26"/>
      <c r="Q308" s="23"/>
      <c r="R308" s="25"/>
      <c r="S308" s="25"/>
      <c r="T308" s="25"/>
      <c r="U308" s="25"/>
      <c r="V308" s="25"/>
      <c r="W308" s="23" t="s">
        <v>154</v>
      </c>
      <c r="X308" s="4" t="str">
        <f>IF(Tabela2[[#This Row],[SIGLA]]="","",VLOOKUP(Tabela2[[#This Row],[SIGLA]],créditos_base!B:C,2,0))</f>
        <v>VICTOR LEMOS/ARQUIVO DA EDITORA</v>
      </c>
      <c r="Y308" s="24"/>
      <c r="Z308" s="24" t="str">
        <f>Tabela2[[#This Row],[ILUSTRADOR CRIAÇÃO]]</f>
        <v>VICTOR LEMOS/ARQUIVO DA EDITORA</v>
      </c>
      <c r="AA308" s="23"/>
      <c r="AB308" s="22"/>
      <c r="AC308" s="22"/>
      <c r="AD308" s="4" t="str">
        <f t="shared" si="4"/>
        <v>EF1 E001 HGC</v>
      </c>
    </row>
    <row r="309" spans="1:30" s="14" customFormat="1" x14ac:dyDescent="0.25">
      <c r="A309" s="24" t="s">
        <v>687</v>
      </c>
      <c r="B309" s="22" t="s">
        <v>31</v>
      </c>
      <c r="C309" s="22" t="s">
        <v>32</v>
      </c>
      <c r="D309" s="22" t="s">
        <v>33</v>
      </c>
      <c r="E309" s="23">
        <v>86</v>
      </c>
      <c r="F309" s="23">
        <v>2</v>
      </c>
      <c r="G309" s="23">
        <v>2</v>
      </c>
      <c r="H309" s="23"/>
      <c r="I309" s="24" t="s">
        <v>34</v>
      </c>
      <c r="J309" s="24"/>
      <c r="K309" s="23"/>
      <c r="L309" s="23"/>
      <c r="M309" s="24"/>
      <c r="N309" s="24"/>
      <c r="O309" s="26" t="s">
        <v>688</v>
      </c>
      <c r="P309" s="26"/>
      <c r="Q309" s="23"/>
      <c r="R309" s="25"/>
      <c r="S309" s="25"/>
      <c r="T309" s="25"/>
      <c r="U309" s="25"/>
      <c r="V309" s="25"/>
      <c r="W309" s="23" t="s">
        <v>154</v>
      </c>
      <c r="X309" s="4" t="str">
        <f>IF(Tabela2[[#This Row],[SIGLA]]="","",VLOOKUP(Tabela2[[#This Row],[SIGLA]],créditos_base!B:C,2,0))</f>
        <v>VICTOR LEMOS/ARQUIVO DA EDITORA</v>
      </c>
      <c r="Y309" s="24"/>
      <c r="Z309" s="24" t="str">
        <f>Tabela2[[#This Row],[ILUSTRADOR CRIAÇÃO]]</f>
        <v>VICTOR LEMOS/ARQUIVO DA EDITORA</v>
      </c>
      <c r="AA309" s="23"/>
      <c r="AB309" s="22"/>
      <c r="AC309" s="22"/>
      <c r="AD309" s="4" t="str">
        <f t="shared" si="4"/>
        <v>EF1 E001 HGC</v>
      </c>
    </row>
    <row r="310" spans="1:30" s="14" customFormat="1" x14ac:dyDescent="0.25">
      <c r="A310" s="24" t="s">
        <v>689</v>
      </c>
      <c r="B310" s="22" t="s">
        <v>31</v>
      </c>
      <c r="C310" s="22" t="s">
        <v>32</v>
      </c>
      <c r="D310" s="22" t="s">
        <v>33</v>
      </c>
      <c r="E310" s="23">
        <v>86</v>
      </c>
      <c r="F310" s="23">
        <v>2</v>
      </c>
      <c r="G310" s="23">
        <v>2</v>
      </c>
      <c r="H310" s="23"/>
      <c r="I310" s="24" t="s">
        <v>34</v>
      </c>
      <c r="J310" s="24"/>
      <c r="K310" s="23"/>
      <c r="L310" s="23"/>
      <c r="M310" s="24"/>
      <c r="N310" s="24"/>
      <c r="O310" s="26" t="s">
        <v>690</v>
      </c>
      <c r="P310" s="26"/>
      <c r="Q310" s="23"/>
      <c r="R310" s="25"/>
      <c r="S310" s="25"/>
      <c r="T310" s="25"/>
      <c r="U310" s="25"/>
      <c r="V310" s="25"/>
      <c r="W310" s="23" t="s">
        <v>154</v>
      </c>
      <c r="X310" s="4" t="str">
        <f>IF(Tabela2[[#This Row],[SIGLA]]="","",VLOOKUP(Tabela2[[#This Row],[SIGLA]],créditos_base!B:C,2,0))</f>
        <v>VICTOR LEMOS/ARQUIVO DA EDITORA</v>
      </c>
      <c r="Y310" s="24"/>
      <c r="Z310" s="24" t="str">
        <f>Tabela2[[#This Row],[ILUSTRADOR CRIAÇÃO]]</f>
        <v>VICTOR LEMOS/ARQUIVO DA EDITORA</v>
      </c>
      <c r="AA310" s="23"/>
      <c r="AB310" s="22"/>
      <c r="AC310" s="22"/>
      <c r="AD310" s="4" t="str">
        <f t="shared" si="4"/>
        <v>EF1 E001 HGC</v>
      </c>
    </row>
    <row r="311" spans="1:30" s="14" customFormat="1" x14ac:dyDescent="0.25">
      <c r="A311" s="24" t="s">
        <v>691</v>
      </c>
      <c r="B311" s="22" t="s">
        <v>31</v>
      </c>
      <c r="C311" s="22" t="s">
        <v>32</v>
      </c>
      <c r="D311" s="22" t="s">
        <v>33</v>
      </c>
      <c r="E311" s="23">
        <v>86</v>
      </c>
      <c r="F311" s="23">
        <v>2</v>
      </c>
      <c r="G311" s="23">
        <v>2</v>
      </c>
      <c r="H311" s="23"/>
      <c r="I311" s="24" t="s">
        <v>34</v>
      </c>
      <c r="J311" s="24"/>
      <c r="K311" s="23"/>
      <c r="L311" s="23"/>
      <c r="M311" s="24"/>
      <c r="N311" s="24"/>
      <c r="O311" s="26" t="s">
        <v>692</v>
      </c>
      <c r="P311" s="26"/>
      <c r="Q311" s="23"/>
      <c r="R311" s="25"/>
      <c r="S311" s="25"/>
      <c r="T311" s="25"/>
      <c r="U311" s="25"/>
      <c r="V311" s="25"/>
      <c r="W311" s="23" t="s">
        <v>154</v>
      </c>
      <c r="X311" s="4" t="str">
        <f>IF(Tabela2[[#This Row],[SIGLA]]="","",VLOOKUP(Tabela2[[#This Row],[SIGLA]],créditos_base!B:C,2,0))</f>
        <v>VICTOR LEMOS/ARQUIVO DA EDITORA</v>
      </c>
      <c r="Y311" s="24"/>
      <c r="Z311" s="24" t="str">
        <f>Tabela2[[#This Row],[ILUSTRADOR CRIAÇÃO]]</f>
        <v>VICTOR LEMOS/ARQUIVO DA EDITORA</v>
      </c>
      <c r="AA311" s="23"/>
      <c r="AB311" s="22"/>
      <c r="AC311" s="22"/>
      <c r="AD311" s="4" t="str">
        <f t="shared" si="4"/>
        <v>EF1 E001 HGC</v>
      </c>
    </row>
    <row r="312" spans="1:30" s="14" customFormat="1" x14ac:dyDescent="0.25">
      <c r="A312" s="24" t="s">
        <v>693</v>
      </c>
      <c r="B312" s="22" t="s">
        <v>31</v>
      </c>
      <c r="C312" s="22" t="s">
        <v>32</v>
      </c>
      <c r="D312" s="22" t="s">
        <v>33</v>
      </c>
      <c r="E312" s="23">
        <v>87</v>
      </c>
      <c r="F312" s="23">
        <v>2</v>
      </c>
      <c r="G312" s="23">
        <v>2</v>
      </c>
      <c r="H312" s="23"/>
      <c r="I312" s="24" t="s">
        <v>34</v>
      </c>
      <c r="J312" s="24"/>
      <c r="K312" s="23"/>
      <c r="L312" s="23"/>
      <c r="M312" s="24"/>
      <c r="N312" s="24"/>
      <c r="O312" s="26" t="s">
        <v>694</v>
      </c>
      <c r="P312" s="26"/>
      <c r="Q312" s="23"/>
      <c r="R312" s="25"/>
      <c r="S312" s="25"/>
      <c r="T312" s="25"/>
      <c r="U312" s="25"/>
      <c r="V312" s="25"/>
      <c r="W312" s="23" t="s">
        <v>154</v>
      </c>
      <c r="X312" s="4" t="str">
        <f>IF(Tabela2[[#This Row],[SIGLA]]="","",VLOOKUP(Tabela2[[#This Row],[SIGLA]],créditos_base!B:C,2,0))</f>
        <v>VICTOR LEMOS/ARQUIVO DA EDITORA</v>
      </c>
      <c r="Y312" s="24"/>
      <c r="Z312" s="24" t="str">
        <f>Tabela2[[#This Row],[ILUSTRADOR CRIAÇÃO]]</f>
        <v>VICTOR LEMOS/ARQUIVO DA EDITORA</v>
      </c>
      <c r="AA312" s="23"/>
      <c r="AB312" s="22"/>
      <c r="AC312" s="22"/>
      <c r="AD312" s="4" t="str">
        <f t="shared" si="4"/>
        <v>EF1 E001 HGC</v>
      </c>
    </row>
    <row r="313" spans="1:30" s="14" customFormat="1" ht="30" x14ac:dyDescent="0.25">
      <c r="A313" s="24" t="s">
        <v>695</v>
      </c>
      <c r="B313" s="22" t="s">
        <v>31</v>
      </c>
      <c r="C313" s="22" t="s">
        <v>32</v>
      </c>
      <c r="D313" s="22" t="s">
        <v>33</v>
      </c>
      <c r="E313" s="23">
        <v>87</v>
      </c>
      <c r="F313" s="23">
        <v>2</v>
      </c>
      <c r="G313" s="23">
        <v>2</v>
      </c>
      <c r="H313" s="23"/>
      <c r="I313" s="24" t="s">
        <v>34</v>
      </c>
      <c r="J313" s="24"/>
      <c r="K313" s="23"/>
      <c r="L313" s="23"/>
      <c r="M313" s="24"/>
      <c r="N313" s="24"/>
      <c r="O313" s="26" t="s">
        <v>696</v>
      </c>
      <c r="P313" s="26"/>
      <c r="Q313" s="23"/>
      <c r="R313" s="25"/>
      <c r="S313" s="25"/>
      <c r="T313" s="25"/>
      <c r="U313" s="25"/>
      <c r="V313" s="25"/>
      <c r="W313" s="23" t="s">
        <v>154</v>
      </c>
      <c r="X313" s="4" t="str">
        <f>IF(Tabela2[[#This Row],[SIGLA]]="","",VLOOKUP(Tabela2[[#This Row],[SIGLA]],créditos_base!B:C,2,0))</f>
        <v>VICTOR LEMOS/ARQUIVO DA EDITORA</v>
      </c>
      <c r="Y313" s="24"/>
      <c r="Z313" s="24" t="str">
        <f>Tabela2[[#This Row],[ILUSTRADOR CRIAÇÃO]]</f>
        <v>VICTOR LEMOS/ARQUIVO DA EDITORA</v>
      </c>
      <c r="AA313" s="23"/>
      <c r="AB313" s="22"/>
      <c r="AC313" s="22"/>
      <c r="AD313" s="4" t="str">
        <f t="shared" si="4"/>
        <v>EF1 E001 HGC</v>
      </c>
    </row>
    <row r="314" spans="1:30" s="14" customFormat="1" ht="30" x14ac:dyDescent="0.25">
      <c r="A314" s="24" t="s">
        <v>697</v>
      </c>
      <c r="B314" s="22" t="s">
        <v>31</v>
      </c>
      <c r="C314" s="22" t="s">
        <v>32</v>
      </c>
      <c r="D314" s="22" t="s">
        <v>33</v>
      </c>
      <c r="E314" s="23">
        <v>87</v>
      </c>
      <c r="F314" s="23">
        <v>2</v>
      </c>
      <c r="G314" s="23">
        <v>2</v>
      </c>
      <c r="H314" s="23"/>
      <c r="I314" s="24" t="s">
        <v>34</v>
      </c>
      <c r="J314" s="24"/>
      <c r="K314" s="23"/>
      <c r="L314" s="23"/>
      <c r="M314" s="24"/>
      <c r="N314" s="24"/>
      <c r="O314" s="26" t="s">
        <v>698</v>
      </c>
      <c r="P314" s="26"/>
      <c r="Q314" s="23"/>
      <c r="R314" s="25"/>
      <c r="S314" s="25"/>
      <c r="T314" s="25"/>
      <c r="U314" s="25"/>
      <c r="V314" s="25"/>
      <c r="W314" s="23" t="s">
        <v>154</v>
      </c>
      <c r="X314" s="4" t="str">
        <f>IF(Tabela2[[#This Row],[SIGLA]]="","",VLOOKUP(Tabela2[[#This Row],[SIGLA]],créditos_base!B:C,2,0))</f>
        <v>VICTOR LEMOS/ARQUIVO DA EDITORA</v>
      </c>
      <c r="Y314" s="24"/>
      <c r="Z314" s="24" t="str">
        <f>Tabela2[[#This Row],[ILUSTRADOR CRIAÇÃO]]</f>
        <v>VICTOR LEMOS/ARQUIVO DA EDITORA</v>
      </c>
      <c r="AA314" s="23"/>
      <c r="AB314" s="22"/>
      <c r="AC314" s="22"/>
      <c r="AD314" s="4" t="str">
        <f t="shared" si="4"/>
        <v>EF1 E001 HGC</v>
      </c>
    </row>
    <row r="315" spans="1:30" s="14" customFormat="1" ht="30" x14ac:dyDescent="0.25">
      <c r="A315" s="24" t="s">
        <v>699</v>
      </c>
      <c r="B315" s="22" t="s">
        <v>31</v>
      </c>
      <c r="C315" s="22" t="s">
        <v>32</v>
      </c>
      <c r="D315" s="22" t="s">
        <v>33</v>
      </c>
      <c r="E315" s="23">
        <v>87</v>
      </c>
      <c r="F315" s="23">
        <v>2</v>
      </c>
      <c r="G315" s="23">
        <v>2</v>
      </c>
      <c r="H315" s="23"/>
      <c r="I315" s="24" t="s">
        <v>34</v>
      </c>
      <c r="J315" s="24"/>
      <c r="K315" s="23"/>
      <c r="L315" s="23"/>
      <c r="M315" s="24"/>
      <c r="N315" s="24"/>
      <c r="O315" s="26" t="s">
        <v>700</v>
      </c>
      <c r="P315" s="26"/>
      <c r="Q315" s="23"/>
      <c r="R315" s="25"/>
      <c r="S315" s="25"/>
      <c r="T315" s="25"/>
      <c r="U315" s="25"/>
      <c r="V315" s="25"/>
      <c r="W315" s="23" t="s">
        <v>154</v>
      </c>
      <c r="X315" s="4" t="str">
        <f>IF(Tabela2[[#This Row],[SIGLA]]="","",VLOOKUP(Tabela2[[#This Row],[SIGLA]],créditos_base!B:C,2,0))</f>
        <v>VICTOR LEMOS/ARQUIVO DA EDITORA</v>
      </c>
      <c r="Y315" s="24"/>
      <c r="Z315" s="24" t="str">
        <f>Tabela2[[#This Row],[ILUSTRADOR CRIAÇÃO]]</f>
        <v>VICTOR LEMOS/ARQUIVO DA EDITORA</v>
      </c>
      <c r="AA315" s="23"/>
      <c r="AB315" s="22"/>
      <c r="AC315" s="22"/>
      <c r="AD315" s="4" t="str">
        <f t="shared" si="4"/>
        <v>EF1 E001 HGC</v>
      </c>
    </row>
    <row r="316" spans="1:30" s="14" customFormat="1" x14ac:dyDescent="0.25">
      <c r="A316" s="24" t="s">
        <v>701</v>
      </c>
      <c r="B316" s="22" t="s">
        <v>31</v>
      </c>
      <c r="C316" s="22" t="s">
        <v>32</v>
      </c>
      <c r="D316" s="22" t="s">
        <v>33</v>
      </c>
      <c r="E316" s="23">
        <v>92</v>
      </c>
      <c r="F316" s="23">
        <v>2</v>
      </c>
      <c r="G316" s="23">
        <v>2</v>
      </c>
      <c r="H316" s="23"/>
      <c r="I316" s="24" t="s">
        <v>34</v>
      </c>
      <c r="J316" s="24"/>
      <c r="K316" s="23"/>
      <c r="L316" s="23"/>
      <c r="M316" s="24"/>
      <c r="N316" s="24"/>
      <c r="O316" s="26" t="s">
        <v>702</v>
      </c>
      <c r="P316" s="26"/>
      <c r="Q316" s="23">
        <v>1</v>
      </c>
      <c r="R316" s="25">
        <v>45790</v>
      </c>
      <c r="S316" s="25">
        <v>45792</v>
      </c>
      <c r="T316" s="25"/>
      <c r="U316" s="25"/>
      <c r="V316" s="25">
        <v>45793</v>
      </c>
      <c r="W316" s="23"/>
      <c r="X316" s="4" t="str">
        <f>IF(Tabela2[[#This Row],[SIGLA]]="","",VLOOKUP(Tabela2[[#This Row],[SIGLA]],créditos_base!B:C,2,0))</f>
        <v/>
      </c>
      <c r="Y316" s="24" t="s">
        <v>583</v>
      </c>
      <c r="Z316" s="24" t="str">
        <f>Tabela2[[#This Row],[ILUSTRADOR CRIAÇÃO]]</f>
        <v/>
      </c>
      <c r="AA316" s="23"/>
      <c r="AB316" s="22"/>
      <c r="AC316" s="22" t="s">
        <v>43</v>
      </c>
      <c r="AD316" s="4" t="str">
        <f t="shared" si="4"/>
        <v>EF1 E001 HGC</v>
      </c>
    </row>
    <row r="317" spans="1:30" s="14" customFormat="1" ht="75" x14ac:dyDescent="0.25">
      <c r="A317" s="24" t="s">
        <v>703</v>
      </c>
      <c r="B317" s="22" t="s">
        <v>31</v>
      </c>
      <c r="C317" s="22" t="s">
        <v>32</v>
      </c>
      <c r="D317" s="22" t="s">
        <v>33</v>
      </c>
      <c r="E317" s="23">
        <v>94</v>
      </c>
      <c r="F317" s="23">
        <v>2</v>
      </c>
      <c r="G317" s="23">
        <v>2</v>
      </c>
      <c r="H317" s="23"/>
      <c r="I317" s="24" t="s">
        <v>38</v>
      </c>
      <c r="J317" s="24"/>
      <c r="K317" s="23"/>
      <c r="L317" s="23"/>
      <c r="M317" s="24"/>
      <c r="N317" s="24"/>
      <c r="O317" s="26" t="s">
        <v>704</v>
      </c>
      <c r="P317" s="26"/>
      <c r="Q317" s="23"/>
      <c r="R317" s="25"/>
      <c r="S317" s="25">
        <v>45792</v>
      </c>
      <c r="T317" s="25"/>
      <c r="U317" s="25"/>
      <c r="V317" s="25">
        <v>45793</v>
      </c>
      <c r="W317" s="23" t="s">
        <v>169</v>
      </c>
      <c r="X317" s="4" t="str">
        <f>IF(Tabela2[[#This Row],[SIGLA]]="","",VLOOKUP(Tabela2[[#This Row],[SIGLA]],créditos_base!B:C,2,0))</f>
        <v>GUSTAVO RAMOS/ARQUIVO DA EDITORA</v>
      </c>
      <c r="Y317" s="24" t="s">
        <v>583</v>
      </c>
      <c r="Z317" s="24" t="str">
        <f>Tabela2[[#This Row],[ILUSTRADOR CRIAÇÃO]]</f>
        <v>GUSTAVO RAMOS/ARQUIVO DA EDITORA</v>
      </c>
      <c r="AA317" s="23">
        <v>13</v>
      </c>
      <c r="AB317" s="22" t="s">
        <v>71</v>
      </c>
      <c r="AC317" s="22" t="s">
        <v>43</v>
      </c>
      <c r="AD317" s="4" t="str">
        <f t="shared" si="4"/>
        <v>EF1 E001 HGC</v>
      </c>
    </row>
    <row r="318" spans="1:30" s="14" customFormat="1" x14ac:dyDescent="0.25">
      <c r="A318" s="24" t="s">
        <v>705</v>
      </c>
      <c r="B318" s="22" t="s">
        <v>31</v>
      </c>
      <c r="C318" s="22" t="s">
        <v>32</v>
      </c>
      <c r="D318" s="22" t="s">
        <v>33</v>
      </c>
      <c r="E318" s="23">
        <v>94</v>
      </c>
      <c r="F318" s="23">
        <v>2</v>
      </c>
      <c r="G318" s="23">
        <v>2</v>
      </c>
      <c r="H318" s="23"/>
      <c r="I318" s="24" t="s">
        <v>34</v>
      </c>
      <c r="J318" s="24"/>
      <c r="K318" s="23"/>
      <c r="L318" s="23"/>
      <c r="M318" s="24"/>
      <c r="N318" s="24"/>
      <c r="O318" s="26" t="s">
        <v>706</v>
      </c>
      <c r="P318" s="26"/>
      <c r="Q318" s="23"/>
      <c r="R318" s="25"/>
      <c r="S318" s="25"/>
      <c r="T318" s="25"/>
      <c r="U318" s="25"/>
      <c r="V318" s="25"/>
      <c r="W318" s="23" t="s">
        <v>707</v>
      </c>
      <c r="X318" s="4" t="str">
        <f>IF(Tabela2[[#This Row],[SIGLA]]="","",VLOOKUP(Tabela2[[#This Row],[SIGLA]],créditos_base!B:C,2,0))</f>
        <v>FABIO EUGENIO/ARQUIVO DA EDITORA</v>
      </c>
      <c r="Y318" s="24"/>
      <c r="Z318" s="24" t="str">
        <f>Tabela2[[#This Row],[ILUSTRADOR CRIAÇÃO]]</f>
        <v>FABIO EUGENIO/ARQUIVO DA EDITORA</v>
      </c>
      <c r="AA318" s="23"/>
      <c r="AB318" s="22"/>
      <c r="AC318" s="22"/>
      <c r="AD318" s="4" t="str">
        <f t="shared" si="4"/>
        <v>EF1 E001 HGC</v>
      </c>
    </row>
    <row r="319" spans="1:30" s="14" customFormat="1" x14ac:dyDescent="0.25">
      <c r="A319" s="24" t="s">
        <v>708</v>
      </c>
      <c r="B319" s="22" t="s">
        <v>31</v>
      </c>
      <c r="C319" s="22" t="s">
        <v>32</v>
      </c>
      <c r="D319" s="22" t="s">
        <v>33</v>
      </c>
      <c r="E319" s="23">
        <v>95</v>
      </c>
      <c r="F319" s="23">
        <v>2</v>
      </c>
      <c r="G319" s="23">
        <v>2</v>
      </c>
      <c r="H319" s="23"/>
      <c r="I319" s="24" t="s">
        <v>34</v>
      </c>
      <c r="J319" s="24"/>
      <c r="K319" s="23"/>
      <c r="L319" s="23"/>
      <c r="M319" s="24"/>
      <c r="N319" s="24"/>
      <c r="O319" s="26" t="s">
        <v>709</v>
      </c>
      <c r="P319" s="26"/>
      <c r="Q319" s="23"/>
      <c r="R319" s="25"/>
      <c r="S319" s="25"/>
      <c r="T319" s="25"/>
      <c r="U319" s="25"/>
      <c r="V319" s="25"/>
      <c r="W319" s="23" t="s">
        <v>707</v>
      </c>
      <c r="X319" s="4" t="str">
        <f>IF(Tabela2[[#This Row],[SIGLA]]="","",VLOOKUP(Tabela2[[#This Row],[SIGLA]],créditos_base!B:C,2,0))</f>
        <v>FABIO EUGENIO/ARQUIVO DA EDITORA</v>
      </c>
      <c r="Y319" s="24"/>
      <c r="Z319" s="24" t="str">
        <f>Tabela2[[#This Row],[ILUSTRADOR CRIAÇÃO]]</f>
        <v>FABIO EUGENIO/ARQUIVO DA EDITORA</v>
      </c>
      <c r="AA319" s="23"/>
      <c r="AB319" s="22"/>
      <c r="AC319" s="22"/>
      <c r="AD319" s="4" t="str">
        <f t="shared" si="4"/>
        <v>EF1 E001 HGC</v>
      </c>
    </row>
    <row r="320" spans="1:30" s="14" customFormat="1" x14ac:dyDescent="0.25">
      <c r="A320" s="24" t="s">
        <v>710</v>
      </c>
      <c r="B320" s="22" t="s">
        <v>31</v>
      </c>
      <c r="C320" s="22" t="s">
        <v>32</v>
      </c>
      <c r="D320" s="22" t="s">
        <v>33</v>
      </c>
      <c r="E320" s="23">
        <v>95</v>
      </c>
      <c r="F320" s="23">
        <v>2</v>
      </c>
      <c r="G320" s="23">
        <v>2</v>
      </c>
      <c r="H320" s="23"/>
      <c r="I320" s="24" t="s">
        <v>34</v>
      </c>
      <c r="J320" s="24"/>
      <c r="K320" s="23"/>
      <c r="L320" s="23"/>
      <c r="M320" s="24"/>
      <c r="N320" s="24"/>
      <c r="O320" s="26" t="s">
        <v>711</v>
      </c>
      <c r="P320" s="26"/>
      <c r="Q320" s="23"/>
      <c r="R320" s="25"/>
      <c r="S320" s="25"/>
      <c r="T320" s="25"/>
      <c r="U320" s="25"/>
      <c r="V320" s="25"/>
      <c r="W320" s="23" t="s">
        <v>707</v>
      </c>
      <c r="X320" s="4" t="str">
        <f>IF(Tabela2[[#This Row],[SIGLA]]="","",VLOOKUP(Tabela2[[#This Row],[SIGLA]],créditos_base!B:C,2,0))</f>
        <v>FABIO EUGENIO/ARQUIVO DA EDITORA</v>
      </c>
      <c r="Y320" s="24"/>
      <c r="Z320" s="24" t="str">
        <f>Tabela2[[#This Row],[ILUSTRADOR CRIAÇÃO]]</f>
        <v>FABIO EUGENIO/ARQUIVO DA EDITORA</v>
      </c>
      <c r="AA320" s="23"/>
      <c r="AB320" s="22"/>
      <c r="AC320" s="22"/>
      <c r="AD320" s="4" t="str">
        <f t="shared" si="4"/>
        <v>EF1 E001 HGC</v>
      </c>
    </row>
    <row r="321" spans="1:30" s="14" customFormat="1" x14ac:dyDescent="0.25">
      <c r="A321" s="24" t="s">
        <v>712</v>
      </c>
      <c r="B321" s="22" t="s">
        <v>31</v>
      </c>
      <c r="C321" s="22" t="s">
        <v>32</v>
      </c>
      <c r="D321" s="22" t="s">
        <v>33</v>
      </c>
      <c r="E321" s="23">
        <v>95</v>
      </c>
      <c r="F321" s="23">
        <v>2</v>
      </c>
      <c r="G321" s="23">
        <v>2</v>
      </c>
      <c r="H321" s="23"/>
      <c r="I321" s="24" t="s">
        <v>34</v>
      </c>
      <c r="J321" s="24"/>
      <c r="K321" s="23"/>
      <c r="L321" s="23"/>
      <c r="M321" s="24"/>
      <c r="N321" s="24"/>
      <c r="O321" s="26" t="s">
        <v>713</v>
      </c>
      <c r="P321" s="26"/>
      <c r="Q321" s="23"/>
      <c r="R321" s="25"/>
      <c r="S321" s="25"/>
      <c r="T321" s="25"/>
      <c r="U321" s="25"/>
      <c r="V321" s="25"/>
      <c r="W321" s="23" t="s">
        <v>707</v>
      </c>
      <c r="X321" s="4" t="str">
        <f>IF(Tabela2[[#This Row],[SIGLA]]="","",VLOOKUP(Tabela2[[#This Row],[SIGLA]],créditos_base!B:C,2,0))</f>
        <v>FABIO EUGENIO/ARQUIVO DA EDITORA</v>
      </c>
      <c r="Y321" s="24"/>
      <c r="Z321" s="24" t="str">
        <f>Tabela2[[#This Row],[ILUSTRADOR CRIAÇÃO]]</f>
        <v>FABIO EUGENIO/ARQUIVO DA EDITORA</v>
      </c>
      <c r="AA321" s="23"/>
      <c r="AB321" s="22"/>
      <c r="AC321" s="22"/>
      <c r="AD321" s="4" t="str">
        <f t="shared" si="4"/>
        <v>EF1 E001 HGC</v>
      </c>
    </row>
    <row r="322" spans="1:30" s="14" customFormat="1" x14ac:dyDescent="0.25">
      <c r="A322" s="24" t="s">
        <v>714</v>
      </c>
      <c r="B322" s="22" t="s">
        <v>31</v>
      </c>
      <c r="C322" s="22" t="s">
        <v>32</v>
      </c>
      <c r="D322" s="22" t="s">
        <v>33</v>
      </c>
      <c r="E322" s="23">
        <v>96</v>
      </c>
      <c r="F322" s="23">
        <v>2</v>
      </c>
      <c r="G322" s="23">
        <v>2</v>
      </c>
      <c r="H322" s="23"/>
      <c r="I322" s="24" t="s">
        <v>34</v>
      </c>
      <c r="J322" s="24"/>
      <c r="K322" s="23"/>
      <c r="L322" s="23"/>
      <c r="M322" s="24"/>
      <c r="N322" s="24"/>
      <c r="O322" s="26" t="s">
        <v>715</v>
      </c>
      <c r="P322" s="26"/>
      <c r="Q322" s="23"/>
      <c r="R322" s="25"/>
      <c r="S322" s="25"/>
      <c r="T322" s="25"/>
      <c r="U322" s="25"/>
      <c r="V322" s="25"/>
      <c r="W322" s="23" t="s">
        <v>707</v>
      </c>
      <c r="X322" s="4" t="str">
        <f>IF(Tabela2[[#This Row],[SIGLA]]="","",VLOOKUP(Tabela2[[#This Row],[SIGLA]],créditos_base!B:C,2,0))</f>
        <v>FABIO EUGENIO/ARQUIVO DA EDITORA</v>
      </c>
      <c r="Y322" s="24"/>
      <c r="Z322" s="24" t="str">
        <f>Tabela2[[#This Row],[ILUSTRADOR CRIAÇÃO]]</f>
        <v>FABIO EUGENIO/ARQUIVO DA EDITORA</v>
      </c>
      <c r="AA322" s="23"/>
      <c r="AB322" s="22"/>
      <c r="AC322" s="22"/>
      <c r="AD322" s="4" t="str">
        <f t="shared" ref="AD322:AD385" si="5">"EF1 E001 HGC"</f>
        <v>EF1 E001 HGC</v>
      </c>
    </row>
    <row r="323" spans="1:30" s="14" customFormat="1" x14ac:dyDescent="0.25">
      <c r="A323" s="24" t="s">
        <v>716</v>
      </c>
      <c r="B323" s="22" t="s">
        <v>31</v>
      </c>
      <c r="C323" s="22" t="s">
        <v>32</v>
      </c>
      <c r="D323" s="22" t="s">
        <v>33</v>
      </c>
      <c r="E323" s="23">
        <v>96</v>
      </c>
      <c r="F323" s="23">
        <v>2</v>
      </c>
      <c r="G323" s="23">
        <v>2</v>
      </c>
      <c r="H323" s="23"/>
      <c r="I323" s="24" t="s">
        <v>34</v>
      </c>
      <c r="J323" s="24"/>
      <c r="K323" s="23"/>
      <c r="L323" s="23"/>
      <c r="M323" s="24"/>
      <c r="N323" s="24"/>
      <c r="O323" s="26" t="s">
        <v>717</v>
      </c>
      <c r="P323" s="26"/>
      <c r="Q323" s="23"/>
      <c r="R323" s="25"/>
      <c r="S323" s="25"/>
      <c r="T323" s="25"/>
      <c r="U323" s="25"/>
      <c r="V323" s="25"/>
      <c r="W323" s="23" t="s">
        <v>707</v>
      </c>
      <c r="X323" s="4" t="str">
        <f>IF(Tabela2[[#This Row],[SIGLA]]="","",VLOOKUP(Tabela2[[#This Row],[SIGLA]],créditos_base!B:C,2,0))</f>
        <v>FABIO EUGENIO/ARQUIVO DA EDITORA</v>
      </c>
      <c r="Y323" s="24"/>
      <c r="Z323" s="24" t="str">
        <f>Tabela2[[#This Row],[ILUSTRADOR CRIAÇÃO]]</f>
        <v>FABIO EUGENIO/ARQUIVO DA EDITORA</v>
      </c>
      <c r="AA323" s="23"/>
      <c r="AB323" s="22"/>
      <c r="AC323" s="22"/>
      <c r="AD323" s="4" t="str">
        <f t="shared" si="5"/>
        <v>EF1 E001 HGC</v>
      </c>
    </row>
    <row r="324" spans="1:30" s="14" customFormat="1" x14ac:dyDescent="0.25">
      <c r="A324" s="24" t="s">
        <v>718</v>
      </c>
      <c r="B324" s="22" t="s">
        <v>83</v>
      </c>
      <c r="C324" s="22" t="s">
        <v>32</v>
      </c>
      <c r="D324" s="22" t="s">
        <v>33</v>
      </c>
      <c r="E324" s="23">
        <v>96</v>
      </c>
      <c r="F324" s="23">
        <v>2</v>
      </c>
      <c r="G324" s="23">
        <v>2</v>
      </c>
      <c r="H324" s="23"/>
      <c r="I324" s="24" t="s">
        <v>34</v>
      </c>
      <c r="J324" s="24"/>
      <c r="K324" s="23"/>
      <c r="L324" s="23"/>
      <c r="M324" s="24"/>
      <c r="N324" s="24"/>
      <c r="O324" s="26" t="s">
        <v>719</v>
      </c>
      <c r="P324" s="26"/>
      <c r="Q324" s="23"/>
      <c r="R324" s="25"/>
      <c r="S324" s="25"/>
      <c r="T324" s="25"/>
      <c r="U324" s="25"/>
      <c r="V324" s="25"/>
      <c r="W324" s="23" t="s">
        <v>707</v>
      </c>
      <c r="X324" s="4" t="str">
        <f>IF(Tabela2[[#This Row],[SIGLA]]="","",VLOOKUP(Tabela2[[#This Row],[SIGLA]],créditos_base!B:C,2,0))</f>
        <v>FABIO EUGENIO/ARQUIVO DA EDITORA</v>
      </c>
      <c r="Y324" s="24"/>
      <c r="Z324" s="24" t="str">
        <f>Tabela2[[#This Row],[ILUSTRADOR CRIAÇÃO]]</f>
        <v>FABIO EUGENIO/ARQUIVO DA EDITORA</v>
      </c>
      <c r="AA324" s="23"/>
      <c r="AB324" s="22"/>
      <c r="AC324" s="22"/>
      <c r="AD324" s="4" t="str">
        <f t="shared" si="5"/>
        <v>EF1 E001 HGC</v>
      </c>
    </row>
    <row r="325" spans="1:30" s="14" customFormat="1" ht="45" x14ac:dyDescent="0.25">
      <c r="A325" s="24" t="s">
        <v>720</v>
      </c>
      <c r="B325" s="22" t="s">
        <v>67</v>
      </c>
      <c r="C325" s="22" t="s">
        <v>32</v>
      </c>
      <c r="D325" s="22" t="s">
        <v>33</v>
      </c>
      <c r="E325" s="23">
        <v>97</v>
      </c>
      <c r="F325" s="23">
        <v>2</v>
      </c>
      <c r="G325" s="23">
        <v>2</v>
      </c>
      <c r="H325" s="23"/>
      <c r="I325" s="24" t="s">
        <v>38</v>
      </c>
      <c r="J325" s="24"/>
      <c r="K325" s="23"/>
      <c r="L325" s="23"/>
      <c r="M325" s="24"/>
      <c r="N325" s="24"/>
      <c r="O325" s="26" t="s">
        <v>721</v>
      </c>
      <c r="P325" s="26"/>
      <c r="Q325" s="23"/>
      <c r="R325" s="25"/>
      <c r="S325" s="25"/>
      <c r="T325" s="25"/>
      <c r="U325" s="25"/>
      <c r="V325" s="25"/>
      <c r="W325" s="23" t="s">
        <v>722</v>
      </c>
      <c r="X325" s="4" t="str">
        <f>IF(Tabela2[[#This Row],[SIGLA]]="","",VLOOKUP(Tabela2[[#This Row],[SIGLA]],créditos_base!B:C,2,0))</f>
        <v>ROGÉRIO CASAGRANDE/ARQUIVO DA EDITORA</v>
      </c>
      <c r="Y325" s="24"/>
      <c r="Z325" s="24" t="str">
        <f>Tabela2[[#This Row],[ILUSTRADOR CRIAÇÃO]]</f>
        <v>ROGÉRIO CASAGRANDE/ARQUIVO DA EDITORA</v>
      </c>
      <c r="AA325" s="23"/>
      <c r="AB325" s="22"/>
      <c r="AC325" s="22"/>
      <c r="AD325" s="4" t="str">
        <f t="shared" si="5"/>
        <v>EF1 E001 HGC</v>
      </c>
    </row>
    <row r="326" spans="1:30" s="14" customFormat="1" ht="45" x14ac:dyDescent="0.25">
      <c r="A326" s="24" t="s">
        <v>723</v>
      </c>
      <c r="B326" s="22" t="s">
        <v>67</v>
      </c>
      <c r="C326" s="22" t="s">
        <v>32</v>
      </c>
      <c r="D326" s="22" t="s">
        <v>33</v>
      </c>
      <c r="E326" s="23">
        <v>97</v>
      </c>
      <c r="F326" s="23">
        <v>2</v>
      </c>
      <c r="G326" s="23">
        <v>2</v>
      </c>
      <c r="H326" s="23"/>
      <c r="I326" s="24" t="s">
        <v>38</v>
      </c>
      <c r="J326" s="24"/>
      <c r="K326" s="23"/>
      <c r="L326" s="23"/>
      <c r="M326" s="24"/>
      <c r="N326" s="24"/>
      <c r="O326" s="26" t="s">
        <v>724</v>
      </c>
      <c r="P326" s="26"/>
      <c r="Q326" s="23"/>
      <c r="R326" s="25"/>
      <c r="S326" s="25"/>
      <c r="T326" s="25"/>
      <c r="U326" s="25"/>
      <c r="V326" s="25"/>
      <c r="W326" s="23" t="s">
        <v>722</v>
      </c>
      <c r="X326" s="4" t="str">
        <f>IF(Tabela2[[#This Row],[SIGLA]]="","",VLOOKUP(Tabela2[[#This Row],[SIGLA]],créditos_base!B:C,2,0))</f>
        <v>ROGÉRIO CASAGRANDE/ARQUIVO DA EDITORA</v>
      </c>
      <c r="Y326" s="24"/>
      <c r="Z326" s="24" t="str">
        <f>Tabela2[[#This Row],[ILUSTRADOR CRIAÇÃO]]</f>
        <v>ROGÉRIO CASAGRANDE/ARQUIVO DA EDITORA</v>
      </c>
      <c r="AA326" s="23"/>
      <c r="AB326" s="22"/>
      <c r="AC326" s="22"/>
      <c r="AD326" s="4" t="str">
        <f t="shared" si="5"/>
        <v>EF1 E001 HGC</v>
      </c>
    </row>
    <row r="327" spans="1:30" s="14" customFormat="1" x14ac:dyDescent="0.25">
      <c r="A327" s="24" t="s">
        <v>725</v>
      </c>
      <c r="B327" s="22" t="s">
        <v>83</v>
      </c>
      <c r="C327" s="22" t="s">
        <v>32</v>
      </c>
      <c r="D327" s="22" t="s">
        <v>33</v>
      </c>
      <c r="E327" s="23">
        <v>97</v>
      </c>
      <c r="F327" s="23">
        <v>2</v>
      </c>
      <c r="G327" s="23">
        <v>2</v>
      </c>
      <c r="H327" s="23"/>
      <c r="I327" s="24" t="s">
        <v>34</v>
      </c>
      <c r="J327" s="24"/>
      <c r="K327" s="23"/>
      <c r="L327" s="23"/>
      <c r="M327" s="24"/>
      <c r="N327" s="24"/>
      <c r="O327" s="26" t="s">
        <v>726</v>
      </c>
      <c r="P327" s="26"/>
      <c r="Q327" s="23"/>
      <c r="R327" s="25"/>
      <c r="S327" s="25"/>
      <c r="T327" s="25"/>
      <c r="U327" s="25"/>
      <c r="V327" s="25"/>
      <c r="W327" s="23" t="s">
        <v>722</v>
      </c>
      <c r="X327" s="4" t="str">
        <f>IF(Tabela2[[#This Row],[SIGLA]]="","",VLOOKUP(Tabela2[[#This Row],[SIGLA]],créditos_base!B:C,2,0))</f>
        <v>ROGÉRIO CASAGRANDE/ARQUIVO DA EDITORA</v>
      </c>
      <c r="Y327" s="24"/>
      <c r="Z327" s="24" t="str">
        <f>Tabela2[[#This Row],[ILUSTRADOR CRIAÇÃO]]</f>
        <v>ROGÉRIO CASAGRANDE/ARQUIVO DA EDITORA</v>
      </c>
      <c r="AA327" s="23"/>
      <c r="AB327" s="22"/>
      <c r="AC327" s="22"/>
      <c r="AD327" s="4" t="str">
        <f t="shared" si="5"/>
        <v>EF1 E001 HGC</v>
      </c>
    </row>
    <row r="328" spans="1:30" s="14" customFormat="1" ht="30" x14ac:dyDescent="0.25">
      <c r="A328" s="24" t="s">
        <v>727</v>
      </c>
      <c r="B328" s="22" t="s">
        <v>83</v>
      </c>
      <c r="C328" s="22" t="s">
        <v>32</v>
      </c>
      <c r="D328" s="22" t="s">
        <v>33</v>
      </c>
      <c r="E328" s="23">
        <v>97</v>
      </c>
      <c r="F328" s="23">
        <v>2</v>
      </c>
      <c r="G328" s="23">
        <v>2</v>
      </c>
      <c r="H328" s="23"/>
      <c r="I328" s="24" t="s">
        <v>34</v>
      </c>
      <c r="J328" s="24"/>
      <c r="K328" s="23"/>
      <c r="L328" s="23"/>
      <c r="M328" s="24"/>
      <c r="N328" s="24"/>
      <c r="O328" s="26" t="s">
        <v>728</v>
      </c>
      <c r="P328" s="26"/>
      <c r="Q328" s="23"/>
      <c r="R328" s="25"/>
      <c r="S328" s="25"/>
      <c r="T328" s="25"/>
      <c r="U328" s="25"/>
      <c r="V328" s="25"/>
      <c r="W328" s="23" t="s">
        <v>722</v>
      </c>
      <c r="X328" s="4" t="str">
        <f>IF(Tabela2[[#This Row],[SIGLA]]="","",VLOOKUP(Tabela2[[#This Row],[SIGLA]],créditos_base!B:C,2,0))</f>
        <v>ROGÉRIO CASAGRANDE/ARQUIVO DA EDITORA</v>
      </c>
      <c r="Y328" s="24"/>
      <c r="Z328" s="24" t="str">
        <f>Tabela2[[#This Row],[ILUSTRADOR CRIAÇÃO]]</f>
        <v>ROGÉRIO CASAGRANDE/ARQUIVO DA EDITORA</v>
      </c>
      <c r="AA328" s="23"/>
      <c r="AB328" s="22"/>
      <c r="AC328" s="22"/>
      <c r="AD328" s="4" t="str">
        <f t="shared" si="5"/>
        <v>EF1 E001 HGC</v>
      </c>
    </row>
    <row r="329" spans="1:30" s="14" customFormat="1" ht="30" x14ac:dyDescent="0.25">
      <c r="A329" s="24" t="s">
        <v>729</v>
      </c>
      <c r="B329" s="22" t="s">
        <v>31</v>
      </c>
      <c r="C329" s="22" t="s">
        <v>32</v>
      </c>
      <c r="D329" s="22" t="s">
        <v>33</v>
      </c>
      <c r="E329" s="23">
        <v>97</v>
      </c>
      <c r="F329" s="23">
        <v>2</v>
      </c>
      <c r="G329" s="23">
        <v>2</v>
      </c>
      <c r="H329" s="23"/>
      <c r="I329" s="24" t="s">
        <v>34</v>
      </c>
      <c r="J329" s="24"/>
      <c r="K329" s="23"/>
      <c r="L329" s="23"/>
      <c r="M329" s="24"/>
      <c r="N329" s="24"/>
      <c r="O329" s="26" t="s">
        <v>730</v>
      </c>
      <c r="P329" s="26"/>
      <c r="Q329" s="23"/>
      <c r="R329" s="25"/>
      <c r="S329" s="25"/>
      <c r="T329" s="25"/>
      <c r="U329" s="25"/>
      <c r="V329" s="25"/>
      <c r="W329" s="23" t="s">
        <v>722</v>
      </c>
      <c r="X329" s="4" t="str">
        <f>IF(Tabela2[[#This Row],[SIGLA]]="","",VLOOKUP(Tabela2[[#This Row],[SIGLA]],créditos_base!B:C,2,0))</f>
        <v>ROGÉRIO CASAGRANDE/ARQUIVO DA EDITORA</v>
      </c>
      <c r="Y329" s="24"/>
      <c r="Z329" s="24" t="str">
        <f>Tabela2[[#This Row],[ILUSTRADOR CRIAÇÃO]]</f>
        <v>ROGÉRIO CASAGRANDE/ARQUIVO DA EDITORA</v>
      </c>
      <c r="AA329" s="23"/>
      <c r="AB329" s="22"/>
      <c r="AC329" s="22"/>
      <c r="AD329" s="4" t="str">
        <f t="shared" si="5"/>
        <v>EF1 E001 HGC</v>
      </c>
    </row>
    <row r="330" spans="1:30" s="14" customFormat="1" ht="75" x14ac:dyDescent="0.25">
      <c r="A330" s="24" t="s">
        <v>731</v>
      </c>
      <c r="B330" s="22" t="s">
        <v>31</v>
      </c>
      <c r="C330" s="22" t="s">
        <v>32</v>
      </c>
      <c r="D330" s="22" t="s">
        <v>33</v>
      </c>
      <c r="E330" s="23">
        <v>100</v>
      </c>
      <c r="F330" s="23">
        <v>2</v>
      </c>
      <c r="G330" s="23">
        <v>2</v>
      </c>
      <c r="H330" s="23"/>
      <c r="I330" s="24" t="s">
        <v>38</v>
      </c>
      <c r="J330" s="24"/>
      <c r="K330" s="23"/>
      <c r="L330" s="23"/>
      <c r="M330" s="24"/>
      <c r="N330" s="24"/>
      <c r="O330" s="26" t="s">
        <v>732</v>
      </c>
      <c r="P330" s="26"/>
      <c r="Q330" s="23">
        <v>1</v>
      </c>
      <c r="R330" s="25">
        <v>45790</v>
      </c>
      <c r="S330" s="25">
        <v>45792</v>
      </c>
      <c r="T330" s="25"/>
      <c r="U330" s="25"/>
      <c r="V330" s="25">
        <v>45793</v>
      </c>
      <c r="W330" s="23" t="s">
        <v>154</v>
      </c>
      <c r="X330" s="4" t="str">
        <f>IF(Tabela2[[#This Row],[SIGLA]]="","",VLOOKUP(Tabela2[[#This Row],[SIGLA]],créditos_base!B:C,2,0))</f>
        <v>VICTOR LEMOS/ARQUIVO DA EDITORA</v>
      </c>
      <c r="Y330" s="24" t="s">
        <v>583</v>
      </c>
      <c r="Z330" s="24" t="str">
        <f>Tabela2[[#This Row],[ILUSTRADOR CRIAÇÃO]]</f>
        <v>VICTOR LEMOS/ARQUIVO DA EDITORA</v>
      </c>
      <c r="AA330" s="23"/>
      <c r="AB330" s="22"/>
      <c r="AC330" s="22" t="s">
        <v>43</v>
      </c>
      <c r="AD330" s="4" t="str">
        <f t="shared" si="5"/>
        <v>EF1 E001 HGC</v>
      </c>
    </row>
    <row r="331" spans="1:30" s="14" customFormat="1" x14ac:dyDescent="0.25">
      <c r="A331" s="24" t="s">
        <v>733</v>
      </c>
      <c r="B331" s="22" t="s">
        <v>31</v>
      </c>
      <c r="C331" s="22" t="s">
        <v>32</v>
      </c>
      <c r="D331" s="22" t="s">
        <v>33</v>
      </c>
      <c r="E331" s="23">
        <v>101</v>
      </c>
      <c r="F331" s="23">
        <v>2</v>
      </c>
      <c r="G331" s="23">
        <v>2</v>
      </c>
      <c r="H331" s="23"/>
      <c r="I331" s="24" t="s">
        <v>34</v>
      </c>
      <c r="J331" s="24"/>
      <c r="K331" s="24"/>
      <c r="L331" s="24"/>
      <c r="M331" s="24"/>
      <c r="N331" s="24"/>
      <c r="O331" s="26" t="s">
        <v>734</v>
      </c>
      <c r="P331" s="26"/>
      <c r="Q331" s="23"/>
      <c r="R331" s="25"/>
      <c r="S331" s="25"/>
      <c r="T331" s="25"/>
      <c r="U331" s="25"/>
      <c r="V331" s="25"/>
      <c r="W331" s="23" t="s">
        <v>154</v>
      </c>
      <c r="X331" s="4" t="str">
        <f>IF(Tabela2[[#This Row],[SIGLA]]="","",VLOOKUP(Tabela2[[#This Row],[SIGLA]],créditos_base!B:C,2,0))</f>
        <v>VICTOR LEMOS/ARQUIVO DA EDITORA</v>
      </c>
      <c r="Y331" s="24"/>
      <c r="Z331" s="24" t="str">
        <f>Tabela2[[#This Row],[ILUSTRADOR CRIAÇÃO]]</f>
        <v>VICTOR LEMOS/ARQUIVO DA EDITORA</v>
      </c>
      <c r="AA331" s="23"/>
      <c r="AB331" s="22"/>
      <c r="AC331" s="22"/>
      <c r="AD331" s="4" t="str">
        <f t="shared" si="5"/>
        <v>EF1 E001 HGC</v>
      </c>
    </row>
    <row r="332" spans="1:30" s="14" customFormat="1" ht="30" x14ac:dyDescent="0.25">
      <c r="A332" s="24" t="s">
        <v>735</v>
      </c>
      <c r="B332" s="22" t="s">
        <v>31</v>
      </c>
      <c r="C332" s="22" t="s">
        <v>32</v>
      </c>
      <c r="D332" s="22" t="s">
        <v>33</v>
      </c>
      <c r="E332" s="23">
        <v>101</v>
      </c>
      <c r="F332" s="23">
        <v>2</v>
      </c>
      <c r="G332" s="23">
        <v>2</v>
      </c>
      <c r="H332" s="23"/>
      <c r="I332" s="24" t="s">
        <v>34</v>
      </c>
      <c r="J332" s="24"/>
      <c r="K332" s="23"/>
      <c r="L332" s="23"/>
      <c r="M332" s="24"/>
      <c r="N332" s="24"/>
      <c r="O332" s="26" t="s">
        <v>736</v>
      </c>
      <c r="P332" s="26"/>
      <c r="Q332" s="23"/>
      <c r="R332" s="25"/>
      <c r="S332" s="25"/>
      <c r="T332" s="25"/>
      <c r="U332" s="25"/>
      <c r="V332" s="25"/>
      <c r="W332" s="23" t="s">
        <v>154</v>
      </c>
      <c r="X332" s="4" t="str">
        <f>IF(Tabela2[[#This Row],[SIGLA]]="","",VLOOKUP(Tabela2[[#This Row],[SIGLA]],créditos_base!B:C,2,0))</f>
        <v>VICTOR LEMOS/ARQUIVO DA EDITORA</v>
      </c>
      <c r="Y332" s="24"/>
      <c r="Z332" s="24" t="str">
        <f>Tabela2[[#This Row],[ILUSTRADOR CRIAÇÃO]]</f>
        <v>VICTOR LEMOS/ARQUIVO DA EDITORA</v>
      </c>
      <c r="AA332" s="23"/>
      <c r="AB332" s="22"/>
      <c r="AC332" s="22"/>
      <c r="AD332" s="4" t="str">
        <f t="shared" si="5"/>
        <v>EF1 E001 HGC</v>
      </c>
    </row>
    <row r="333" spans="1:30" s="14" customFormat="1" ht="45" x14ac:dyDescent="0.25">
      <c r="A333" s="24" t="s">
        <v>737</v>
      </c>
      <c r="B333" s="22" t="s">
        <v>31</v>
      </c>
      <c r="C333" s="22" t="s">
        <v>32</v>
      </c>
      <c r="D333" s="22" t="s">
        <v>33</v>
      </c>
      <c r="E333" s="23">
        <v>101</v>
      </c>
      <c r="F333" s="23">
        <v>2</v>
      </c>
      <c r="G333" s="23">
        <v>2</v>
      </c>
      <c r="H333" s="23"/>
      <c r="I333" s="24" t="s">
        <v>38</v>
      </c>
      <c r="J333" s="24"/>
      <c r="K333" s="23"/>
      <c r="L333" s="23"/>
      <c r="M333" s="24"/>
      <c r="N333" s="24"/>
      <c r="O333" s="26" t="s">
        <v>738</v>
      </c>
      <c r="P333" s="26"/>
      <c r="Q333" s="23">
        <v>1</v>
      </c>
      <c r="R333" s="25">
        <v>45790</v>
      </c>
      <c r="S333" s="25">
        <v>45792</v>
      </c>
      <c r="T333" s="25"/>
      <c r="U333" s="25"/>
      <c r="V333" s="25">
        <v>45793</v>
      </c>
      <c r="W333" s="23" t="s">
        <v>154</v>
      </c>
      <c r="X333" s="4" t="str">
        <f>IF(Tabela2[[#This Row],[SIGLA]]="","",VLOOKUP(Tabela2[[#This Row],[SIGLA]],créditos_base!B:C,2,0))</f>
        <v>VICTOR LEMOS/ARQUIVO DA EDITORA</v>
      </c>
      <c r="Y333" s="24" t="s">
        <v>583</v>
      </c>
      <c r="Z333" s="24" t="str">
        <f>Tabela2[[#This Row],[ILUSTRADOR CRIAÇÃO]]</f>
        <v>VICTOR LEMOS/ARQUIVO DA EDITORA</v>
      </c>
      <c r="AA333" s="23"/>
      <c r="AB333" s="22"/>
      <c r="AC333" s="22" t="s">
        <v>43</v>
      </c>
      <c r="AD333" s="4" t="str">
        <f t="shared" si="5"/>
        <v>EF1 E001 HGC</v>
      </c>
    </row>
    <row r="334" spans="1:30" s="14" customFormat="1" ht="45" x14ac:dyDescent="0.25">
      <c r="A334" s="24" t="s">
        <v>739</v>
      </c>
      <c r="B334" s="22" t="s">
        <v>31</v>
      </c>
      <c r="C334" s="22" t="s">
        <v>32</v>
      </c>
      <c r="D334" s="22" t="s">
        <v>33</v>
      </c>
      <c r="E334" s="23">
        <v>102</v>
      </c>
      <c r="F334" s="23">
        <v>2</v>
      </c>
      <c r="G334" s="23">
        <v>2</v>
      </c>
      <c r="H334" s="23"/>
      <c r="I334" s="24" t="s">
        <v>34</v>
      </c>
      <c r="J334" s="24"/>
      <c r="K334" s="23"/>
      <c r="L334" s="23"/>
      <c r="M334" s="24"/>
      <c r="N334" s="24"/>
      <c r="O334" s="26" t="s">
        <v>740</v>
      </c>
      <c r="P334" s="26"/>
      <c r="Q334" s="23"/>
      <c r="R334" s="25"/>
      <c r="S334" s="25"/>
      <c r="T334" s="25"/>
      <c r="U334" s="25"/>
      <c r="V334" s="25"/>
      <c r="W334" s="23" t="s">
        <v>154</v>
      </c>
      <c r="X334" s="4" t="str">
        <f>IF(Tabela2[[#This Row],[SIGLA]]="","",VLOOKUP(Tabela2[[#This Row],[SIGLA]],créditos_base!B:C,2,0))</f>
        <v>VICTOR LEMOS/ARQUIVO DA EDITORA</v>
      </c>
      <c r="Y334" s="24"/>
      <c r="Z334" s="24" t="str">
        <f>Tabela2[[#This Row],[ILUSTRADOR CRIAÇÃO]]</f>
        <v>VICTOR LEMOS/ARQUIVO DA EDITORA</v>
      </c>
      <c r="AA334" s="23"/>
      <c r="AB334" s="22"/>
      <c r="AC334" s="22"/>
      <c r="AD334" s="4" t="str">
        <f t="shared" si="5"/>
        <v>EF1 E001 HGC</v>
      </c>
    </row>
    <row r="335" spans="1:30" s="14" customFormat="1" ht="30" x14ac:dyDescent="0.25">
      <c r="A335" s="24" t="s">
        <v>741</v>
      </c>
      <c r="B335" s="22" t="s">
        <v>31</v>
      </c>
      <c r="C335" s="22" t="s">
        <v>32</v>
      </c>
      <c r="D335" s="22" t="s">
        <v>33</v>
      </c>
      <c r="E335" s="23">
        <v>102</v>
      </c>
      <c r="F335" s="23">
        <v>2</v>
      </c>
      <c r="G335" s="23">
        <v>2</v>
      </c>
      <c r="H335" s="23"/>
      <c r="I335" s="24" t="s">
        <v>34</v>
      </c>
      <c r="J335" s="24"/>
      <c r="K335" s="23"/>
      <c r="L335" s="23"/>
      <c r="M335" s="24"/>
      <c r="N335" s="24"/>
      <c r="O335" s="26" t="s">
        <v>742</v>
      </c>
      <c r="P335" s="26"/>
      <c r="Q335" s="23"/>
      <c r="R335" s="25"/>
      <c r="S335" s="25"/>
      <c r="T335" s="25"/>
      <c r="U335" s="25"/>
      <c r="V335" s="25"/>
      <c r="W335" s="23" t="s">
        <v>154</v>
      </c>
      <c r="X335" s="4" t="str">
        <f>IF(Tabela2[[#This Row],[SIGLA]]="","",VLOOKUP(Tabela2[[#This Row],[SIGLA]],créditos_base!B:C,2,0))</f>
        <v>VICTOR LEMOS/ARQUIVO DA EDITORA</v>
      </c>
      <c r="Y335" s="24"/>
      <c r="Z335" s="24" t="str">
        <f>Tabela2[[#This Row],[ILUSTRADOR CRIAÇÃO]]</f>
        <v>VICTOR LEMOS/ARQUIVO DA EDITORA</v>
      </c>
      <c r="AA335" s="23"/>
      <c r="AB335" s="22"/>
      <c r="AC335" s="22"/>
      <c r="AD335" s="4" t="str">
        <f t="shared" si="5"/>
        <v>EF1 E001 HGC</v>
      </c>
    </row>
    <row r="336" spans="1:30" s="14" customFormat="1" x14ac:dyDescent="0.25">
      <c r="A336" s="24" t="s">
        <v>743</v>
      </c>
      <c r="B336" s="22" t="s">
        <v>31</v>
      </c>
      <c r="C336" s="22" t="s">
        <v>32</v>
      </c>
      <c r="D336" s="22" t="s">
        <v>33</v>
      </c>
      <c r="E336" s="23">
        <v>104</v>
      </c>
      <c r="F336" s="23">
        <v>2</v>
      </c>
      <c r="G336" s="23">
        <v>2</v>
      </c>
      <c r="H336" s="23"/>
      <c r="I336" s="24" t="s">
        <v>34</v>
      </c>
      <c r="J336" s="24"/>
      <c r="K336" s="23"/>
      <c r="L336" s="23"/>
      <c r="M336" s="24"/>
      <c r="N336" s="24"/>
      <c r="O336" s="26" t="s">
        <v>744</v>
      </c>
      <c r="P336" s="26"/>
      <c r="Q336" s="23"/>
      <c r="R336" s="25"/>
      <c r="S336" s="25"/>
      <c r="T336" s="25"/>
      <c r="U336" s="25"/>
      <c r="V336" s="25"/>
      <c r="W336" s="23" t="s">
        <v>745</v>
      </c>
      <c r="X336" s="4" t="str">
        <f>IF(Tabela2[[#This Row],[SIGLA]]="","",VLOOKUP(Tabela2[[#This Row],[SIGLA]],créditos_base!B:C,2,0))</f>
        <v>LUIZ PEREZ LENTINI/ARQUIVO DA EDITORA</v>
      </c>
      <c r="Y336" s="24"/>
      <c r="Z336" s="24" t="str">
        <f>Tabela2[[#This Row],[ILUSTRADOR CRIAÇÃO]]</f>
        <v>LUIZ PEREZ LENTINI/ARQUIVO DA EDITORA</v>
      </c>
      <c r="AA336" s="23"/>
      <c r="AB336" s="22"/>
      <c r="AC336" s="22"/>
      <c r="AD336" s="4" t="str">
        <f t="shared" si="5"/>
        <v>EF1 E001 HGC</v>
      </c>
    </row>
    <row r="337" spans="1:30" s="14" customFormat="1" x14ac:dyDescent="0.25">
      <c r="A337" s="24" t="s">
        <v>746</v>
      </c>
      <c r="B337" s="22" t="s">
        <v>31</v>
      </c>
      <c r="C337" s="22" t="s">
        <v>32</v>
      </c>
      <c r="D337" s="22" t="s">
        <v>33</v>
      </c>
      <c r="E337" s="23">
        <v>104</v>
      </c>
      <c r="F337" s="23">
        <v>2</v>
      </c>
      <c r="G337" s="23">
        <v>2</v>
      </c>
      <c r="H337" s="23"/>
      <c r="I337" s="24" t="s">
        <v>34</v>
      </c>
      <c r="J337" s="24"/>
      <c r="K337" s="23"/>
      <c r="L337" s="23"/>
      <c r="M337" s="24"/>
      <c r="N337" s="24"/>
      <c r="O337" s="26" t="s">
        <v>747</v>
      </c>
      <c r="P337" s="26"/>
      <c r="Q337" s="23"/>
      <c r="R337" s="25"/>
      <c r="S337" s="25"/>
      <c r="T337" s="25"/>
      <c r="U337" s="25"/>
      <c r="V337" s="25"/>
      <c r="W337" s="23" t="s">
        <v>745</v>
      </c>
      <c r="X337" s="4" t="str">
        <f>IF(Tabela2[[#This Row],[SIGLA]]="","",VLOOKUP(Tabela2[[#This Row],[SIGLA]],créditos_base!B:C,2,0))</f>
        <v>LUIZ PEREZ LENTINI/ARQUIVO DA EDITORA</v>
      </c>
      <c r="Y337" s="24"/>
      <c r="Z337" s="24" t="str">
        <f>Tabela2[[#This Row],[ILUSTRADOR CRIAÇÃO]]</f>
        <v>LUIZ PEREZ LENTINI/ARQUIVO DA EDITORA</v>
      </c>
      <c r="AA337" s="23"/>
      <c r="AB337" s="22"/>
      <c r="AC337" s="22"/>
      <c r="AD337" s="4" t="str">
        <f t="shared" si="5"/>
        <v>EF1 E001 HGC</v>
      </c>
    </row>
    <row r="338" spans="1:30" s="14" customFormat="1" ht="30" x14ac:dyDescent="0.25">
      <c r="A338" s="24" t="s">
        <v>748</v>
      </c>
      <c r="B338" s="22" t="s">
        <v>31</v>
      </c>
      <c r="C338" s="22" t="s">
        <v>32</v>
      </c>
      <c r="D338" s="22" t="s">
        <v>33</v>
      </c>
      <c r="E338" s="23">
        <v>104</v>
      </c>
      <c r="F338" s="23">
        <v>2</v>
      </c>
      <c r="G338" s="23">
        <v>2</v>
      </c>
      <c r="H338" s="23"/>
      <c r="I338" s="24" t="s">
        <v>34</v>
      </c>
      <c r="J338" s="24"/>
      <c r="K338" s="23"/>
      <c r="L338" s="23"/>
      <c r="M338" s="24"/>
      <c r="N338" s="24"/>
      <c r="O338" s="26" t="s">
        <v>749</v>
      </c>
      <c r="P338" s="26"/>
      <c r="Q338" s="23"/>
      <c r="R338" s="25"/>
      <c r="S338" s="25"/>
      <c r="T338" s="25"/>
      <c r="U338" s="25"/>
      <c r="V338" s="25"/>
      <c r="W338" s="23" t="s">
        <v>745</v>
      </c>
      <c r="X338" s="4" t="str">
        <f>IF(Tabela2[[#This Row],[SIGLA]]="","",VLOOKUP(Tabela2[[#This Row],[SIGLA]],créditos_base!B:C,2,0))</f>
        <v>LUIZ PEREZ LENTINI/ARQUIVO DA EDITORA</v>
      </c>
      <c r="Y338" s="24"/>
      <c r="Z338" s="24" t="str">
        <f>Tabela2[[#This Row],[ILUSTRADOR CRIAÇÃO]]</f>
        <v>LUIZ PEREZ LENTINI/ARQUIVO DA EDITORA</v>
      </c>
      <c r="AA338" s="23"/>
      <c r="AB338" s="22"/>
      <c r="AC338" s="22"/>
      <c r="AD338" s="4" t="str">
        <f t="shared" si="5"/>
        <v>EF1 E001 HGC</v>
      </c>
    </row>
    <row r="339" spans="1:30" s="14" customFormat="1" ht="30" x14ac:dyDescent="0.25">
      <c r="A339" s="24" t="s">
        <v>750</v>
      </c>
      <c r="B339" s="22" t="s">
        <v>31</v>
      </c>
      <c r="C339" s="22" t="s">
        <v>32</v>
      </c>
      <c r="D339" s="22" t="s">
        <v>33</v>
      </c>
      <c r="E339" s="23">
        <v>105</v>
      </c>
      <c r="F339" s="23">
        <v>2</v>
      </c>
      <c r="G339" s="23">
        <v>2</v>
      </c>
      <c r="H339" s="23"/>
      <c r="I339" s="24" t="s">
        <v>34</v>
      </c>
      <c r="J339" s="24"/>
      <c r="K339" s="23"/>
      <c r="L339" s="23"/>
      <c r="M339" s="24"/>
      <c r="N339" s="24"/>
      <c r="O339" s="26" t="s">
        <v>751</v>
      </c>
      <c r="P339" s="26"/>
      <c r="Q339" s="23"/>
      <c r="R339" s="25"/>
      <c r="S339" s="25"/>
      <c r="T339" s="25"/>
      <c r="U339" s="25"/>
      <c r="V339" s="25"/>
      <c r="W339" s="23" t="s">
        <v>745</v>
      </c>
      <c r="X339" s="4" t="str">
        <f>IF(Tabela2[[#This Row],[SIGLA]]="","",VLOOKUP(Tabela2[[#This Row],[SIGLA]],créditos_base!B:C,2,0))</f>
        <v>LUIZ PEREZ LENTINI/ARQUIVO DA EDITORA</v>
      </c>
      <c r="Y339" s="24"/>
      <c r="Z339" s="24" t="str">
        <f>Tabela2[[#This Row],[ILUSTRADOR CRIAÇÃO]]</f>
        <v>LUIZ PEREZ LENTINI/ARQUIVO DA EDITORA</v>
      </c>
      <c r="AA339" s="23"/>
      <c r="AB339" s="22"/>
      <c r="AC339" s="22"/>
      <c r="AD339" s="4" t="str">
        <f t="shared" si="5"/>
        <v>EF1 E001 HGC</v>
      </c>
    </row>
    <row r="340" spans="1:30" s="14" customFormat="1" ht="30" x14ac:dyDescent="0.25">
      <c r="A340" s="24" t="s">
        <v>752</v>
      </c>
      <c r="B340" s="22" t="s">
        <v>31</v>
      </c>
      <c r="C340" s="22" t="s">
        <v>32</v>
      </c>
      <c r="D340" s="22" t="s">
        <v>33</v>
      </c>
      <c r="E340" s="23">
        <v>105</v>
      </c>
      <c r="F340" s="23">
        <v>2</v>
      </c>
      <c r="G340" s="23">
        <v>2</v>
      </c>
      <c r="H340" s="23"/>
      <c r="I340" s="24" t="s">
        <v>34</v>
      </c>
      <c r="J340" s="24"/>
      <c r="K340" s="23"/>
      <c r="L340" s="23"/>
      <c r="M340" s="24"/>
      <c r="N340" s="24"/>
      <c r="O340" s="26" t="s">
        <v>753</v>
      </c>
      <c r="P340" s="26"/>
      <c r="Q340" s="23"/>
      <c r="R340" s="25"/>
      <c r="S340" s="25"/>
      <c r="T340" s="25"/>
      <c r="U340" s="25"/>
      <c r="V340" s="25"/>
      <c r="W340" s="23" t="s">
        <v>745</v>
      </c>
      <c r="X340" s="4" t="str">
        <f>IF(Tabela2[[#This Row],[SIGLA]]="","",VLOOKUP(Tabela2[[#This Row],[SIGLA]],créditos_base!B:C,2,0))</f>
        <v>LUIZ PEREZ LENTINI/ARQUIVO DA EDITORA</v>
      </c>
      <c r="Y340" s="24"/>
      <c r="Z340" s="24" t="str">
        <f>Tabela2[[#This Row],[ILUSTRADOR CRIAÇÃO]]</f>
        <v>LUIZ PEREZ LENTINI/ARQUIVO DA EDITORA</v>
      </c>
      <c r="AA340" s="23"/>
      <c r="AB340" s="22"/>
      <c r="AC340" s="22"/>
      <c r="AD340" s="4" t="str">
        <f t="shared" si="5"/>
        <v>EF1 E001 HGC</v>
      </c>
    </row>
    <row r="341" spans="1:30" s="14" customFormat="1" x14ac:dyDescent="0.25">
      <c r="A341" s="24" t="s">
        <v>754</v>
      </c>
      <c r="B341" s="22" t="s">
        <v>31</v>
      </c>
      <c r="C341" s="22" t="s">
        <v>32</v>
      </c>
      <c r="D341" s="22" t="s">
        <v>33</v>
      </c>
      <c r="E341" s="23">
        <v>105</v>
      </c>
      <c r="F341" s="23">
        <v>2</v>
      </c>
      <c r="G341" s="23">
        <v>2</v>
      </c>
      <c r="H341" s="23"/>
      <c r="I341" s="24" t="s">
        <v>34</v>
      </c>
      <c r="J341" s="24"/>
      <c r="K341" s="23"/>
      <c r="L341" s="23"/>
      <c r="M341" s="24"/>
      <c r="N341" s="24"/>
      <c r="O341" s="26" t="s">
        <v>755</v>
      </c>
      <c r="P341" s="26"/>
      <c r="Q341" s="23"/>
      <c r="R341" s="25"/>
      <c r="S341" s="25"/>
      <c r="T341" s="25"/>
      <c r="U341" s="25"/>
      <c r="V341" s="25"/>
      <c r="W341" s="23" t="s">
        <v>745</v>
      </c>
      <c r="X341" s="4" t="str">
        <f>IF(Tabela2[[#This Row],[SIGLA]]="","",VLOOKUP(Tabela2[[#This Row],[SIGLA]],créditos_base!B:C,2,0))</f>
        <v>LUIZ PEREZ LENTINI/ARQUIVO DA EDITORA</v>
      </c>
      <c r="Y341" s="24"/>
      <c r="Z341" s="24" t="str">
        <f>Tabela2[[#This Row],[ILUSTRADOR CRIAÇÃO]]</f>
        <v>LUIZ PEREZ LENTINI/ARQUIVO DA EDITORA</v>
      </c>
      <c r="AA341" s="23"/>
      <c r="AB341" s="22"/>
      <c r="AC341" s="22"/>
      <c r="AD341" s="4" t="str">
        <f t="shared" si="5"/>
        <v>EF1 E001 HGC</v>
      </c>
    </row>
    <row r="342" spans="1:30" s="14" customFormat="1" ht="30" x14ac:dyDescent="0.25">
      <c r="A342" s="24" t="s">
        <v>756</v>
      </c>
      <c r="B342" s="22" t="s">
        <v>31</v>
      </c>
      <c r="C342" s="22" t="s">
        <v>32</v>
      </c>
      <c r="D342" s="22" t="s">
        <v>33</v>
      </c>
      <c r="E342" s="23">
        <v>105</v>
      </c>
      <c r="F342" s="23">
        <v>2</v>
      </c>
      <c r="G342" s="23">
        <v>2</v>
      </c>
      <c r="H342" s="23"/>
      <c r="I342" s="24" t="s">
        <v>34</v>
      </c>
      <c r="J342" s="24"/>
      <c r="K342" s="23"/>
      <c r="L342" s="23"/>
      <c r="M342" s="24"/>
      <c r="N342" s="24"/>
      <c r="O342" s="26" t="s">
        <v>757</v>
      </c>
      <c r="P342" s="26"/>
      <c r="Q342" s="23"/>
      <c r="R342" s="25"/>
      <c r="S342" s="25"/>
      <c r="T342" s="25"/>
      <c r="U342" s="25"/>
      <c r="V342" s="25"/>
      <c r="W342" s="23" t="s">
        <v>745</v>
      </c>
      <c r="X342" s="4" t="str">
        <f>IF(Tabela2[[#This Row],[SIGLA]]="","",VLOOKUP(Tabela2[[#This Row],[SIGLA]],créditos_base!B:C,2,0))</f>
        <v>LUIZ PEREZ LENTINI/ARQUIVO DA EDITORA</v>
      </c>
      <c r="Y342" s="24"/>
      <c r="Z342" s="24" t="str">
        <f>Tabela2[[#This Row],[ILUSTRADOR CRIAÇÃO]]</f>
        <v>LUIZ PEREZ LENTINI/ARQUIVO DA EDITORA</v>
      </c>
      <c r="AA342" s="23"/>
      <c r="AB342" s="22"/>
      <c r="AC342" s="22"/>
      <c r="AD342" s="4" t="str">
        <f t="shared" si="5"/>
        <v>EF1 E001 HGC</v>
      </c>
    </row>
    <row r="343" spans="1:30" s="14" customFormat="1" ht="75" x14ac:dyDescent="0.25">
      <c r="A343" s="24" t="s">
        <v>758</v>
      </c>
      <c r="B343" s="22" t="s">
        <v>31</v>
      </c>
      <c r="C343" s="22" t="s">
        <v>32</v>
      </c>
      <c r="D343" s="22" t="s">
        <v>33</v>
      </c>
      <c r="E343" s="23">
        <v>108</v>
      </c>
      <c r="F343" s="23">
        <v>2</v>
      </c>
      <c r="G343" s="23">
        <v>2</v>
      </c>
      <c r="H343" s="23"/>
      <c r="I343" s="24" t="s">
        <v>177</v>
      </c>
      <c r="J343" s="24"/>
      <c r="K343" s="23"/>
      <c r="L343" s="23"/>
      <c r="M343" s="24"/>
      <c r="N343" s="24"/>
      <c r="O343" s="26" t="s">
        <v>759</v>
      </c>
      <c r="P343" s="26"/>
      <c r="Q343" s="23">
        <v>1</v>
      </c>
      <c r="R343" s="25">
        <v>45790</v>
      </c>
      <c r="S343" s="25">
        <v>45792</v>
      </c>
      <c r="T343" s="25"/>
      <c r="U343" s="25"/>
      <c r="V343" s="25">
        <v>45793</v>
      </c>
      <c r="W343" s="23" t="s">
        <v>280</v>
      </c>
      <c r="X343" s="4" t="str">
        <f>IF(Tabela2[[#This Row],[SIGLA]]="","",VLOOKUP(Tabela2[[#This Row],[SIGLA]],créditos_base!B:C,2,0))</f>
        <v>HELOÍSA PINTARELLI/ARQUIVO DA EDITORA</v>
      </c>
      <c r="Y343" s="24"/>
      <c r="Z343" s="24" t="str">
        <f>Tabela2[[#This Row],[ILUSTRADOR CRIAÇÃO]]</f>
        <v>HELOÍSA PINTARELLI/ARQUIVO DA EDITORA</v>
      </c>
      <c r="AA343" s="23">
        <v>7</v>
      </c>
      <c r="AB343" s="22" t="s">
        <v>760</v>
      </c>
      <c r="AC343" s="22" t="s">
        <v>340</v>
      </c>
      <c r="AD343" s="4" t="str">
        <f t="shared" si="5"/>
        <v>EF1 E001 HGC</v>
      </c>
    </row>
    <row r="344" spans="1:30" s="14" customFormat="1" ht="75" x14ac:dyDescent="0.25">
      <c r="A344" s="24" t="s">
        <v>761</v>
      </c>
      <c r="B344" s="22" t="s">
        <v>31</v>
      </c>
      <c r="C344" s="22" t="s">
        <v>32</v>
      </c>
      <c r="D344" s="22" t="s">
        <v>33</v>
      </c>
      <c r="E344" s="23">
        <v>108</v>
      </c>
      <c r="F344" s="23">
        <v>2</v>
      </c>
      <c r="G344" s="23">
        <v>2</v>
      </c>
      <c r="H344" s="23"/>
      <c r="I344" s="24" t="s">
        <v>177</v>
      </c>
      <c r="J344" s="24"/>
      <c r="K344" s="23"/>
      <c r="L344" s="23"/>
      <c r="M344" s="24"/>
      <c r="N344" s="24"/>
      <c r="O344" s="26" t="s">
        <v>762</v>
      </c>
      <c r="P344" s="26"/>
      <c r="Q344" s="23">
        <v>1</v>
      </c>
      <c r="R344" s="25">
        <v>45790</v>
      </c>
      <c r="S344" s="25">
        <v>45792</v>
      </c>
      <c r="T344" s="25"/>
      <c r="U344" s="25"/>
      <c r="V344" s="25">
        <v>45793</v>
      </c>
      <c r="W344" s="23" t="s">
        <v>280</v>
      </c>
      <c r="X344" s="4" t="str">
        <f>IF(Tabela2[[#This Row],[SIGLA]]="","",VLOOKUP(Tabela2[[#This Row],[SIGLA]],créditos_base!B:C,2,0))</f>
        <v>HELOÍSA PINTARELLI/ARQUIVO DA EDITORA</v>
      </c>
      <c r="Y344" s="24"/>
      <c r="Z344" s="24" t="str">
        <f>Tabela2[[#This Row],[ILUSTRADOR CRIAÇÃO]]</f>
        <v>HELOÍSA PINTARELLI/ARQUIVO DA EDITORA</v>
      </c>
      <c r="AA344" s="23">
        <v>7</v>
      </c>
      <c r="AB344" s="22" t="s">
        <v>760</v>
      </c>
      <c r="AC344" s="22" t="s">
        <v>340</v>
      </c>
      <c r="AD344" s="4" t="str">
        <f t="shared" si="5"/>
        <v>EF1 E001 HGC</v>
      </c>
    </row>
    <row r="345" spans="1:30" s="14" customFormat="1" ht="135" x14ac:dyDescent="0.25">
      <c r="A345" s="24" t="s">
        <v>763</v>
      </c>
      <c r="B345" s="22" t="s">
        <v>31</v>
      </c>
      <c r="C345" s="22" t="s">
        <v>32</v>
      </c>
      <c r="D345" s="22" t="s">
        <v>33</v>
      </c>
      <c r="E345" s="23">
        <v>109</v>
      </c>
      <c r="F345" s="23">
        <v>2</v>
      </c>
      <c r="G345" s="23">
        <v>2</v>
      </c>
      <c r="H345" s="23"/>
      <c r="I345" s="24" t="s">
        <v>38</v>
      </c>
      <c r="J345" s="24"/>
      <c r="K345" s="23"/>
      <c r="L345" s="23"/>
      <c r="M345" s="24"/>
      <c r="N345" s="24"/>
      <c r="O345" s="26" t="s">
        <v>764</v>
      </c>
      <c r="P345" s="26"/>
      <c r="Q345" s="23">
        <v>1</v>
      </c>
      <c r="R345" s="25">
        <v>45790</v>
      </c>
      <c r="S345" s="25">
        <v>45792</v>
      </c>
      <c r="T345" s="25"/>
      <c r="U345" s="25"/>
      <c r="V345" s="25">
        <v>45793</v>
      </c>
      <c r="W345" s="23" t="s">
        <v>745</v>
      </c>
      <c r="X345" s="4" t="str">
        <f>IF(Tabela2[[#This Row],[SIGLA]]="","",VLOOKUP(Tabela2[[#This Row],[SIGLA]],créditos_base!B:C,2,0))</f>
        <v>LUIZ PEREZ LENTINI/ARQUIVO DA EDITORA</v>
      </c>
      <c r="Y345" s="24" t="s">
        <v>583</v>
      </c>
      <c r="Z345" s="24" t="str">
        <f>Tabela2[[#This Row],[ILUSTRADOR CRIAÇÃO]]</f>
        <v>LUIZ PEREZ LENTINI/ARQUIVO DA EDITORA</v>
      </c>
      <c r="AA345" s="23"/>
      <c r="AB345" s="22"/>
      <c r="AC345" s="22" t="s">
        <v>43</v>
      </c>
      <c r="AD345" s="4" t="str">
        <f t="shared" si="5"/>
        <v>EF1 E001 HGC</v>
      </c>
    </row>
    <row r="346" spans="1:30" s="14" customFormat="1" ht="45" x14ac:dyDescent="0.25">
      <c r="A346" s="24" t="s">
        <v>765</v>
      </c>
      <c r="B346" s="22" t="s">
        <v>83</v>
      </c>
      <c r="C346" s="22" t="s">
        <v>32</v>
      </c>
      <c r="D346" s="22" t="s">
        <v>33</v>
      </c>
      <c r="E346" s="23">
        <v>109</v>
      </c>
      <c r="F346" s="23">
        <v>2</v>
      </c>
      <c r="G346" s="23">
        <v>2</v>
      </c>
      <c r="H346" s="23"/>
      <c r="I346" s="24" t="s">
        <v>38</v>
      </c>
      <c r="J346" s="24"/>
      <c r="K346" s="23"/>
      <c r="L346" s="23"/>
      <c r="M346" s="24"/>
      <c r="N346" s="24"/>
      <c r="O346" s="26" t="s">
        <v>766</v>
      </c>
      <c r="P346" s="26"/>
      <c r="Q346" s="23">
        <v>1</v>
      </c>
      <c r="R346" s="25">
        <v>45790</v>
      </c>
      <c r="S346" s="25">
        <v>45792</v>
      </c>
      <c r="T346" s="25"/>
      <c r="U346" s="25"/>
      <c r="V346" s="25">
        <v>45793</v>
      </c>
      <c r="W346" s="23" t="s">
        <v>745</v>
      </c>
      <c r="X346" s="4" t="str">
        <f>IF(Tabela2[[#This Row],[SIGLA]]="","",VLOOKUP(Tabela2[[#This Row],[SIGLA]],créditos_base!B:C,2,0))</f>
        <v>LUIZ PEREZ LENTINI/ARQUIVO DA EDITORA</v>
      </c>
      <c r="Y346" s="24" t="s">
        <v>583</v>
      </c>
      <c r="Z346" s="24" t="str">
        <f>Tabela2[[#This Row],[ILUSTRADOR CRIAÇÃO]]</f>
        <v>LUIZ PEREZ LENTINI/ARQUIVO DA EDITORA</v>
      </c>
      <c r="AA346" s="23"/>
      <c r="AB346" s="22"/>
      <c r="AC346" s="22" t="s">
        <v>43</v>
      </c>
      <c r="AD346" s="4" t="str">
        <f t="shared" si="5"/>
        <v>EF1 E001 HGC</v>
      </c>
    </row>
    <row r="347" spans="1:30" s="14" customFormat="1" ht="75" x14ac:dyDescent="0.25">
      <c r="A347" s="24" t="s">
        <v>767</v>
      </c>
      <c r="B347" s="22" t="s">
        <v>31</v>
      </c>
      <c r="C347" s="22" t="s">
        <v>32</v>
      </c>
      <c r="D347" s="22" t="s">
        <v>33</v>
      </c>
      <c r="E347" s="23">
        <v>125</v>
      </c>
      <c r="F347" s="23">
        <v>2</v>
      </c>
      <c r="G347" s="23">
        <v>2</v>
      </c>
      <c r="H347" s="23"/>
      <c r="I347" s="24" t="s">
        <v>177</v>
      </c>
      <c r="J347" s="24"/>
      <c r="K347" s="23"/>
      <c r="L347" s="23"/>
      <c r="M347" s="24"/>
      <c r="N347" s="24"/>
      <c r="O347" s="26" t="s">
        <v>768</v>
      </c>
      <c r="P347" s="26"/>
      <c r="Q347" s="23"/>
      <c r="R347" s="25">
        <v>45793</v>
      </c>
      <c r="S347" s="25">
        <v>45792</v>
      </c>
      <c r="T347" s="25">
        <v>45796</v>
      </c>
      <c r="U347" s="25">
        <v>45804</v>
      </c>
      <c r="V347" s="25">
        <v>45805</v>
      </c>
      <c r="W347" s="23" t="s">
        <v>297</v>
      </c>
      <c r="X347" s="4" t="str">
        <f>IF(Tabela2[[#This Row],[SIGLA]]="","",VLOOKUP(Tabela2[[#This Row],[SIGLA]],créditos_base!B:C,2,0))</f>
        <v>WERLLEN HOLANDA/ARQUIVO DA EDITORA</v>
      </c>
      <c r="Y347" s="24"/>
      <c r="Z347" s="24" t="str">
        <f>Tabela2[[#This Row],[ILUSTRADOR CRIAÇÃO]]</f>
        <v>WERLLEN HOLANDA/ARQUIVO DA EDITORA</v>
      </c>
      <c r="AA347" s="23">
        <v>5</v>
      </c>
      <c r="AB347" s="26" t="s">
        <v>769</v>
      </c>
      <c r="AC347" s="22" t="s">
        <v>340</v>
      </c>
      <c r="AD347" s="4" t="str">
        <f t="shared" si="5"/>
        <v>EF1 E001 HGC</v>
      </c>
    </row>
    <row r="348" spans="1:30" s="14" customFormat="1" x14ac:dyDescent="0.25">
      <c r="A348" s="24" t="s">
        <v>770</v>
      </c>
      <c r="B348" s="22" t="s">
        <v>67</v>
      </c>
      <c r="C348" s="22" t="s">
        <v>32</v>
      </c>
      <c r="D348" s="22" t="s">
        <v>33</v>
      </c>
      <c r="E348" s="23">
        <v>125</v>
      </c>
      <c r="F348" s="23">
        <v>2</v>
      </c>
      <c r="G348" s="23">
        <v>2</v>
      </c>
      <c r="H348" s="23"/>
      <c r="I348" s="24" t="s">
        <v>38</v>
      </c>
      <c r="J348" s="24"/>
      <c r="K348" s="23"/>
      <c r="L348" s="23"/>
      <c r="M348" s="24"/>
      <c r="N348" s="24"/>
      <c r="O348" s="26" t="s">
        <v>771</v>
      </c>
      <c r="P348" s="26"/>
      <c r="Q348" s="23">
        <v>34</v>
      </c>
      <c r="R348" s="25">
        <v>45915</v>
      </c>
      <c r="S348" s="25">
        <v>45915</v>
      </c>
      <c r="T348" s="25"/>
      <c r="U348" s="25"/>
      <c r="V348" s="25">
        <v>45916</v>
      </c>
      <c r="W348" s="23" t="s">
        <v>772</v>
      </c>
      <c r="X348" s="4" t="str">
        <f>IF(Tabela2[[#This Row],[SIGLA]]="","",VLOOKUP(Tabela2[[#This Row],[SIGLA]],créditos_base!B:C,2,0))</f>
        <v>SIDNEY SIQUEIRA MEIRELES/ARQUIVO DA EDITORA</v>
      </c>
      <c r="Y348" s="24" t="s">
        <v>773</v>
      </c>
      <c r="Z348" s="24" t="str">
        <f>Tabela2[[#This Row],[ILUSTRADOR CRIAÇÃO]]</f>
        <v>SIDNEY SIQUEIRA MEIRELES/ARQUIVO DA EDITORA</v>
      </c>
      <c r="AA348" s="23">
        <v>13</v>
      </c>
      <c r="AB348" s="22" t="s">
        <v>774</v>
      </c>
      <c r="AC348" s="22" t="s">
        <v>43</v>
      </c>
      <c r="AD348" s="4" t="str">
        <f t="shared" si="5"/>
        <v>EF1 E001 HGC</v>
      </c>
    </row>
    <row r="349" spans="1:30" s="14" customFormat="1" ht="30" x14ac:dyDescent="0.25">
      <c r="A349" s="24" t="s">
        <v>775</v>
      </c>
      <c r="B349" s="22" t="s">
        <v>31</v>
      </c>
      <c r="C349" s="22" t="s">
        <v>32</v>
      </c>
      <c r="D349" s="22" t="s">
        <v>33</v>
      </c>
      <c r="E349" s="23">
        <v>125</v>
      </c>
      <c r="F349" s="23">
        <v>2</v>
      </c>
      <c r="G349" s="23">
        <v>2</v>
      </c>
      <c r="H349" s="23"/>
      <c r="I349" s="24" t="s">
        <v>34</v>
      </c>
      <c r="J349" s="24"/>
      <c r="K349" s="23"/>
      <c r="L349" s="23"/>
      <c r="M349" s="24"/>
      <c r="N349" s="24"/>
      <c r="O349" s="26" t="s">
        <v>776</v>
      </c>
      <c r="P349" s="26"/>
      <c r="Q349" s="23"/>
      <c r="R349" s="25"/>
      <c r="S349" s="25"/>
      <c r="T349" s="25"/>
      <c r="U349" s="25"/>
      <c r="V349" s="25"/>
      <c r="W349" s="23" t="s">
        <v>772</v>
      </c>
      <c r="X349" s="4" t="str">
        <f>IF(Tabela2[[#This Row],[SIGLA]]="","",VLOOKUP(Tabela2[[#This Row],[SIGLA]],créditos_base!B:C,2,0))</f>
        <v>SIDNEY SIQUEIRA MEIRELES/ARQUIVO DA EDITORA</v>
      </c>
      <c r="Y349" s="24"/>
      <c r="Z349" s="24" t="str">
        <f>Tabela2[[#This Row],[ILUSTRADOR CRIAÇÃO]]</f>
        <v>SIDNEY SIQUEIRA MEIRELES/ARQUIVO DA EDITORA</v>
      </c>
      <c r="AA349" s="23"/>
      <c r="AB349" s="22"/>
      <c r="AC349" s="22"/>
      <c r="AD349" s="4" t="str">
        <f t="shared" si="5"/>
        <v>EF1 E001 HGC</v>
      </c>
    </row>
    <row r="350" spans="1:30" s="14" customFormat="1" ht="30" x14ac:dyDescent="0.25">
      <c r="A350" s="24" t="s">
        <v>777</v>
      </c>
      <c r="B350" s="22" t="s">
        <v>31</v>
      </c>
      <c r="C350" s="22" t="s">
        <v>32</v>
      </c>
      <c r="D350" s="22" t="s">
        <v>33</v>
      </c>
      <c r="E350" s="23">
        <v>125</v>
      </c>
      <c r="F350" s="23">
        <v>2</v>
      </c>
      <c r="G350" s="23">
        <v>2</v>
      </c>
      <c r="H350" s="23"/>
      <c r="I350" s="24" t="s">
        <v>34</v>
      </c>
      <c r="J350" s="24"/>
      <c r="K350" s="23"/>
      <c r="L350" s="23"/>
      <c r="M350" s="24"/>
      <c r="N350" s="24"/>
      <c r="O350" s="26" t="s">
        <v>778</v>
      </c>
      <c r="P350" s="26"/>
      <c r="Q350" s="23"/>
      <c r="R350" s="25"/>
      <c r="S350" s="25"/>
      <c r="T350" s="25"/>
      <c r="U350" s="25"/>
      <c r="V350" s="25"/>
      <c r="W350" s="23" t="s">
        <v>772</v>
      </c>
      <c r="X350" s="4" t="str">
        <f>IF(Tabela2[[#This Row],[SIGLA]]="","",VLOOKUP(Tabela2[[#This Row],[SIGLA]],créditos_base!B:C,2,0))</f>
        <v>SIDNEY SIQUEIRA MEIRELES/ARQUIVO DA EDITORA</v>
      </c>
      <c r="Y350" s="24"/>
      <c r="Z350" s="24" t="str">
        <f>Tabela2[[#This Row],[ILUSTRADOR CRIAÇÃO]]</f>
        <v>SIDNEY SIQUEIRA MEIRELES/ARQUIVO DA EDITORA</v>
      </c>
      <c r="AA350" s="23"/>
      <c r="AB350" s="22"/>
      <c r="AC350" s="22"/>
      <c r="AD350" s="4" t="str">
        <f t="shared" si="5"/>
        <v>EF1 E001 HGC</v>
      </c>
    </row>
    <row r="351" spans="1:30" s="14" customFormat="1" x14ac:dyDescent="0.25">
      <c r="A351" s="24" t="s">
        <v>779</v>
      </c>
      <c r="B351" s="22" t="s">
        <v>83</v>
      </c>
      <c r="C351" s="22" t="s">
        <v>32</v>
      </c>
      <c r="D351" s="22" t="s">
        <v>33</v>
      </c>
      <c r="E351" s="23">
        <v>125</v>
      </c>
      <c r="F351" s="23">
        <v>2</v>
      </c>
      <c r="G351" s="23">
        <v>2</v>
      </c>
      <c r="H351" s="23"/>
      <c r="I351" s="24" t="s">
        <v>34</v>
      </c>
      <c r="J351" s="24"/>
      <c r="K351" s="23"/>
      <c r="L351" s="23"/>
      <c r="M351" s="24"/>
      <c r="N351" s="24"/>
      <c r="O351" s="26" t="s">
        <v>780</v>
      </c>
      <c r="P351" s="26"/>
      <c r="Q351" s="23"/>
      <c r="R351" s="25"/>
      <c r="S351" s="25"/>
      <c r="T351" s="25"/>
      <c r="U351" s="25"/>
      <c r="V351" s="25"/>
      <c r="W351" s="23" t="s">
        <v>772</v>
      </c>
      <c r="X351" s="4" t="str">
        <f>IF(Tabela2[[#This Row],[SIGLA]]="","",VLOOKUP(Tabela2[[#This Row],[SIGLA]],créditos_base!B:C,2,0))</f>
        <v>SIDNEY SIQUEIRA MEIRELES/ARQUIVO DA EDITORA</v>
      </c>
      <c r="Y351" s="24"/>
      <c r="Z351" s="24" t="str">
        <f>Tabela2[[#This Row],[ILUSTRADOR CRIAÇÃO]]</f>
        <v>SIDNEY SIQUEIRA MEIRELES/ARQUIVO DA EDITORA</v>
      </c>
      <c r="AA351" s="23"/>
      <c r="AB351" s="22"/>
      <c r="AC351" s="22"/>
      <c r="AD351" s="4" t="str">
        <f t="shared" si="5"/>
        <v>EF1 E001 HGC</v>
      </c>
    </row>
    <row r="352" spans="1:30" s="14" customFormat="1" x14ac:dyDescent="0.25">
      <c r="A352" s="24" t="s">
        <v>781</v>
      </c>
      <c r="B352" s="22" t="s">
        <v>31</v>
      </c>
      <c r="C352" s="22" t="s">
        <v>32</v>
      </c>
      <c r="D352" s="22" t="s">
        <v>33</v>
      </c>
      <c r="E352" s="23">
        <v>127</v>
      </c>
      <c r="F352" s="23">
        <v>2</v>
      </c>
      <c r="G352" s="23">
        <v>2</v>
      </c>
      <c r="H352" s="23"/>
      <c r="I352" s="24" t="s">
        <v>38</v>
      </c>
      <c r="J352" s="24"/>
      <c r="K352" s="23"/>
      <c r="L352" s="23"/>
      <c r="M352" s="24"/>
      <c r="N352" s="24"/>
      <c r="O352" s="26" t="s">
        <v>782</v>
      </c>
      <c r="P352" s="26"/>
      <c r="Q352" s="23">
        <v>1</v>
      </c>
      <c r="R352" s="25">
        <v>45790</v>
      </c>
      <c r="S352" s="25">
        <v>45792</v>
      </c>
      <c r="T352" s="25"/>
      <c r="U352" s="25"/>
      <c r="V352" s="25">
        <v>45793</v>
      </c>
      <c r="W352" s="23" t="s">
        <v>36</v>
      </c>
      <c r="X352" s="4" t="str">
        <f>IF(Tabela2[[#This Row],[SIGLA]]="","",VLOOKUP(Tabela2[[#This Row],[SIGLA]],créditos_base!B:C,2,0))</f>
        <v>REINALDO ROSA/ARQUIVO DA EDITORA</v>
      </c>
      <c r="Y352" s="24" t="s">
        <v>583</v>
      </c>
      <c r="Z352" s="24" t="str">
        <f>Tabela2[[#This Row],[ILUSTRADOR CRIAÇÃO]]</f>
        <v>REINALDO ROSA/ARQUIVO DA EDITORA</v>
      </c>
      <c r="AA352" s="23"/>
      <c r="AB352" s="22"/>
      <c r="AC352" s="22" t="s">
        <v>43</v>
      </c>
      <c r="AD352" s="4" t="str">
        <f t="shared" si="5"/>
        <v>EF1 E001 HGC</v>
      </c>
    </row>
    <row r="353" spans="1:30" s="14" customFormat="1" ht="30" x14ac:dyDescent="0.25">
      <c r="A353" s="24" t="s">
        <v>783</v>
      </c>
      <c r="B353" s="22" t="s">
        <v>31</v>
      </c>
      <c r="C353" s="22" t="s">
        <v>32</v>
      </c>
      <c r="D353" s="22" t="s">
        <v>33</v>
      </c>
      <c r="E353" s="23">
        <v>109</v>
      </c>
      <c r="F353" s="23">
        <v>2</v>
      </c>
      <c r="G353" s="23">
        <v>2</v>
      </c>
      <c r="H353" s="23"/>
      <c r="I353" s="24" t="s">
        <v>34</v>
      </c>
      <c r="J353" s="24"/>
      <c r="K353" s="23"/>
      <c r="L353" s="23"/>
      <c r="M353" s="24"/>
      <c r="N353" s="24"/>
      <c r="O353" s="26" t="s">
        <v>784</v>
      </c>
      <c r="P353" s="26"/>
      <c r="Q353" s="23"/>
      <c r="R353" s="25"/>
      <c r="S353" s="25"/>
      <c r="T353" s="25"/>
      <c r="U353" s="25"/>
      <c r="V353" s="25"/>
      <c r="W353" s="23" t="s">
        <v>154</v>
      </c>
      <c r="X353" s="4" t="str">
        <f>IF(Tabela2[[#This Row],[SIGLA]]="","",VLOOKUP(Tabela2[[#This Row],[SIGLA]],créditos_base!B:C,2,0))</f>
        <v>VICTOR LEMOS/ARQUIVO DA EDITORA</v>
      </c>
      <c r="Y353" s="24"/>
      <c r="Z353" s="24" t="str">
        <f>Tabela2[[#This Row],[ILUSTRADOR CRIAÇÃO]]</f>
        <v>VICTOR LEMOS/ARQUIVO DA EDITORA</v>
      </c>
      <c r="AA353" s="23"/>
      <c r="AB353" s="22"/>
      <c r="AC353" s="22"/>
      <c r="AD353" s="4" t="str">
        <f t="shared" si="5"/>
        <v>EF1 E001 HGC</v>
      </c>
    </row>
    <row r="354" spans="1:30" s="14" customFormat="1" ht="30" x14ac:dyDescent="0.25">
      <c r="A354" s="24" t="s">
        <v>785</v>
      </c>
      <c r="B354" s="22" t="s">
        <v>67</v>
      </c>
      <c r="C354" s="22" t="s">
        <v>32</v>
      </c>
      <c r="D354" s="22" t="s">
        <v>33</v>
      </c>
      <c r="E354" s="23">
        <v>154</v>
      </c>
      <c r="F354" s="23">
        <v>2</v>
      </c>
      <c r="G354" s="23">
        <v>3</v>
      </c>
      <c r="H354" s="23"/>
      <c r="I354" s="24" t="s">
        <v>34</v>
      </c>
      <c r="J354" s="24"/>
      <c r="K354" s="23"/>
      <c r="L354" s="23"/>
      <c r="M354" s="24"/>
      <c r="N354" s="24"/>
      <c r="O354" s="26" t="s">
        <v>786</v>
      </c>
      <c r="P354" s="26"/>
      <c r="Q354" s="23"/>
      <c r="R354" s="25"/>
      <c r="S354" s="25"/>
      <c r="T354" s="25"/>
      <c r="U354" s="25"/>
      <c r="V354" s="25"/>
      <c r="W354" s="23" t="s">
        <v>40</v>
      </c>
      <c r="X354" s="4" t="str">
        <f>IF(Tabela2[[#This Row],[SIGLA]]="","",VLOOKUP(Tabela2[[#This Row],[SIGLA]],créditos_base!B:C,2,0))</f>
        <v>LISLLEY GOMES FEIGE/ARQUIVO DA EDITORA</v>
      </c>
      <c r="Y354" s="24"/>
      <c r="Z354" s="24" t="str">
        <f>Tabela2[[#This Row],[ILUSTRADOR CRIAÇÃO]]</f>
        <v>LISLLEY GOMES FEIGE/ARQUIVO DA EDITORA</v>
      </c>
      <c r="AA354" s="23"/>
      <c r="AB354" s="22"/>
      <c r="AC354" s="22"/>
      <c r="AD354" s="4" t="str">
        <f t="shared" si="5"/>
        <v>EF1 E001 HGC</v>
      </c>
    </row>
    <row r="355" spans="1:30" s="14" customFormat="1" ht="30" x14ac:dyDescent="0.25">
      <c r="A355" s="24" t="s">
        <v>787</v>
      </c>
      <c r="B355" s="22" t="s">
        <v>67</v>
      </c>
      <c r="C355" s="22" t="s">
        <v>32</v>
      </c>
      <c r="D355" s="22" t="s">
        <v>33</v>
      </c>
      <c r="E355" s="23">
        <v>156</v>
      </c>
      <c r="F355" s="23">
        <v>2</v>
      </c>
      <c r="G355" s="23">
        <v>3</v>
      </c>
      <c r="H355" s="23"/>
      <c r="I355" s="24" t="s">
        <v>34</v>
      </c>
      <c r="J355" s="24"/>
      <c r="K355" s="23"/>
      <c r="L355" s="23"/>
      <c r="M355" s="24"/>
      <c r="N355" s="24"/>
      <c r="O355" s="26" t="s">
        <v>788</v>
      </c>
      <c r="P355" s="26"/>
      <c r="Q355" s="23"/>
      <c r="R355" s="25"/>
      <c r="S355" s="25"/>
      <c r="T355" s="25"/>
      <c r="U355" s="25"/>
      <c r="V355" s="25"/>
      <c r="W355" s="23" t="s">
        <v>111</v>
      </c>
      <c r="X355" s="4" t="str">
        <f>IF(Tabela2[[#This Row],[SIGLA]]="","",VLOOKUP(Tabela2[[#This Row],[SIGLA]],créditos_base!B:C,2,0))</f>
        <v>LUCIANE MORI/ARQUIVO DA EDITORA</v>
      </c>
      <c r="Y355" s="24"/>
      <c r="Z355" s="24" t="str">
        <f>Tabela2[[#This Row],[ILUSTRADOR CRIAÇÃO]]</f>
        <v>LUCIANE MORI/ARQUIVO DA EDITORA</v>
      </c>
      <c r="AA355" s="23"/>
      <c r="AB355" s="22"/>
      <c r="AC355" s="22"/>
      <c r="AD355" s="4" t="str">
        <f t="shared" si="5"/>
        <v>EF1 E001 HGC</v>
      </c>
    </row>
    <row r="356" spans="1:30" s="14" customFormat="1" ht="30" x14ac:dyDescent="0.25">
      <c r="A356" s="24" t="s">
        <v>789</v>
      </c>
      <c r="B356" s="22" t="s">
        <v>67</v>
      </c>
      <c r="C356" s="22" t="s">
        <v>32</v>
      </c>
      <c r="D356" s="22" t="s">
        <v>33</v>
      </c>
      <c r="E356" s="23">
        <v>158</v>
      </c>
      <c r="F356" s="23">
        <v>2</v>
      </c>
      <c r="G356" s="23">
        <v>3</v>
      </c>
      <c r="H356" s="23"/>
      <c r="I356" s="24" t="s">
        <v>34</v>
      </c>
      <c r="J356" s="24"/>
      <c r="K356" s="23"/>
      <c r="L356" s="23"/>
      <c r="M356" s="24"/>
      <c r="N356" s="24"/>
      <c r="O356" s="26" t="s">
        <v>790</v>
      </c>
      <c r="P356" s="26"/>
      <c r="Q356" s="23"/>
      <c r="R356" s="25"/>
      <c r="S356" s="25"/>
      <c r="T356" s="25"/>
      <c r="U356" s="25"/>
      <c r="V356" s="25"/>
      <c r="W356" s="23" t="s">
        <v>633</v>
      </c>
      <c r="X356" s="4" t="str">
        <f>IF(Tabela2[[#This Row],[SIGLA]]="","",VLOOKUP(Tabela2[[#This Row],[SIGLA]],créditos_base!B:C,2,0))</f>
        <v>LEONARDO DE MOURA AMARAL/ARQUIVO DA EDITORA</v>
      </c>
      <c r="Y356" s="24"/>
      <c r="Z356" s="24" t="str">
        <f>Tabela2[[#This Row],[ILUSTRADOR CRIAÇÃO]]</f>
        <v>LEONARDO DE MOURA AMARAL/ARQUIVO DA EDITORA</v>
      </c>
      <c r="AA356" s="23"/>
      <c r="AB356" s="22"/>
      <c r="AC356" s="22"/>
      <c r="AD356" s="4" t="str">
        <f t="shared" si="5"/>
        <v>EF1 E001 HGC</v>
      </c>
    </row>
    <row r="357" spans="1:30" s="14" customFormat="1" ht="30" x14ac:dyDescent="0.25">
      <c r="A357" s="24" t="s">
        <v>791</v>
      </c>
      <c r="B357" s="22" t="s">
        <v>67</v>
      </c>
      <c r="C357" s="22" t="s">
        <v>32</v>
      </c>
      <c r="D357" s="22" t="s">
        <v>33</v>
      </c>
      <c r="E357" s="23">
        <v>161</v>
      </c>
      <c r="F357" s="23">
        <v>2</v>
      </c>
      <c r="G357" s="23">
        <v>3</v>
      </c>
      <c r="H357" s="23"/>
      <c r="I357" s="24" t="s">
        <v>34</v>
      </c>
      <c r="J357" s="24"/>
      <c r="K357" s="23"/>
      <c r="L357" s="23"/>
      <c r="M357" s="24"/>
      <c r="N357" s="24"/>
      <c r="O357" s="26" t="s">
        <v>792</v>
      </c>
      <c r="P357" s="26"/>
      <c r="Q357" s="23"/>
      <c r="R357" s="25"/>
      <c r="S357" s="25"/>
      <c r="T357" s="25"/>
      <c r="U357" s="25"/>
      <c r="V357" s="25"/>
      <c r="W357" s="23" t="s">
        <v>633</v>
      </c>
      <c r="X357" s="4" t="str">
        <f>IF(Tabela2[[#This Row],[SIGLA]]="","",VLOOKUP(Tabela2[[#This Row],[SIGLA]],créditos_base!B:C,2,0))</f>
        <v>LEONARDO DE MOURA AMARAL/ARQUIVO DA EDITORA</v>
      </c>
      <c r="Y357" s="24"/>
      <c r="Z357" s="24" t="str">
        <f>Tabela2[[#This Row],[ILUSTRADOR CRIAÇÃO]]</f>
        <v>LEONARDO DE MOURA AMARAL/ARQUIVO DA EDITORA</v>
      </c>
      <c r="AA357" s="23"/>
      <c r="AB357" s="22"/>
      <c r="AC357" s="22"/>
      <c r="AD357" s="4" t="str">
        <f t="shared" si="5"/>
        <v>EF1 E001 HGC</v>
      </c>
    </row>
    <row r="358" spans="1:30" s="14" customFormat="1" ht="30" x14ac:dyDescent="0.25">
      <c r="A358" s="24" t="s">
        <v>793</v>
      </c>
      <c r="B358" s="22" t="s">
        <v>67</v>
      </c>
      <c r="C358" s="22" t="s">
        <v>32</v>
      </c>
      <c r="D358" s="22" t="s">
        <v>33</v>
      </c>
      <c r="E358" s="23">
        <v>164</v>
      </c>
      <c r="F358" s="23">
        <v>2</v>
      </c>
      <c r="G358" s="23">
        <v>3</v>
      </c>
      <c r="H358" s="23"/>
      <c r="I358" s="24" t="s">
        <v>34</v>
      </c>
      <c r="J358" s="24"/>
      <c r="K358" s="23"/>
      <c r="L358" s="23"/>
      <c r="M358" s="24"/>
      <c r="N358" s="24"/>
      <c r="O358" s="26" t="s">
        <v>794</v>
      </c>
      <c r="P358" s="26"/>
      <c r="Q358" s="23"/>
      <c r="R358" s="25"/>
      <c r="S358" s="25"/>
      <c r="T358" s="25"/>
      <c r="U358" s="25"/>
      <c r="V358" s="25"/>
      <c r="W358" s="23" t="s">
        <v>633</v>
      </c>
      <c r="X358" s="4" t="str">
        <f>IF(Tabela2[[#This Row],[SIGLA]]="","",VLOOKUP(Tabela2[[#This Row],[SIGLA]],créditos_base!B:C,2,0))</f>
        <v>LEONARDO DE MOURA AMARAL/ARQUIVO DA EDITORA</v>
      </c>
      <c r="Y358" s="24"/>
      <c r="Z358" s="24" t="str">
        <f>Tabela2[[#This Row],[ILUSTRADOR CRIAÇÃO]]</f>
        <v>LEONARDO DE MOURA AMARAL/ARQUIVO DA EDITORA</v>
      </c>
      <c r="AA358" s="23"/>
      <c r="AB358" s="22"/>
      <c r="AC358" s="22"/>
      <c r="AD358" s="4" t="str">
        <f t="shared" si="5"/>
        <v>EF1 E001 HGC</v>
      </c>
    </row>
    <row r="359" spans="1:30" s="14" customFormat="1" ht="30" x14ac:dyDescent="0.25">
      <c r="A359" s="24" t="s">
        <v>795</v>
      </c>
      <c r="B359" s="22" t="s">
        <v>67</v>
      </c>
      <c r="C359" s="22" t="s">
        <v>32</v>
      </c>
      <c r="D359" s="22" t="s">
        <v>33</v>
      </c>
      <c r="E359" s="23">
        <v>164</v>
      </c>
      <c r="F359" s="23">
        <v>2</v>
      </c>
      <c r="G359" s="23">
        <v>3</v>
      </c>
      <c r="H359" s="23"/>
      <c r="I359" s="24" t="s">
        <v>34</v>
      </c>
      <c r="J359" s="24"/>
      <c r="K359" s="23"/>
      <c r="L359" s="23"/>
      <c r="M359" s="24"/>
      <c r="N359" s="24"/>
      <c r="O359" s="26" t="s">
        <v>796</v>
      </c>
      <c r="P359" s="26"/>
      <c r="Q359" s="23"/>
      <c r="R359" s="25"/>
      <c r="S359" s="25"/>
      <c r="T359" s="25"/>
      <c r="U359" s="25"/>
      <c r="V359" s="25"/>
      <c r="W359" s="23" t="s">
        <v>633</v>
      </c>
      <c r="X359" s="4" t="str">
        <f>IF(Tabela2[[#This Row],[SIGLA]]="","",VLOOKUP(Tabela2[[#This Row],[SIGLA]],créditos_base!B:C,2,0))</f>
        <v>LEONARDO DE MOURA AMARAL/ARQUIVO DA EDITORA</v>
      </c>
      <c r="Y359" s="24"/>
      <c r="Z359" s="24" t="str">
        <f>Tabela2[[#This Row],[ILUSTRADOR CRIAÇÃO]]</f>
        <v>LEONARDO DE MOURA AMARAL/ARQUIVO DA EDITORA</v>
      </c>
      <c r="AA359" s="23"/>
      <c r="AB359" s="22"/>
      <c r="AC359" s="22"/>
      <c r="AD359" s="4" t="str">
        <f t="shared" si="5"/>
        <v>EF1 E001 HGC</v>
      </c>
    </row>
    <row r="360" spans="1:30" s="14" customFormat="1" ht="45" x14ac:dyDescent="0.25">
      <c r="A360" s="24" t="s">
        <v>797</v>
      </c>
      <c r="B360" s="22" t="s">
        <v>67</v>
      </c>
      <c r="C360" s="22" t="s">
        <v>32</v>
      </c>
      <c r="D360" s="22" t="s">
        <v>33</v>
      </c>
      <c r="E360" s="23">
        <v>164</v>
      </c>
      <c r="F360" s="23">
        <v>2</v>
      </c>
      <c r="G360" s="23">
        <v>3</v>
      </c>
      <c r="H360" s="23"/>
      <c r="I360" s="24" t="s">
        <v>34</v>
      </c>
      <c r="J360" s="24"/>
      <c r="K360" s="23"/>
      <c r="L360" s="23"/>
      <c r="M360" s="24"/>
      <c r="N360" s="24"/>
      <c r="O360" s="26" t="s">
        <v>798</v>
      </c>
      <c r="P360" s="26"/>
      <c r="Q360" s="23"/>
      <c r="R360" s="25"/>
      <c r="S360" s="25"/>
      <c r="T360" s="25"/>
      <c r="U360" s="25"/>
      <c r="V360" s="25"/>
      <c r="W360" s="23" t="s">
        <v>633</v>
      </c>
      <c r="X360" s="4" t="str">
        <f>IF(Tabela2[[#This Row],[SIGLA]]="","",VLOOKUP(Tabela2[[#This Row],[SIGLA]],créditos_base!B:C,2,0))</f>
        <v>LEONARDO DE MOURA AMARAL/ARQUIVO DA EDITORA</v>
      </c>
      <c r="Y360" s="24"/>
      <c r="Z360" s="24" t="str">
        <f>Tabela2[[#This Row],[ILUSTRADOR CRIAÇÃO]]</f>
        <v>LEONARDO DE MOURA AMARAL/ARQUIVO DA EDITORA</v>
      </c>
      <c r="AA360" s="23"/>
      <c r="AB360" s="22"/>
      <c r="AC360" s="22"/>
      <c r="AD360" s="4" t="str">
        <f t="shared" si="5"/>
        <v>EF1 E001 HGC</v>
      </c>
    </row>
    <row r="361" spans="1:30" s="14" customFormat="1" ht="30" x14ac:dyDescent="0.25">
      <c r="A361" s="24" t="s">
        <v>799</v>
      </c>
      <c r="B361" s="22" t="s">
        <v>67</v>
      </c>
      <c r="C361" s="22" t="s">
        <v>32</v>
      </c>
      <c r="D361" s="22" t="s">
        <v>33</v>
      </c>
      <c r="E361" s="23">
        <v>164</v>
      </c>
      <c r="F361" s="23">
        <v>2</v>
      </c>
      <c r="G361" s="23">
        <v>3</v>
      </c>
      <c r="H361" s="23"/>
      <c r="I361" s="24" t="s">
        <v>34</v>
      </c>
      <c r="J361" s="24"/>
      <c r="K361" s="23"/>
      <c r="L361" s="23"/>
      <c r="M361" s="24"/>
      <c r="N361" s="24"/>
      <c r="O361" s="26" t="s">
        <v>800</v>
      </c>
      <c r="P361" s="26"/>
      <c r="Q361" s="23"/>
      <c r="R361" s="25"/>
      <c r="S361" s="25"/>
      <c r="T361" s="25"/>
      <c r="U361" s="25"/>
      <c r="V361" s="25"/>
      <c r="W361" s="23" t="s">
        <v>633</v>
      </c>
      <c r="X361" s="4" t="str">
        <f>IF(Tabela2[[#This Row],[SIGLA]]="","",VLOOKUP(Tabela2[[#This Row],[SIGLA]],créditos_base!B:C,2,0))</f>
        <v>LEONARDO DE MOURA AMARAL/ARQUIVO DA EDITORA</v>
      </c>
      <c r="Y361" s="24"/>
      <c r="Z361" s="24" t="str">
        <f>Tabela2[[#This Row],[ILUSTRADOR CRIAÇÃO]]</f>
        <v>LEONARDO DE MOURA AMARAL/ARQUIVO DA EDITORA</v>
      </c>
      <c r="AA361" s="23"/>
      <c r="AB361" s="22"/>
      <c r="AC361" s="22"/>
      <c r="AD361" s="4" t="str">
        <f t="shared" si="5"/>
        <v>EF1 E001 HGC</v>
      </c>
    </row>
    <row r="362" spans="1:30" s="14" customFormat="1" ht="30" x14ac:dyDescent="0.25">
      <c r="A362" s="24" t="s">
        <v>801</v>
      </c>
      <c r="B362" s="22" t="s">
        <v>67</v>
      </c>
      <c r="C362" s="22" t="s">
        <v>32</v>
      </c>
      <c r="D362" s="22" t="s">
        <v>33</v>
      </c>
      <c r="E362" s="23">
        <v>168</v>
      </c>
      <c r="F362" s="23">
        <v>2</v>
      </c>
      <c r="G362" s="23">
        <v>3</v>
      </c>
      <c r="H362" s="23"/>
      <c r="I362" s="24" t="s">
        <v>34</v>
      </c>
      <c r="J362" s="24"/>
      <c r="K362" s="23"/>
      <c r="L362" s="23"/>
      <c r="M362" s="24"/>
      <c r="N362" s="24"/>
      <c r="O362" s="26" t="s">
        <v>802</v>
      </c>
      <c r="P362" s="26"/>
      <c r="Q362" s="23"/>
      <c r="R362" s="25"/>
      <c r="S362" s="25"/>
      <c r="T362" s="25"/>
      <c r="U362" s="25"/>
      <c r="V362" s="25"/>
      <c r="W362" s="23" t="s">
        <v>40</v>
      </c>
      <c r="X362" s="4" t="str">
        <f>IF(Tabela2[[#This Row],[SIGLA]]="","",VLOOKUP(Tabela2[[#This Row],[SIGLA]],créditos_base!B:C,2,0))</f>
        <v>LISLLEY GOMES FEIGE/ARQUIVO DA EDITORA</v>
      </c>
      <c r="Y362" s="24"/>
      <c r="Z362" s="24" t="str">
        <f>Tabela2[[#This Row],[ILUSTRADOR CRIAÇÃO]]</f>
        <v>LISLLEY GOMES FEIGE/ARQUIVO DA EDITORA</v>
      </c>
      <c r="AA362" s="23"/>
      <c r="AB362" s="22"/>
      <c r="AC362" s="22"/>
      <c r="AD362" s="4" t="str">
        <f t="shared" si="5"/>
        <v>EF1 E001 HGC</v>
      </c>
    </row>
    <row r="363" spans="1:30" s="14" customFormat="1" ht="30" x14ac:dyDescent="0.25">
      <c r="A363" s="24" t="s">
        <v>803</v>
      </c>
      <c r="B363" s="22" t="s">
        <v>67</v>
      </c>
      <c r="C363" s="22" t="s">
        <v>32</v>
      </c>
      <c r="D363" s="22" t="s">
        <v>33</v>
      </c>
      <c r="E363" s="23">
        <v>168</v>
      </c>
      <c r="F363" s="23">
        <v>2</v>
      </c>
      <c r="G363" s="23">
        <v>3</v>
      </c>
      <c r="H363" s="23"/>
      <c r="I363" s="24" t="s">
        <v>34</v>
      </c>
      <c r="J363" s="24"/>
      <c r="K363" s="23"/>
      <c r="L363" s="23"/>
      <c r="M363" s="24"/>
      <c r="N363" s="24"/>
      <c r="O363" s="26" t="s">
        <v>804</v>
      </c>
      <c r="P363" s="26"/>
      <c r="Q363" s="23"/>
      <c r="R363" s="25"/>
      <c r="S363" s="25"/>
      <c r="T363" s="25"/>
      <c r="U363" s="25"/>
      <c r="V363" s="25"/>
      <c r="W363" s="23" t="s">
        <v>40</v>
      </c>
      <c r="X363" s="4" t="str">
        <f>IF(Tabela2[[#This Row],[SIGLA]]="","",VLOOKUP(Tabela2[[#This Row],[SIGLA]],créditos_base!B:C,2,0))</f>
        <v>LISLLEY GOMES FEIGE/ARQUIVO DA EDITORA</v>
      </c>
      <c r="Y363" s="24"/>
      <c r="Z363" s="24" t="str">
        <f>Tabela2[[#This Row],[ILUSTRADOR CRIAÇÃO]]</f>
        <v>LISLLEY GOMES FEIGE/ARQUIVO DA EDITORA</v>
      </c>
      <c r="AA363" s="23"/>
      <c r="AB363" s="22"/>
      <c r="AC363" s="22"/>
      <c r="AD363" s="4" t="str">
        <f t="shared" si="5"/>
        <v>EF1 E001 HGC</v>
      </c>
    </row>
    <row r="364" spans="1:30" s="14" customFormat="1" ht="60" x14ac:dyDescent="0.25">
      <c r="A364" s="24" t="s">
        <v>805</v>
      </c>
      <c r="B364" s="22" t="s">
        <v>83</v>
      </c>
      <c r="C364" s="22" t="s">
        <v>32</v>
      </c>
      <c r="D364" s="22" t="s">
        <v>33</v>
      </c>
      <c r="E364" s="23">
        <v>172</v>
      </c>
      <c r="F364" s="23">
        <v>2</v>
      </c>
      <c r="G364" s="23">
        <v>3</v>
      </c>
      <c r="H364" s="23"/>
      <c r="I364" s="24" t="s">
        <v>38</v>
      </c>
      <c r="J364" s="24"/>
      <c r="K364" s="23"/>
      <c r="L364" s="23"/>
      <c r="M364" s="24"/>
      <c r="N364" s="24"/>
      <c r="O364" s="26" t="s">
        <v>806</v>
      </c>
      <c r="P364" s="26"/>
      <c r="Q364" s="23">
        <v>2</v>
      </c>
      <c r="R364" s="25">
        <v>45791</v>
      </c>
      <c r="S364" s="25">
        <v>45797</v>
      </c>
      <c r="T364" s="25"/>
      <c r="U364" s="25"/>
      <c r="V364" s="25">
        <v>45797</v>
      </c>
      <c r="W364" s="23" t="s">
        <v>40</v>
      </c>
      <c r="X364" s="4" t="str">
        <f>IF(Tabela2[[#This Row],[SIGLA]]="","",VLOOKUP(Tabela2[[#This Row],[SIGLA]],créditos_base!B:C,2,0))</f>
        <v>LISLLEY GOMES FEIGE/ARQUIVO DA EDITORA</v>
      </c>
      <c r="Y364" s="24" t="s">
        <v>583</v>
      </c>
      <c r="Z364" s="24" t="str">
        <f>Tabela2[[#This Row],[ILUSTRADOR CRIAÇÃO]]</f>
        <v>LISLLEY GOMES FEIGE/ARQUIVO DA EDITORA</v>
      </c>
      <c r="AA364" s="23">
        <v>13</v>
      </c>
      <c r="AB364" s="22" t="s">
        <v>578</v>
      </c>
      <c r="AC364" s="22" t="s">
        <v>43</v>
      </c>
      <c r="AD364" s="4" t="str">
        <f t="shared" si="5"/>
        <v>EF1 E001 HGC</v>
      </c>
    </row>
    <row r="365" spans="1:30" s="14" customFormat="1" ht="60" x14ac:dyDescent="0.25">
      <c r="A365" s="24" t="s">
        <v>807</v>
      </c>
      <c r="B365" s="22" t="s">
        <v>83</v>
      </c>
      <c r="C365" s="22" t="s">
        <v>32</v>
      </c>
      <c r="D365" s="22" t="s">
        <v>33</v>
      </c>
      <c r="E365" s="23">
        <v>173</v>
      </c>
      <c r="F365" s="23">
        <v>2</v>
      </c>
      <c r="G365" s="23">
        <v>3</v>
      </c>
      <c r="H365" s="23"/>
      <c r="I365" s="24" t="s">
        <v>38</v>
      </c>
      <c r="J365" s="24"/>
      <c r="K365" s="23"/>
      <c r="L365" s="23"/>
      <c r="M365" s="24"/>
      <c r="N365" s="24"/>
      <c r="O365" s="26" t="s">
        <v>808</v>
      </c>
      <c r="P365" s="26"/>
      <c r="Q365" s="23">
        <v>2</v>
      </c>
      <c r="R365" s="25">
        <v>45791</v>
      </c>
      <c r="S365" s="25">
        <v>45797</v>
      </c>
      <c r="T365" s="25"/>
      <c r="U365" s="25"/>
      <c r="V365" s="25">
        <v>45797</v>
      </c>
      <c r="W365" s="23" t="s">
        <v>40</v>
      </c>
      <c r="X365" s="4" t="str">
        <f>IF(Tabela2[[#This Row],[SIGLA]]="","",VLOOKUP(Tabela2[[#This Row],[SIGLA]],créditos_base!B:C,2,0))</f>
        <v>LISLLEY GOMES FEIGE/ARQUIVO DA EDITORA</v>
      </c>
      <c r="Y365" s="24" t="s">
        <v>583</v>
      </c>
      <c r="Z365" s="24" t="str">
        <f>Tabela2[[#This Row],[ILUSTRADOR CRIAÇÃO]]</f>
        <v>LISLLEY GOMES FEIGE/ARQUIVO DA EDITORA</v>
      </c>
      <c r="AA365" s="23">
        <v>13</v>
      </c>
      <c r="AB365" s="22" t="s">
        <v>578</v>
      </c>
      <c r="AC365" s="22" t="s">
        <v>43</v>
      </c>
      <c r="AD365" s="4" t="str">
        <f t="shared" si="5"/>
        <v>EF1 E001 HGC</v>
      </c>
    </row>
    <row r="366" spans="1:30" s="14" customFormat="1" ht="30" x14ac:dyDescent="0.25">
      <c r="A366" s="24" t="s">
        <v>809</v>
      </c>
      <c r="B366" s="22" t="s">
        <v>67</v>
      </c>
      <c r="C366" s="22" t="s">
        <v>32</v>
      </c>
      <c r="D366" s="22" t="s">
        <v>33</v>
      </c>
      <c r="E366" s="23">
        <v>175</v>
      </c>
      <c r="F366" s="23">
        <v>2</v>
      </c>
      <c r="G366" s="23">
        <v>3</v>
      </c>
      <c r="H366" s="23"/>
      <c r="I366" s="24" t="s">
        <v>34</v>
      </c>
      <c r="J366" s="24"/>
      <c r="K366" s="23"/>
      <c r="L366" s="23"/>
      <c r="M366" s="24"/>
      <c r="N366" s="24"/>
      <c r="O366" s="26" t="s">
        <v>810</v>
      </c>
      <c r="P366" s="26"/>
      <c r="Q366" s="23"/>
      <c r="R366" s="25"/>
      <c r="S366" s="25"/>
      <c r="T366" s="25"/>
      <c r="U366" s="25"/>
      <c r="V366" s="25"/>
      <c r="W366" s="23" t="s">
        <v>280</v>
      </c>
      <c r="X366" s="4" t="str">
        <f>IF(Tabela2[[#This Row],[SIGLA]]="","",VLOOKUP(Tabela2[[#This Row],[SIGLA]],créditos_base!B:C,2,0))</f>
        <v>HELOÍSA PINTARELLI/ARQUIVO DA EDITORA</v>
      </c>
      <c r="Y366" s="24"/>
      <c r="Z366" s="24" t="str">
        <f>Tabela2[[#This Row],[ILUSTRADOR CRIAÇÃO]]</f>
        <v>HELOÍSA PINTARELLI/ARQUIVO DA EDITORA</v>
      </c>
      <c r="AA366" s="23"/>
      <c r="AB366" s="22"/>
      <c r="AC366" s="22"/>
      <c r="AD366" s="4" t="str">
        <f t="shared" si="5"/>
        <v>EF1 E001 HGC</v>
      </c>
    </row>
    <row r="367" spans="1:30" s="14" customFormat="1" ht="30" x14ac:dyDescent="0.25">
      <c r="A367" s="24" t="s">
        <v>811</v>
      </c>
      <c r="B367" s="22" t="s">
        <v>67</v>
      </c>
      <c r="C367" s="22" t="s">
        <v>32</v>
      </c>
      <c r="D367" s="22" t="s">
        <v>33</v>
      </c>
      <c r="E367" s="23">
        <v>175</v>
      </c>
      <c r="F367" s="23">
        <v>2</v>
      </c>
      <c r="G367" s="23">
        <v>3</v>
      </c>
      <c r="H367" s="23"/>
      <c r="I367" s="24" t="s">
        <v>34</v>
      </c>
      <c r="J367" s="24"/>
      <c r="K367" s="23"/>
      <c r="L367" s="23"/>
      <c r="M367" s="24"/>
      <c r="N367" s="24"/>
      <c r="O367" s="26" t="s">
        <v>812</v>
      </c>
      <c r="P367" s="26"/>
      <c r="Q367" s="23"/>
      <c r="R367" s="25"/>
      <c r="S367" s="25"/>
      <c r="T367" s="25"/>
      <c r="U367" s="25"/>
      <c r="V367" s="25"/>
      <c r="W367" s="23" t="s">
        <v>280</v>
      </c>
      <c r="X367" s="4" t="str">
        <f>IF(Tabela2[[#This Row],[SIGLA]]="","",VLOOKUP(Tabela2[[#This Row],[SIGLA]],créditos_base!B:C,2,0))</f>
        <v>HELOÍSA PINTARELLI/ARQUIVO DA EDITORA</v>
      </c>
      <c r="Y367" s="24"/>
      <c r="Z367" s="24" t="str">
        <f>Tabela2[[#This Row],[ILUSTRADOR CRIAÇÃO]]</f>
        <v>HELOÍSA PINTARELLI/ARQUIVO DA EDITORA</v>
      </c>
      <c r="AA367" s="23"/>
      <c r="AB367" s="22"/>
      <c r="AC367" s="22"/>
      <c r="AD367" s="4" t="str">
        <f t="shared" si="5"/>
        <v>EF1 E001 HGC</v>
      </c>
    </row>
    <row r="368" spans="1:30" s="14" customFormat="1" ht="30" x14ac:dyDescent="0.25">
      <c r="A368" s="24" t="s">
        <v>813</v>
      </c>
      <c r="B368" s="22" t="s">
        <v>67</v>
      </c>
      <c r="C368" s="22" t="s">
        <v>32</v>
      </c>
      <c r="D368" s="22" t="s">
        <v>33</v>
      </c>
      <c r="E368" s="23">
        <v>175</v>
      </c>
      <c r="F368" s="23">
        <v>2</v>
      </c>
      <c r="G368" s="23">
        <v>3</v>
      </c>
      <c r="H368" s="23"/>
      <c r="I368" s="24" t="s">
        <v>34</v>
      </c>
      <c r="J368" s="24"/>
      <c r="K368" s="23"/>
      <c r="L368" s="23"/>
      <c r="M368" s="24"/>
      <c r="N368" s="24"/>
      <c r="O368" s="26" t="s">
        <v>814</v>
      </c>
      <c r="P368" s="26"/>
      <c r="Q368" s="23"/>
      <c r="R368" s="25"/>
      <c r="S368" s="25"/>
      <c r="T368" s="25"/>
      <c r="U368" s="25"/>
      <c r="V368" s="25"/>
      <c r="W368" s="23" t="s">
        <v>280</v>
      </c>
      <c r="X368" s="4" t="str">
        <f>IF(Tabela2[[#This Row],[SIGLA]]="","",VLOOKUP(Tabela2[[#This Row],[SIGLA]],créditos_base!B:C,2,0))</f>
        <v>HELOÍSA PINTARELLI/ARQUIVO DA EDITORA</v>
      </c>
      <c r="Y368" s="24"/>
      <c r="Z368" s="24" t="str">
        <f>Tabela2[[#This Row],[ILUSTRADOR CRIAÇÃO]]</f>
        <v>HELOÍSA PINTARELLI/ARQUIVO DA EDITORA</v>
      </c>
      <c r="AA368" s="23"/>
      <c r="AB368" s="22"/>
      <c r="AC368" s="22"/>
      <c r="AD368" s="4" t="str">
        <f t="shared" si="5"/>
        <v>EF1 E001 HGC</v>
      </c>
    </row>
    <row r="369" spans="1:30" s="14" customFormat="1" ht="48.75" customHeight="1" x14ac:dyDescent="0.25">
      <c r="A369" s="24" t="s">
        <v>815</v>
      </c>
      <c r="B369" s="22" t="s">
        <v>67</v>
      </c>
      <c r="C369" s="22" t="s">
        <v>32</v>
      </c>
      <c r="D369" s="22" t="s">
        <v>33</v>
      </c>
      <c r="E369" s="23">
        <v>180</v>
      </c>
      <c r="F369" s="23">
        <v>2</v>
      </c>
      <c r="G369" s="23">
        <v>3</v>
      </c>
      <c r="H369" s="23"/>
      <c r="I369" s="24" t="s">
        <v>38</v>
      </c>
      <c r="J369" s="24"/>
      <c r="K369" s="23"/>
      <c r="L369" s="23"/>
      <c r="M369" s="24"/>
      <c r="N369" s="24"/>
      <c r="O369" s="26" t="s">
        <v>816</v>
      </c>
      <c r="P369" s="26"/>
      <c r="Q369" s="23">
        <v>25</v>
      </c>
      <c r="R369" s="25">
        <v>45869</v>
      </c>
      <c r="S369" s="25">
        <v>45870</v>
      </c>
      <c r="T369" s="25"/>
      <c r="U369" s="25"/>
      <c r="V369" s="25">
        <v>45870</v>
      </c>
      <c r="W369" s="23" t="s">
        <v>633</v>
      </c>
      <c r="X369" s="4" t="str">
        <f>IF(Tabela2[[#This Row],[SIGLA]]="","",VLOOKUP(Tabela2[[#This Row],[SIGLA]],créditos_base!B:C,2,0))</f>
        <v>LEONARDO DE MOURA AMARAL/ARQUIVO DA EDITORA</v>
      </c>
      <c r="Y369" s="24" t="s">
        <v>180</v>
      </c>
      <c r="Z369" s="24" t="str">
        <f>Tabela2[[#This Row],[ILUSTRADOR CRIAÇÃO]]</f>
        <v>LEONARDO DE MOURA AMARAL/ARQUIVO DA EDITORA</v>
      </c>
      <c r="AA369" s="23">
        <v>13</v>
      </c>
      <c r="AB369" s="22" t="s">
        <v>71</v>
      </c>
      <c r="AC369" s="22" t="s">
        <v>43</v>
      </c>
      <c r="AD369" s="4" t="str">
        <f t="shared" si="5"/>
        <v>EF1 E001 HGC</v>
      </c>
    </row>
    <row r="370" spans="1:30" s="14" customFormat="1" ht="30" x14ac:dyDescent="0.25">
      <c r="A370" s="24" t="s">
        <v>817</v>
      </c>
      <c r="B370" s="22" t="s">
        <v>67</v>
      </c>
      <c r="C370" s="22" t="s">
        <v>32</v>
      </c>
      <c r="D370" s="22" t="s">
        <v>33</v>
      </c>
      <c r="E370" s="23">
        <v>184</v>
      </c>
      <c r="F370" s="23">
        <v>2</v>
      </c>
      <c r="G370" s="23">
        <v>3</v>
      </c>
      <c r="H370" s="23"/>
      <c r="I370" s="24" t="s">
        <v>34</v>
      </c>
      <c r="J370" s="24"/>
      <c r="K370" s="23"/>
      <c r="L370" s="23"/>
      <c r="M370" s="24"/>
      <c r="N370" s="24"/>
      <c r="O370" s="26" t="s">
        <v>818</v>
      </c>
      <c r="P370" s="26"/>
      <c r="Q370" s="23"/>
      <c r="R370" s="25"/>
      <c r="S370" s="25"/>
      <c r="T370" s="25"/>
      <c r="U370" s="25"/>
      <c r="V370" s="25"/>
      <c r="W370" s="23" t="s">
        <v>280</v>
      </c>
      <c r="X370" s="4" t="str">
        <f>IF(Tabela2[[#This Row],[SIGLA]]="","",VLOOKUP(Tabela2[[#This Row],[SIGLA]],créditos_base!B:C,2,0))</f>
        <v>HELOÍSA PINTARELLI/ARQUIVO DA EDITORA</v>
      </c>
      <c r="Y370" s="24"/>
      <c r="Z370" s="24" t="str">
        <f>Tabela2[[#This Row],[ILUSTRADOR CRIAÇÃO]]</f>
        <v>HELOÍSA PINTARELLI/ARQUIVO DA EDITORA</v>
      </c>
      <c r="AA370" s="23"/>
      <c r="AB370" s="22"/>
      <c r="AC370" s="22"/>
      <c r="AD370" s="4" t="str">
        <f t="shared" si="5"/>
        <v>EF1 E001 HGC</v>
      </c>
    </row>
    <row r="371" spans="1:30" s="14" customFormat="1" ht="30" x14ac:dyDescent="0.25">
      <c r="A371" s="24" t="s">
        <v>819</v>
      </c>
      <c r="B371" s="22" t="s">
        <v>434</v>
      </c>
      <c r="C371" s="22" t="s">
        <v>32</v>
      </c>
      <c r="D371" s="22" t="s">
        <v>33</v>
      </c>
      <c r="E371" s="23">
        <v>184</v>
      </c>
      <c r="F371" s="23">
        <v>2</v>
      </c>
      <c r="G371" s="23">
        <v>3</v>
      </c>
      <c r="H371" s="23"/>
      <c r="I371" s="24" t="s">
        <v>38</v>
      </c>
      <c r="J371" s="24"/>
      <c r="K371" s="23"/>
      <c r="L371" s="23"/>
      <c r="M371" s="24"/>
      <c r="N371" s="24"/>
      <c r="O371" s="26" t="s">
        <v>820</v>
      </c>
      <c r="P371" s="26"/>
      <c r="Q371" s="23">
        <v>32</v>
      </c>
      <c r="R371" s="25">
        <v>45901</v>
      </c>
      <c r="S371" s="25">
        <v>45901</v>
      </c>
      <c r="T371" s="25"/>
      <c r="U371" s="25"/>
      <c r="V371" s="25">
        <v>45901</v>
      </c>
      <c r="W371" s="23" t="s">
        <v>280</v>
      </c>
      <c r="X371" s="4" t="str">
        <f>IF(Tabela2[[#This Row],[SIGLA]]="","",VLOOKUP(Tabela2[[#This Row],[SIGLA]],créditos_base!B:C,2,0))</f>
        <v>HELOÍSA PINTARELLI/ARQUIVO DA EDITORA</v>
      </c>
      <c r="Y371" s="24" t="s">
        <v>821</v>
      </c>
      <c r="Z371" s="24" t="str">
        <f>Tabela2[[#This Row],[ILUSTRADOR CRIAÇÃO]]</f>
        <v>HELOÍSA PINTARELLI/ARQUIVO DA EDITORA</v>
      </c>
      <c r="AA371" s="23">
        <v>13</v>
      </c>
      <c r="AB371" s="22" t="s">
        <v>774</v>
      </c>
      <c r="AC371" s="22" t="s">
        <v>43</v>
      </c>
      <c r="AD371" s="4" t="str">
        <f t="shared" si="5"/>
        <v>EF1 E001 HGC</v>
      </c>
    </row>
    <row r="372" spans="1:30" s="14" customFormat="1" ht="60" x14ac:dyDescent="0.25">
      <c r="A372" s="24" t="s">
        <v>822</v>
      </c>
      <c r="B372" s="22" t="s">
        <v>67</v>
      </c>
      <c r="C372" s="22" t="s">
        <v>32</v>
      </c>
      <c r="D372" s="22" t="s">
        <v>33</v>
      </c>
      <c r="E372" s="23">
        <v>188</v>
      </c>
      <c r="F372" s="23">
        <v>2</v>
      </c>
      <c r="G372" s="23">
        <v>3</v>
      </c>
      <c r="H372" s="23"/>
      <c r="I372" s="24" t="s">
        <v>38</v>
      </c>
      <c r="J372" s="24"/>
      <c r="K372" s="23"/>
      <c r="L372" s="23"/>
      <c r="M372" s="24"/>
      <c r="N372" s="24"/>
      <c r="O372" s="26" t="s">
        <v>823</v>
      </c>
      <c r="P372" s="26"/>
      <c r="Q372" s="23">
        <v>2</v>
      </c>
      <c r="R372" s="25">
        <v>45791</v>
      </c>
      <c r="S372" s="25">
        <v>45797</v>
      </c>
      <c r="T372" s="25"/>
      <c r="U372" s="25"/>
      <c r="V372" s="25">
        <v>45797</v>
      </c>
      <c r="W372" s="23" t="s">
        <v>111</v>
      </c>
      <c r="X372" s="4" t="str">
        <f>IF(Tabela2[[#This Row],[SIGLA]]="","",VLOOKUP(Tabela2[[#This Row],[SIGLA]],créditos_base!B:C,2,0))</f>
        <v>LUCIANE MORI/ARQUIVO DA EDITORA</v>
      </c>
      <c r="Y372" s="24" t="s">
        <v>583</v>
      </c>
      <c r="Z372" s="24" t="str">
        <f>Tabela2[[#This Row],[ILUSTRADOR CRIAÇÃO]]</f>
        <v>LUCIANE MORI/ARQUIVO DA EDITORA</v>
      </c>
      <c r="AA372" s="23">
        <v>13</v>
      </c>
      <c r="AB372" s="22" t="s">
        <v>578</v>
      </c>
      <c r="AC372" s="22" t="s">
        <v>43</v>
      </c>
      <c r="AD372" s="4" t="str">
        <f t="shared" si="5"/>
        <v>EF1 E001 HGC</v>
      </c>
    </row>
    <row r="373" spans="1:30" s="14" customFormat="1" ht="60" x14ac:dyDescent="0.25">
      <c r="A373" s="24" t="s">
        <v>824</v>
      </c>
      <c r="B373" s="22" t="s">
        <v>67</v>
      </c>
      <c r="C373" s="22" t="s">
        <v>32</v>
      </c>
      <c r="D373" s="22" t="s">
        <v>33</v>
      </c>
      <c r="E373" s="23">
        <v>189</v>
      </c>
      <c r="F373" s="23">
        <v>2</v>
      </c>
      <c r="G373" s="23">
        <v>3</v>
      </c>
      <c r="H373" s="23"/>
      <c r="I373" s="24" t="s">
        <v>38</v>
      </c>
      <c r="J373" s="24"/>
      <c r="K373" s="23"/>
      <c r="L373" s="23"/>
      <c r="M373" s="24"/>
      <c r="N373" s="24"/>
      <c r="O373" s="26" t="s">
        <v>825</v>
      </c>
      <c r="P373" s="26"/>
      <c r="Q373" s="23">
        <v>2</v>
      </c>
      <c r="R373" s="25">
        <v>45791</v>
      </c>
      <c r="S373" s="25">
        <v>45797</v>
      </c>
      <c r="T373" s="25"/>
      <c r="U373" s="25"/>
      <c r="V373" s="25">
        <v>45797</v>
      </c>
      <c r="W373" s="23" t="s">
        <v>111</v>
      </c>
      <c r="X373" s="4" t="str">
        <f>IF(Tabela2[[#This Row],[SIGLA]]="","",VLOOKUP(Tabela2[[#This Row],[SIGLA]],créditos_base!B:C,2,0))</f>
        <v>LUCIANE MORI/ARQUIVO DA EDITORA</v>
      </c>
      <c r="Y373" s="24" t="s">
        <v>583</v>
      </c>
      <c r="Z373" s="24" t="str">
        <f>Tabela2[[#This Row],[ILUSTRADOR CRIAÇÃO]]</f>
        <v>LUCIANE MORI/ARQUIVO DA EDITORA</v>
      </c>
      <c r="AA373" s="23">
        <v>13</v>
      </c>
      <c r="AB373" s="22" t="s">
        <v>578</v>
      </c>
      <c r="AC373" s="22" t="s">
        <v>43</v>
      </c>
      <c r="AD373" s="4" t="str">
        <f t="shared" si="5"/>
        <v>EF1 E001 HGC</v>
      </c>
    </row>
    <row r="374" spans="1:30" s="14" customFormat="1" ht="30" x14ac:dyDescent="0.25">
      <c r="A374" s="24" t="s">
        <v>826</v>
      </c>
      <c r="B374" s="22" t="s">
        <v>67</v>
      </c>
      <c r="C374" s="22" t="s">
        <v>32</v>
      </c>
      <c r="D374" s="22" t="s">
        <v>33</v>
      </c>
      <c r="E374" s="23">
        <v>192</v>
      </c>
      <c r="F374" s="23">
        <v>2</v>
      </c>
      <c r="G374" s="23">
        <v>3</v>
      </c>
      <c r="H374" s="23"/>
      <c r="I374" s="24" t="s">
        <v>34</v>
      </c>
      <c r="J374" s="24"/>
      <c r="K374" s="23"/>
      <c r="L374" s="23"/>
      <c r="M374" s="24"/>
      <c r="N374" s="24"/>
      <c r="O374" s="26" t="s">
        <v>827</v>
      </c>
      <c r="P374" s="26"/>
      <c r="Q374" s="23"/>
      <c r="R374" s="25"/>
      <c r="S374" s="25">
        <v>45927</v>
      </c>
      <c r="T374" s="25"/>
      <c r="U374" s="25"/>
      <c r="V374" s="25">
        <v>45927</v>
      </c>
      <c r="W374" s="23" t="s">
        <v>316</v>
      </c>
      <c r="X374" s="4" t="str">
        <f>IF(Tabela2[[#This Row],[SIGLA]]="","",VLOOKUP(Tabela2[[#This Row],[SIGLA]],créditos_base!B:C,2,0))</f>
        <v>SAULO NUNES/ARQUIVO DA EDITORA</v>
      </c>
      <c r="Y374" s="24" t="s">
        <v>821</v>
      </c>
      <c r="Z374" s="24" t="str">
        <f>Tabela2[[#This Row],[ILUSTRADOR CRIAÇÃO]]</f>
        <v>SAULO NUNES/ARQUIVO DA EDITORA</v>
      </c>
      <c r="AA374" s="23">
        <v>13</v>
      </c>
      <c r="AB374" s="22" t="s">
        <v>774</v>
      </c>
      <c r="AC374" s="22"/>
      <c r="AD374" s="4" t="str">
        <f t="shared" si="5"/>
        <v>EF1 E001 HGC</v>
      </c>
    </row>
    <row r="375" spans="1:30" s="14" customFormat="1" ht="60" x14ac:dyDescent="0.25">
      <c r="A375" s="24" t="s">
        <v>828</v>
      </c>
      <c r="B375" s="22" t="s">
        <v>67</v>
      </c>
      <c r="C375" s="22" t="s">
        <v>32</v>
      </c>
      <c r="D375" s="22" t="s">
        <v>33</v>
      </c>
      <c r="E375" s="23">
        <v>204</v>
      </c>
      <c r="F375" s="23">
        <v>1</v>
      </c>
      <c r="G375" s="23">
        <v>3</v>
      </c>
      <c r="H375" s="23"/>
      <c r="I375" s="24" t="s">
        <v>38</v>
      </c>
      <c r="J375" s="24"/>
      <c r="K375" s="23"/>
      <c r="L375" s="23"/>
      <c r="M375" s="24"/>
      <c r="N375" s="24"/>
      <c r="O375" s="26" t="s">
        <v>829</v>
      </c>
      <c r="P375" s="26"/>
      <c r="Q375" s="23"/>
      <c r="R375" s="25"/>
      <c r="S375" s="25"/>
      <c r="T375" s="25"/>
      <c r="U375" s="25"/>
      <c r="V375" s="25"/>
      <c r="W375" s="23" t="s">
        <v>577</v>
      </c>
      <c r="X375" s="4" t="str">
        <f>IF(Tabela2[[#This Row],[SIGLA]]="","",VLOOKUP(Tabela2[[#This Row],[SIGLA]],créditos_base!B:C,2,0))</f>
        <v>INGRIDHI BORGES/ARQUIVO DA EDITORA</v>
      </c>
      <c r="Y375" s="24"/>
      <c r="Z375" s="24" t="str">
        <f>Tabela2[[#This Row],[ILUSTRADOR CRIAÇÃO]]</f>
        <v>INGRIDHI BORGES/ARQUIVO DA EDITORA</v>
      </c>
      <c r="AA375" s="23"/>
      <c r="AB375" s="22"/>
      <c r="AC375" s="22"/>
      <c r="AD375" s="4" t="str">
        <f t="shared" si="5"/>
        <v>EF1 E001 HGC</v>
      </c>
    </row>
    <row r="376" spans="1:30" s="14" customFormat="1" ht="285" x14ac:dyDescent="0.25">
      <c r="A376" s="24" t="s">
        <v>830</v>
      </c>
      <c r="B376" s="22" t="s">
        <v>31</v>
      </c>
      <c r="C376" s="22" t="s">
        <v>32</v>
      </c>
      <c r="D376" s="22" t="s">
        <v>33</v>
      </c>
      <c r="E376" s="23">
        <v>171</v>
      </c>
      <c r="F376" s="23">
        <v>1</v>
      </c>
      <c r="G376" s="23">
        <v>3</v>
      </c>
      <c r="H376" s="23"/>
      <c r="I376" s="24" t="s">
        <v>177</v>
      </c>
      <c r="J376" s="24"/>
      <c r="K376" s="23"/>
      <c r="L376" s="23"/>
      <c r="M376" s="24"/>
      <c r="N376" s="24"/>
      <c r="O376" s="26" t="s">
        <v>831</v>
      </c>
      <c r="P376" s="26"/>
      <c r="Q376" s="23">
        <v>16</v>
      </c>
      <c r="R376" s="25">
        <v>45812</v>
      </c>
      <c r="S376" s="25">
        <v>45817</v>
      </c>
      <c r="T376" s="25">
        <v>45819</v>
      </c>
      <c r="U376" s="25">
        <v>45824</v>
      </c>
      <c r="V376" s="25">
        <v>45826</v>
      </c>
      <c r="W376" s="23" t="s">
        <v>297</v>
      </c>
      <c r="X376" s="4" t="str">
        <f>IF(Tabela2[[#This Row],[SIGLA]]="","",VLOOKUP(Tabela2[[#This Row],[SIGLA]],créditos_base!B:C,2,0))</f>
        <v>WERLLEN HOLANDA/ARQUIVO DA EDITORA</v>
      </c>
      <c r="Y376" s="24"/>
      <c r="Z376" s="24" t="str">
        <f>Tabela2[[#This Row],[ILUSTRADOR CRIAÇÃO]]</f>
        <v>WERLLEN HOLANDA/ARQUIVO DA EDITORA</v>
      </c>
      <c r="AA376" s="23">
        <v>4</v>
      </c>
      <c r="AB376" s="22" t="s">
        <v>832</v>
      </c>
      <c r="AC376" s="22" t="s">
        <v>340</v>
      </c>
      <c r="AD376" s="4" t="str">
        <f t="shared" si="5"/>
        <v>EF1 E001 HGC</v>
      </c>
    </row>
    <row r="377" spans="1:30" s="14" customFormat="1" ht="120" x14ac:dyDescent="0.25">
      <c r="A377" s="24" t="s">
        <v>833</v>
      </c>
      <c r="B377" s="22" t="s">
        <v>31</v>
      </c>
      <c r="C377" s="22" t="s">
        <v>32</v>
      </c>
      <c r="D377" s="22" t="s">
        <v>33</v>
      </c>
      <c r="E377" s="23">
        <v>172</v>
      </c>
      <c r="F377" s="23">
        <v>1</v>
      </c>
      <c r="G377" s="23">
        <v>3</v>
      </c>
      <c r="H377" s="23"/>
      <c r="I377" s="24" t="s">
        <v>177</v>
      </c>
      <c r="J377" s="24"/>
      <c r="K377" s="23"/>
      <c r="L377" s="23"/>
      <c r="M377" s="24"/>
      <c r="N377" s="24"/>
      <c r="O377" s="26" t="s">
        <v>834</v>
      </c>
      <c r="P377" s="26"/>
      <c r="Q377" s="23">
        <v>16</v>
      </c>
      <c r="R377" s="25">
        <v>45812</v>
      </c>
      <c r="S377" s="25">
        <v>45817</v>
      </c>
      <c r="T377" s="25">
        <v>45819</v>
      </c>
      <c r="U377" s="25">
        <v>45824</v>
      </c>
      <c r="V377" s="25">
        <v>45826</v>
      </c>
      <c r="W377" s="23" t="s">
        <v>297</v>
      </c>
      <c r="X377" s="4" t="str">
        <f>IF(Tabela2[[#This Row],[SIGLA]]="","",VLOOKUP(Tabela2[[#This Row],[SIGLA]],créditos_base!B:C,2,0))</f>
        <v>WERLLEN HOLANDA/ARQUIVO DA EDITORA</v>
      </c>
      <c r="Y377" s="24"/>
      <c r="Z377" s="24" t="str">
        <f>Tabela2[[#This Row],[ILUSTRADOR CRIAÇÃO]]</f>
        <v>WERLLEN HOLANDA/ARQUIVO DA EDITORA</v>
      </c>
      <c r="AA377" s="23">
        <v>5</v>
      </c>
      <c r="AB377" s="22" t="s">
        <v>832</v>
      </c>
      <c r="AC377" s="22" t="s">
        <v>340</v>
      </c>
      <c r="AD377" s="4" t="str">
        <f t="shared" si="5"/>
        <v>EF1 E001 HGC</v>
      </c>
    </row>
    <row r="378" spans="1:30" s="14" customFormat="1" ht="210" x14ac:dyDescent="0.25">
      <c r="A378" s="24" t="s">
        <v>835</v>
      </c>
      <c r="B378" s="31" t="s">
        <v>31</v>
      </c>
      <c r="C378" s="22" t="s">
        <v>32</v>
      </c>
      <c r="D378" s="22" t="s">
        <v>33</v>
      </c>
      <c r="E378" s="23">
        <v>178</v>
      </c>
      <c r="F378" s="23">
        <v>1</v>
      </c>
      <c r="G378" s="23">
        <v>3</v>
      </c>
      <c r="H378" s="23"/>
      <c r="I378" s="24" t="s">
        <v>177</v>
      </c>
      <c r="J378" s="24"/>
      <c r="K378" s="23"/>
      <c r="L378" s="23"/>
      <c r="M378" s="24"/>
      <c r="N378" s="24"/>
      <c r="O378" s="26" t="s">
        <v>836</v>
      </c>
      <c r="P378" s="26"/>
      <c r="Q378" s="23">
        <v>16</v>
      </c>
      <c r="R378" s="25">
        <v>45812</v>
      </c>
      <c r="S378" s="25">
        <v>45817</v>
      </c>
      <c r="T378" s="25"/>
      <c r="U378" s="25"/>
      <c r="V378" s="25">
        <v>45819</v>
      </c>
      <c r="W378" s="23" t="s">
        <v>280</v>
      </c>
      <c r="X378" s="4" t="str">
        <f>IF(Tabela2[[#This Row],[SIGLA]]="","",VLOOKUP(Tabela2[[#This Row],[SIGLA]],créditos_base!B:C,2,0))</f>
        <v>HELOÍSA PINTARELLI/ARQUIVO DA EDITORA</v>
      </c>
      <c r="Y378" s="24"/>
      <c r="Z378" s="24" t="str">
        <f>Tabela2[[#This Row],[ILUSTRADOR CRIAÇÃO]]</f>
        <v>HELOÍSA PINTARELLI/ARQUIVO DA EDITORA</v>
      </c>
      <c r="AA378" s="23">
        <v>7</v>
      </c>
      <c r="AB378" s="22" t="s">
        <v>837</v>
      </c>
      <c r="AC378" s="22" t="s">
        <v>340</v>
      </c>
      <c r="AD378" s="4" t="str">
        <f t="shared" si="5"/>
        <v>EF1 E001 HGC</v>
      </c>
    </row>
    <row r="379" spans="1:30" s="14" customFormat="1" ht="135" x14ac:dyDescent="0.25">
      <c r="A379" s="24" t="s">
        <v>838</v>
      </c>
      <c r="B379" s="31" t="s">
        <v>31</v>
      </c>
      <c r="C379" s="22" t="s">
        <v>32</v>
      </c>
      <c r="D379" s="22" t="s">
        <v>33</v>
      </c>
      <c r="E379" s="23">
        <v>178</v>
      </c>
      <c r="F379" s="23">
        <v>1</v>
      </c>
      <c r="G379" s="23">
        <v>3</v>
      </c>
      <c r="H379" s="23"/>
      <c r="I379" s="24" t="s">
        <v>177</v>
      </c>
      <c r="J379" s="24"/>
      <c r="K379" s="23"/>
      <c r="L379" s="23"/>
      <c r="M379" s="24"/>
      <c r="N379" s="24"/>
      <c r="O379" s="26" t="s">
        <v>839</v>
      </c>
      <c r="P379" s="26"/>
      <c r="Q379" s="23">
        <v>16</v>
      </c>
      <c r="R379" s="25">
        <v>45812</v>
      </c>
      <c r="S379" s="25">
        <v>45817</v>
      </c>
      <c r="T379" s="25"/>
      <c r="U379" s="25"/>
      <c r="V379" s="25">
        <v>45819</v>
      </c>
      <c r="W379" s="23" t="s">
        <v>280</v>
      </c>
      <c r="X379" s="4" t="str">
        <f>IF(Tabela2[[#This Row],[SIGLA]]="","",VLOOKUP(Tabela2[[#This Row],[SIGLA]],créditos_base!B:C,2,0))</f>
        <v>HELOÍSA PINTARELLI/ARQUIVO DA EDITORA</v>
      </c>
      <c r="Y379" s="24"/>
      <c r="Z379" s="24" t="str">
        <f>Tabela2[[#This Row],[ILUSTRADOR CRIAÇÃO]]</f>
        <v>HELOÍSA PINTARELLI/ARQUIVO DA EDITORA</v>
      </c>
      <c r="AA379" s="23">
        <v>13</v>
      </c>
      <c r="AB379" s="22" t="s">
        <v>837</v>
      </c>
      <c r="AC379" s="22" t="s">
        <v>340</v>
      </c>
      <c r="AD379" s="4" t="str">
        <f t="shared" si="5"/>
        <v>EF1 E001 HGC</v>
      </c>
    </row>
    <row r="380" spans="1:30" s="14" customFormat="1" ht="195" x14ac:dyDescent="0.25">
      <c r="A380" s="24" t="s">
        <v>840</v>
      </c>
      <c r="B380" s="31" t="s">
        <v>31</v>
      </c>
      <c r="C380" s="22" t="s">
        <v>32</v>
      </c>
      <c r="D380" s="22" t="s">
        <v>33</v>
      </c>
      <c r="E380" s="23">
        <v>179</v>
      </c>
      <c r="F380" s="23">
        <v>1</v>
      </c>
      <c r="G380" s="23">
        <v>3</v>
      </c>
      <c r="H380" s="23"/>
      <c r="I380" s="24" t="s">
        <v>177</v>
      </c>
      <c r="J380" s="24"/>
      <c r="K380" s="23"/>
      <c r="L380" s="23"/>
      <c r="M380" s="24"/>
      <c r="N380" s="24"/>
      <c r="O380" s="26" t="s">
        <v>841</v>
      </c>
      <c r="P380" s="26"/>
      <c r="Q380" s="23">
        <v>16</v>
      </c>
      <c r="R380" s="25">
        <v>45812</v>
      </c>
      <c r="S380" s="25">
        <v>45817</v>
      </c>
      <c r="T380" s="25"/>
      <c r="U380" s="25"/>
      <c r="V380" s="25">
        <v>45819</v>
      </c>
      <c r="W380" s="23" t="s">
        <v>280</v>
      </c>
      <c r="X380" s="4" t="str">
        <f>IF(Tabela2[[#This Row],[SIGLA]]="","",VLOOKUP(Tabela2[[#This Row],[SIGLA]],créditos_base!B:C,2,0))</f>
        <v>HELOÍSA PINTARELLI/ARQUIVO DA EDITORA</v>
      </c>
      <c r="Y380" s="24"/>
      <c r="Z380" s="24" t="str">
        <f>Tabela2[[#This Row],[ILUSTRADOR CRIAÇÃO]]</f>
        <v>HELOÍSA PINTARELLI/ARQUIVO DA EDITORA</v>
      </c>
      <c r="AA380" s="23">
        <v>7</v>
      </c>
      <c r="AB380" s="22" t="s">
        <v>837</v>
      </c>
      <c r="AC380" s="22" t="s">
        <v>340</v>
      </c>
      <c r="AD380" s="4" t="str">
        <f t="shared" si="5"/>
        <v>EF1 E001 HGC</v>
      </c>
    </row>
    <row r="381" spans="1:30" s="14" customFormat="1" ht="165" x14ac:dyDescent="0.25">
      <c r="A381" s="24" t="s">
        <v>842</v>
      </c>
      <c r="B381" s="31" t="s">
        <v>31</v>
      </c>
      <c r="C381" s="22" t="s">
        <v>32</v>
      </c>
      <c r="D381" s="22" t="s">
        <v>33</v>
      </c>
      <c r="E381" s="23">
        <v>179</v>
      </c>
      <c r="F381" s="23">
        <v>1</v>
      </c>
      <c r="G381" s="23">
        <v>3</v>
      </c>
      <c r="H381" s="23"/>
      <c r="I381" s="24" t="s">
        <v>177</v>
      </c>
      <c r="J381" s="24"/>
      <c r="K381" s="23"/>
      <c r="L381" s="23"/>
      <c r="M381" s="24"/>
      <c r="N381" s="24"/>
      <c r="O381" s="26" t="s">
        <v>843</v>
      </c>
      <c r="P381" s="26"/>
      <c r="Q381" s="23">
        <v>16</v>
      </c>
      <c r="R381" s="25">
        <v>45812</v>
      </c>
      <c r="S381" s="25">
        <v>45817</v>
      </c>
      <c r="T381" s="25"/>
      <c r="U381" s="25"/>
      <c r="V381" s="25">
        <v>45819</v>
      </c>
      <c r="W381" s="23" t="s">
        <v>280</v>
      </c>
      <c r="X381" s="4" t="str">
        <f>IF(Tabela2[[#This Row],[SIGLA]]="","",VLOOKUP(Tabela2[[#This Row],[SIGLA]],créditos_base!B:C,2,0))</f>
        <v>HELOÍSA PINTARELLI/ARQUIVO DA EDITORA</v>
      </c>
      <c r="Y381" s="24"/>
      <c r="Z381" s="24" t="str">
        <f>Tabela2[[#This Row],[ILUSTRADOR CRIAÇÃO]]</f>
        <v>HELOÍSA PINTARELLI/ARQUIVO DA EDITORA</v>
      </c>
      <c r="AA381" s="23">
        <v>13</v>
      </c>
      <c r="AB381" s="22" t="s">
        <v>837</v>
      </c>
      <c r="AC381" s="22" t="s">
        <v>340</v>
      </c>
      <c r="AD381" s="4" t="str">
        <f t="shared" si="5"/>
        <v>EF1 E001 HGC</v>
      </c>
    </row>
    <row r="382" spans="1:30" s="14" customFormat="1" ht="60" x14ac:dyDescent="0.25">
      <c r="A382" s="24" t="s">
        <v>844</v>
      </c>
      <c r="B382" s="22" t="s">
        <v>31</v>
      </c>
      <c r="C382" s="22" t="s">
        <v>32</v>
      </c>
      <c r="D382" s="22" t="s">
        <v>33</v>
      </c>
      <c r="E382" s="23">
        <v>172</v>
      </c>
      <c r="F382" s="23">
        <v>1</v>
      </c>
      <c r="G382" s="23">
        <v>3</v>
      </c>
      <c r="H382" s="23"/>
      <c r="I382" s="24" t="s">
        <v>177</v>
      </c>
      <c r="J382" s="24"/>
      <c r="K382" s="23"/>
      <c r="L382" s="23"/>
      <c r="M382" s="24"/>
      <c r="N382" s="24"/>
      <c r="O382" s="26" t="s">
        <v>845</v>
      </c>
      <c r="P382" s="26" t="s">
        <v>846</v>
      </c>
      <c r="Q382" s="23"/>
      <c r="R382" s="25">
        <v>45814</v>
      </c>
      <c r="S382" s="25">
        <v>45817</v>
      </c>
      <c r="T382" s="25">
        <v>45819</v>
      </c>
      <c r="U382" s="25">
        <v>45824</v>
      </c>
      <c r="V382" s="25">
        <v>45826</v>
      </c>
      <c r="W382" s="23" t="s">
        <v>297</v>
      </c>
      <c r="X382" s="4" t="str">
        <f>IF(Tabela2[[#This Row],[SIGLA]]="","",VLOOKUP(Tabela2[[#This Row],[SIGLA]],créditos_base!B:C,2,0))</f>
        <v>WERLLEN HOLANDA/ARQUIVO DA EDITORA</v>
      </c>
      <c r="Y382" s="24"/>
      <c r="Z382" s="24" t="str">
        <f>Tabela2[[#This Row],[ILUSTRADOR CRIAÇÃO]]</f>
        <v>WERLLEN HOLANDA/ARQUIVO DA EDITORA</v>
      </c>
      <c r="AA382" s="23">
        <v>4</v>
      </c>
      <c r="AB382" s="22" t="s">
        <v>832</v>
      </c>
      <c r="AC382" s="22" t="s">
        <v>340</v>
      </c>
      <c r="AD382" s="4" t="str">
        <f t="shared" si="5"/>
        <v>EF1 E001 HGC</v>
      </c>
    </row>
    <row r="383" spans="1:30" s="37" customFormat="1" ht="75" x14ac:dyDescent="0.25">
      <c r="A383" s="24" t="s">
        <v>847</v>
      </c>
      <c r="B383" s="22" t="s">
        <v>31</v>
      </c>
      <c r="C383" s="22" t="s">
        <v>32</v>
      </c>
      <c r="D383" s="22" t="s">
        <v>33</v>
      </c>
      <c r="E383" s="23">
        <v>222</v>
      </c>
      <c r="F383" s="23">
        <v>1</v>
      </c>
      <c r="G383" s="23">
        <v>4</v>
      </c>
      <c r="H383" s="23"/>
      <c r="I383" s="24" t="s">
        <v>38</v>
      </c>
      <c r="J383" s="24"/>
      <c r="K383" s="23"/>
      <c r="L383" s="23"/>
      <c r="M383" s="24"/>
      <c r="N383" s="24"/>
      <c r="O383" s="26" t="s">
        <v>848</v>
      </c>
      <c r="P383" s="26"/>
      <c r="Q383" s="23">
        <v>17</v>
      </c>
      <c r="R383" s="25">
        <v>45819</v>
      </c>
      <c r="S383" s="25">
        <v>45821</v>
      </c>
      <c r="T383" s="25"/>
      <c r="U383" s="25"/>
      <c r="V383" s="25">
        <v>45821</v>
      </c>
      <c r="W383" s="23" t="s">
        <v>40</v>
      </c>
      <c r="X383" s="4" t="str">
        <f>IF(Tabela2[[#This Row],[SIGLA]]="","",VLOOKUP(Tabela2[[#This Row],[SIGLA]],créditos_base!B:C,2,0))</f>
        <v>LISLLEY GOMES FEIGE/ARQUIVO DA EDITORA</v>
      </c>
      <c r="Y383" s="24" t="s">
        <v>170</v>
      </c>
      <c r="Z383" s="24" t="str">
        <f>Tabela2[[#This Row],[ILUSTRADOR CRIAÇÃO]]</f>
        <v>LISLLEY GOMES FEIGE/ARQUIVO DA EDITORA</v>
      </c>
      <c r="AA383" s="23">
        <v>14</v>
      </c>
      <c r="AB383" s="22" t="s">
        <v>171</v>
      </c>
      <c r="AC383" s="22" t="s">
        <v>43</v>
      </c>
      <c r="AD383" s="4" t="str">
        <f t="shared" si="5"/>
        <v>EF1 E001 HGC</v>
      </c>
    </row>
    <row r="384" spans="1:30" s="14" customFormat="1" ht="75" x14ac:dyDescent="0.25">
      <c r="A384" s="24" t="s">
        <v>849</v>
      </c>
      <c r="B384" s="22" t="s">
        <v>31</v>
      </c>
      <c r="C384" s="22" t="s">
        <v>32</v>
      </c>
      <c r="D384" s="22" t="s">
        <v>33</v>
      </c>
      <c r="E384" s="23">
        <v>222</v>
      </c>
      <c r="F384" s="23">
        <v>1</v>
      </c>
      <c r="G384" s="23">
        <v>4</v>
      </c>
      <c r="H384" s="23"/>
      <c r="I384" s="24" t="s">
        <v>38</v>
      </c>
      <c r="J384" s="24"/>
      <c r="K384" s="23"/>
      <c r="L384" s="23"/>
      <c r="M384" s="24"/>
      <c r="N384" s="24"/>
      <c r="O384" s="26" t="s">
        <v>850</v>
      </c>
      <c r="P384" s="26"/>
      <c r="Q384" s="23">
        <v>17</v>
      </c>
      <c r="R384" s="25">
        <v>45819</v>
      </c>
      <c r="S384" s="25">
        <v>45821</v>
      </c>
      <c r="T384" s="25"/>
      <c r="U384" s="25"/>
      <c r="V384" s="25">
        <v>45821</v>
      </c>
      <c r="W384" s="23" t="s">
        <v>40</v>
      </c>
      <c r="X384" s="4" t="str">
        <f>IF(Tabela2[[#This Row],[SIGLA]]="","",VLOOKUP(Tabela2[[#This Row],[SIGLA]],créditos_base!B:C,2,0))</f>
        <v>LISLLEY GOMES FEIGE/ARQUIVO DA EDITORA</v>
      </c>
      <c r="Y384" s="24" t="s">
        <v>170</v>
      </c>
      <c r="Z384" s="24" t="str">
        <f>Tabela2[[#This Row],[ILUSTRADOR CRIAÇÃO]]</f>
        <v>LISLLEY GOMES FEIGE/ARQUIVO DA EDITORA</v>
      </c>
      <c r="AA384" s="23">
        <v>14</v>
      </c>
      <c r="AB384" s="22" t="s">
        <v>171</v>
      </c>
      <c r="AC384" s="22" t="s">
        <v>43</v>
      </c>
      <c r="AD384" s="4" t="str">
        <f t="shared" si="5"/>
        <v>EF1 E001 HGC</v>
      </c>
    </row>
    <row r="385" spans="1:30" s="14" customFormat="1" ht="60" x14ac:dyDescent="0.25">
      <c r="A385" s="24" t="s">
        <v>851</v>
      </c>
      <c r="B385" s="22" t="s">
        <v>31</v>
      </c>
      <c r="C385" s="22" t="s">
        <v>32</v>
      </c>
      <c r="D385" s="22" t="s">
        <v>33</v>
      </c>
      <c r="E385" s="23">
        <v>238</v>
      </c>
      <c r="F385" s="23">
        <v>1</v>
      </c>
      <c r="G385" s="23">
        <v>4</v>
      </c>
      <c r="H385" s="23"/>
      <c r="I385" s="24" t="s">
        <v>38</v>
      </c>
      <c r="J385" s="24"/>
      <c r="K385" s="23"/>
      <c r="L385" s="23"/>
      <c r="M385" s="24"/>
      <c r="N385" s="24"/>
      <c r="O385" s="26" t="s">
        <v>852</v>
      </c>
      <c r="P385" s="26"/>
      <c r="Q385" s="23">
        <v>17</v>
      </c>
      <c r="R385" s="25">
        <v>45819</v>
      </c>
      <c r="S385" s="25">
        <v>45821</v>
      </c>
      <c r="T385" s="25"/>
      <c r="U385" s="25"/>
      <c r="V385" s="25">
        <v>45821</v>
      </c>
      <c r="W385" s="23" t="s">
        <v>40</v>
      </c>
      <c r="X385" s="4" t="str">
        <f>IF(Tabela2[[#This Row],[SIGLA]]="","",VLOOKUP(Tabela2[[#This Row],[SIGLA]],créditos_base!B:C,2,0))</f>
        <v>LISLLEY GOMES FEIGE/ARQUIVO DA EDITORA</v>
      </c>
      <c r="Y385" s="24" t="s">
        <v>170</v>
      </c>
      <c r="Z385" s="24" t="str">
        <f>Tabela2[[#This Row],[ILUSTRADOR CRIAÇÃO]]</f>
        <v>LISLLEY GOMES FEIGE/ARQUIVO DA EDITORA</v>
      </c>
      <c r="AA385" s="23">
        <v>13</v>
      </c>
      <c r="AB385" s="22" t="s">
        <v>171</v>
      </c>
      <c r="AC385" s="22" t="s">
        <v>43</v>
      </c>
      <c r="AD385" s="4" t="str">
        <f t="shared" si="5"/>
        <v>EF1 E001 HGC</v>
      </c>
    </row>
    <row r="386" spans="1:30" s="14" customFormat="1" ht="45" x14ac:dyDescent="0.25">
      <c r="A386" s="24" t="s">
        <v>853</v>
      </c>
      <c r="B386" s="22" t="s">
        <v>31</v>
      </c>
      <c r="C386" s="22" t="s">
        <v>32</v>
      </c>
      <c r="D386" s="22" t="s">
        <v>33</v>
      </c>
      <c r="E386" s="23">
        <v>254</v>
      </c>
      <c r="F386" s="23">
        <v>1</v>
      </c>
      <c r="G386" s="23">
        <v>4</v>
      </c>
      <c r="H386" s="23"/>
      <c r="I386" s="24" t="s">
        <v>177</v>
      </c>
      <c r="J386" s="24"/>
      <c r="K386" s="23"/>
      <c r="L386" s="23"/>
      <c r="M386" s="24"/>
      <c r="N386" s="24"/>
      <c r="O386" s="26" t="s">
        <v>854</v>
      </c>
      <c r="P386" s="26"/>
      <c r="Q386" s="23">
        <v>17</v>
      </c>
      <c r="R386" s="25">
        <v>45819</v>
      </c>
      <c r="S386" s="25">
        <v>45821</v>
      </c>
      <c r="T386" s="25">
        <v>45824</v>
      </c>
      <c r="U386" s="25">
        <v>45826</v>
      </c>
      <c r="V386" s="25">
        <v>45831</v>
      </c>
      <c r="W386" s="23" t="s">
        <v>297</v>
      </c>
      <c r="X386" s="4" t="str">
        <f>IF(Tabela2[[#This Row],[SIGLA]]="","",VLOOKUP(Tabela2[[#This Row],[SIGLA]],créditos_base!B:C,2,0))</f>
        <v>WERLLEN HOLANDA/ARQUIVO DA EDITORA</v>
      </c>
      <c r="Y386" s="24"/>
      <c r="Z386" s="24" t="str">
        <f>Tabela2[[#This Row],[ILUSTRADOR CRIAÇÃO]]</f>
        <v>WERLLEN HOLANDA/ARQUIVO DA EDITORA</v>
      </c>
      <c r="AA386" s="23">
        <v>7</v>
      </c>
      <c r="AB386" s="26" t="s">
        <v>855</v>
      </c>
      <c r="AC386" s="22" t="s">
        <v>340</v>
      </c>
      <c r="AD386" s="4" t="str">
        <f t="shared" ref="AD386:AD449" si="6">"EF1 E001 HGC"</f>
        <v>EF1 E001 HGC</v>
      </c>
    </row>
    <row r="387" spans="1:30" s="14" customFormat="1" ht="30" x14ac:dyDescent="0.25">
      <c r="A387" s="24" t="s">
        <v>856</v>
      </c>
      <c r="B387" s="22" t="s">
        <v>31</v>
      </c>
      <c r="C387" s="22" t="s">
        <v>32</v>
      </c>
      <c r="D387" s="22" t="s">
        <v>33</v>
      </c>
      <c r="E387" s="23">
        <v>259</v>
      </c>
      <c r="F387" s="23">
        <v>1</v>
      </c>
      <c r="G387" s="23">
        <v>4</v>
      </c>
      <c r="H387" s="23"/>
      <c r="I387" s="24" t="s">
        <v>177</v>
      </c>
      <c r="J387" s="24"/>
      <c r="K387" s="23"/>
      <c r="L387" s="23"/>
      <c r="M387" s="24"/>
      <c r="N387" s="24"/>
      <c r="O387" s="26" t="s">
        <v>857</v>
      </c>
      <c r="P387" s="26"/>
      <c r="Q387" s="23">
        <v>17</v>
      </c>
      <c r="R387" s="25">
        <v>45819</v>
      </c>
      <c r="S387" s="25">
        <v>45821</v>
      </c>
      <c r="T387" s="25">
        <v>45824</v>
      </c>
      <c r="U387" s="25">
        <v>45826</v>
      </c>
      <c r="V387" s="25">
        <v>45831</v>
      </c>
      <c r="W387" s="23" t="s">
        <v>297</v>
      </c>
      <c r="X387" s="4" t="str">
        <f>IF(Tabela2[[#This Row],[SIGLA]]="","",VLOOKUP(Tabela2[[#This Row],[SIGLA]],créditos_base!B:C,2,0))</f>
        <v>WERLLEN HOLANDA/ARQUIVO DA EDITORA</v>
      </c>
      <c r="Y387" s="24"/>
      <c r="Z387" s="24" t="str">
        <f>Tabela2[[#This Row],[ILUSTRADOR CRIAÇÃO]]</f>
        <v>WERLLEN HOLANDA/ARQUIVO DA EDITORA</v>
      </c>
      <c r="AA387" s="23">
        <v>8</v>
      </c>
      <c r="AB387" s="22" t="s">
        <v>858</v>
      </c>
      <c r="AC387" s="22" t="s">
        <v>340</v>
      </c>
      <c r="AD387" s="4" t="str">
        <f t="shared" si="6"/>
        <v>EF1 E001 HGC</v>
      </c>
    </row>
    <row r="388" spans="1:30" s="14" customFormat="1" ht="30" x14ac:dyDescent="0.25">
      <c r="A388" s="24" t="s">
        <v>859</v>
      </c>
      <c r="B388" s="22" t="s">
        <v>31</v>
      </c>
      <c r="C388" s="22" t="s">
        <v>32</v>
      </c>
      <c r="D388" s="22" t="s">
        <v>33</v>
      </c>
      <c r="E388" s="23">
        <v>259</v>
      </c>
      <c r="F388" s="23">
        <v>1</v>
      </c>
      <c r="G388" s="23">
        <v>4</v>
      </c>
      <c r="H388" s="23"/>
      <c r="I388" s="24" t="s">
        <v>177</v>
      </c>
      <c r="J388" s="24"/>
      <c r="K388" s="23"/>
      <c r="L388" s="23"/>
      <c r="M388" s="24"/>
      <c r="N388" s="24"/>
      <c r="O388" s="26" t="s">
        <v>860</v>
      </c>
      <c r="P388" s="26"/>
      <c r="Q388" s="23">
        <v>17</v>
      </c>
      <c r="R388" s="25">
        <v>45819</v>
      </c>
      <c r="S388" s="25">
        <v>45821</v>
      </c>
      <c r="T388" s="25">
        <v>45824</v>
      </c>
      <c r="U388" s="25">
        <v>45826</v>
      </c>
      <c r="V388" s="25">
        <v>45831</v>
      </c>
      <c r="W388" s="23" t="s">
        <v>297</v>
      </c>
      <c r="X388" s="4" t="str">
        <f>IF(Tabela2[[#This Row],[SIGLA]]="","",VLOOKUP(Tabela2[[#This Row],[SIGLA]],créditos_base!B:C,2,0))</f>
        <v>WERLLEN HOLANDA/ARQUIVO DA EDITORA</v>
      </c>
      <c r="Y388" s="24"/>
      <c r="Z388" s="24" t="str">
        <f>Tabela2[[#This Row],[ILUSTRADOR CRIAÇÃO]]</f>
        <v>WERLLEN HOLANDA/ARQUIVO DA EDITORA</v>
      </c>
      <c r="AA388" s="23">
        <v>8</v>
      </c>
      <c r="AB388" s="22" t="s">
        <v>858</v>
      </c>
      <c r="AC388" s="22" t="s">
        <v>340</v>
      </c>
      <c r="AD388" s="4" t="str">
        <f t="shared" si="6"/>
        <v>EF1 E001 HGC</v>
      </c>
    </row>
    <row r="389" spans="1:30" s="14" customFormat="1" x14ac:dyDescent="0.25">
      <c r="A389" s="24" t="s">
        <v>861</v>
      </c>
      <c r="B389" s="22" t="s">
        <v>31</v>
      </c>
      <c r="C389" s="22" t="s">
        <v>32</v>
      </c>
      <c r="D389" s="22" t="s">
        <v>33</v>
      </c>
      <c r="E389" s="23">
        <v>259</v>
      </c>
      <c r="F389" s="23">
        <v>1</v>
      </c>
      <c r="G389" s="23">
        <v>4</v>
      </c>
      <c r="H389" s="23"/>
      <c r="I389" s="24" t="s">
        <v>177</v>
      </c>
      <c r="J389" s="24"/>
      <c r="K389" s="23"/>
      <c r="L389" s="23"/>
      <c r="M389" s="24"/>
      <c r="N389" s="24"/>
      <c r="O389" s="26" t="s">
        <v>862</v>
      </c>
      <c r="P389" s="26"/>
      <c r="Q389" s="23">
        <v>17</v>
      </c>
      <c r="R389" s="25">
        <v>45819</v>
      </c>
      <c r="S389" s="25">
        <v>45821</v>
      </c>
      <c r="T389" s="25">
        <v>45824</v>
      </c>
      <c r="U389" s="25">
        <v>45826</v>
      </c>
      <c r="V389" s="25">
        <v>45831</v>
      </c>
      <c r="W389" s="23" t="s">
        <v>297</v>
      </c>
      <c r="X389" s="4" t="str">
        <f>IF(Tabela2[[#This Row],[SIGLA]]="","",VLOOKUP(Tabela2[[#This Row],[SIGLA]],créditos_base!B:C,2,0))</f>
        <v>WERLLEN HOLANDA/ARQUIVO DA EDITORA</v>
      </c>
      <c r="Y389" s="24"/>
      <c r="Z389" s="24" t="str">
        <f>Tabela2[[#This Row],[ILUSTRADOR CRIAÇÃO]]</f>
        <v>WERLLEN HOLANDA/ARQUIVO DA EDITORA</v>
      </c>
      <c r="AA389" s="23">
        <v>8</v>
      </c>
      <c r="AB389" s="22" t="s">
        <v>858</v>
      </c>
      <c r="AC389" s="22" t="s">
        <v>340</v>
      </c>
      <c r="AD389" s="4" t="str">
        <f t="shared" si="6"/>
        <v>EF1 E001 HGC</v>
      </c>
    </row>
    <row r="390" spans="1:30" s="14" customFormat="1" x14ac:dyDescent="0.25">
      <c r="A390" s="24" t="s">
        <v>863</v>
      </c>
      <c r="B390" s="22" t="s">
        <v>31</v>
      </c>
      <c r="C390" s="22" t="s">
        <v>32</v>
      </c>
      <c r="D390" s="22" t="s">
        <v>33</v>
      </c>
      <c r="E390" s="23">
        <v>259</v>
      </c>
      <c r="F390" s="23">
        <v>1</v>
      </c>
      <c r="G390" s="23">
        <v>4</v>
      </c>
      <c r="H390" s="23"/>
      <c r="I390" s="24" t="s">
        <v>177</v>
      </c>
      <c r="J390" s="24"/>
      <c r="K390" s="23"/>
      <c r="L390" s="23"/>
      <c r="M390" s="24"/>
      <c r="N390" s="24"/>
      <c r="O390" s="26" t="s">
        <v>864</v>
      </c>
      <c r="P390" s="26"/>
      <c r="Q390" s="23">
        <v>17</v>
      </c>
      <c r="R390" s="25">
        <v>45819</v>
      </c>
      <c r="S390" s="25">
        <v>45821</v>
      </c>
      <c r="T390" s="25">
        <v>45824</v>
      </c>
      <c r="U390" s="25">
        <v>45826</v>
      </c>
      <c r="V390" s="25">
        <v>45831</v>
      </c>
      <c r="W390" s="23" t="s">
        <v>297</v>
      </c>
      <c r="X390" s="4" t="str">
        <f>IF(Tabela2[[#This Row],[SIGLA]]="","",VLOOKUP(Tabela2[[#This Row],[SIGLA]],créditos_base!B:C,2,0))</f>
        <v>WERLLEN HOLANDA/ARQUIVO DA EDITORA</v>
      </c>
      <c r="Y390" s="24"/>
      <c r="Z390" s="24" t="str">
        <f>Tabela2[[#This Row],[ILUSTRADOR CRIAÇÃO]]</f>
        <v>WERLLEN HOLANDA/ARQUIVO DA EDITORA</v>
      </c>
      <c r="AA390" s="23">
        <v>8</v>
      </c>
      <c r="AB390" s="22" t="s">
        <v>858</v>
      </c>
      <c r="AC390" s="22" t="s">
        <v>340</v>
      </c>
      <c r="AD390" s="4" t="str">
        <f t="shared" si="6"/>
        <v>EF1 E001 HGC</v>
      </c>
    </row>
    <row r="391" spans="1:30" s="14" customFormat="1" x14ac:dyDescent="0.25">
      <c r="A391" s="24" t="s">
        <v>865</v>
      </c>
      <c r="B391" s="22" t="s">
        <v>31</v>
      </c>
      <c r="C391" s="22" t="s">
        <v>32</v>
      </c>
      <c r="D391" s="22" t="s">
        <v>33</v>
      </c>
      <c r="E391" s="23">
        <v>259</v>
      </c>
      <c r="F391" s="23">
        <v>1</v>
      </c>
      <c r="G391" s="23">
        <v>4</v>
      </c>
      <c r="H391" s="23"/>
      <c r="I391" s="24" t="s">
        <v>177</v>
      </c>
      <c r="J391" s="24"/>
      <c r="K391" s="23"/>
      <c r="L391" s="23"/>
      <c r="M391" s="24"/>
      <c r="N391" s="24"/>
      <c r="O391" s="26" t="s">
        <v>866</v>
      </c>
      <c r="P391" s="26"/>
      <c r="Q391" s="23">
        <v>17</v>
      </c>
      <c r="R391" s="25">
        <v>45819</v>
      </c>
      <c r="S391" s="25">
        <v>45821</v>
      </c>
      <c r="T391" s="25">
        <v>45824</v>
      </c>
      <c r="U391" s="25">
        <v>45826</v>
      </c>
      <c r="V391" s="25">
        <v>45831</v>
      </c>
      <c r="W391" s="23" t="s">
        <v>297</v>
      </c>
      <c r="X391" s="4" t="str">
        <f>IF(Tabela2[[#This Row],[SIGLA]]="","",VLOOKUP(Tabela2[[#This Row],[SIGLA]],créditos_base!B:C,2,0))</f>
        <v>WERLLEN HOLANDA/ARQUIVO DA EDITORA</v>
      </c>
      <c r="Y391" s="24"/>
      <c r="Z391" s="24" t="str">
        <f>Tabela2[[#This Row],[ILUSTRADOR CRIAÇÃO]]</f>
        <v>WERLLEN HOLANDA/ARQUIVO DA EDITORA</v>
      </c>
      <c r="AA391" s="23">
        <v>8</v>
      </c>
      <c r="AB391" s="22" t="s">
        <v>858</v>
      </c>
      <c r="AC391" s="22" t="s">
        <v>340</v>
      </c>
      <c r="AD391" s="4" t="str">
        <f t="shared" si="6"/>
        <v>EF1 E001 HGC</v>
      </c>
    </row>
    <row r="392" spans="1:30" s="14" customFormat="1" ht="165" x14ac:dyDescent="0.25">
      <c r="A392" s="24" t="s">
        <v>867</v>
      </c>
      <c r="B392" s="22" t="s">
        <v>31</v>
      </c>
      <c r="C392" s="22" t="s">
        <v>32</v>
      </c>
      <c r="D392" s="22" t="s">
        <v>33</v>
      </c>
      <c r="E392" s="23">
        <v>262</v>
      </c>
      <c r="F392" s="23">
        <v>1</v>
      </c>
      <c r="G392" s="23">
        <v>4</v>
      </c>
      <c r="H392" s="23"/>
      <c r="I392" s="24" t="s">
        <v>38</v>
      </c>
      <c r="J392" s="24"/>
      <c r="K392" s="23"/>
      <c r="L392" s="23"/>
      <c r="M392" s="24"/>
      <c r="N392" s="24"/>
      <c r="O392" s="26" t="s">
        <v>868</v>
      </c>
      <c r="P392" s="26" t="s">
        <v>869</v>
      </c>
      <c r="Q392" s="23">
        <v>17</v>
      </c>
      <c r="R392" s="25">
        <v>45819</v>
      </c>
      <c r="S392" s="25">
        <v>45824</v>
      </c>
      <c r="T392" s="25"/>
      <c r="U392" s="25"/>
      <c r="V392" s="25">
        <v>45824</v>
      </c>
      <c r="W392" s="23" t="s">
        <v>870</v>
      </c>
      <c r="X392" s="4" t="str">
        <f>IF(Tabela2[[#This Row],[SIGLA]]="","",VLOOKUP(Tabela2[[#This Row],[SIGLA]],créditos_base!B:C,2,0))</f>
        <v>KEITHY MOSTACHI/ARQUIVO DA EDITORA</v>
      </c>
      <c r="Y392" s="24" t="s">
        <v>170</v>
      </c>
      <c r="Z392" s="24" t="str">
        <f>Tabela2[[#This Row],[ILUSTRADOR CRIAÇÃO]]</f>
        <v>KEITHY MOSTACHI/ARQUIVO DA EDITORA</v>
      </c>
      <c r="AA392" s="23">
        <v>13</v>
      </c>
      <c r="AB392" s="22" t="s">
        <v>171</v>
      </c>
      <c r="AC392" s="22" t="s">
        <v>43</v>
      </c>
      <c r="AD392" s="4" t="str">
        <f t="shared" si="6"/>
        <v>EF1 E001 HGC</v>
      </c>
    </row>
    <row r="393" spans="1:30" s="14" customFormat="1" ht="210" x14ac:dyDescent="0.25">
      <c r="A393" s="24" t="s">
        <v>871</v>
      </c>
      <c r="B393" s="22" t="s">
        <v>31</v>
      </c>
      <c r="C393" s="22" t="s">
        <v>32</v>
      </c>
      <c r="D393" s="22" t="s">
        <v>33</v>
      </c>
      <c r="E393" s="23">
        <v>246</v>
      </c>
      <c r="F393" s="23">
        <v>1</v>
      </c>
      <c r="G393" s="23">
        <v>4</v>
      </c>
      <c r="H393" s="23"/>
      <c r="I393" s="24" t="s">
        <v>38</v>
      </c>
      <c r="J393" s="24"/>
      <c r="K393" s="23"/>
      <c r="L393" s="23"/>
      <c r="M393" s="24"/>
      <c r="N393" s="24"/>
      <c r="O393" s="26" t="s">
        <v>872</v>
      </c>
      <c r="P393" s="26"/>
      <c r="Q393" s="23">
        <v>17</v>
      </c>
      <c r="R393" s="25">
        <v>45819</v>
      </c>
      <c r="S393" s="25">
        <v>45824</v>
      </c>
      <c r="T393" s="25"/>
      <c r="U393" s="25"/>
      <c r="V393" s="25">
        <v>45824</v>
      </c>
      <c r="W393" s="23" t="s">
        <v>316</v>
      </c>
      <c r="X393" s="4" t="str">
        <f>IF(Tabela2[[#This Row],[SIGLA]]="","",VLOOKUP(Tabela2[[#This Row],[SIGLA]],créditos_base!B:C,2,0))</f>
        <v>SAULO NUNES/ARQUIVO DA EDITORA</v>
      </c>
      <c r="Y393" s="24" t="s">
        <v>170</v>
      </c>
      <c r="Z393" s="24" t="str">
        <f>Tabela2[[#This Row],[ILUSTRADOR CRIAÇÃO]]</f>
        <v>SAULO NUNES/ARQUIVO DA EDITORA</v>
      </c>
      <c r="AA393" s="23">
        <v>13</v>
      </c>
      <c r="AB393" s="22" t="s">
        <v>171</v>
      </c>
      <c r="AC393" s="22" t="s">
        <v>43</v>
      </c>
      <c r="AD393" s="4" t="str">
        <f t="shared" si="6"/>
        <v>EF1 E001 HGC</v>
      </c>
    </row>
    <row r="394" spans="1:30" s="14" customFormat="1" ht="45" x14ac:dyDescent="0.25">
      <c r="A394" s="24" t="s">
        <v>873</v>
      </c>
      <c r="B394" s="22" t="s">
        <v>83</v>
      </c>
      <c r="C394" s="22" t="s">
        <v>32</v>
      </c>
      <c r="D394" s="22" t="s">
        <v>33</v>
      </c>
      <c r="E394" s="23">
        <v>274</v>
      </c>
      <c r="F394" s="23">
        <v>1</v>
      </c>
      <c r="G394" s="23">
        <v>4</v>
      </c>
      <c r="H394" s="23"/>
      <c r="I394" s="24" t="s">
        <v>177</v>
      </c>
      <c r="J394" s="24"/>
      <c r="K394" s="23"/>
      <c r="L394" s="23"/>
      <c r="M394" s="24"/>
      <c r="N394" s="24"/>
      <c r="O394" s="26" t="s">
        <v>874</v>
      </c>
      <c r="P394" s="26"/>
      <c r="Q394" s="23">
        <v>17</v>
      </c>
      <c r="R394" s="25">
        <v>45819</v>
      </c>
      <c r="S394" s="25">
        <v>45821</v>
      </c>
      <c r="T394" s="25"/>
      <c r="U394" s="25"/>
      <c r="V394" s="25">
        <v>45821</v>
      </c>
      <c r="W394" s="23" t="s">
        <v>370</v>
      </c>
      <c r="X394" s="4" t="str">
        <f>IF(Tabela2[[#This Row],[SIGLA]]="","",VLOOKUP(Tabela2[[#This Row],[SIGLA]],créditos_base!B:C,2,0))</f>
        <v>VER DOCUMENTO DE ILS. TÉCNICAS</v>
      </c>
      <c r="Y394" s="24"/>
      <c r="Z394" s="24" t="s">
        <v>875</v>
      </c>
      <c r="AA394" s="23">
        <v>13</v>
      </c>
      <c r="AB394" s="22" t="s">
        <v>876</v>
      </c>
      <c r="AC394" s="22" t="s">
        <v>43</v>
      </c>
      <c r="AD394" s="4" t="str">
        <f t="shared" si="6"/>
        <v>EF1 E001 HGC</v>
      </c>
    </row>
    <row r="395" spans="1:30" s="14" customFormat="1" ht="45" x14ac:dyDescent="0.25">
      <c r="A395" s="24" t="s">
        <v>877</v>
      </c>
      <c r="B395" s="22" t="s">
        <v>83</v>
      </c>
      <c r="C395" s="22" t="s">
        <v>32</v>
      </c>
      <c r="D395" s="22" t="s">
        <v>33</v>
      </c>
      <c r="E395" s="23">
        <v>274</v>
      </c>
      <c r="F395" s="23">
        <v>1</v>
      </c>
      <c r="G395" s="23">
        <v>4</v>
      </c>
      <c r="H395" s="23"/>
      <c r="I395" s="24" t="s">
        <v>177</v>
      </c>
      <c r="J395" s="24"/>
      <c r="K395" s="23"/>
      <c r="L395" s="23"/>
      <c r="M395" s="24"/>
      <c r="N395" s="24"/>
      <c r="O395" s="26" t="s">
        <v>878</v>
      </c>
      <c r="P395" s="26"/>
      <c r="Q395" s="23">
        <v>17</v>
      </c>
      <c r="R395" s="25">
        <v>45819</v>
      </c>
      <c r="S395" s="25">
        <v>45821</v>
      </c>
      <c r="T395" s="25"/>
      <c r="U395" s="25"/>
      <c r="V395" s="25">
        <v>45821</v>
      </c>
      <c r="W395" s="23" t="s">
        <v>370</v>
      </c>
      <c r="X395" s="4" t="str">
        <f>IF(Tabela2[[#This Row],[SIGLA]]="","",VLOOKUP(Tabela2[[#This Row],[SIGLA]],créditos_base!B:C,2,0))</f>
        <v>VER DOCUMENTO DE ILS. TÉCNICAS</v>
      </c>
      <c r="Y395" s="24"/>
      <c r="Z395" s="24" t="s">
        <v>875</v>
      </c>
      <c r="AA395" s="23">
        <v>13</v>
      </c>
      <c r="AB395" s="22" t="s">
        <v>876</v>
      </c>
      <c r="AC395" s="22" t="s">
        <v>43</v>
      </c>
      <c r="AD395" s="4" t="str">
        <f t="shared" si="6"/>
        <v>EF1 E001 HGC</v>
      </c>
    </row>
    <row r="396" spans="1:30" s="14" customFormat="1" ht="30" x14ac:dyDescent="0.25">
      <c r="A396" s="24" t="s">
        <v>879</v>
      </c>
      <c r="B396" s="22" t="s">
        <v>31</v>
      </c>
      <c r="C396" s="22" t="s">
        <v>32</v>
      </c>
      <c r="D396" s="22" t="s">
        <v>33</v>
      </c>
      <c r="E396" s="23">
        <v>247</v>
      </c>
      <c r="F396" s="23">
        <v>1</v>
      </c>
      <c r="G396" s="23">
        <v>4</v>
      </c>
      <c r="H396" s="23"/>
      <c r="I396" s="24" t="s">
        <v>34</v>
      </c>
      <c r="J396" s="24"/>
      <c r="K396" s="23"/>
      <c r="L396" s="23"/>
      <c r="M396" s="24"/>
      <c r="N396" s="24"/>
      <c r="O396" s="26" t="s">
        <v>880</v>
      </c>
      <c r="P396" s="26"/>
      <c r="Q396" s="23"/>
      <c r="R396" s="25"/>
      <c r="S396" s="25">
        <v>45870</v>
      </c>
      <c r="T396" s="25"/>
      <c r="U396" s="25"/>
      <c r="V396" s="25">
        <v>45870</v>
      </c>
      <c r="W396" s="23" t="s">
        <v>322</v>
      </c>
      <c r="X396" s="4" t="str">
        <f>IF(Tabela2[[#This Row],[SIGLA]]="","",VLOOKUP(Tabela2[[#This Row],[SIGLA]],créditos_base!B:C,2,0))</f>
        <v>CAMILA CARMONA/ARQUIVO DA EDITORA</v>
      </c>
      <c r="Y396" s="24" t="s">
        <v>70</v>
      </c>
      <c r="Z396" s="24" t="str">
        <f>Tabela2[[#This Row],[ILUSTRADOR CRIAÇÃO]]</f>
        <v>CAMILA CARMONA/ARQUIVO DA EDITORA</v>
      </c>
      <c r="AA396" s="23">
        <v>13</v>
      </c>
      <c r="AB396" s="22" t="s">
        <v>71</v>
      </c>
      <c r="AC396" s="22" t="s">
        <v>43</v>
      </c>
      <c r="AD396" s="4" t="str">
        <f t="shared" si="6"/>
        <v>EF1 E001 HGC</v>
      </c>
    </row>
    <row r="397" spans="1:30" s="14" customFormat="1" ht="30" x14ac:dyDescent="0.25">
      <c r="A397" s="24" t="s">
        <v>881</v>
      </c>
      <c r="B397" s="22" t="s">
        <v>31</v>
      </c>
      <c r="C397" s="22" t="s">
        <v>32</v>
      </c>
      <c r="D397" s="22" t="s">
        <v>33</v>
      </c>
      <c r="E397" s="23">
        <v>96</v>
      </c>
      <c r="F397" s="23">
        <v>2</v>
      </c>
      <c r="G397" s="23">
        <v>2</v>
      </c>
      <c r="H397" s="23"/>
      <c r="I397" s="24" t="s">
        <v>177</v>
      </c>
      <c r="J397" s="24"/>
      <c r="K397" s="23"/>
      <c r="L397" s="23"/>
      <c r="M397" s="24"/>
      <c r="N397" s="24"/>
      <c r="O397" s="26" t="s">
        <v>882</v>
      </c>
      <c r="P397" s="26"/>
      <c r="Q397" s="23">
        <v>3</v>
      </c>
      <c r="R397" s="25">
        <v>45824</v>
      </c>
      <c r="S397" s="25">
        <v>45824</v>
      </c>
      <c r="T397" s="25"/>
      <c r="U397" s="25"/>
      <c r="V397" s="25">
        <v>45826</v>
      </c>
      <c r="W397" s="23" t="s">
        <v>707</v>
      </c>
      <c r="X397" s="4" t="str">
        <f>IF(Tabela2[[#This Row],[SIGLA]]="","",VLOOKUP(Tabela2[[#This Row],[SIGLA]],créditos_base!B:C,2,0))</f>
        <v>FABIO EUGENIO/ARQUIVO DA EDITORA</v>
      </c>
      <c r="Y397" s="24"/>
      <c r="Z397" s="24" t="str">
        <f>Tabela2[[#This Row],[ILUSTRADOR CRIAÇÃO]]</f>
        <v>FABIO EUGENIO/ARQUIVO DA EDITORA</v>
      </c>
      <c r="AA397" s="23">
        <v>6</v>
      </c>
      <c r="AB397" s="22" t="s">
        <v>883</v>
      </c>
      <c r="AC397" s="22" t="s">
        <v>340</v>
      </c>
      <c r="AD397" s="4" t="str">
        <f t="shared" si="6"/>
        <v>EF1 E001 HGC</v>
      </c>
    </row>
    <row r="398" spans="1:30" s="14" customFormat="1" ht="30" x14ac:dyDescent="0.25">
      <c r="A398" s="24" t="s">
        <v>884</v>
      </c>
      <c r="B398" s="22" t="s">
        <v>31</v>
      </c>
      <c r="C398" s="22" t="s">
        <v>32</v>
      </c>
      <c r="D398" s="22" t="s">
        <v>33</v>
      </c>
      <c r="E398" s="23">
        <v>118</v>
      </c>
      <c r="F398" s="23">
        <v>2</v>
      </c>
      <c r="G398" s="23">
        <v>2</v>
      </c>
      <c r="H398" s="23"/>
      <c r="I398" s="24" t="s">
        <v>34</v>
      </c>
      <c r="J398" s="24"/>
      <c r="K398" s="23"/>
      <c r="L398" s="23"/>
      <c r="M398" s="24"/>
      <c r="N398" s="24"/>
      <c r="O398" s="26" t="s">
        <v>885</v>
      </c>
      <c r="P398" s="26"/>
      <c r="Q398" s="23"/>
      <c r="R398" s="25"/>
      <c r="S398" s="25"/>
      <c r="T398" s="25"/>
      <c r="U398" s="25"/>
      <c r="V398" s="25"/>
      <c r="W398" s="23" t="s">
        <v>40</v>
      </c>
      <c r="X398" s="4" t="str">
        <f>IF(Tabela2[[#This Row],[SIGLA]]="","",VLOOKUP(Tabela2[[#This Row],[SIGLA]],créditos_base!B:C,2,0))</f>
        <v>LISLLEY GOMES FEIGE/ARQUIVO DA EDITORA</v>
      </c>
      <c r="Y398" s="24"/>
      <c r="Z398" s="24" t="str">
        <f>Tabela2[[#This Row],[ILUSTRADOR CRIAÇÃO]]</f>
        <v>LISLLEY GOMES FEIGE/ARQUIVO DA EDITORA</v>
      </c>
      <c r="AA398" s="23"/>
      <c r="AB398" s="22"/>
      <c r="AC398" s="22"/>
      <c r="AD398" s="4" t="str">
        <f t="shared" si="6"/>
        <v>EF1 E001 HGC</v>
      </c>
    </row>
    <row r="399" spans="1:30" s="14" customFormat="1" ht="30" x14ac:dyDescent="0.25">
      <c r="A399" s="24" t="s">
        <v>886</v>
      </c>
      <c r="B399" s="22" t="s">
        <v>31</v>
      </c>
      <c r="C399" s="22" t="s">
        <v>32</v>
      </c>
      <c r="D399" s="22" t="s">
        <v>33</v>
      </c>
      <c r="E399" s="23">
        <v>148</v>
      </c>
      <c r="F399" s="23">
        <v>2</v>
      </c>
      <c r="G399" s="23">
        <v>3</v>
      </c>
      <c r="H399" s="23"/>
      <c r="I399" s="24" t="s">
        <v>38</v>
      </c>
      <c r="J399" s="24"/>
      <c r="K399" s="23"/>
      <c r="L399" s="23"/>
      <c r="M399" s="24"/>
      <c r="N399" s="24"/>
      <c r="O399" s="26" t="s">
        <v>887</v>
      </c>
      <c r="P399" s="26"/>
      <c r="Q399" s="23"/>
      <c r="R399" s="25">
        <v>45869</v>
      </c>
      <c r="S399" s="25">
        <v>45870</v>
      </c>
      <c r="T399" s="25"/>
      <c r="U399" s="25"/>
      <c r="V399" s="25">
        <v>45870</v>
      </c>
      <c r="W399" s="23" t="s">
        <v>888</v>
      </c>
      <c r="X399" s="4" t="str">
        <f>IF(Tabela2[[#This Row],[SIGLA]]="","",VLOOKUP(Tabela2[[#This Row],[SIGLA]],créditos_base!B:C,2,0))</f>
        <v>KLEBER MAURÍCIO COELHO/ARQUIVO DA EDITORA</v>
      </c>
      <c r="Y399" s="24" t="s">
        <v>180</v>
      </c>
      <c r="Z399" s="24" t="str">
        <f>Tabela2[[#This Row],[ILUSTRADOR CRIAÇÃO]]</f>
        <v>KLEBER MAURÍCIO COELHO/ARQUIVO DA EDITORA</v>
      </c>
      <c r="AA399" s="23">
        <v>13</v>
      </c>
      <c r="AB399" s="22" t="s">
        <v>71</v>
      </c>
      <c r="AC399" s="22" t="s">
        <v>43</v>
      </c>
      <c r="AD399" s="4" t="str">
        <f t="shared" si="6"/>
        <v>EF1 E001 HGC</v>
      </c>
    </row>
    <row r="400" spans="1:30" s="14" customFormat="1" ht="75" x14ac:dyDescent="0.25">
      <c r="A400" s="24" t="s">
        <v>889</v>
      </c>
      <c r="B400" s="22" t="s">
        <v>31</v>
      </c>
      <c r="C400" s="22" t="s">
        <v>32</v>
      </c>
      <c r="D400" s="22" t="s">
        <v>33</v>
      </c>
      <c r="E400" s="23" t="s">
        <v>890</v>
      </c>
      <c r="F400" s="23">
        <v>2</v>
      </c>
      <c r="G400" s="23">
        <v>4</v>
      </c>
      <c r="H400" s="23"/>
      <c r="I400" s="24" t="s">
        <v>38</v>
      </c>
      <c r="J400" s="24"/>
      <c r="K400" s="23"/>
      <c r="L400" s="23"/>
      <c r="M400" s="24"/>
      <c r="N400" s="24"/>
      <c r="O400" s="26" t="s">
        <v>891</v>
      </c>
      <c r="P400" s="26"/>
      <c r="Q400" s="23">
        <v>4</v>
      </c>
      <c r="R400" s="25">
        <v>45825</v>
      </c>
      <c r="S400" s="25">
        <v>45826</v>
      </c>
      <c r="T400" s="25"/>
      <c r="U400" s="25"/>
      <c r="V400" s="25">
        <v>45826</v>
      </c>
      <c r="W400" s="23" t="s">
        <v>633</v>
      </c>
      <c r="X400" s="4" t="str">
        <f>IF(Tabela2[[#This Row],[SIGLA]]="","",VLOOKUP(Tabela2[[#This Row],[SIGLA]],créditos_base!B:C,2,0))</f>
        <v>LEONARDO DE MOURA AMARAL/ARQUIVO DA EDITORA</v>
      </c>
      <c r="Y400" s="24" t="s">
        <v>892</v>
      </c>
      <c r="Z400" s="24" t="str">
        <f>Tabela2[[#This Row],[ILUSTRADOR CRIAÇÃO]]</f>
        <v>LEONARDO DE MOURA AMARAL/ARQUIVO DA EDITORA</v>
      </c>
      <c r="AA400" s="23">
        <v>14</v>
      </c>
      <c r="AB400" s="22" t="s">
        <v>171</v>
      </c>
      <c r="AC400" s="22" t="s">
        <v>43</v>
      </c>
      <c r="AD400" s="4" t="str">
        <f t="shared" si="6"/>
        <v>EF1 E001 HGC</v>
      </c>
    </row>
    <row r="401" spans="1:30" s="14" customFormat="1" ht="30" x14ac:dyDescent="0.25">
      <c r="A401" s="24" t="s">
        <v>893</v>
      </c>
      <c r="B401" s="22" t="s">
        <v>31</v>
      </c>
      <c r="C401" s="22" t="s">
        <v>32</v>
      </c>
      <c r="D401" s="22" t="s">
        <v>33</v>
      </c>
      <c r="E401" s="23">
        <v>220</v>
      </c>
      <c r="F401" s="23">
        <v>2</v>
      </c>
      <c r="G401" s="23">
        <v>4</v>
      </c>
      <c r="H401" s="23"/>
      <c r="I401" s="24" t="s">
        <v>34</v>
      </c>
      <c r="J401" s="24"/>
      <c r="K401" s="23"/>
      <c r="L401" s="23"/>
      <c r="M401" s="24"/>
      <c r="N401" s="24"/>
      <c r="O401" s="26" t="s">
        <v>894</v>
      </c>
      <c r="P401" s="26"/>
      <c r="Q401" s="23"/>
      <c r="R401" s="25"/>
      <c r="S401" s="25"/>
      <c r="T401" s="25"/>
      <c r="U401" s="25"/>
      <c r="V401" s="25"/>
      <c r="W401" s="23" t="s">
        <v>297</v>
      </c>
      <c r="X401" s="4" t="str">
        <f>IF(Tabela2[[#This Row],[SIGLA]]="","",VLOOKUP(Tabela2[[#This Row],[SIGLA]],créditos_base!B:C,2,0))</f>
        <v>WERLLEN HOLANDA/ARQUIVO DA EDITORA</v>
      </c>
      <c r="Y401" s="24"/>
      <c r="Z401" s="24" t="str">
        <f>Tabela2[[#This Row],[ILUSTRADOR CRIAÇÃO]]</f>
        <v>WERLLEN HOLANDA/ARQUIVO DA EDITORA</v>
      </c>
      <c r="AA401" s="23"/>
      <c r="AB401" s="22"/>
      <c r="AC401" s="22"/>
      <c r="AD401" s="4" t="str">
        <f t="shared" si="6"/>
        <v>EF1 E001 HGC</v>
      </c>
    </row>
    <row r="402" spans="1:30" s="14" customFormat="1" ht="60" x14ac:dyDescent="0.25">
      <c r="A402" s="24" t="s">
        <v>895</v>
      </c>
      <c r="B402" s="22" t="s">
        <v>31</v>
      </c>
      <c r="C402" s="22" t="s">
        <v>32</v>
      </c>
      <c r="D402" s="22" t="s">
        <v>33</v>
      </c>
      <c r="E402" s="23">
        <v>222</v>
      </c>
      <c r="F402" s="23">
        <v>2</v>
      </c>
      <c r="G402" s="23">
        <v>4</v>
      </c>
      <c r="H402" s="23"/>
      <c r="I402" s="24" t="s">
        <v>38</v>
      </c>
      <c r="J402" s="24"/>
      <c r="K402" s="23"/>
      <c r="L402" s="23"/>
      <c r="M402" s="24"/>
      <c r="N402" s="24"/>
      <c r="O402" s="26" t="s">
        <v>896</v>
      </c>
      <c r="P402" s="26"/>
      <c r="Q402" s="23">
        <v>4</v>
      </c>
      <c r="R402" s="25">
        <v>45825</v>
      </c>
      <c r="S402" s="25">
        <v>45826</v>
      </c>
      <c r="T402" s="25"/>
      <c r="U402" s="25"/>
      <c r="V402" s="25">
        <v>45826</v>
      </c>
      <c r="W402" s="23" t="s">
        <v>40</v>
      </c>
      <c r="X402" s="4" t="str">
        <f>IF(Tabela2[[#This Row],[SIGLA]]="","",VLOOKUP(Tabela2[[#This Row],[SIGLA]],créditos_base!B:C,2,0))</f>
        <v>LISLLEY GOMES FEIGE/ARQUIVO DA EDITORA</v>
      </c>
      <c r="Y402" s="24" t="s">
        <v>892</v>
      </c>
      <c r="Z402" s="24" t="str">
        <f>Tabela2[[#This Row],[ILUSTRADOR CRIAÇÃO]]</f>
        <v>LISLLEY GOMES FEIGE/ARQUIVO DA EDITORA</v>
      </c>
      <c r="AA402" s="23">
        <v>14</v>
      </c>
      <c r="AB402" s="22" t="s">
        <v>171</v>
      </c>
      <c r="AC402" s="22" t="s">
        <v>43</v>
      </c>
      <c r="AD402" s="4" t="str">
        <f t="shared" si="6"/>
        <v>EF1 E001 HGC</v>
      </c>
    </row>
    <row r="403" spans="1:30" s="14" customFormat="1" ht="60" x14ac:dyDescent="0.25">
      <c r="A403" s="24" t="s">
        <v>897</v>
      </c>
      <c r="B403" s="22" t="s">
        <v>31</v>
      </c>
      <c r="C403" s="22" t="s">
        <v>32</v>
      </c>
      <c r="D403" s="22" t="s">
        <v>33</v>
      </c>
      <c r="E403" s="23">
        <v>222</v>
      </c>
      <c r="F403" s="23">
        <v>2</v>
      </c>
      <c r="G403" s="23">
        <v>4</v>
      </c>
      <c r="H403" s="23"/>
      <c r="I403" s="24" t="s">
        <v>38</v>
      </c>
      <c r="J403" s="24"/>
      <c r="K403" s="23"/>
      <c r="L403" s="23"/>
      <c r="M403" s="24"/>
      <c r="N403" s="24"/>
      <c r="O403" s="26" t="s">
        <v>896</v>
      </c>
      <c r="P403" s="26"/>
      <c r="Q403" s="23">
        <v>33</v>
      </c>
      <c r="R403" s="25">
        <v>45902</v>
      </c>
      <c r="S403" s="25">
        <v>45902</v>
      </c>
      <c r="T403" s="25"/>
      <c r="U403" s="25"/>
      <c r="V403" s="25">
        <v>45902</v>
      </c>
      <c r="W403" s="23" t="s">
        <v>40</v>
      </c>
      <c r="X403" s="4" t="str">
        <f>IF(Tabela2[[#This Row],[SIGLA]]="","",VLOOKUP(Tabela2[[#This Row],[SIGLA]],créditos_base!B:C,2,0))</f>
        <v>LISLLEY GOMES FEIGE/ARQUIVO DA EDITORA</v>
      </c>
      <c r="Y403" s="24" t="s">
        <v>70</v>
      </c>
      <c r="Z403" s="24" t="str">
        <f>Tabela2[[#This Row],[ILUSTRADOR CRIAÇÃO]]</f>
        <v>LISLLEY GOMES FEIGE/ARQUIVO DA EDITORA</v>
      </c>
      <c r="AA403" s="23">
        <v>13</v>
      </c>
      <c r="AB403" s="22" t="s">
        <v>71</v>
      </c>
      <c r="AC403" s="22" t="s">
        <v>43</v>
      </c>
      <c r="AD403" s="4" t="str">
        <f t="shared" si="6"/>
        <v>EF1 E001 HGC</v>
      </c>
    </row>
    <row r="404" spans="1:30" s="14" customFormat="1" ht="75" x14ac:dyDescent="0.25">
      <c r="A404" s="24" t="s">
        <v>898</v>
      </c>
      <c r="B404" s="22" t="s">
        <v>31</v>
      </c>
      <c r="C404" s="22" t="s">
        <v>32</v>
      </c>
      <c r="D404" s="22" t="s">
        <v>33</v>
      </c>
      <c r="E404" s="23">
        <v>223</v>
      </c>
      <c r="F404" s="23">
        <v>2</v>
      </c>
      <c r="G404" s="23">
        <v>4</v>
      </c>
      <c r="H404" s="23"/>
      <c r="I404" s="24" t="s">
        <v>38</v>
      </c>
      <c r="J404" s="24"/>
      <c r="K404" s="23"/>
      <c r="L404" s="23"/>
      <c r="M404" s="24"/>
      <c r="N404" s="24"/>
      <c r="O404" s="26" t="s">
        <v>899</v>
      </c>
      <c r="P404" s="26"/>
      <c r="Q404" s="23">
        <v>4</v>
      </c>
      <c r="R404" s="25">
        <v>45825</v>
      </c>
      <c r="S404" s="25">
        <v>45834</v>
      </c>
      <c r="T404" s="25"/>
      <c r="U404" s="25"/>
      <c r="V404" s="25">
        <v>45834</v>
      </c>
      <c r="W404" s="23" t="s">
        <v>280</v>
      </c>
      <c r="X404" s="4" t="str">
        <f>IF(Tabela2[[#This Row],[SIGLA]]="","",VLOOKUP(Tabela2[[#This Row],[SIGLA]],créditos_base!B:C,2,0))</f>
        <v>HELOÍSA PINTARELLI/ARQUIVO DA EDITORA</v>
      </c>
      <c r="Y404" s="24" t="s">
        <v>170</v>
      </c>
      <c r="Z404" s="24" t="str">
        <f>Tabela2[[#This Row],[ILUSTRADOR CRIAÇÃO]]</f>
        <v>HELOÍSA PINTARELLI/ARQUIVO DA EDITORA</v>
      </c>
      <c r="AA404" s="23">
        <v>13</v>
      </c>
      <c r="AB404" s="22" t="s">
        <v>900</v>
      </c>
      <c r="AC404" s="22" t="s">
        <v>43</v>
      </c>
      <c r="AD404" s="4" t="str">
        <f t="shared" si="6"/>
        <v>EF1 E001 HGC</v>
      </c>
    </row>
    <row r="405" spans="1:30" s="14" customFormat="1" ht="30" x14ac:dyDescent="0.25">
      <c r="A405" s="24" t="s">
        <v>901</v>
      </c>
      <c r="B405" s="22" t="s">
        <v>31</v>
      </c>
      <c r="C405" s="22" t="s">
        <v>32</v>
      </c>
      <c r="D405" s="22" t="s">
        <v>33</v>
      </c>
      <c r="E405" s="23">
        <v>224</v>
      </c>
      <c r="F405" s="23">
        <v>2</v>
      </c>
      <c r="G405" s="23">
        <v>4</v>
      </c>
      <c r="H405" s="23"/>
      <c r="I405" s="24" t="s">
        <v>38</v>
      </c>
      <c r="J405" s="24"/>
      <c r="K405" s="23"/>
      <c r="L405" s="23"/>
      <c r="M405" s="24"/>
      <c r="N405" s="24"/>
      <c r="O405" s="26" t="s">
        <v>902</v>
      </c>
      <c r="P405" s="26"/>
      <c r="Q405" s="23">
        <v>27</v>
      </c>
      <c r="R405" s="25">
        <v>45870</v>
      </c>
      <c r="S405" s="25">
        <v>45870</v>
      </c>
      <c r="T405" s="25"/>
      <c r="U405" s="25"/>
      <c r="V405" s="25">
        <v>45877</v>
      </c>
      <c r="W405" s="23" t="s">
        <v>280</v>
      </c>
      <c r="X405" s="4" t="str">
        <f>IF(Tabela2[[#This Row],[SIGLA]]="","",VLOOKUP(Tabela2[[#This Row],[SIGLA]],créditos_base!B:C,2,0))</f>
        <v>HELOÍSA PINTARELLI/ARQUIVO DA EDITORA</v>
      </c>
      <c r="Y405" s="24" t="s">
        <v>821</v>
      </c>
      <c r="Z405" s="24" t="str">
        <f>Tabela2[[#This Row],[ILUSTRADOR CRIAÇÃO]]</f>
        <v>HELOÍSA PINTARELLI/ARQUIVO DA EDITORA</v>
      </c>
      <c r="AA405" s="23">
        <v>13</v>
      </c>
      <c r="AB405" s="22" t="s">
        <v>171</v>
      </c>
      <c r="AC405" s="22" t="s">
        <v>43</v>
      </c>
      <c r="AD405" s="4" t="str">
        <f t="shared" si="6"/>
        <v>EF1 E001 HGC</v>
      </c>
    </row>
    <row r="406" spans="1:30" s="14" customFormat="1" ht="30" x14ac:dyDescent="0.25">
      <c r="A406" s="24" t="s">
        <v>903</v>
      </c>
      <c r="B406" s="22" t="s">
        <v>31</v>
      </c>
      <c r="C406" s="22" t="s">
        <v>32</v>
      </c>
      <c r="D406" s="22" t="s">
        <v>33</v>
      </c>
      <c r="E406" s="23">
        <v>224</v>
      </c>
      <c r="F406" s="23">
        <v>2</v>
      </c>
      <c r="G406" s="23">
        <v>4</v>
      </c>
      <c r="H406" s="23"/>
      <c r="I406" s="24" t="s">
        <v>34</v>
      </c>
      <c r="J406" s="24"/>
      <c r="K406" s="23"/>
      <c r="L406" s="23"/>
      <c r="M406" s="24"/>
      <c r="N406" s="24"/>
      <c r="O406" s="26" t="s">
        <v>904</v>
      </c>
      <c r="P406" s="26"/>
      <c r="Q406" s="23"/>
      <c r="R406" s="25"/>
      <c r="S406" s="25"/>
      <c r="T406" s="25"/>
      <c r="U406" s="25"/>
      <c r="V406" s="25"/>
      <c r="W406" s="23" t="s">
        <v>280</v>
      </c>
      <c r="X406" s="4" t="str">
        <f>IF(Tabela2[[#This Row],[SIGLA]]="","",VLOOKUP(Tabela2[[#This Row],[SIGLA]],créditos_base!B:C,2,0))</f>
        <v>HELOÍSA PINTARELLI/ARQUIVO DA EDITORA</v>
      </c>
      <c r="Y406" s="24"/>
      <c r="Z406" s="24" t="str">
        <f>Tabela2[[#This Row],[ILUSTRADOR CRIAÇÃO]]</f>
        <v>HELOÍSA PINTARELLI/ARQUIVO DA EDITORA</v>
      </c>
      <c r="AA406" s="23"/>
      <c r="AB406" s="22"/>
      <c r="AC406" s="22"/>
      <c r="AD406" s="4" t="str">
        <f t="shared" si="6"/>
        <v>EF1 E001 HGC</v>
      </c>
    </row>
    <row r="407" spans="1:30" s="14" customFormat="1" ht="150" x14ac:dyDescent="0.25">
      <c r="A407" s="24" t="s">
        <v>905</v>
      </c>
      <c r="B407" s="22" t="s">
        <v>31</v>
      </c>
      <c r="C407" s="22" t="s">
        <v>32</v>
      </c>
      <c r="D407" s="22" t="s">
        <v>33</v>
      </c>
      <c r="E407" s="23">
        <v>226</v>
      </c>
      <c r="F407" s="23">
        <v>2</v>
      </c>
      <c r="G407" s="23">
        <v>4</v>
      </c>
      <c r="H407" s="23"/>
      <c r="I407" s="24" t="s">
        <v>38</v>
      </c>
      <c r="J407" s="24"/>
      <c r="K407" s="23"/>
      <c r="L407" s="23"/>
      <c r="M407" s="24"/>
      <c r="N407" s="24"/>
      <c r="O407" s="26" t="s">
        <v>906</v>
      </c>
      <c r="P407" s="26"/>
      <c r="Q407" s="23">
        <v>4</v>
      </c>
      <c r="R407" s="25">
        <v>45825</v>
      </c>
      <c r="S407" s="25">
        <v>45834</v>
      </c>
      <c r="T407" s="25"/>
      <c r="U407" s="25"/>
      <c r="V407" s="25">
        <v>45838</v>
      </c>
      <c r="W407" s="23" t="s">
        <v>297</v>
      </c>
      <c r="X407" s="4" t="str">
        <f>IF(Tabela2[[#This Row],[SIGLA]]="","",VLOOKUP(Tabela2[[#This Row],[SIGLA]],créditos_base!B:C,2,0))</f>
        <v>WERLLEN HOLANDA/ARQUIVO DA EDITORA</v>
      </c>
      <c r="Y407" s="24" t="s">
        <v>907</v>
      </c>
      <c r="Z407" s="24" t="str">
        <f>Tabela2[[#This Row],[ILUSTRADOR CRIAÇÃO]]</f>
        <v>WERLLEN HOLANDA/ARQUIVO DA EDITORA</v>
      </c>
      <c r="AA407" s="23">
        <v>6</v>
      </c>
      <c r="AB407" s="26" t="s">
        <v>908</v>
      </c>
      <c r="AC407" s="22" t="s">
        <v>340</v>
      </c>
      <c r="AD407" s="4" t="str">
        <f t="shared" si="6"/>
        <v>EF1 E001 HGC</v>
      </c>
    </row>
    <row r="408" spans="1:30" s="14" customFormat="1" ht="75" x14ac:dyDescent="0.25">
      <c r="A408" s="24" t="s">
        <v>909</v>
      </c>
      <c r="B408" s="22" t="s">
        <v>31</v>
      </c>
      <c r="C408" s="22" t="s">
        <v>32</v>
      </c>
      <c r="D408" s="22" t="s">
        <v>33</v>
      </c>
      <c r="E408" s="23">
        <v>226</v>
      </c>
      <c r="F408" s="23">
        <v>2</v>
      </c>
      <c r="G408" s="23">
        <v>4</v>
      </c>
      <c r="H408" s="23"/>
      <c r="I408" s="24" t="s">
        <v>38</v>
      </c>
      <c r="J408" s="24"/>
      <c r="K408" s="23"/>
      <c r="L408" s="23"/>
      <c r="M408" s="24"/>
      <c r="N408" s="24"/>
      <c r="O408" s="26" t="s">
        <v>910</v>
      </c>
      <c r="P408" s="26"/>
      <c r="Q408" s="23">
        <v>4</v>
      </c>
      <c r="R408" s="25">
        <v>45825</v>
      </c>
      <c r="S408" s="25">
        <v>45834</v>
      </c>
      <c r="T408" s="25"/>
      <c r="U408" s="25"/>
      <c r="V408" s="25">
        <v>45838</v>
      </c>
      <c r="W408" s="23" t="s">
        <v>297</v>
      </c>
      <c r="X408" s="4" t="str">
        <f>IF(Tabela2[[#This Row],[SIGLA]]="","",VLOOKUP(Tabela2[[#This Row],[SIGLA]],créditos_base!B:C,2,0))</f>
        <v>WERLLEN HOLANDA/ARQUIVO DA EDITORA</v>
      </c>
      <c r="Y408" s="24" t="s">
        <v>907</v>
      </c>
      <c r="Z408" s="24" t="str">
        <f>Tabela2[[#This Row],[ILUSTRADOR CRIAÇÃO]]</f>
        <v>WERLLEN HOLANDA/ARQUIVO DA EDITORA</v>
      </c>
      <c r="AA408" s="23">
        <v>13</v>
      </c>
      <c r="AB408" s="26" t="s">
        <v>911</v>
      </c>
      <c r="AC408" s="22" t="s">
        <v>340</v>
      </c>
      <c r="AD408" s="4" t="str">
        <f t="shared" si="6"/>
        <v>EF1 E001 HGC</v>
      </c>
    </row>
    <row r="409" spans="1:30" s="14" customFormat="1" ht="30" x14ac:dyDescent="0.25">
      <c r="A409" s="24" t="s">
        <v>912</v>
      </c>
      <c r="B409" s="22" t="s">
        <v>31</v>
      </c>
      <c r="C409" s="22" t="s">
        <v>32</v>
      </c>
      <c r="D409" s="22" t="s">
        <v>33</v>
      </c>
      <c r="E409" s="23">
        <v>226</v>
      </c>
      <c r="F409" s="23">
        <v>2</v>
      </c>
      <c r="G409" s="23">
        <v>4</v>
      </c>
      <c r="H409" s="23"/>
      <c r="I409" s="24" t="s">
        <v>34</v>
      </c>
      <c r="J409" s="24"/>
      <c r="K409" s="23"/>
      <c r="L409" s="23"/>
      <c r="M409" s="24"/>
      <c r="N409" s="24"/>
      <c r="O409" s="26" t="s">
        <v>913</v>
      </c>
      <c r="P409" s="26"/>
      <c r="Q409" s="23"/>
      <c r="R409" s="25"/>
      <c r="S409" s="25"/>
      <c r="T409" s="25"/>
      <c r="U409" s="25"/>
      <c r="V409" s="25"/>
      <c r="W409" s="23" t="s">
        <v>40</v>
      </c>
      <c r="X409" s="4" t="str">
        <f>IF(Tabela2[[#This Row],[SIGLA]]="","",VLOOKUP(Tabela2[[#This Row],[SIGLA]],créditos_base!B:C,2,0))</f>
        <v>LISLLEY GOMES FEIGE/ARQUIVO DA EDITORA</v>
      </c>
      <c r="Y409" s="24"/>
      <c r="Z409" s="24" t="str">
        <f>Tabela2[[#This Row],[ILUSTRADOR CRIAÇÃO]]</f>
        <v>LISLLEY GOMES FEIGE/ARQUIVO DA EDITORA</v>
      </c>
      <c r="AA409" s="23"/>
      <c r="AB409" s="22"/>
      <c r="AC409" s="22"/>
      <c r="AD409" s="4" t="str">
        <f t="shared" si="6"/>
        <v>EF1 E001 HGC</v>
      </c>
    </row>
    <row r="410" spans="1:30" s="14" customFormat="1" x14ac:dyDescent="0.25">
      <c r="A410" s="24" t="s">
        <v>914</v>
      </c>
      <c r="B410" s="22" t="s">
        <v>31</v>
      </c>
      <c r="C410" s="22" t="s">
        <v>32</v>
      </c>
      <c r="D410" s="22" t="s">
        <v>33</v>
      </c>
      <c r="E410" s="23">
        <v>232</v>
      </c>
      <c r="F410" s="23">
        <v>2</v>
      </c>
      <c r="G410" s="23">
        <v>4</v>
      </c>
      <c r="H410" s="23"/>
      <c r="I410" s="24" t="s">
        <v>34</v>
      </c>
      <c r="J410" s="24"/>
      <c r="K410" s="23"/>
      <c r="L410" s="23"/>
      <c r="M410" s="24"/>
      <c r="N410" s="24"/>
      <c r="O410" s="26" t="s">
        <v>915</v>
      </c>
      <c r="P410" s="26"/>
      <c r="Q410" s="23"/>
      <c r="R410" s="25"/>
      <c r="S410" s="25"/>
      <c r="T410" s="25"/>
      <c r="U410" s="25"/>
      <c r="V410" s="25"/>
      <c r="W410" s="23" t="s">
        <v>36</v>
      </c>
      <c r="X410" s="4" t="str">
        <f>IF(Tabela2[[#This Row],[SIGLA]]="","",VLOOKUP(Tabela2[[#This Row],[SIGLA]],créditos_base!B:C,2,0))</f>
        <v>REINALDO ROSA/ARQUIVO DA EDITORA</v>
      </c>
      <c r="Y410" s="24"/>
      <c r="Z410" s="24" t="str">
        <f>Tabela2[[#This Row],[ILUSTRADOR CRIAÇÃO]]</f>
        <v>REINALDO ROSA/ARQUIVO DA EDITORA</v>
      </c>
      <c r="AA410" s="23"/>
      <c r="AB410" s="22"/>
      <c r="AC410" s="22"/>
      <c r="AD410" s="4" t="str">
        <f t="shared" si="6"/>
        <v>EF1 E001 HGC</v>
      </c>
    </row>
    <row r="411" spans="1:30" s="14" customFormat="1" x14ac:dyDescent="0.25">
      <c r="A411" s="24" t="s">
        <v>916</v>
      </c>
      <c r="B411" s="22" t="s">
        <v>31</v>
      </c>
      <c r="C411" s="22" t="s">
        <v>32</v>
      </c>
      <c r="D411" s="22" t="s">
        <v>33</v>
      </c>
      <c r="E411" s="23">
        <v>232</v>
      </c>
      <c r="F411" s="23">
        <v>2</v>
      </c>
      <c r="G411" s="23">
        <v>4</v>
      </c>
      <c r="H411" s="23"/>
      <c r="I411" s="24" t="s">
        <v>34</v>
      </c>
      <c r="J411" s="24"/>
      <c r="K411" s="23"/>
      <c r="L411" s="23"/>
      <c r="M411" s="24"/>
      <c r="N411" s="24"/>
      <c r="O411" s="26" t="s">
        <v>917</v>
      </c>
      <c r="P411" s="26"/>
      <c r="Q411" s="23"/>
      <c r="R411" s="25"/>
      <c r="S411" s="25"/>
      <c r="T411" s="25"/>
      <c r="U411" s="25"/>
      <c r="V411" s="25"/>
      <c r="W411" s="23" t="s">
        <v>36</v>
      </c>
      <c r="X411" s="4" t="str">
        <f>IF(Tabela2[[#This Row],[SIGLA]]="","",VLOOKUP(Tabela2[[#This Row],[SIGLA]],créditos_base!B:C,2,0))</f>
        <v>REINALDO ROSA/ARQUIVO DA EDITORA</v>
      </c>
      <c r="Y411" s="24"/>
      <c r="Z411" s="24" t="str">
        <f>Tabela2[[#This Row],[ILUSTRADOR CRIAÇÃO]]</f>
        <v>REINALDO ROSA/ARQUIVO DA EDITORA</v>
      </c>
      <c r="AA411" s="23"/>
      <c r="AB411" s="22"/>
      <c r="AC411" s="22"/>
      <c r="AD411" s="4" t="str">
        <f t="shared" si="6"/>
        <v>EF1 E001 HGC</v>
      </c>
    </row>
    <row r="412" spans="1:30" s="14" customFormat="1" ht="47.25" customHeight="1" x14ac:dyDescent="0.25">
      <c r="A412" s="24" t="s">
        <v>918</v>
      </c>
      <c r="B412" s="22" t="s">
        <v>31</v>
      </c>
      <c r="C412" s="22" t="s">
        <v>32</v>
      </c>
      <c r="D412" s="22" t="s">
        <v>33</v>
      </c>
      <c r="E412" s="23">
        <v>232</v>
      </c>
      <c r="F412" s="23">
        <v>2</v>
      </c>
      <c r="G412" s="23">
        <v>4</v>
      </c>
      <c r="H412" s="23"/>
      <c r="I412" s="24" t="s">
        <v>38</v>
      </c>
      <c r="J412" s="24"/>
      <c r="K412" s="23"/>
      <c r="L412" s="23"/>
      <c r="M412" s="24"/>
      <c r="N412" s="24"/>
      <c r="O412" s="26" t="s">
        <v>919</v>
      </c>
      <c r="P412" s="26"/>
      <c r="Q412" s="23">
        <v>27</v>
      </c>
      <c r="R412" s="25">
        <v>45870</v>
      </c>
      <c r="S412" s="25">
        <v>45870</v>
      </c>
      <c r="T412" s="25"/>
      <c r="U412" s="25"/>
      <c r="V412" s="25">
        <v>45874</v>
      </c>
      <c r="W412" s="23" t="s">
        <v>36</v>
      </c>
      <c r="X412" s="4" t="str">
        <f>IF(Tabela2[[#This Row],[SIGLA]]="","",VLOOKUP(Tabela2[[#This Row],[SIGLA]],créditos_base!B:C,2,0))</f>
        <v>REINALDO ROSA/ARQUIVO DA EDITORA</v>
      </c>
      <c r="Y412" s="24" t="s">
        <v>70</v>
      </c>
      <c r="Z412" s="24" t="str">
        <f>Tabela2[[#This Row],[ILUSTRADOR CRIAÇÃO]]</f>
        <v>REINALDO ROSA/ARQUIVO DA EDITORA</v>
      </c>
      <c r="AA412" s="23">
        <v>13</v>
      </c>
      <c r="AB412" s="22" t="s">
        <v>71</v>
      </c>
      <c r="AC412" s="22" t="s">
        <v>43</v>
      </c>
      <c r="AD412" s="4" t="str">
        <f t="shared" si="6"/>
        <v>EF1 E001 HGC</v>
      </c>
    </row>
    <row r="413" spans="1:30" s="14" customFormat="1" ht="30" x14ac:dyDescent="0.25">
      <c r="A413" s="24" t="s">
        <v>920</v>
      </c>
      <c r="B413" s="22" t="s">
        <v>31</v>
      </c>
      <c r="C413" s="22" t="s">
        <v>32</v>
      </c>
      <c r="D413" s="22" t="s">
        <v>33</v>
      </c>
      <c r="E413" s="23">
        <v>236</v>
      </c>
      <c r="F413" s="23">
        <v>2</v>
      </c>
      <c r="G413" s="23">
        <v>4</v>
      </c>
      <c r="H413" s="23"/>
      <c r="I413" s="24" t="s">
        <v>34</v>
      </c>
      <c r="J413" s="24"/>
      <c r="K413" s="23"/>
      <c r="L413" s="23"/>
      <c r="M413" s="24"/>
      <c r="N413" s="24"/>
      <c r="O413" s="26" t="s">
        <v>921</v>
      </c>
      <c r="P413" s="26"/>
      <c r="Q413" s="23"/>
      <c r="R413" s="25"/>
      <c r="S413" s="25"/>
      <c r="T413" s="25"/>
      <c r="U413" s="25"/>
      <c r="V413" s="25"/>
      <c r="W413" s="23" t="s">
        <v>40</v>
      </c>
      <c r="X413" s="4" t="str">
        <f>IF(Tabela2[[#This Row],[SIGLA]]="","",VLOOKUP(Tabela2[[#This Row],[SIGLA]],créditos_base!B:C,2,0))</f>
        <v>LISLLEY GOMES FEIGE/ARQUIVO DA EDITORA</v>
      </c>
      <c r="Y413" s="24"/>
      <c r="Z413" s="24" t="str">
        <f>Tabela2[[#This Row],[ILUSTRADOR CRIAÇÃO]]</f>
        <v>LISLLEY GOMES FEIGE/ARQUIVO DA EDITORA</v>
      </c>
      <c r="AA413" s="23"/>
      <c r="AB413" s="22"/>
      <c r="AC413" s="22"/>
      <c r="AD413" s="4" t="str">
        <f t="shared" si="6"/>
        <v>EF1 E001 HGC</v>
      </c>
    </row>
    <row r="414" spans="1:30" s="14" customFormat="1" ht="30" x14ac:dyDescent="0.25">
      <c r="A414" s="24" t="s">
        <v>922</v>
      </c>
      <c r="B414" s="22" t="s">
        <v>31</v>
      </c>
      <c r="C414" s="22" t="s">
        <v>32</v>
      </c>
      <c r="D414" s="22" t="s">
        <v>33</v>
      </c>
      <c r="E414" s="23">
        <v>237</v>
      </c>
      <c r="F414" s="23">
        <v>2</v>
      </c>
      <c r="G414" s="23">
        <v>4</v>
      </c>
      <c r="H414" s="23"/>
      <c r="I414" s="24" t="s">
        <v>34</v>
      </c>
      <c r="J414" s="24"/>
      <c r="K414" s="23"/>
      <c r="L414" s="23"/>
      <c r="M414" s="24"/>
      <c r="N414" s="24"/>
      <c r="O414" s="26" t="s">
        <v>923</v>
      </c>
      <c r="P414" s="26"/>
      <c r="Q414" s="23">
        <v>28</v>
      </c>
      <c r="R414" s="25">
        <v>45880</v>
      </c>
      <c r="S414" s="25"/>
      <c r="T414" s="25"/>
      <c r="U414" s="25"/>
      <c r="V414" s="25"/>
      <c r="W414" s="23" t="s">
        <v>40</v>
      </c>
      <c r="X414" s="4" t="str">
        <f>IF(Tabela2[[#This Row],[SIGLA]]="","",VLOOKUP(Tabela2[[#This Row],[SIGLA]],créditos_base!B:C,2,0))</f>
        <v>LISLLEY GOMES FEIGE/ARQUIVO DA EDITORA</v>
      </c>
      <c r="Y414" s="24"/>
      <c r="Z414" s="24" t="str">
        <f>Tabela2[[#This Row],[ILUSTRADOR CRIAÇÃO]]</f>
        <v>LISLLEY GOMES FEIGE/ARQUIVO DA EDITORA</v>
      </c>
      <c r="AA414" s="23"/>
      <c r="AB414" s="22"/>
      <c r="AC414" s="22"/>
      <c r="AD414" s="4" t="str">
        <f t="shared" si="6"/>
        <v>EF1 E001 HGC</v>
      </c>
    </row>
    <row r="415" spans="1:30" s="14" customFormat="1" ht="30" x14ac:dyDescent="0.25">
      <c r="A415" s="24" t="s">
        <v>924</v>
      </c>
      <c r="B415" s="22" t="s">
        <v>31</v>
      </c>
      <c r="C415" s="22" t="s">
        <v>32</v>
      </c>
      <c r="D415" s="22" t="s">
        <v>33</v>
      </c>
      <c r="E415" s="23">
        <v>237</v>
      </c>
      <c r="F415" s="23">
        <v>2</v>
      </c>
      <c r="G415" s="23">
        <v>4</v>
      </c>
      <c r="H415" s="23"/>
      <c r="I415" s="24" t="s">
        <v>34</v>
      </c>
      <c r="J415" s="24"/>
      <c r="K415" s="23"/>
      <c r="L415" s="23"/>
      <c r="M415" s="24"/>
      <c r="N415" s="24"/>
      <c r="O415" s="26" t="s">
        <v>925</v>
      </c>
      <c r="P415" s="26"/>
      <c r="Q415" s="23"/>
      <c r="R415" s="25"/>
      <c r="S415" s="25"/>
      <c r="T415" s="25"/>
      <c r="U415" s="25"/>
      <c r="V415" s="25"/>
      <c r="W415" s="23" t="s">
        <v>280</v>
      </c>
      <c r="X415" s="4" t="str">
        <f>IF(Tabela2[[#This Row],[SIGLA]]="","",VLOOKUP(Tabela2[[#This Row],[SIGLA]],créditos_base!B:C,2,0))</f>
        <v>HELOÍSA PINTARELLI/ARQUIVO DA EDITORA</v>
      </c>
      <c r="Y415" s="24"/>
      <c r="Z415" s="24" t="str">
        <f>Tabela2[[#This Row],[ILUSTRADOR CRIAÇÃO]]</f>
        <v>HELOÍSA PINTARELLI/ARQUIVO DA EDITORA</v>
      </c>
      <c r="AA415" s="23"/>
      <c r="AB415" s="22"/>
      <c r="AC415" s="22"/>
      <c r="AD415" s="4" t="str">
        <f t="shared" si="6"/>
        <v>EF1 E001 HGC</v>
      </c>
    </row>
    <row r="416" spans="1:30" s="14" customFormat="1" ht="30" x14ac:dyDescent="0.25">
      <c r="A416" s="24" t="s">
        <v>926</v>
      </c>
      <c r="B416" s="22" t="s">
        <v>67</v>
      </c>
      <c r="C416" s="22" t="s">
        <v>32</v>
      </c>
      <c r="D416" s="22" t="s">
        <v>33</v>
      </c>
      <c r="E416" s="23">
        <v>238</v>
      </c>
      <c r="F416" s="23">
        <v>2</v>
      </c>
      <c r="G416" s="23">
        <v>4</v>
      </c>
      <c r="H416" s="23"/>
      <c r="I416" s="24" t="s">
        <v>34</v>
      </c>
      <c r="J416" s="24"/>
      <c r="K416" s="23"/>
      <c r="L416" s="23"/>
      <c r="M416" s="24"/>
      <c r="N416" s="24"/>
      <c r="O416" s="26" t="s">
        <v>927</v>
      </c>
      <c r="P416" s="26"/>
      <c r="Q416" s="23"/>
      <c r="R416" s="25"/>
      <c r="S416" s="25"/>
      <c r="T416" s="25"/>
      <c r="U416" s="25"/>
      <c r="V416" s="25"/>
      <c r="W416" s="23" t="s">
        <v>316</v>
      </c>
      <c r="X416" s="4" t="str">
        <f>IF(Tabela2[[#This Row],[SIGLA]]="","",VLOOKUP(Tabela2[[#This Row],[SIGLA]],créditos_base!B:C,2,0))</f>
        <v>SAULO NUNES/ARQUIVO DA EDITORA</v>
      </c>
      <c r="Y416" s="24"/>
      <c r="Z416" s="24" t="str">
        <f>Tabela2[[#This Row],[ILUSTRADOR CRIAÇÃO]]</f>
        <v>SAULO NUNES/ARQUIVO DA EDITORA</v>
      </c>
      <c r="AA416" s="23"/>
      <c r="AB416" s="22"/>
      <c r="AC416" s="22"/>
      <c r="AD416" s="4" t="str">
        <f t="shared" si="6"/>
        <v>EF1 E001 HGC</v>
      </c>
    </row>
    <row r="417" spans="1:30" s="14" customFormat="1" ht="30" x14ac:dyDescent="0.25">
      <c r="A417" s="24" t="s">
        <v>928</v>
      </c>
      <c r="B417" s="22" t="s">
        <v>67</v>
      </c>
      <c r="C417" s="22" t="s">
        <v>32</v>
      </c>
      <c r="D417" s="22" t="s">
        <v>33</v>
      </c>
      <c r="E417" s="23">
        <v>238</v>
      </c>
      <c r="F417" s="23">
        <v>2</v>
      </c>
      <c r="G417" s="23">
        <v>4</v>
      </c>
      <c r="H417" s="23"/>
      <c r="I417" s="24" t="s">
        <v>34</v>
      </c>
      <c r="J417" s="24"/>
      <c r="K417" s="23"/>
      <c r="L417" s="23"/>
      <c r="M417" s="24"/>
      <c r="N417" s="24"/>
      <c r="O417" s="26" t="s">
        <v>929</v>
      </c>
      <c r="P417" s="26"/>
      <c r="Q417" s="23"/>
      <c r="R417" s="25"/>
      <c r="S417" s="25"/>
      <c r="T417" s="25"/>
      <c r="U417" s="25"/>
      <c r="V417" s="25"/>
      <c r="W417" s="23" t="s">
        <v>316</v>
      </c>
      <c r="X417" s="4" t="str">
        <f>IF(Tabela2[[#This Row],[SIGLA]]="","",VLOOKUP(Tabela2[[#This Row],[SIGLA]],créditos_base!B:C,2,0))</f>
        <v>SAULO NUNES/ARQUIVO DA EDITORA</v>
      </c>
      <c r="Y417" s="24"/>
      <c r="Z417" s="24" t="str">
        <f>Tabela2[[#This Row],[ILUSTRADOR CRIAÇÃO]]</f>
        <v>SAULO NUNES/ARQUIVO DA EDITORA</v>
      </c>
      <c r="AA417" s="23"/>
      <c r="AB417" s="22"/>
      <c r="AC417" s="22"/>
      <c r="AD417" s="4" t="str">
        <f t="shared" si="6"/>
        <v>EF1 E001 HGC</v>
      </c>
    </row>
    <row r="418" spans="1:30" s="14" customFormat="1" ht="90" x14ac:dyDescent="0.25">
      <c r="A418" s="24" t="s">
        <v>930</v>
      </c>
      <c r="B418" s="22" t="s">
        <v>31</v>
      </c>
      <c r="C418" s="22" t="s">
        <v>32</v>
      </c>
      <c r="D418" s="22" t="s">
        <v>33</v>
      </c>
      <c r="E418" s="23" t="s">
        <v>931</v>
      </c>
      <c r="F418" s="23">
        <v>2</v>
      </c>
      <c r="G418" s="23">
        <v>4</v>
      </c>
      <c r="H418" s="23"/>
      <c r="I418" s="24" t="s">
        <v>38</v>
      </c>
      <c r="J418" s="24"/>
      <c r="K418" s="23"/>
      <c r="L418" s="23"/>
      <c r="M418" s="24"/>
      <c r="N418" s="24"/>
      <c r="O418" s="26" t="s">
        <v>932</v>
      </c>
      <c r="P418" s="26"/>
      <c r="Q418" s="23">
        <v>4</v>
      </c>
      <c r="R418" s="25">
        <v>45825</v>
      </c>
      <c r="S418" s="25">
        <v>45826</v>
      </c>
      <c r="T418" s="25"/>
      <c r="U418" s="25"/>
      <c r="V418" s="25">
        <v>45826</v>
      </c>
      <c r="W418" s="23" t="s">
        <v>280</v>
      </c>
      <c r="X418" s="4" t="str">
        <f>IF(Tabela2[[#This Row],[SIGLA]]="","",VLOOKUP(Tabela2[[#This Row],[SIGLA]],créditos_base!B:C,2,0))</f>
        <v>HELOÍSA PINTARELLI/ARQUIVO DA EDITORA</v>
      </c>
      <c r="Y418" s="24" t="s">
        <v>892</v>
      </c>
      <c r="Z418" s="24" t="str">
        <f>Tabela2[[#This Row],[ILUSTRADOR CRIAÇÃO]]</f>
        <v>HELOÍSA PINTARELLI/ARQUIVO DA EDITORA</v>
      </c>
      <c r="AA418" s="23">
        <v>13</v>
      </c>
      <c r="AB418" s="22" t="s">
        <v>171</v>
      </c>
      <c r="AC418" s="22" t="s">
        <v>43</v>
      </c>
      <c r="AD418" s="4" t="str">
        <f t="shared" si="6"/>
        <v>EF1 E001 HGC</v>
      </c>
    </row>
    <row r="419" spans="1:30" s="14" customFormat="1" ht="45" x14ac:dyDescent="0.25">
      <c r="A419" s="24" t="s">
        <v>933</v>
      </c>
      <c r="B419" s="22" t="s">
        <v>31</v>
      </c>
      <c r="C419" s="22" t="s">
        <v>32</v>
      </c>
      <c r="D419" s="22" t="s">
        <v>33</v>
      </c>
      <c r="E419" s="23">
        <v>242</v>
      </c>
      <c r="F419" s="23">
        <v>2</v>
      </c>
      <c r="G419" s="23">
        <v>4</v>
      </c>
      <c r="H419" s="23"/>
      <c r="I419" s="24" t="s">
        <v>34</v>
      </c>
      <c r="J419" s="24"/>
      <c r="K419" s="23"/>
      <c r="L419" s="23"/>
      <c r="M419" s="24"/>
      <c r="N419" s="24"/>
      <c r="O419" s="26" t="s">
        <v>934</v>
      </c>
      <c r="P419" s="26"/>
      <c r="Q419" s="23"/>
      <c r="R419" s="25"/>
      <c r="S419" s="25"/>
      <c r="T419" s="25"/>
      <c r="U419" s="25"/>
      <c r="V419" s="25"/>
      <c r="W419" s="23" t="s">
        <v>280</v>
      </c>
      <c r="X419" s="4" t="str">
        <f>IF(Tabela2[[#This Row],[SIGLA]]="","",VLOOKUP(Tabela2[[#This Row],[SIGLA]],créditos_base!B:C,2,0))</f>
        <v>HELOÍSA PINTARELLI/ARQUIVO DA EDITORA</v>
      </c>
      <c r="Y419" s="24"/>
      <c r="Z419" s="24" t="str">
        <f>Tabela2[[#This Row],[ILUSTRADOR CRIAÇÃO]]</f>
        <v>HELOÍSA PINTARELLI/ARQUIVO DA EDITORA</v>
      </c>
      <c r="AA419" s="23"/>
      <c r="AB419" s="22"/>
      <c r="AC419" s="22"/>
      <c r="AD419" s="4" t="str">
        <f t="shared" si="6"/>
        <v>EF1 E001 HGC</v>
      </c>
    </row>
    <row r="420" spans="1:30" s="14" customFormat="1" ht="90" x14ac:dyDescent="0.25">
      <c r="A420" s="24" t="s">
        <v>935</v>
      </c>
      <c r="B420" s="22" t="s">
        <v>31</v>
      </c>
      <c r="C420" s="22" t="s">
        <v>32</v>
      </c>
      <c r="D420" s="22" t="s">
        <v>33</v>
      </c>
      <c r="E420" s="23">
        <v>242</v>
      </c>
      <c r="F420" s="23">
        <v>2</v>
      </c>
      <c r="G420" s="23">
        <v>4</v>
      </c>
      <c r="H420" s="23"/>
      <c r="I420" s="24" t="s">
        <v>38</v>
      </c>
      <c r="J420" s="24"/>
      <c r="K420" s="23"/>
      <c r="L420" s="23"/>
      <c r="M420" s="24"/>
      <c r="N420" s="24"/>
      <c r="O420" s="26" t="s">
        <v>936</v>
      </c>
      <c r="P420" s="26"/>
      <c r="Q420" s="23">
        <v>4</v>
      </c>
      <c r="R420" s="25">
        <v>45825</v>
      </c>
      <c r="S420" s="25">
        <v>45826</v>
      </c>
      <c r="T420" s="25"/>
      <c r="U420" s="25"/>
      <c r="V420" s="25">
        <v>45826</v>
      </c>
      <c r="W420" s="23" t="s">
        <v>280</v>
      </c>
      <c r="X420" s="4" t="str">
        <f>IF(Tabela2[[#This Row],[SIGLA]]="","",VLOOKUP(Tabela2[[#This Row],[SIGLA]],créditos_base!B:C,2,0))</f>
        <v>HELOÍSA PINTARELLI/ARQUIVO DA EDITORA</v>
      </c>
      <c r="Y420" s="24" t="s">
        <v>892</v>
      </c>
      <c r="Z420" s="24" t="str">
        <f>Tabela2[[#This Row],[ILUSTRADOR CRIAÇÃO]]</f>
        <v>HELOÍSA PINTARELLI/ARQUIVO DA EDITORA</v>
      </c>
      <c r="AA420" s="23">
        <v>14</v>
      </c>
      <c r="AB420" s="22" t="s">
        <v>171</v>
      </c>
      <c r="AC420" s="22" t="s">
        <v>43</v>
      </c>
      <c r="AD420" s="4" t="str">
        <f t="shared" si="6"/>
        <v>EF1 E001 HGC</v>
      </c>
    </row>
    <row r="421" spans="1:30" s="14" customFormat="1" ht="30" x14ac:dyDescent="0.25">
      <c r="A421" s="24" t="s">
        <v>937</v>
      </c>
      <c r="B421" s="22" t="s">
        <v>31</v>
      </c>
      <c r="C421" s="22" t="s">
        <v>32</v>
      </c>
      <c r="D421" s="22" t="s">
        <v>33</v>
      </c>
      <c r="E421" s="23">
        <v>254</v>
      </c>
      <c r="F421" s="23">
        <v>2</v>
      </c>
      <c r="G421" s="23">
        <v>4</v>
      </c>
      <c r="H421" s="23"/>
      <c r="I421" s="24" t="s">
        <v>34</v>
      </c>
      <c r="J421" s="24"/>
      <c r="K421" s="23"/>
      <c r="L421" s="23"/>
      <c r="M421" s="24"/>
      <c r="N421" s="24"/>
      <c r="O421" s="26" t="s">
        <v>938</v>
      </c>
      <c r="P421" s="26"/>
      <c r="Q421" s="23"/>
      <c r="R421" s="25"/>
      <c r="S421" s="25"/>
      <c r="T421" s="25"/>
      <c r="U421" s="25"/>
      <c r="V421" s="25"/>
      <c r="W421" s="23" t="s">
        <v>316</v>
      </c>
      <c r="X421" s="4" t="str">
        <f>IF(Tabela2[[#This Row],[SIGLA]]="","",VLOOKUP(Tabela2[[#This Row],[SIGLA]],créditos_base!B:C,2,0))</f>
        <v>SAULO NUNES/ARQUIVO DA EDITORA</v>
      </c>
      <c r="Y421" s="24"/>
      <c r="Z421" s="24" t="str">
        <f>Tabela2[[#This Row],[ILUSTRADOR CRIAÇÃO]]</f>
        <v>SAULO NUNES/ARQUIVO DA EDITORA</v>
      </c>
      <c r="AA421" s="23"/>
      <c r="AB421" s="22"/>
      <c r="AC421" s="22"/>
      <c r="AD421" s="4" t="str">
        <f t="shared" si="6"/>
        <v>EF1 E001 HGC</v>
      </c>
    </row>
    <row r="422" spans="1:30" s="14" customFormat="1" ht="45" x14ac:dyDescent="0.25">
      <c r="A422" s="24" t="s">
        <v>939</v>
      </c>
      <c r="B422" s="22" t="s">
        <v>31</v>
      </c>
      <c r="C422" s="22" t="s">
        <v>32</v>
      </c>
      <c r="D422" s="22" t="s">
        <v>33</v>
      </c>
      <c r="E422" s="23">
        <v>254</v>
      </c>
      <c r="F422" s="23">
        <v>2</v>
      </c>
      <c r="G422" s="23">
        <v>4</v>
      </c>
      <c r="H422" s="23"/>
      <c r="I422" s="24" t="s">
        <v>38</v>
      </c>
      <c r="J422" s="24"/>
      <c r="K422" s="23"/>
      <c r="L422" s="23"/>
      <c r="M422" s="24"/>
      <c r="N422" s="24"/>
      <c r="O422" s="26" t="s">
        <v>940</v>
      </c>
      <c r="P422" s="26"/>
      <c r="Q422" s="23">
        <v>33</v>
      </c>
      <c r="R422" s="25">
        <v>45902</v>
      </c>
      <c r="S422" s="25">
        <v>45902</v>
      </c>
      <c r="T422" s="25"/>
      <c r="U422" s="25"/>
      <c r="V422" s="25">
        <v>45902</v>
      </c>
      <c r="W422" s="23" t="s">
        <v>316</v>
      </c>
      <c r="X422" s="4" t="str">
        <f>IF(Tabela2[[#This Row],[SIGLA]]="","",VLOOKUP(Tabela2[[#This Row],[SIGLA]],créditos_base!B:C,2,0))</f>
        <v>SAULO NUNES/ARQUIVO DA EDITORA</v>
      </c>
      <c r="Y422" s="24" t="s">
        <v>70</v>
      </c>
      <c r="Z422" s="24" t="str">
        <f>Tabela2[[#This Row],[ILUSTRADOR CRIAÇÃO]]</f>
        <v>SAULO NUNES/ARQUIVO DA EDITORA</v>
      </c>
      <c r="AA422" s="23">
        <v>13</v>
      </c>
      <c r="AB422" s="22" t="s">
        <v>71</v>
      </c>
      <c r="AC422" s="22" t="s">
        <v>43</v>
      </c>
      <c r="AD422" s="4" t="str">
        <f t="shared" si="6"/>
        <v>EF1 E001 HGC</v>
      </c>
    </row>
    <row r="423" spans="1:30" s="14" customFormat="1" ht="45" x14ac:dyDescent="0.25">
      <c r="A423" s="24" t="s">
        <v>941</v>
      </c>
      <c r="B423" s="22" t="s">
        <v>31</v>
      </c>
      <c r="C423" s="22" t="s">
        <v>32</v>
      </c>
      <c r="D423" s="22" t="s">
        <v>33</v>
      </c>
      <c r="E423" s="23">
        <v>255</v>
      </c>
      <c r="F423" s="23">
        <v>2</v>
      </c>
      <c r="G423" s="23">
        <v>4</v>
      </c>
      <c r="H423" s="23"/>
      <c r="I423" s="24" t="s">
        <v>38</v>
      </c>
      <c r="J423" s="24"/>
      <c r="K423" s="23"/>
      <c r="L423" s="23"/>
      <c r="M423" s="24"/>
      <c r="N423" s="24"/>
      <c r="O423" s="26" t="s">
        <v>942</v>
      </c>
      <c r="P423" s="26"/>
      <c r="Q423" s="23">
        <v>33</v>
      </c>
      <c r="R423" s="25">
        <v>45902</v>
      </c>
      <c r="S423" s="25">
        <v>45902</v>
      </c>
      <c r="T423" s="25"/>
      <c r="U423" s="25"/>
      <c r="V423" s="25">
        <v>45902</v>
      </c>
      <c r="W423" s="23" t="s">
        <v>316</v>
      </c>
      <c r="X423" s="4" t="str">
        <f>IF(Tabela2[[#This Row],[SIGLA]]="","",VLOOKUP(Tabela2[[#This Row],[SIGLA]],créditos_base!B:C,2,0))</f>
        <v>SAULO NUNES/ARQUIVO DA EDITORA</v>
      </c>
      <c r="Y423" s="24" t="s">
        <v>70</v>
      </c>
      <c r="Z423" s="24" t="str">
        <f>Tabela2[[#This Row],[ILUSTRADOR CRIAÇÃO]]</f>
        <v>SAULO NUNES/ARQUIVO DA EDITORA</v>
      </c>
      <c r="AA423" s="23">
        <v>13</v>
      </c>
      <c r="AB423" s="22" t="s">
        <v>71</v>
      </c>
      <c r="AC423" s="22" t="s">
        <v>43</v>
      </c>
      <c r="AD423" s="4" t="str">
        <f t="shared" si="6"/>
        <v>EF1 E001 HGC</v>
      </c>
    </row>
    <row r="424" spans="1:30" s="14" customFormat="1" ht="105" x14ac:dyDescent="0.25">
      <c r="A424" s="24" t="s">
        <v>943</v>
      </c>
      <c r="B424" s="22" t="s">
        <v>31</v>
      </c>
      <c r="C424" s="22" t="s">
        <v>32</v>
      </c>
      <c r="D424" s="22" t="s">
        <v>33</v>
      </c>
      <c r="E424" s="23" t="s">
        <v>944</v>
      </c>
      <c r="F424" s="23">
        <v>2</v>
      </c>
      <c r="G424" s="23">
        <v>4</v>
      </c>
      <c r="H424" s="23"/>
      <c r="I424" s="24" t="s">
        <v>38</v>
      </c>
      <c r="J424" s="24"/>
      <c r="K424" s="23"/>
      <c r="L424" s="23"/>
      <c r="M424" s="24"/>
      <c r="N424" s="24"/>
      <c r="O424" s="26" t="s">
        <v>945</v>
      </c>
      <c r="P424" s="26"/>
      <c r="Q424" s="23">
        <v>4</v>
      </c>
      <c r="R424" s="25">
        <v>45825</v>
      </c>
      <c r="S424" s="25">
        <v>45826</v>
      </c>
      <c r="T424" s="25"/>
      <c r="U424" s="25"/>
      <c r="V424" s="25">
        <v>45826</v>
      </c>
      <c r="W424" s="23" t="s">
        <v>40</v>
      </c>
      <c r="X424" s="4" t="str">
        <f>IF(Tabela2[[#This Row],[SIGLA]]="","",VLOOKUP(Tabela2[[#This Row],[SIGLA]],créditos_base!B:C,2,0))</f>
        <v>LISLLEY GOMES FEIGE/ARQUIVO DA EDITORA</v>
      </c>
      <c r="Y424" s="24" t="s">
        <v>892</v>
      </c>
      <c r="Z424" s="24" t="str">
        <f>Tabela2[[#This Row],[ILUSTRADOR CRIAÇÃO]]</f>
        <v>LISLLEY GOMES FEIGE/ARQUIVO DA EDITORA</v>
      </c>
      <c r="AA424" s="23">
        <v>14</v>
      </c>
      <c r="AB424" s="22" t="s">
        <v>171</v>
      </c>
      <c r="AC424" s="22" t="s">
        <v>43</v>
      </c>
      <c r="AD424" s="4" t="str">
        <f t="shared" si="6"/>
        <v>EF1 E001 HGC</v>
      </c>
    </row>
    <row r="425" spans="1:30" s="14" customFormat="1" ht="180" x14ac:dyDescent="0.25">
      <c r="A425" s="24" t="s">
        <v>946</v>
      </c>
      <c r="B425" s="22" t="s">
        <v>31</v>
      </c>
      <c r="C425" s="22" t="s">
        <v>32</v>
      </c>
      <c r="D425" s="22" t="s">
        <v>33</v>
      </c>
      <c r="E425" s="23">
        <v>266</v>
      </c>
      <c r="F425" s="23">
        <v>2</v>
      </c>
      <c r="G425" s="23">
        <v>4</v>
      </c>
      <c r="H425" s="23"/>
      <c r="I425" s="24" t="s">
        <v>38</v>
      </c>
      <c r="J425" s="24"/>
      <c r="K425" s="23"/>
      <c r="L425" s="23"/>
      <c r="M425" s="24"/>
      <c r="N425" s="24"/>
      <c r="O425" s="26" t="s">
        <v>947</v>
      </c>
      <c r="P425" s="26"/>
      <c r="Q425" s="23">
        <v>28</v>
      </c>
      <c r="R425" s="25">
        <v>45880</v>
      </c>
      <c r="S425" s="25">
        <v>45880</v>
      </c>
      <c r="T425" s="25"/>
      <c r="U425" s="25"/>
      <c r="V425" s="25">
        <v>45880</v>
      </c>
      <c r="W425" s="23" t="s">
        <v>40</v>
      </c>
      <c r="X425" s="4" t="str">
        <f>IF(Tabela2[[#This Row],[SIGLA]]="","",VLOOKUP(Tabela2[[#This Row],[SIGLA]],créditos_base!B:C,2,0))</f>
        <v>LISLLEY GOMES FEIGE/ARQUIVO DA EDITORA</v>
      </c>
      <c r="Y425" s="24" t="s">
        <v>70</v>
      </c>
      <c r="Z425" s="24" t="str">
        <f>Tabela2[[#This Row],[ILUSTRADOR CRIAÇÃO]]</f>
        <v>LISLLEY GOMES FEIGE/ARQUIVO DA EDITORA</v>
      </c>
      <c r="AA425" s="23">
        <v>13</v>
      </c>
      <c r="AB425" s="22" t="s">
        <v>71</v>
      </c>
      <c r="AC425" s="22" t="s">
        <v>43</v>
      </c>
      <c r="AD425" s="4" t="str">
        <f t="shared" si="6"/>
        <v>EF1 E001 HGC</v>
      </c>
    </row>
    <row r="426" spans="1:30" s="14" customFormat="1" ht="60" x14ac:dyDescent="0.25">
      <c r="A426" s="24" t="s">
        <v>948</v>
      </c>
      <c r="B426" s="22" t="s">
        <v>31</v>
      </c>
      <c r="C426" s="22" t="s">
        <v>32</v>
      </c>
      <c r="D426" s="22" t="s">
        <v>33</v>
      </c>
      <c r="E426" s="23">
        <v>270</v>
      </c>
      <c r="F426" s="23">
        <v>2</v>
      </c>
      <c r="G426" s="23">
        <v>4</v>
      </c>
      <c r="H426" s="23"/>
      <c r="I426" s="24" t="s">
        <v>38</v>
      </c>
      <c r="J426" s="24"/>
      <c r="K426" s="23"/>
      <c r="L426" s="23"/>
      <c r="M426" s="24"/>
      <c r="N426" s="24"/>
      <c r="O426" s="26" t="s">
        <v>949</v>
      </c>
      <c r="P426" s="26"/>
      <c r="Q426" s="23">
        <v>33</v>
      </c>
      <c r="R426" s="25">
        <v>45902</v>
      </c>
      <c r="S426" s="25">
        <v>45902</v>
      </c>
      <c r="T426" s="25"/>
      <c r="U426" s="25"/>
      <c r="V426" s="25">
        <v>45902</v>
      </c>
      <c r="W426" s="23" t="s">
        <v>40</v>
      </c>
      <c r="X426" s="4" t="str">
        <f>IF(Tabela2[[#This Row],[SIGLA]]="","",VLOOKUP(Tabela2[[#This Row],[SIGLA]],créditos_base!B:C,2,0))</f>
        <v>LISLLEY GOMES FEIGE/ARQUIVO DA EDITORA</v>
      </c>
      <c r="Y426" s="24" t="s">
        <v>70</v>
      </c>
      <c r="Z426" s="24" t="str">
        <f>Tabela2[[#This Row],[ILUSTRADOR CRIAÇÃO]]</f>
        <v>LISLLEY GOMES FEIGE/ARQUIVO DA EDITORA</v>
      </c>
      <c r="AA426" s="23">
        <v>13</v>
      </c>
      <c r="AB426" s="22" t="s">
        <v>71</v>
      </c>
      <c r="AC426" s="22" t="s">
        <v>43</v>
      </c>
      <c r="AD426" s="4" t="str">
        <f t="shared" si="6"/>
        <v>EF1 E001 HGC</v>
      </c>
    </row>
    <row r="427" spans="1:30" s="14" customFormat="1" ht="30" x14ac:dyDescent="0.25">
      <c r="A427" s="24" t="s">
        <v>950</v>
      </c>
      <c r="B427" s="22" t="s">
        <v>31</v>
      </c>
      <c r="C427" s="22" t="s">
        <v>32</v>
      </c>
      <c r="D427" s="22" t="s">
        <v>33</v>
      </c>
      <c r="E427" s="23">
        <v>274</v>
      </c>
      <c r="F427" s="23">
        <v>2</v>
      </c>
      <c r="G427" s="23">
        <v>4</v>
      </c>
      <c r="H427" s="23"/>
      <c r="I427" s="24" t="s">
        <v>34</v>
      </c>
      <c r="J427" s="24"/>
      <c r="K427" s="23"/>
      <c r="L427" s="23"/>
      <c r="M427" s="24"/>
      <c r="N427" s="24"/>
      <c r="O427" s="26" t="s">
        <v>951</v>
      </c>
      <c r="P427" s="26"/>
      <c r="Q427" s="23"/>
      <c r="R427" s="25"/>
      <c r="S427" s="25"/>
      <c r="T427" s="25"/>
      <c r="U427" s="25"/>
      <c r="V427" s="25"/>
      <c r="W427" s="23" t="s">
        <v>316</v>
      </c>
      <c r="X427" s="4" t="str">
        <f>IF(Tabela2[[#This Row],[SIGLA]]="","",VLOOKUP(Tabela2[[#This Row],[SIGLA]],créditos_base!B:C,2,0))</f>
        <v>SAULO NUNES/ARQUIVO DA EDITORA</v>
      </c>
      <c r="Y427" s="24"/>
      <c r="Z427" s="24" t="str">
        <f>Tabela2[[#This Row],[ILUSTRADOR CRIAÇÃO]]</f>
        <v>SAULO NUNES/ARQUIVO DA EDITORA</v>
      </c>
      <c r="AA427" s="23"/>
      <c r="AB427" s="22"/>
      <c r="AC427" s="22"/>
      <c r="AD427" s="4" t="str">
        <f t="shared" si="6"/>
        <v>EF1 E001 HGC</v>
      </c>
    </row>
    <row r="428" spans="1:30" s="14" customFormat="1" ht="30" x14ac:dyDescent="0.25">
      <c r="A428" s="24" t="s">
        <v>952</v>
      </c>
      <c r="B428" s="22" t="s">
        <v>31</v>
      </c>
      <c r="C428" s="22" t="s">
        <v>32</v>
      </c>
      <c r="D428" s="22" t="s">
        <v>33</v>
      </c>
      <c r="E428" s="23">
        <v>274</v>
      </c>
      <c r="F428" s="23">
        <v>2</v>
      </c>
      <c r="G428" s="23">
        <v>4</v>
      </c>
      <c r="H428" s="23"/>
      <c r="I428" s="24" t="s">
        <v>34</v>
      </c>
      <c r="J428" s="24"/>
      <c r="K428" s="23"/>
      <c r="L428" s="23"/>
      <c r="M428" s="24"/>
      <c r="N428" s="24"/>
      <c r="O428" s="26" t="s">
        <v>953</v>
      </c>
      <c r="P428" s="26"/>
      <c r="Q428" s="23">
        <v>18</v>
      </c>
      <c r="R428" s="25"/>
      <c r="S428" s="25"/>
      <c r="T428" s="25"/>
      <c r="U428" s="25"/>
      <c r="V428" s="25"/>
      <c r="W428" s="23" t="s">
        <v>316</v>
      </c>
      <c r="X428" s="4" t="str">
        <f>IF(Tabela2[[#This Row],[SIGLA]]="","",VLOOKUP(Tabela2[[#This Row],[SIGLA]],créditos_base!B:C,2,0))</f>
        <v>SAULO NUNES/ARQUIVO DA EDITORA</v>
      </c>
      <c r="Y428" s="24"/>
      <c r="Z428" s="24" t="str">
        <f>Tabela2[[#This Row],[ILUSTRADOR CRIAÇÃO]]</f>
        <v>SAULO NUNES/ARQUIVO DA EDITORA</v>
      </c>
      <c r="AA428" s="23"/>
      <c r="AB428" s="22"/>
      <c r="AC428" s="22"/>
      <c r="AD428" s="4" t="str">
        <f t="shared" si="6"/>
        <v>EF1 E001 HGC</v>
      </c>
    </row>
    <row r="429" spans="1:30" s="14" customFormat="1" ht="240" x14ac:dyDescent="0.25">
      <c r="A429" s="24" t="s">
        <v>954</v>
      </c>
      <c r="B429" s="22" t="s">
        <v>31</v>
      </c>
      <c r="C429" s="22" t="s">
        <v>32</v>
      </c>
      <c r="D429" s="22" t="s">
        <v>33</v>
      </c>
      <c r="E429" s="23">
        <v>21</v>
      </c>
      <c r="F429" s="23">
        <v>2</v>
      </c>
      <c r="G429" s="23">
        <v>1</v>
      </c>
      <c r="H429" s="23"/>
      <c r="I429" s="24" t="s">
        <v>177</v>
      </c>
      <c r="J429" s="24"/>
      <c r="K429" s="23"/>
      <c r="L429" s="23"/>
      <c r="M429" s="24"/>
      <c r="N429" s="24"/>
      <c r="O429" s="26" t="s">
        <v>955</v>
      </c>
      <c r="P429" s="26"/>
      <c r="Q429" s="23">
        <v>5</v>
      </c>
      <c r="R429" s="25">
        <v>45832</v>
      </c>
      <c r="S429" s="25">
        <v>45835</v>
      </c>
      <c r="T429" s="25">
        <v>45838</v>
      </c>
      <c r="U429" s="25">
        <v>45840</v>
      </c>
      <c r="V429" s="25">
        <v>45842</v>
      </c>
      <c r="W429" s="23" t="s">
        <v>297</v>
      </c>
      <c r="X429" s="4" t="str">
        <f>IF(Tabela2[[#This Row],[SIGLA]]="","",VLOOKUP(Tabela2[[#This Row],[SIGLA]],créditos_base!B:C,2,0))</f>
        <v>WERLLEN HOLANDA/ARQUIVO DA EDITORA</v>
      </c>
      <c r="Y429" s="24"/>
      <c r="Z429" s="24" t="str">
        <f>Tabela2[[#This Row],[ILUSTRADOR CRIAÇÃO]]</f>
        <v>WERLLEN HOLANDA/ARQUIVO DA EDITORA</v>
      </c>
      <c r="AA429" s="23">
        <v>4</v>
      </c>
      <c r="AB429" s="22" t="s">
        <v>956</v>
      </c>
      <c r="AC429" s="22" t="s">
        <v>340</v>
      </c>
      <c r="AD429" s="4" t="str">
        <f t="shared" si="6"/>
        <v>EF1 E001 HGC</v>
      </c>
    </row>
    <row r="430" spans="1:30" s="14" customFormat="1" ht="45" x14ac:dyDescent="0.25">
      <c r="A430" s="24" t="s">
        <v>957</v>
      </c>
      <c r="B430" s="22" t="s">
        <v>31</v>
      </c>
      <c r="C430" s="22" t="s">
        <v>32</v>
      </c>
      <c r="D430" s="22" t="s">
        <v>33</v>
      </c>
      <c r="E430" s="23">
        <v>27</v>
      </c>
      <c r="F430" s="23">
        <v>1</v>
      </c>
      <c r="G430" s="23">
        <v>1</v>
      </c>
      <c r="H430" s="23"/>
      <c r="I430" s="24" t="s">
        <v>177</v>
      </c>
      <c r="J430" s="24"/>
      <c r="K430" s="23"/>
      <c r="L430" s="23"/>
      <c r="M430" s="24"/>
      <c r="N430" s="24"/>
      <c r="O430" s="26" t="s">
        <v>958</v>
      </c>
      <c r="P430" s="26"/>
      <c r="Q430" s="23">
        <v>19</v>
      </c>
      <c r="R430" s="25">
        <v>45848</v>
      </c>
      <c r="S430" s="25">
        <v>45848</v>
      </c>
      <c r="T430" s="25">
        <v>45849</v>
      </c>
      <c r="U430" s="25">
        <v>45852</v>
      </c>
      <c r="V430" s="25">
        <v>45859</v>
      </c>
      <c r="W430" s="23" t="s">
        <v>338</v>
      </c>
      <c r="X430" s="4" t="str">
        <f>IF(Tabela2[[#This Row],[SIGLA]]="","",VLOOKUP(Tabela2[[#This Row],[SIGLA]],créditos_base!B:C,2,0))</f>
        <v>RIVALDO BARBOZA/ARQUIVO DA EDITORA</v>
      </c>
      <c r="Y430" s="24"/>
      <c r="Z430" s="24" t="str">
        <f>Tabela2[[#This Row],[ILUSTRADOR CRIAÇÃO]]</f>
        <v>RIVALDO BARBOZA/ARQUIVO DA EDITORA</v>
      </c>
      <c r="AA430" s="23">
        <v>6</v>
      </c>
      <c r="AB430" s="22" t="s">
        <v>959</v>
      </c>
      <c r="AC430" s="22" t="s">
        <v>340</v>
      </c>
      <c r="AD430" s="4" t="str">
        <f t="shared" si="6"/>
        <v>EF1 E001 HGC</v>
      </c>
    </row>
    <row r="431" spans="1:30" s="14" customFormat="1" ht="30" x14ac:dyDescent="0.25">
      <c r="A431" s="24" t="s">
        <v>960</v>
      </c>
      <c r="B431" s="22" t="s">
        <v>31</v>
      </c>
      <c r="C431" s="22" t="s">
        <v>32</v>
      </c>
      <c r="D431" s="22" t="s">
        <v>33</v>
      </c>
      <c r="E431" s="23">
        <v>32</v>
      </c>
      <c r="F431" s="23">
        <v>1</v>
      </c>
      <c r="G431" s="23">
        <v>1</v>
      </c>
      <c r="H431" s="23"/>
      <c r="I431" s="24" t="s">
        <v>177</v>
      </c>
      <c r="J431" s="24"/>
      <c r="K431" s="23"/>
      <c r="L431" s="23"/>
      <c r="M431" s="24"/>
      <c r="N431" s="24"/>
      <c r="O431" s="26" t="s">
        <v>961</v>
      </c>
      <c r="P431" s="26"/>
      <c r="Q431" s="23">
        <v>19</v>
      </c>
      <c r="R431" s="25">
        <v>45848</v>
      </c>
      <c r="S431" s="25">
        <v>45848</v>
      </c>
      <c r="T431" s="25">
        <v>45849</v>
      </c>
      <c r="U431" s="25">
        <v>45859</v>
      </c>
      <c r="V431" s="25">
        <v>45863</v>
      </c>
      <c r="W431" s="23" t="s">
        <v>338</v>
      </c>
      <c r="X431" s="4" t="str">
        <f>IF(Tabela2[[#This Row],[SIGLA]]="","",VLOOKUP(Tabela2[[#This Row],[SIGLA]],créditos_base!B:C,2,0))</f>
        <v>RIVALDO BARBOZA/ARQUIVO DA EDITORA</v>
      </c>
      <c r="Y431" s="24"/>
      <c r="Z431" s="24" t="str">
        <f>Tabela2[[#This Row],[ILUSTRADOR CRIAÇÃO]]</f>
        <v>RIVALDO BARBOZA/ARQUIVO DA EDITORA</v>
      </c>
      <c r="AA431" s="23">
        <v>5</v>
      </c>
      <c r="AB431" s="22" t="s">
        <v>959</v>
      </c>
      <c r="AC431" s="22" t="s">
        <v>340</v>
      </c>
      <c r="AD431" s="4" t="str">
        <f t="shared" si="6"/>
        <v>EF1 E001 HGC</v>
      </c>
    </row>
    <row r="432" spans="1:30" s="14" customFormat="1" ht="60" x14ac:dyDescent="0.25">
      <c r="A432" s="24" t="s">
        <v>962</v>
      </c>
      <c r="B432" s="22" t="s">
        <v>67</v>
      </c>
      <c r="C432" s="22" t="s">
        <v>963</v>
      </c>
      <c r="D432" s="22" t="s">
        <v>33</v>
      </c>
      <c r="E432" s="23">
        <v>73</v>
      </c>
      <c r="F432" s="23">
        <v>1</v>
      </c>
      <c r="G432" s="23">
        <v>1</v>
      </c>
      <c r="H432" s="23"/>
      <c r="I432" s="24" t="s">
        <v>34</v>
      </c>
      <c r="J432" s="24"/>
      <c r="K432" s="23"/>
      <c r="L432" s="23"/>
      <c r="M432" s="24"/>
      <c r="N432" s="24"/>
      <c r="O432" s="26" t="s">
        <v>964</v>
      </c>
      <c r="P432" s="26"/>
      <c r="Q432" s="23"/>
      <c r="R432" s="25">
        <v>45849</v>
      </c>
      <c r="S432" s="25"/>
      <c r="T432" s="25"/>
      <c r="U432" s="25"/>
      <c r="V432" s="25"/>
      <c r="W432" s="23"/>
      <c r="X432" s="4" t="str">
        <f>IF(Tabela2[[#This Row],[SIGLA]]="","",VLOOKUP(Tabela2[[#This Row],[SIGLA]],créditos_base!B:C,2,0))</f>
        <v/>
      </c>
      <c r="Y432" s="24"/>
      <c r="Z432" s="24" t="str">
        <f>Tabela2[[#This Row],[ILUSTRADOR CRIAÇÃO]]</f>
        <v/>
      </c>
      <c r="AA432" s="23"/>
      <c r="AB432" s="22"/>
      <c r="AC432" s="22"/>
      <c r="AD432" s="4" t="str">
        <f t="shared" si="6"/>
        <v>EF1 E001 HGC</v>
      </c>
    </row>
    <row r="433" spans="1:30" s="14" customFormat="1" ht="45" x14ac:dyDescent="0.25">
      <c r="A433" s="24" t="s">
        <v>965</v>
      </c>
      <c r="B433" s="22" t="s">
        <v>31</v>
      </c>
      <c r="C433" s="22" t="s">
        <v>32</v>
      </c>
      <c r="D433" s="22" t="s">
        <v>33</v>
      </c>
      <c r="E433" s="23">
        <v>237</v>
      </c>
      <c r="F433" s="23">
        <v>1</v>
      </c>
      <c r="G433" s="23">
        <v>4</v>
      </c>
      <c r="H433" s="23"/>
      <c r="I433" s="24" t="s">
        <v>177</v>
      </c>
      <c r="J433" s="24"/>
      <c r="K433" s="23"/>
      <c r="L433" s="23"/>
      <c r="M433" s="24"/>
      <c r="N433" s="24"/>
      <c r="O433" s="26" t="s">
        <v>966</v>
      </c>
      <c r="P433" s="26"/>
      <c r="Q433" s="23">
        <v>20</v>
      </c>
      <c r="R433" s="25">
        <v>45849</v>
      </c>
      <c r="S433" s="25">
        <v>45849</v>
      </c>
      <c r="T433" s="25">
        <v>45852</v>
      </c>
      <c r="U433" s="25">
        <v>45859</v>
      </c>
      <c r="V433" s="25">
        <v>45863</v>
      </c>
      <c r="W433" s="23" t="s">
        <v>338</v>
      </c>
      <c r="X433" s="4" t="str">
        <f>IF(Tabela2[[#This Row],[SIGLA]]="","",VLOOKUP(Tabela2[[#This Row],[SIGLA]],créditos_base!B:C,2,0))</f>
        <v>RIVALDO BARBOZA/ARQUIVO DA EDITORA</v>
      </c>
      <c r="Y433" s="24"/>
      <c r="Z433" s="24" t="str">
        <f>Tabela2[[#This Row],[ILUSTRADOR CRIAÇÃO]]</f>
        <v>RIVALDO BARBOZA/ARQUIVO DA EDITORA</v>
      </c>
      <c r="AA433" s="23">
        <v>4</v>
      </c>
      <c r="AB433" s="26" t="s">
        <v>967</v>
      </c>
      <c r="AC433" s="22" t="s">
        <v>340</v>
      </c>
      <c r="AD433" s="4" t="str">
        <f t="shared" si="6"/>
        <v>EF1 E001 HGC</v>
      </c>
    </row>
    <row r="434" spans="1:30" s="14" customFormat="1" ht="90" x14ac:dyDescent="0.25">
      <c r="A434" s="24" t="s">
        <v>968</v>
      </c>
      <c r="B434" s="22" t="s">
        <v>31</v>
      </c>
      <c r="C434" s="22" t="s">
        <v>32</v>
      </c>
      <c r="D434" s="22" t="s">
        <v>33</v>
      </c>
      <c r="E434" s="23">
        <v>180</v>
      </c>
      <c r="F434" s="23">
        <v>1</v>
      </c>
      <c r="G434" s="23">
        <v>3</v>
      </c>
      <c r="H434" s="23"/>
      <c r="I434" s="24" t="s">
        <v>177</v>
      </c>
      <c r="J434" s="24"/>
      <c r="K434" s="23"/>
      <c r="L434" s="23"/>
      <c r="M434" s="24"/>
      <c r="N434" s="24"/>
      <c r="O434" s="26" t="s">
        <v>969</v>
      </c>
      <c r="P434" s="26"/>
      <c r="Q434" s="23">
        <v>21</v>
      </c>
      <c r="R434" s="25">
        <v>45853</v>
      </c>
      <c r="S434" s="25">
        <v>45853</v>
      </c>
      <c r="T434" s="25">
        <v>45856</v>
      </c>
      <c r="U434" s="25">
        <v>45860</v>
      </c>
      <c r="V434" s="25">
        <v>45863</v>
      </c>
      <c r="W434" s="23" t="s">
        <v>40</v>
      </c>
      <c r="X434" s="4" t="str">
        <f>IF(Tabela2[[#This Row],[SIGLA]]="","",VLOOKUP(Tabela2[[#This Row],[SIGLA]],créditos_base!B:C,2,0))</f>
        <v>LISLLEY GOMES FEIGE/ARQUIVO DA EDITORA</v>
      </c>
      <c r="Y434" s="24"/>
      <c r="Z434" s="24" t="str">
        <f>Tabela2[[#This Row],[ILUSTRADOR CRIAÇÃO]]</f>
        <v>LISLLEY GOMES FEIGE/ARQUIVO DA EDITORA</v>
      </c>
      <c r="AA434" s="23">
        <v>6</v>
      </c>
      <c r="AB434" s="22" t="s">
        <v>970</v>
      </c>
      <c r="AC434" s="22" t="s">
        <v>340</v>
      </c>
      <c r="AD434" s="4" t="str">
        <f t="shared" si="6"/>
        <v>EF1 E001 HGC</v>
      </c>
    </row>
    <row r="435" spans="1:30" s="14" customFormat="1" ht="60" x14ac:dyDescent="0.25">
      <c r="A435" s="24" t="s">
        <v>971</v>
      </c>
      <c r="B435" s="22" t="s">
        <v>83</v>
      </c>
      <c r="C435" s="22" t="s">
        <v>32</v>
      </c>
      <c r="D435" s="22" t="s">
        <v>33</v>
      </c>
      <c r="E435" s="23">
        <v>180</v>
      </c>
      <c r="F435" s="23">
        <v>1</v>
      </c>
      <c r="G435" s="23">
        <v>3</v>
      </c>
      <c r="H435" s="23"/>
      <c r="I435" s="24" t="s">
        <v>177</v>
      </c>
      <c r="J435" s="24"/>
      <c r="K435" s="23"/>
      <c r="L435" s="23"/>
      <c r="M435" s="24"/>
      <c r="N435" s="24"/>
      <c r="O435" s="26" t="s">
        <v>972</v>
      </c>
      <c r="P435" s="26" t="s">
        <v>973</v>
      </c>
      <c r="Q435" s="23">
        <v>21</v>
      </c>
      <c r="R435" s="25"/>
      <c r="S435" s="25"/>
      <c r="T435" s="25"/>
      <c r="U435" s="25"/>
      <c r="V435" s="25"/>
      <c r="W435" s="23"/>
      <c r="X435" s="4" t="str">
        <f>IF(Tabela2[[#This Row],[SIGLA]]="","",VLOOKUP(Tabela2[[#This Row],[SIGLA]],créditos_base!B:C,2,0))</f>
        <v/>
      </c>
      <c r="Y435" s="24"/>
      <c r="Z435" s="24" t="str">
        <f>Tabela2[[#This Row],[ILUSTRADOR CRIAÇÃO]]</f>
        <v/>
      </c>
      <c r="AA435" s="23"/>
      <c r="AB435" s="22" t="s">
        <v>974</v>
      </c>
      <c r="AC435" s="22"/>
      <c r="AD435" s="4" t="str">
        <f t="shared" si="6"/>
        <v>EF1 E001 HGC</v>
      </c>
    </row>
    <row r="436" spans="1:30" s="14" customFormat="1" ht="75" x14ac:dyDescent="0.25">
      <c r="A436" s="24" t="s">
        <v>975</v>
      </c>
      <c r="B436" s="22" t="s">
        <v>31</v>
      </c>
      <c r="C436" s="22" t="s">
        <v>32</v>
      </c>
      <c r="D436" s="22" t="s">
        <v>33</v>
      </c>
      <c r="E436" s="23">
        <v>181</v>
      </c>
      <c r="F436" s="23">
        <v>1</v>
      </c>
      <c r="G436" s="23">
        <v>3</v>
      </c>
      <c r="H436" s="23"/>
      <c r="I436" s="24" t="s">
        <v>177</v>
      </c>
      <c r="J436" s="24"/>
      <c r="K436" s="23"/>
      <c r="L436" s="23"/>
      <c r="M436" s="24"/>
      <c r="N436" s="24"/>
      <c r="O436" s="26" t="s">
        <v>976</v>
      </c>
      <c r="P436" s="26"/>
      <c r="Q436" s="23">
        <v>21</v>
      </c>
      <c r="R436" s="25">
        <v>45853</v>
      </c>
      <c r="S436" s="25">
        <v>45853</v>
      </c>
      <c r="T436" s="25">
        <v>45856</v>
      </c>
      <c r="U436" s="25">
        <v>45860</v>
      </c>
      <c r="V436" s="25">
        <v>45863</v>
      </c>
      <c r="W436" s="23" t="s">
        <v>40</v>
      </c>
      <c r="X436" s="4" t="str">
        <f>IF(Tabela2[[#This Row],[SIGLA]]="","",VLOOKUP(Tabela2[[#This Row],[SIGLA]],créditos_base!B:C,2,0))</f>
        <v>LISLLEY GOMES FEIGE/ARQUIVO DA EDITORA</v>
      </c>
      <c r="Y436" s="24"/>
      <c r="Z436" s="24" t="str">
        <f>Tabela2[[#This Row],[ILUSTRADOR CRIAÇÃO]]</f>
        <v>LISLLEY GOMES FEIGE/ARQUIVO DA EDITORA</v>
      </c>
      <c r="AA436" s="23">
        <v>4</v>
      </c>
      <c r="AB436" s="22" t="s">
        <v>970</v>
      </c>
      <c r="AC436" s="22" t="s">
        <v>340</v>
      </c>
      <c r="AD436" s="4" t="str">
        <f t="shared" si="6"/>
        <v>EF1 E001 HGC</v>
      </c>
    </row>
    <row r="437" spans="1:30" s="14" customFormat="1" ht="105" x14ac:dyDescent="0.25">
      <c r="A437" s="24" t="s">
        <v>977</v>
      </c>
      <c r="B437" s="22" t="s">
        <v>31</v>
      </c>
      <c r="C437" s="22" t="s">
        <v>32</v>
      </c>
      <c r="D437" s="22" t="s">
        <v>33</v>
      </c>
      <c r="E437" s="23">
        <v>208</v>
      </c>
      <c r="F437" s="23">
        <v>1</v>
      </c>
      <c r="G437" s="23">
        <v>3</v>
      </c>
      <c r="H437" s="23"/>
      <c r="I437" s="24" t="s">
        <v>177</v>
      </c>
      <c r="J437" s="24"/>
      <c r="K437" s="23"/>
      <c r="L437" s="23"/>
      <c r="M437" s="24"/>
      <c r="N437" s="24"/>
      <c r="O437" s="26" t="s">
        <v>978</v>
      </c>
      <c r="P437" s="26"/>
      <c r="Q437" s="23">
        <v>21</v>
      </c>
      <c r="R437" s="25">
        <v>45853</v>
      </c>
      <c r="S437" s="25">
        <v>45853</v>
      </c>
      <c r="T437" s="25">
        <v>45856</v>
      </c>
      <c r="U437" s="25">
        <v>45860</v>
      </c>
      <c r="V437" s="25">
        <v>45863</v>
      </c>
      <c r="W437" s="23" t="s">
        <v>40</v>
      </c>
      <c r="X437" s="4" t="str">
        <f>IF(Tabela2[[#This Row],[SIGLA]]="","",VLOOKUP(Tabela2[[#This Row],[SIGLA]],créditos_base!B:C,2,0))</f>
        <v>LISLLEY GOMES FEIGE/ARQUIVO DA EDITORA</v>
      </c>
      <c r="Y437" s="24"/>
      <c r="Z437" s="24" t="str">
        <f>Tabela2[[#This Row],[ILUSTRADOR CRIAÇÃO]]</f>
        <v>LISLLEY GOMES FEIGE/ARQUIVO DA EDITORA</v>
      </c>
      <c r="AA437" s="23">
        <v>5</v>
      </c>
      <c r="AB437" s="22" t="s">
        <v>970</v>
      </c>
      <c r="AC437" s="22" t="s">
        <v>340</v>
      </c>
      <c r="AD437" s="4" t="str">
        <f t="shared" si="6"/>
        <v>EF1 E001 HGC</v>
      </c>
    </row>
    <row r="438" spans="1:30" s="14" customFormat="1" ht="75" x14ac:dyDescent="0.25">
      <c r="A438" s="24" t="s">
        <v>979</v>
      </c>
      <c r="B438" s="22" t="s">
        <v>67</v>
      </c>
      <c r="C438" s="22" t="s">
        <v>32</v>
      </c>
      <c r="D438" s="22" t="s">
        <v>33</v>
      </c>
      <c r="E438" s="23">
        <v>209</v>
      </c>
      <c r="F438" s="23">
        <v>1</v>
      </c>
      <c r="G438" s="23">
        <v>3</v>
      </c>
      <c r="H438" s="23"/>
      <c r="I438" s="24" t="s">
        <v>177</v>
      </c>
      <c r="J438" s="24"/>
      <c r="K438" s="23"/>
      <c r="L438" s="23"/>
      <c r="M438" s="24"/>
      <c r="N438" s="24"/>
      <c r="O438" s="26" t="s">
        <v>980</v>
      </c>
      <c r="P438" s="26"/>
      <c r="Q438" s="23">
        <v>21</v>
      </c>
      <c r="R438" s="25">
        <v>45853</v>
      </c>
      <c r="S438" s="25">
        <v>45853</v>
      </c>
      <c r="T438" s="25">
        <v>45856</v>
      </c>
      <c r="U438" s="25">
        <v>45860</v>
      </c>
      <c r="V438" s="25">
        <v>45863</v>
      </c>
      <c r="W438" s="23" t="s">
        <v>40</v>
      </c>
      <c r="X438" s="4" t="str">
        <f>IF(Tabela2[[#This Row],[SIGLA]]="","",VLOOKUP(Tabela2[[#This Row],[SIGLA]],créditos_base!B:C,2,0))</f>
        <v>LISLLEY GOMES FEIGE/ARQUIVO DA EDITORA</v>
      </c>
      <c r="Y438" s="24"/>
      <c r="Z438" s="24" t="str">
        <f>Tabela2[[#This Row],[ILUSTRADOR CRIAÇÃO]]</f>
        <v>LISLLEY GOMES FEIGE/ARQUIVO DA EDITORA</v>
      </c>
      <c r="AA438" s="23">
        <v>5</v>
      </c>
      <c r="AB438" s="22" t="s">
        <v>970</v>
      </c>
      <c r="AC438" s="22" t="s">
        <v>340</v>
      </c>
      <c r="AD438" s="4" t="str">
        <f t="shared" si="6"/>
        <v>EF1 E001 HGC</v>
      </c>
    </row>
    <row r="439" spans="1:30" s="14" customFormat="1" ht="60" x14ac:dyDescent="0.25">
      <c r="A439" s="35" t="s">
        <v>981</v>
      </c>
      <c r="B439" s="22" t="s">
        <v>31</v>
      </c>
      <c r="C439" s="22" t="s">
        <v>32</v>
      </c>
      <c r="D439" s="22" t="s">
        <v>33</v>
      </c>
      <c r="E439" s="23">
        <v>244</v>
      </c>
      <c r="F439" s="23">
        <v>1</v>
      </c>
      <c r="G439" s="23">
        <v>4</v>
      </c>
      <c r="H439" s="23"/>
      <c r="I439" s="24" t="s">
        <v>177</v>
      </c>
      <c r="J439" s="24"/>
      <c r="K439" s="23"/>
      <c r="L439" s="23"/>
      <c r="M439" s="24"/>
      <c r="N439" s="24"/>
      <c r="O439" s="26" t="s">
        <v>982</v>
      </c>
      <c r="P439" s="26"/>
      <c r="Q439" s="23">
        <v>22</v>
      </c>
      <c r="R439" s="25">
        <v>45855</v>
      </c>
      <c r="S439" s="25">
        <v>45856</v>
      </c>
      <c r="T439" s="25">
        <v>45860</v>
      </c>
      <c r="U439" s="25">
        <v>45863</v>
      </c>
      <c r="V439" s="25">
        <v>45869</v>
      </c>
      <c r="W439" s="23" t="s">
        <v>983</v>
      </c>
      <c r="X439" s="4" t="str">
        <f>IF(Tabela2[[#This Row],[SIGLA]]="","",VLOOKUP(Tabela2[[#This Row],[SIGLA]],créditos_base!B:C,2,0))</f>
        <v>DANIEL GUSTAVO SILVA GONÇALVES/ARQUIVO DA EDITORA</v>
      </c>
      <c r="Y439" s="24"/>
      <c r="Z439" s="24" t="str">
        <f>Tabela2[[#This Row],[ILUSTRADOR CRIAÇÃO]]</f>
        <v>DANIEL GUSTAVO SILVA GONÇALVES/ARQUIVO DA EDITORA</v>
      </c>
      <c r="AA439" s="23">
        <v>6</v>
      </c>
      <c r="AB439" s="22" t="s">
        <v>984</v>
      </c>
      <c r="AC439" s="22" t="s">
        <v>340</v>
      </c>
      <c r="AD439" s="4" t="str">
        <f t="shared" si="6"/>
        <v>EF1 E001 HGC</v>
      </c>
    </row>
    <row r="440" spans="1:30" s="14" customFormat="1" ht="60" x14ac:dyDescent="0.25">
      <c r="A440" s="24" t="s">
        <v>985</v>
      </c>
      <c r="B440" s="22" t="s">
        <v>83</v>
      </c>
      <c r="C440" s="22" t="s">
        <v>32</v>
      </c>
      <c r="D440" s="22" t="s">
        <v>33</v>
      </c>
      <c r="E440" s="23">
        <v>244</v>
      </c>
      <c r="F440" s="23">
        <v>1</v>
      </c>
      <c r="G440" s="23">
        <v>4</v>
      </c>
      <c r="H440" s="23"/>
      <c r="I440" s="24" t="s">
        <v>177</v>
      </c>
      <c r="J440" s="24"/>
      <c r="K440" s="23"/>
      <c r="L440" s="23"/>
      <c r="M440" s="24"/>
      <c r="N440" s="24"/>
      <c r="O440" s="26" t="s">
        <v>986</v>
      </c>
      <c r="P440" s="26" t="s">
        <v>987</v>
      </c>
      <c r="Q440" s="23">
        <v>22</v>
      </c>
      <c r="R440" s="25" t="s">
        <v>988</v>
      </c>
      <c r="S440" s="25"/>
      <c r="T440" s="25"/>
      <c r="U440" s="25"/>
      <c r="V440" s="25"/>
      <c r="W440" s="23"/>
      <c r="X440" s="4" t="str">
        <f>IF(Tabela2[[#This Row],[SIGLA]]="","",VLOOKUP(Tabela2[[#This Row],[SIGLA]],créditos_base!B:C,2,0))</f>
        <v/>
      </c>
      <c r="Y440" s="24"/>
      <c r="Z440" s="24" t="str">
        <f>Tabela2[[#This Row],[ILUSTRADOR CRIAÇÃO]]</f>
        <v/>
      </c>
      <c r="AA440" s="23"/>
      <c r="AB440" s="22"/>
      <c r="AC440" s="22"/>
      <c r="AD440" s="4" t="str">
        <f t="shared" si="6"/>
        <v>EF1 E001 HGC</v>
      </c>
    </row>
    <row r="441" spans="1:30" s="14" customFormat="1" ht="120" x14ac:dyDescent="0.25">
      <c r="A441" s="24" t="s">
        <v>989</v>
      </c>
      <c r="B441" s="22" t="s">
        <v>31</v>
      </c>
      <c r="C441" s="22" t="s">
        <v>32</v>
      </c>
      <c r="D441" s="22" t="s">
        <v>33</v>
      </c>
      <c r="E441" s="23">
        <v>245</v>
      </c>
      <c r="F441" s="23">
        <v>1</v>
      </c>
      <c r="G441" s="23">
        <v>4</v>
      </c>
      <c r="H441" s="23"/>
      <c r="I441" s="24" t="s">
        <v>177</v>
      </c>
      <c r="J441" s="24"/>
      <c r="K441" s="23"/>
      <c r="L441" s="23"/>
      <c r="M441" s="24"/>
      <c r="N441" s="24"/>
      <c r="O441" s="26" t="s">
        <v>990</v>
      </c>
      <c r="P441" s="26"/>
      <c r="Q441" s="23">
        <v>22</v>
      </c>
      <c r="R441" s="25" t="s">
        <v>988</v>
      </c>
      <c r="S441" s="25">
        <v>45856</v>
      </c>
      <c r="T441" s="25">
        <v>45860</v>
      </c>
      <c r="U441" s="25">
        <v>45863</v>
      </c>
      <c r="V441" s="25">
        <v>45869</v>
      </c>
      <c r="W441" s="23" t="s">
        <v>983</v>
      </c>
      <c r="X441" s="4" t="str">
        <f>IF(Tabela2[[#This Row],[SIGLA]]="","",VLOOKUP(Tabela2[[#This Row],[SIGLA]],créditos_base!B:C,2,0))</f>
        <v>DANIEL GUSTAVO SILVA GONÇALVES/ARQUIVO DA EDITORA</v>
      </c>
      <c r="Y441" s="24"/>
      <c r="Z441" s="24" t="str">
        <f>Tabela2[[#This Row],[ILUSTRADOR CRIAÇÃO]]</f>
        <v>DANIEL GUSTAVO SILVA GONÇALVES/ARQUIVO DA EDITORA</v>
      </c>
      <c r="AA441" s="23">
        <v>7</v>
      </c>
      <c r="AB441" s="22" t="s">
        <v>984</v>
      </c>
      <c r="AC441" s="22" t="s">
        <v>340</v>
      </c>
      <c r="AD441" s="4" t="str">
        <f t="shared" si="6"/>
        <v>EF1 E001 HGC</v>
      </c>
    </row>
    <row r="442" spans="1:30" s="14" customFormat="1" ht="60" x14ac:dyDescent="0.25">
      <c r="A442" s="24" t="s">
        <v>991</v>
      </c>
      <c r="B442" s="22" t="s">
        <v>31</v>
      </c>
      <c r="C442" s="22" t="s">
        <v>32</v>
      </c>
      <c r="D442" s="22" t="s">
        <v>33</v>
      </c>
      <c r="E442" s="23">
        <v>252</v>
      </c>
      <c r="F442" s="23">
        <v>1</v>
      </c>
      <c r="G442" s="23">
        <v>4</v>
      </c>
      <c r="H442" s="23"/>
      <c r="I442" s="24" t="s">
        <v>177</v>
      </c>
      <c r="J442" s="24"/>
      <c r="K442" s="23"/>
      <c r="L442" s="23"/>
      <c r="M442" s="24"/>
      <c r="N442" s="24"/>
      <c r="O442" s="26" t="s">
        <v>992</v>
      </c>
      <c r="P442" s="26"/>
      <c r="Q442" s="23">
        <v>22</v>
      </c>
      <c r="R442" s="25">
        <v>45855</v>
      </c>
      <c r="S442" s="25">
        <v>45856</v>
      </c>
      <c r="T442" s="25">
        <v>45860</v>
      </c>
      <c r="U442" s="25">
        <v>45863</v>
      </c>
      <c r="V442" s="25">
        <v>45869</v>
      </c>
      <c r="W442" s="23" t="s">
        <v>983</v>
      </c>
      <c r="X442" s="4" t="str">
        <f>IF(Tabela2[[#This Row],[SIGLA]]="","",VLOOKUP(Tabela2[[#This Row],[SIGLA]],créditos_base!B:C,2,0))</f>
        <v>DANIEL GUSTAVO SILVA GONÇALVES/ARQUIVO DA EDITORA</v>
      </c>
      <c r="Y442" s="24"/>
      <c r="Z442" s="24" t="str">
        <f>Tabela2[[#This Row],[ILUSTRADOR CRIAÇÃO]]</f>
        <v>DANIEL GUSTAVO SILVA GONÇALVES/ARQUIVO DA EDITORA</v>
      </c>
      <c r="AA442" s="23">
        <v>6</v>
      </c>
      <c r="AB442" s="22" t="s">
        <v>984</v>
      </c>
      <c r="AC442" s="22" t="s">
        <v>340</v>
      </c>
      <c r="AD442" s="4" t="str">
        <f t="shared" si="6"/>
        <v>EF1 E001 HGC</v>
      </c>
    </row>
    <row r="443" spans="1:30" s="14" customFormat="1" ht="75" x14ac:dyDescent="0.25">
      <c r="A443" s="24" t="s">
        <v>993</v>
      </c>
      <c r="B443" s="22" t="s">
        <v>31</v>
      </c>
      <c r="C443" s="22" t="s">
        <v>32</v>
      </c>
      <c r="D443" s="22" t="s">
        <v>33</v>
      </c>
      <c r="E443" s="23">
        <v>220</v>
      </c>
      <c r="F443" s="23">
        <v>1</v>
      </c>
      <c r="G443" s="23">
        <v>4</v>
      </c>
      <c r="H443" s="23"/>
      <c r="I443" s="24" t="s">
        <v>177</v>
      </c>
      <c r="J443" s="24"/>
      <c r="K443" s="23"/>
      <c r="L443" s="23"/>
      <c r="M443" s="24"/>
      <c r="N443" s="24"/>
      <c r="O443" s="26" t="s">
        <v>994</v>
      </c>
      <c r="P443" s="26"/>
      <c r="Q443" s="23">
        <v>22</v>
      </c>
      <c r="R443" s="25">
        <v>45855</v>
      </c>
      <c r="S443" s="25">
        <v>45856</v>
      </c>
      <c r="T443" s="25">
        <v>45860</v>
      </c>
      <c r="U443" s="25">
        <v>45863</v>
      </c>
      <c r="V443" s="25">
        <v>45869</v>
      </c>
      <c r="W443" s="23" t="s">
        <v>983</v>
      </c>
      <c r="X443" s="4" t="str">
        <f>IF(Tabela2[[#This Row],[SIGLA]]="","",VLOOKUP(Tabela2[[#This Row],[SIGLA]],créditos_base!B:C,2,0))</f>
        <v>DANIEL GUSTAVO SILVA GONÇALVES/ARQUIVO DA EDITORA</v>
      </c>
      <c r="Y443" s="24"/>
      <c r="Z443" s="24" t="str">
        <f>Tabela2[[#This Row],[ILUSTRADOR CRIAÇÃO]]</f>
        <v>DANIEL GUSTAVO SILVA GONÇALVES/ARQUIVO DA EDITORA</v>
      </c>
      <c r="AA443" s="23">
        <v>4</v>
      </c>
      <c r="AB443" s="22" t="s">
        <v>984</v>
      </c>
      <c r="AC443" s="22" t="s">
        <v>340</v>
      </c>
      <c r="AD443" s="4" t="str">
        <f t="shared" si="6"/>
        <v>EF1 E001 HGC</v>
      </c>
    </row>
    <row r="444" spans="1:30" s="14" customFormat="1" ht="75" x14ac:dyDescent="0.25">
      <c r="A444" s="24" t="s">
        <v>995</v>
      </c>
      <c r="B444" s="22" t="s">
        <v>31</v>
      </c>
      <c r="C444" s="22" t="s">
        <v>32</v>
      </c>
      <c r="D444" s="22" t="s">
        <v>33</v>
      </c>
      <c r="E444" s="23">
        <v>221</v>
      </c>
      <c r="F444" s="23">
        <v>1</v>
      </c>
      <c r="G444" s="23">
        <v>4</v>
      </c>
      <c r="H444" s="23"/>
      <c r="I444" s="24" t="s">
        <v>177</v>
      </c>
      <c r="J444" s="24"/>
      <c r="K444" s="23"/>
      <c r="L444" s="23"/>
      <c r="M444" s="24"/>
      <c r="N444" s="24"/>
      <c r="O444" s="26" t="s">
        <v>996</v>
      </c>
      <c r="P444" s="26"/>
      <c r="Q444" s="23">
        <v>22</v>
      </c>
      <c r="R444" s="25">
        <v>45855</v>
      </c>
      <c r="S444" s="25">
        <v>45856</v>
      </c>
      <c r="T444" s="25">
        <v>45860</v>
      </c>
      <c r="U444" s="25">
        <v>45863</v>
      </c>
      <c r="V444" s="25">
        <v>45869</v>
      </c>
      <c r="W444" s="23" t="s">
        <v>983</v>
      </c>
      <c r="X444" s="4" t="str">
        <f>IF(Tabela2[[#This Row],[SIGLA]]="","",VLOOKUP(Tabela2[[#This Row],[SIGLA]],créditos_base!B:C,2,0))</f>
        <v>DANIEL GUSTAVO SILVA GONÇALVES/ARQUIVO DA EDITORA</v>
      </c>
      <c r="Y444" s="24"/>
      <c r="Z444" s="24" t="str">
        <f>Tabela2[[#This Row],[ILUSTRADOR CRIAÇÃO]]</f>
        <v>DANIEL GUSTAVO SILVA GONÇALVES/ARQUIVO DA EDITORA</v>
      </c>
      <c r="AA444" s="23">
        <v>4</v>
      </c>
      <c r="AB444" s="22" t="s">
        <v>984</v>
      </c>
      <c r="AC444" s="22" t="s">
        <v>340</v>
      </c>
      <c r="AD444" s="4" t="str">
        <f t="shared" si="6"/>
        <v>EF1 E001 HGC</v>
      </c>
    </row>
    <row r="445" spans="1:30" s="14" customFormat="1" ht="31.5" x14ac:dyDescent="0.25">
      <c r="A445" s="24" t="s">
        <v>997</v>
      </c>
      <c r="B445" s="22" t="s">
        <v>434</v>
      </c>
      <c r="C445" s="22" t="s">
        <v>32</v>
      </c>
      <c r="D445" s="22" t="s">
        <v>33</v>
      </c>
      <c r="E445" s="23">
        <v>230</v>
      </c>
      <c r="F445" s="23">
        <v>1</v>
      </c>
      <c r="G445" s="23">
        <v>4</v>
      </c>
      <c r="H445" s="23"/>
      <c r="I445" s="24" t="s">
        <v>38</v>
      </c>
      <c r="J445" s="24"/>
      <c r="K445" s="23"/>
      <c r="L445" s="23"/>
      <c r="M445" s="24"/>
      <c r="N445" s="24"/>
      <c r="O445" s="39" t="s">
        <v>998</v>
      </c>
      <c r="P445" s="26"/>
      <c r="Q445" s="23">
        <v>36</v>
      </c>
      <c r="R445" s="25">
        <v>45864</v>
      </c>
      <c r="S445" s="25">
        <v>45926</v>
      </c>
      <c r="T445" s="25"/>
      <c r="U445" s="25"/>
      <c r="V445" s="25">
        <v>45926</v>
      </c>
      <c r="W445" s="23" t="s">
        <v>316</v>
      </c>
      <c r="X445" s="4" t="str">
        <f>IF(Tabela2[[#This Row],[SIGLA]]="","",VLOOKUP(Tabela2[[#This Row],[SIGLA]],créditos_base!B:C,2,0))</f>
        <v>SAULO NUNES/ARQUIVO DA EDITORA</v>
      </c>
      <c r="Y445" s="24" t="s">
        <v>821</v>
      </c>
      <c r="Z445" s="24" t="str">
        <f>Tabela2[[#This Row],[ILUSTRADOR CRIAÇÃO]]</f>
        <v>SAULO NUNES/ARQUIVO DA EDITORA</v>
      </c>
      <c r="AA445" s="23">
        <v>13</v>
      </c>
      <c r="AB445" s="22" t="s">
        <v>774</v>
      </c>
      <c r="AC445" s="22"/>
      <c r="AD445" s="4" t="str">
        <f t="shared" si="6"/>
        <v>EF1 E001 HGC</v>
      </c>
    </row>
    <row r="446" spans="1:30" s="14" customFormat="1" ht="30" x14ac:dyDescent="0.25">
      <c r="A446" s="38" t="s">
        <v>999</v>
      </c>
      <c r="B446" s="22" t="s">
        <v>31</v>
      </c>
      <c r="C446" s="22" t="s">
        <v>32</v>
      </c>
      <c r="D446" s="22" t="s">
        <v>33</v>
      </c>
      <c r="E446" s="23">
        <v>231</v>
      </c>
      <c r="F446" s="23">
        <v>1</v>
      </c>
      <c r="G446" s="23">
        <v>4</v>
      </c>
      <c r="H446" s="23"/>
      <c r="I446" s="24" t="s">
        <v>34</v>
      </c>
      <c r="J446" s="24"/>
      <c r="K446" s="23"/>
      <c r="L446" s="23"/>
      <c r="M446" s="24"/>
      <c r="N446" s="24"/>
      <c r="O446" s="26" t="s">
        <v>1000</v>
      </c>
      <c r="P446" s="26"/>
      <c r="Q446" s="23"/>
      <c r="R446" s="25"/>
      <c r="S446" s="25"/>
      <c r="T446" s="25"/>
      <c r="U446" s="25"/>
      <c r="V446" s="25"/>
      <c r="W446" s="23" t="s">
        <v>316</v>
      </c>
      <c r="X446" s="4" t="str">
        <f>IF(Tabela2[[#This Row],[SIGLA]]="","",VLOOKUP(Tabela2[[#This Row],[SIGLA]],créditos_base!B:C,2,0))</f>
        <v>SAULO NUNES/ARQUIVO DA EDITORA</v>
      </c>
      <c r="Y446" s="24"/>
      <c r="Z446" s="24" t="str">
        <f>Tabela2[[#This Row],[ILUSTRADOR CRIAÇÃO]]</f>
        <v>SAULO NUNES/ARQUIVO DA EDITORA</v>
      </c>
      <c r="AA446" s="23"/>
      <c r="AB446" s="22"/>
      <c r="AC446" s="22"/>
      <c r="AD446" s="4" t="str">
        <f t="shared" si="6"/>
        <v>EF1 E001 HGC</v>
      </c>
    </row>
    <row r="447" spans="1:30" s="14" customFormat="1" ht="45" x14ac:dyDescent="0.25">
      <c r="A447" s="24" t="s">
        <v>1001</v>
      </c>
      <c r="B447" s="22" t="s">
        <v>31</v>
      </c>
      <c r="C447" s="22" t="s">
        <v>32</v>
      </c>
      <c r="D447" s="22" t="s">
        <v>33</v>
      </c>
      <c r="E447" s="23">
        <v>107</v>
      </c>
      <c r="F447" s="23">
        <v>1</v>
      </c>
      <c r="G447" s="23">
        <v>2</v>
      </c>
      <c r="H447" s="23"/>
      <c r="I447" s="24" t="s">
        <v>177</v>
      </c>
      <c r="J447" s="24"/>
      <c r="K447" s="23"/>
      <c r="L447" s="23"/>
      <c r="M447" s="24"/>
      <c r="N447" s="24"/>
      <c r="O447" s="26" t="s">
        <v>1002</v>
      </c>
      <c r="P447" s="26"/>
      <c r="Q447" s="23">
        <v>23</v>
      </c>
      <c r="R447" s="25">
        <v>45862</v>
      </c>
      <c r="S447" s="25">
        <v>45862</v>
      </c>
      <c r="T447" s="25"/>
      <c r="U447" s="25"/>
      <c r="V447" s="25">
        <v>45862</v>
      </c>
      <c r="W447" s="23" t="s">
        <v>240</v>
      </c>
      <c r="X447" s="4" t="str">
        <f>IF(Tabela2[[#This Row],[SIGLA]]="","",VLOOKUP(Tabela2[[#This Row],[SIGLA]],créditos_base!B:C,2,0))</f>
        <v>BÁRBARA SARZI/ARQUIVO DA EDITORA</v>
      </c>
      <c r="Y447" s="24" t="s">
        <v>1003</v>
      </c>
      <c r="Z447" s="24" t="str">
        <f>Tabela2[[#This Row],[ILUSTRADOR CRIAÇÃO]]</f>
        <v>BÁRBARA SARZI/ARQUIVO DA EDITORA</v>
      </c>
      <c r="AA447" s="23">
        <v>14</v>
      </c>
      <c r="AB447" s="22" t="s">
        <v>1004</v>
      </c>
      <c r="AC447" s="22" t="s">
        <v>43</v>
      </c>
      <c r="AD447" s="4" t="str">
        <f t="shared" si="6"/>
        <v>EF1 E001 HGC</v>
      </c>
    </row>
    <row r="448" spans="1:30" s="14" customFormat="1" ht="45" x14ac:dyDescent="0.25">
      <c r="A448" s="24" t="s">
        <v>1005</v>
      </c>
      <c r="B448" s="22" t="s">
        <v>83</v>
      </c>
      <c r="C448" s="22" t="s">
        <v>32</v>
      </c>
      <c r="D448" s="22" t="s">
        <v>33</v>
      </c>
      <c r="E448" s="23">
        <v>107</v>
      </c>
      <c r="F448" s="23">
        <v>1</v>
      </c>
      <c r="G448" s="23">
        <v>2</v>
      </c>
      <c r="H448" s="23"/>
      <c r="I448" s="24" t="s">
        <v>177</v>
      </c>
      <c r="J448" s="24"/>
      <c r="K448" s="23"/>
      <c r="L448" s="23"/>
      <c r="M448" s="24"/>
      <c r="N448" s="24"/>
      <c r="O448" s="26" t="s">
        <v>1006</v>
      </c>
      <c r="P448" s="26"/>
      <c r="Q448" s="23">
        <v>23</v>
      </c>
      <c r="R448" s="25" t="s">
        <v>1007</v>
      </c>
      <c r="S448" s="25">
        <v>45862</v>
      </c>
      <c r="T448" s="25"/>
      <c r="U448" s="25"/>
      <c r="V448" s="25">
        <v>45862</v>
      </c>
      <c r="W448" s="23" t="s">
        <v>240</v>
      </c>
      <c r="X448" s="4" t="str">
        <f>IF(Tabela2[[#This Row],[SIGLA]]="","",VLOOKUP(Tabela2[[#This Row],[SIGLA]],créditos_base!B:C,2,0))</f>
        <v>BÁRBARA SARZI/ARQUIVO DA EDITORA</v>
      </c>
      <c r="Y448" s="24" t="s">
        <v>1003</v>
      </c>
      <c r="Z448" s="24" t="str">
        <f>Tabela2[[#This Row],[ILUSTRADOR CRIAÇÃO]]</f>
        <v>BÁRBARA SARZI/ARQUIVO DA EDITORA</v>
      </c>
      <c r="AA448" s="23">
        <v>14</v>
      </c>
      <c r="AB448" s="22" t="s">
        <v>1004</v>
      </c>
      <c r="AC448" s="22" t="s">
        <v>43</v>
      </c>
      <c r="AD448" s="4" t="str">
        <f t="shared" si="6"/>
        <v>EF1 E001 HGC</v>
      </c>
    </row>
    <row r="449" spans="1:30" s="14" customFormat="1" x14ac:dyDescent="0.25">
      <c r="A449" s="24" t="s">
        <v>1008</v>
      </c>
      <c r="B449" s="22" t="s">
        <v>31</v>
      </c>
      <c r="C449" s="22" t="s">
        <v>32</v>
      </c>
      <c r="D449" s="22" t="s">
        <v>33</v>
      </c>
      <c r="E449" s="23">
        <v>22</v>
      </c>
      <c r="F449" s="23">
        <v>2</v>
      </c>
      <c r="G449" s="23">
        <v>1</v>
      </c>
      <c r="H449" s="23"/>
      <c r="I449" s="24" t="s">
        <v>34</v>
      </c>
      <c r="J449" s="24"/>
      <c r="K449" s="23"/>
      <c r="L449" s="23"/>
      <c r="M449" s="24"/>
      <c r="N449" s="24"/>
      <c r="O449" s="26" t="s">
        <v>1009</v>
      </c>
      <c r="P449" s="26"/>
      <c r="Q449" s="23"/>
      <c r="R449" s="25"/>
      <c r="S449" s="25"/>
      <c r="T449" s="25"/>
      <c r="U449" s="25"/>
      <c r="V449" s="25"/>
      <c r="W449" s="23" t="s">
        <v>40</v>
      </c>
      <c r="X449" s="4" t="str">
        <f>IF(Tabela2[[#This Row],[SIGLA]]="","",VLOOKUP(Tabela2[[#This Row],[SIGLA]],créditos_base!B:C,2,0))</f>
        <v>LISLLEY GOMES FEIGE/ARQUIVO DA EDITORA</v>
      </c>
      <c r="Y449" s="24"/>
      <c r="Z449" s="24" t="str">
        <f>Tabela2[[#This Row],[ILUSTRADOR CRIAÇÃO]]</f>
        <v>LISLLEY GOMES FEIGE/ARQUIVO DA EDITORA</v>
      </c>
      <c r="AA449" s="23"/>
      <c r="AB449" s="22"/>
      <c r="AC449" s="22"/>
      <c r="AD449" s="4" t="str">
        <f t="shared" si="6"/>
        <v>EF1 E001 HGC</v>
      </c>
    </row>
    <row r="450" spans="1:30" s="14" customFormat="1" x14ac:dyDescent="0.25">
      <c r="A450" s="24" t="s">
        <v>1010</v>
      </c>
      <c r="B450" s="22" t="s">
        <v>31</v>
      </c>
      <c r="C450" s="22" t="s">
        <v>32</v>
      </c>
      <c r="D450" s="22" t="s">
        <v>33</v>
      </c>
      <c r="E450" s="23">
        <v>22</v>
      </c>
      <c r="F450" s="23">
        <v>2</v>
      </c>
      <c r="G450" s="23">
        <v>1</v>
      </c>
      <c r="H450" s="23"/>
      <c r="I450" s="24" t="s">
        <v>34</v>
      </c>
      <c r="J450" s="24"/>
      <c r="K450" s="23"/>
      <c r="L450" s="23"/>
      <c r="M450" s="24"/>
      <c r="N450" s="24"/>
      <c r="O450" s="26" t="s">
        <v>1011</v>
      </c>
      <c r="P450" s="26"/>
      <c r="Q450" s="23"/>
      <c r="R450" s="25"/>
      <c r="S450" s="25"/>
      <c r="T450" s="25"/>
      <c r="U450" s="25"/>
      <c r="V450" s="25"/>
      <c r="W450" s="23" t="s">
        <v>40</v>
      </c>
      <c r="X450" s="4" t="str">
        <f>IF(Tabela2[[#This Row],[SIGLA]]="","",VLOOKUP(Tabela2[[#This Row],[SIGLA]],créditos_base!B:C,2,0))</f>
        <v>LISLLEY GOMES FEIGE/ARQUIVO DA EDITORA</v>
      </c>
      <c r="Y450" s="24"/>
      <c r="Z450" s="24" t="str">
        <f>Tabela2[[#This Row],[ILUSTRADOR CRIAÇÃO]]</f>
        <v>LISLLEY GOMES FEIGE/ARQUIVO DA EDITORA</v>
      </c>
      <c r="AA450" s="23"/>
      <c r="AB450" s="22"/>
      <c r="AC450" s="22"/>
      <c r="AD450" s="4" t="str">
        <f t="shared" ref="AD450:AD500" si="7">"EF1 E001 HGC"</f>
        <v>EF1 E001 HGC</v>
      </c>
    </row>
    <row r="451" spans="1:30" s="14" customFormat="1" ht="30" x14ac:dyDescent="0.25">
      <c r="A451" s="24" t="s">
        <v>1012</v>
      </c>
      <c r="B451" s="22" t="s">
        <v>31</v>
      </c>
      <c r="C451" s="22" t="s">
        <v>32</v>
      </c>
      <c r="D451" s="22" t="s">
        <v>33</v>
      </c>
      <c r="E451" s="23">
        <v>24</v>
      </c>
      <c r="F451" s="23">
        <v>2</v>
      </c>
      <c r="G451" s="23">
        <v>1</v>
      </c>
      <c r="H451" s="23"/>
      <c r="I451" s="24" t="s">
        <v>177</v>
      </c>
      <c r="J451" s="24"/>
      <c r="K451" s="23"/>
      <c r="L451" s="23"/>
      <c r="M451" s="24"/>
      <c r="N451" s="24"/>
      <c r="O451" s="26" t="s">
        <v>1013</v>
      </c>
      <c r="P451" s="26"/>
      <c r="Q451" s="23">
        <v>25</v>
      </c>
      <c r="R451" s="25">
        <v>45866</v>
      </c>
      <c r="S451" s="25">
        <v>45867</v>
      </c>
      <c r="T451" s="25">
        <v>45876</v>
      </c>
      <c r="U451" s="25">
        <v>45877</v>
      </c>
      <c r="V451" s="25">
        <v>45882</v>
      </c>
      <c r="W451" s="23" t="s">
        <v>36</v>
      </c>
      <c r="X451" s="4" t="str">
        <f>IF(Tabela2[[#This Row],[SIGLA]]="","",VLOOKUP(Tabela2[[#This Row],[SIGLA]],créditos_base!B:C,2,0))</f>
        <v>REINALDO ROSA/ARQUIVO DA EDITORA</v>
      </c>
      <c r="Y451" s="24"/>
      <c r="Z451" s="24" t="str">
        <f>Tabela2[[#This Row],[ILUSTRADOR CRIAÇÃO]]</f>
        <v>REINALDO ROSA/ARQUIVO DA EDITORA</v>
      </c>
      <c r="AA451" s="23">
        <v>3</v>
      </c>
      <c r="AB451" s="22" t="s">
        <v>1014</v>
      </c>
      <c r="AC451" s="22" t="s">
        <v>340</v>
      </c>
      <c r="AD451" s="4" t="str">
        <f t="shared" si="7"/>
        <v>EF1 E001 HGC</v>
      </c>
    </row>
    <row r="452" spans="1:30" s="14" customFormat="1" ht="15.75" x14ac:dyDescent="0.25">
      <c r="A452" s="24" t="s">
        <v>1015</v>
      </c>
      <c r="B452" s="22" t="s">
        <v>31</v>
      </c>
      <c r="C452" s="22" t="s">
        <v>32</v>
      </c>
      <c r="D452" s="22" t="s">
        <v>33</v>
      </c>
      <c r="E452" s="23">
        <v>26</v>
      </c>
      <c r="F452" s="23">
        <v>2</v>
      </c>
      <c r="G452" s="23">
        <v>1</v>
      </c>
      <c r="H452" s="23"/>
      <c r="I452" s="24" t="s">
        <v>34</v>
      </c>
      <c r="J452" s="24"/>
      <c r="K452" s="23"/>
      <c r="L452" s="23"/>
      <c r="M452" s="24"/>
      <c r="N452" s="24"/>
      <c r="O452" s="40" t="s">
        <v>1016</v>
      </c>
      <c r="P452" s="26"/>
      <c r="Q452" s="23"/>
      <c r="R452" s="25"/>
      <c r="S452" s="25"/>
      <c r="T452" s="25"/>
      <c r="U452" s="25"/>
      <c r="V452" s="25"/>
      <c r="W452" s="23" t="s">
        <v>707</v>
      </c>
      <c r="X452" s="4" t="str">
        <f>IF(Tabela2[[#This Row],[SIGLA]]="","",VLOOKUP(Tabela2[[#This Row],[SIGLA]],créditos_base!B:C,2,0))</f>
        <v>FABIO EUGENIO/ARQUIVO DA EDITORA</v>
      </c>
      <c r="Y452" s="24"/>
      <c r="Z452" s="24" t="str">
        <f>Tabela2[[#This Row],[ILUSTRADOR CRIAÇÃO]]</f>
        <v>FABIO EUGENIO/ARQUIVO DA EDITORA</v>
      </c>
      <c r="AA452" s="23"/>
      <c r="AB452" s="22"/>
      <c r="AC452" s="22"/>
      <c r="AD452" s="4" t="str">
        <f t="shared" si="7"/>
        <v>EF1 E001 HGC</v>
      </c>
    </row>
    <row r="453" spans="1:30" s="14" customFormat="1" x14ac:dyDescent="0.25">
      <c r="A453" s="24" t="s">
        <v>1017</v>
      </c>
      <c r="B453" s="22" t="s">
        <v>31</v>
      </c>
      <c r="C453" s="22" t="s">
        <v>32</v>
      </c>
      <c r="D453" s="22" t="s">
        <v>33</v>
      </c>
      <c r="E453" s="23">
        <v>44</v>
      </c>
      <c r="F453" s="23">
        <v>2</v>
      </c>
      <c r="G453" s="23">
        <v>1</v>
      </c>
      <c r="H453" s="23"/>
      <c r="I453" s="24" t="s">
        <v>34</v>
      </c>
      <c r="J453" s="24"/>
      <c r="K453" s="23"/>
      <c r="L453" s="23"/>
      <c r="M453" s="24"/>
      <c r="N453" s="24"/>
      <c r="O453" s="26" t="s">
        <v>1018</v>
      </c>
      <c r="P453" s="26"/>
      <c r="Q453" s="23"/>
      <c r="R453" s="25"/>
      <c r="S453" s="25"/>
      <c r="T453" s="25"/>
      <c r="U453" s="25"/>
      <c r="V453" s="25"/>
      <c r="W453" s="23" t="s">
        <v>36</v>
      </c>
      <c r="X453" s="4" t="str">
        <f>IF(Tabela2[[#This Row],[SIGLA]]="","",VLOOKUP(Tabela2[[#This Row],[SIGLA]],créditos_base!B:C,2,0))</f>
        <v>REINALDO ROSA/ARQUIVO DA EDITORA</v>
      </c>
      <c r="Y453" s="24"/>
      <c r="Z453" s="24" t="str">
        <f>Tabela2[[#This Row],[ILUSTRADOR CRIAÇÃO]]</f>
        <v>REINALDO ROSA/ARQUIVO DA EDITORA</v>
      </c>
      <c r="AA453" s="23"/>
      <c r="AB453" s="22"/>
      <c r="AC453" s="22"/>
      <c r="AD453" s="4" t="str">
        <f t="shared" si="7"/>
        <v>EF1 E001 HGC</v>
      </c>
    </row>
    <row r="454" spans="1:30" s="14" customFormat="1" x14ac:dyDescent="0.25">
      <c r="A454" s="24" t="s">
        <v>1019</v>
      </c>
      <c r="B454" s="22" t="s">
        <v>31</v>
      </c>
      <c r="C454" s="22" t="s">
        <v>32</v>
      </c>
      <c r="D454" s="22" t="s">
        <v>33</v>
      </c>
      <c r="E454" s="23">
        <v>45</v>
      </c>
      <c r="F454" s="23">
        <v>2</v>
      </c>
      <c r="G454" s="23">
        <v>1</v>
      </c>
      <c r="H454" s="23"/>
      <c r="I454" s="24" t="s">
        <v>34</v>
      </c>
      <c r="J454" s="24"/>
      <c r="K454" s="23"/>
      <c r="L454" s="23"/>
      <c r="M454" s="24"/>
      <c r="N454" s="24"/>
      <c r="O454" s="26" t="s">
        <v>1020</v>
      </c>
      <c r="P454" s="26"/>
      <c r="Q454" s="23"/>
      <c r="R454" s="25"/>
      <c r="S454" s="25"/>
      <c r="T454" s="25"/>
      <c r="U454" s="25"/>
      <c r="V454" s="25"/>
      <c r="W454" s="23" t="s">
        <v>36</v>
      </c>
      <c r="X454" s="4" t="str">
        <f>IF(Tabela2[[#This Row],[SIGLA]]="","",VLOOKUP(Tabela2[[#This Row],[SIGLA]],créditos_base!B:C,2,0))</f>
        <v>REINALDO ROSA/ARQUIVO DA EDITORA</v>
      </c>
      <c r="Y454" s="24"/>
      <c r="Z454" s="24" t="str">
        <f>Tabela2[[#This Row],[ILUSTRADOR CRIAÇÃO]]</f>
        <v>REINALDO ROSA/ARQUIVO DA EDITORA</v>
      </c>
      <c r="AA454" s="23"/>
      <c r="AB454" s="22"/>
      <c r="AC454" s="22"/>
      <c r="AD454" s="4" t="str">
        <f t="shared" si="7"/>
        <v>EF1 E001 HGC</v>
      </c>
    </row>
    <row r="455" spans="1:30" s="14" customFormat="1" x14ac:dyDescent="0.25">
      <c r="A455" s="24" t="s">
        <v>1021</v>
      </c>
      <c r="B455" s="22" t="s">
        <v>31</v>
      </c>
      <c r="C455" s="22" t="s">
        <v>32</v>
      </c>
      <c r="D455" s="22" t="s">
        <v>33</v>
      </c>
      <c r="E455" s="23">
        <v>46</v>
      </c>
      <c r="F455" s="23">
        <v>2</v>
      </c>
      <c r="G455" s="23">
        <v>1</v>
      </c>
      <c r="H455" s="23"/>
      <c r="I455" s="24" t="s">
        <v>34</v>
      </c>
      <c r="J455" s="24"/>
      <c r="K455" s="23"/>
      <c r="L455" s="23"/>
      <c r="M455" s="24"/>
      <c r="N455" s="24"/>
      <c r="O455" s="26" t="s">
        <v>1022</v>
      </c>
      <c r="P455" s="26"/>
      <c r="Q455" s="23"/>
      <c r="R455" s="25"/>
      <c r="S455" s="25"/>
      <c r="T455" s="25"/>
      <c r="U455" s="25"/>
      <c r="V455" s="25"/>
      <c r="W455" s="23" t="s">
        <v>36</v>
      </c>
      <c r="X455" s="4" t="str">
        <f>IF(Tabela2[[#This Row],[SIGLA]]="","",VLOOKUP(Tabela2[[#This Row],[SIGLA]],créditos_base!B:C,2,0))</f>
        <v>REINALDO ROSA/ARQUIVO DA EDITORA</v>
      </c>
      <c r="Y455" s="24"/>
      <c r="Z455" s="24" t="str">
        <f>Tabela2[[#This Row],[ILUSTRADOR CRIAÇÃO]]</f>
        <v>REINALDO ROSA/ARQUIVO DA EDITORA</v>
      </c>
      <c r="AA455" s="23"/>
      <c r="AB455" s="22"/>
      <c r="AC455" s="22"/>
      <c r="AD455" s="4" t="str">
        <f t="shared" si="7"/>
        <v>EF1 E001 HGC</v>
      </c>
    </row>
    <row r="456" spans="1:30" s="14" customFormat="1" x14ac:dyDescent="0.25">
      <c r="A456" s="24" t="s">
        <v>1023</v>
      </c>
      <c r="B456" s="22" t="s">
        <v>31</v>
      </c>
      <c r="C456" s="22" t="s">
        <v>32</v>
      </c>
      <c r="D456" s="22" t="s">
        <v>33</v>
      </c>
      <c r="E456" s="23">
        <v>46</v>
      </c>
      <c r="F456" s="23">
        <v>2</v>
      </c>
      <c r="G456" s="23">
        <v>1</v>
      </c>
      <c r="H456" s="23"/>
      <c r="I456" s="24" t="s">
        <v>34</v>
      </c>
      <c r="J456" s="24"/>
      <c r="K456" s="23"/>
      <c r="L456" s="23"/>
      <c r="M456" s="24"/>
      <c r="N456" s="24"/>
      <c r="O456" s="26" t="s">
        <v>1024</v>
      </c>
      <c r="P456" s="26"/>
      <c r="Q456" s="23"/>
      <c r="R456" s="25"/>
      <c r="S456" s="25"/>
      <c r="T456" s="25"/>
      <c r="U456" s="25"/>
      <c r="V456" s="25"/>
      <c r="W456" s="23" t="s">
        <v>36</v>
      </c>
      <c r="X456" s="4" t="str">
        <f>IF(Tabela2[[#This Row],[SIGLA]]="","",VLOOKUP(Tabela2[[#This Row],[SIGLA]],créditos_base!B:C,2,0))</f>
        <v>REINALDO ROSA/ARQUIVO DA EDITORA</v>
      </c>
      <c r="Y456" s="24"/>
      <c r="Z456" s="24" t="str">
        <f>Tabela2[[#This Row],[ILUSTRADOR CRIAÇÃO]]</f>
        <v>REINALDO ROSA/ARQUIVO DA EDITORA</v>
      </c>
      <c r="AA456" s="23"/>
      <c r="AB456" s="22"/>
      <c r="AC456" s="22"/>
      <c r="AD456" s="4" t="str">
        <f t="shared" si="7"/>
        <v>EF1 E001 HGC</v>
      </c>
    </row>
    <row r="457" spans="1:30" s="14" customFormat="1" x14ac:dyDescent="0.25">
      <c r="A457" s="24" t="s">
        <v>1025</v>
      </c>
      <c r="B457" s="22" t="s">
        <v>31</v>
      </c>
      <c r="C457" s="22" t="s">
        <v>32</v>
      </c>
      <c r="D457" s="22" t="s">
        <v>33</v>
      </c>
      <c r="E457" s="23">
        <v>46</v>
      </c>
      <c r="F457" s="23">
        <v>2</v>
      </c>
      <c r="G457" s="23">
        <v>1</v>
      </c>
      <c r="H457" s="23"/>
      <c r="I457" s="24" t="s">
        <v>34</v>
      </c>
      <c r="J457" s="24"/>
      <c r="K457" s="23"/>
      <c r="L457" s="23"/>
      <c r="M457" s="24"/>
      <c r="N457" s="24"/>
      <c r="O457" s="26" t="s">
        <v>1026</v>
      </c>
      <c r="P457" s="26"/>
      <c r="Q457" s="23"/>
      <c r="R457" s="25"/>
      <c r="S457" s="25"/>
      <c r="T457" s="25"/>
      <c r="U457" s="25"/>
      <c r="V457" s="25"/>
      <c r="W457" s="23" t="s">
        <v>36</v>
      </c>
      <c r="X457" s="4" t="str">
        <f>IF(Tabela2[[#This Row],[SIGLA]]="","",VLOOKUP(Tabela2[[#This Row],[SIGLA]],créditos_base!B:C,2,0))</f>
        <v>REINALDO ROSA/ARQUIVO DA EDITORA</v>
      </c>
      <c r="Y457" s="24"/>
      <c r="Z457" s="24" t="str">
        <f>Tabela2[[#This Row],[ILUSTRADOR CRIAÇÃO]]</f>
        <v>REINALDO ROSA/ARQUIVO DA EDITORA</v>
      </c>
      <c r="AA457" s="23"/>
      <c r="AB457" s="22"/>
      <c r="AC457" s="22"/>
      <c r="AD457" s="4" t="str">
        <f t="shared" si="7"/>
        <v>EF1 E001 HGC</v>
      </c>
    </row>
    <row r="458" spans="1:30" s="14" customFormat="1" x14ac:dyDescent="0.25">
      <c r="A458" s="24" t="s">
        <v>1027</v>
      </c>
      <c r="B458" s="22" t="s">
        <v>31</v>
      </c>
      <c r="C458" s="22" t="s">
        <v>32</v>
      </c>
      <c r="D458" s="22" t="s">
        <v>33</v>
      </c>
      <c r="E458" s="23">
        <v>47</v>
      </c>
      <c r="F458" s="23">
        <v>2</v>
      </c>
      <c r="G458" s="23">
        <v>1</v>
      </c>
      <c r="H458" s="23"/>
      <c r="I458" s="24" t="s">
        <v>34</v>
      </c>
      <c r="J458" s="24"/>
      <c r="K458" s="23"/>
      <c r="L458" s="23"/>
      <c r="M458" s="24"/>
      <c r="N458" s="24"/>
      <c r="O458" s="26" t="s">
        <v>1028</v>
      </c>
      <c r="P458" s="26"/>
      <c r="Q458" s="23"/>
      <c r="R458" s="25"/>
      <c r="S458" s="25"/>
      <c r="T458" s="25"/>
      <c r="U458" s="25"/>
      <c r="V458" s="25"/>
      <c r="W458" s="23" t="s">
        <v>745</v>
      </c>
      <c r="X458" s="4" t="str">
        <f>IF(Tabela2[[#This Row],[SIGLA]]="","",VLOOKUP(Tabela2[[#This Row],[SIGLA]],créditos_base!B:C,2,0))</f>
        <v>LUIZ PEREZ LENTINI/ARQUIVO DA EDITORA</v>
      </c>
      <c r="Y458" s="24"/>
      <c r="Z458" s="24" t="str">
        <f>Tabela2[[#This Row],[ILUSTRADOR CRIAÇÃO]]</f>
        <v>LUIZ PEREZ LENTINI/ARQUIVO DA EDITORA</v>
      </c>
      <c r="AA458" s="23"/>
      <c r="AB458" s="22"/>
      <c r="AC458" s="22"/>
      <c r="AD458" s="4" t="str">
        <f t="shared" si="7"/>
        <v>EF1 E001 HGC</v>
      </c>
    </row>
    <row r="459" spans="1:30" s="14" customFormat="1" x14ac:dyDescent="0.25">
      <c r="A459" s="24" t="s">
        <v>1029</v>
      </c>
      <c r="B459" s="22" t="s">
        <v>31</v>
      </c>
      <c r="C459" s="22" t="s">
        <v>32</v>
      </c>
      <c r="D459" s="22" t="s">
        <v>33</v>
      </c>
      <c r="E459" s="23">
        <v>48</v>
      </c>
      <c r="F459" s="23">
        <v>2</v>
      </c>
      <c r="G459" s="23">
        <v>1</v>
      </c>
      <c r="H459" s="23"/>
      <c r="I459" s="24" t="s">
        <v>34</v>
      </c>
      <c r="J459" s="24"/>
      <c r="K459" s="23"/>
      <c r="L459" s="23"/>
      <c r="M459" s="24"/>
      <c r="N459" s="24"/>
      <c r="O459" s="26" t="s">
        <v>1030</v>
      </c>
      <c r="P459" s="26"/>
      <c r="Q459" s="23"/>
      <c r="R459" s="25"/>
      <c r="S459" s="25"/>
      <c r="T459" s="25"/>
      <c r="U459" s="25"/>
      <c r="V459" s="25"/>
      <c r="W459" s="23" t="s">
        <v>707</v>
      </c>
      <c r="X459" s="4" t="str">
        <f>IF(Tabela2[[#This Row],[SIGLA]]="","",VLOOKUP(Tabela2[[#This Row],[SIGLA]],créditos_base!B:C,2,0))</f>
        <v>FABIO EUGENIO/ARQUIVO DA EDITORA</v>
      </c>
      <c r="Y459" s="24"/>
      <c r="Z459" s="24" t="str">
        <f>Tabela2[[#This Row],[ILUSTRADOR CRIAÇÃO]]</f>
        <v>FABIO EUGENIO/ARQUIVO DA EDITORA</v>
      </c>
      <c r="AA459" s="23"/>
      <c r="AB459" s="22"/>
      <c r="AC459" s="22"/>
      <c r="AD459" s="4" t="str">
        <f t="shared" si="7"/>
        <v>EF1 E001 HGC</v>
      </c>
    </row>
    <row r="460" spans="1:30" s="14" customFormat="1" x14ac:dyDescent="0.25">
      <c r="A460" s="24" t="s">
        <v>1031</v>
      </c>
      <c r="B460" s="22" t="s">
        <v>31</v>
      </c>
      <c r="C460" s="22" t="s">
        <v>32</v>
      </c>
      <c r="D460" s="22" t="s">
        <v>33</v>
      </c>
      <c r="E460" s="23">
        <v>48</v>
      </c>
      <c r="F460" s="23">
        <v>2</v>
      </c>
      <c r="G460" s="23">
        <v>1</v>
      </c>
      <c r="H460" s="23"/>
      <c r="I460" s="24" t="s">
        <v>34</v>
      </c>
      <c r="J460" s="24"/>
      <c r="K460" s="23"/>
      <c r="L460" s="23"/>
      <c r="M460" s="24"/>
      <c r="N460" s="24"/>
      <c r="O460" s="26" t="s">
        <v>1032</v>
      </c>
      <c r="P460" s="26"/>
      <c r="Q460" s="23"/>
      <c r="R460" s="25"/>
      <c r="S460" s="25"/>
      <c r="T460" s="25"/>
      <c r="U460" s="25"/>
      <c r="V460" s="25"/>
      <c r="W460" s="23" t="s">
        <v>707</v>
      </c>
      <c r="X460" s="4" t="str">
        <f>IF(Tabela2[[#This Row],[SIGLA]]="","",VLOOKUP(Tabela2[[#This Row],[SIGLA]],créditos_base!B:C,2,0))</f>
        <v>FABIO EUGENIO/ARQUIVO DA EDITORA</v>
      </c>
      <c r="Y460" s="24"/>
      <c r="Z460" s="24" t="str">
        <f>Tabela2[[#This Row],[ILUSTRADOR CRIAÇÃO]]</f>
        <v>FABIO EUGENIO/ARQUIVO DA EDITORA</v>
      </c>
      <c r="AA460" s="23"/>
      <c r="AB460" s="22"/>
      <c r="AC460" s="22"/>
      <c r="AD460" s="4" t="str">
        <f t="shared" si="7"/>
        <v>EF1 E001 HGC</v>
      </c>
    </row>
    <row r="461" spans="1:30" s="14" customFormat="1" x14ac:dyDescent="0.25">
      <c r="A461" s="24" t="s">
        <v>1033</v>
      </c>
      <c r="B461" s="22" t="s">
        <v>31</v>
      </c>
      <c r="C461" s="22" t="s">
        <v>32</v>
      </c>
      <c r="D461" s="22" t="s">
        <v>33</v>
      </c>
      <c r="E461" s="23">
        <v>48</v>
      </c>
      <c r="F461" s="23">
        <v>2</v>
      </c>
      <c r="G461" s="23">
        <v>1</v>
      </c>
      <c r="H461" s="23"/>
      <c r="I461" s="24" t="s">
        <v>34</v>
      </c>
      <c r="J461" s="24"/>
      <c r="K461" s="23"/>
      <c r="L461" s="23"/>
      <c r="M461" s="24"/>
      <c r="N461" s="24"/>
      <c r="O461" s="26" t="s">
        <v>1034</v>
      </c>
      <c r="P461" s="26"/>
      <c r="Q461" s="23"/>
      <c r="R461" s="25"/>
      <c r="S461" s="25"/>
      <c r="T461" s="25"/>
      <c r="U461" s="25"/>
      <c r="V461" s="25"/>
      <c r="W461" s="23" t="s">
        <v>707</v>
      </c>
      <c r="X461" s="4" t="str">
        <f>IF(Tabela2[[#This Row],[SIGLA]]="","",VLOOKUP(Tabela2[[#This Row],[SIGLA]],créditos_base!B:C,2,0))</f>
        <v>FABIO EUGENIO/ARQUIVO DA EDITORA</v>
      </c>
      <c r="Y461" s="24"/>
      <c r="Z461" s="24" t="str">
        <f>Tabela2[[#This Row],[ILUSTRADOR CRIAÇÃO]]</f>
        <v>FABIO EUGENIO/ARQUIVO DA EDITORA</v>
      </c>
      <c r="AA461" s="23"/>
      <c r="AB461" s="22"/>
      <c r="AC461" s="22"/>
      <c r="AD461" s="4" t="str">
        <f t="shared" si="7"/>
        <v>EF1 E001 HGC</v>
      </c>
    </row>
    <row r="462" spans="1:30" s="14" customFormat="1" x14ac:dyDescent="0.25">
      <c r="A462" s="24" t="s">
        <v>1035</v>
      </c>
      <c r="B462" s="22" t="s">
        <v>31</v>
      </c>
      <c r="C462" s="22" t="s">
        <v>32</v>
      </c>
      <c r="D462" s="22" t="s">
        <v>33</v>
      </c>
      <c r="E462" s="23">
        <v>48</v>
      </c>
      <c r="F462" s="23">
        <v>2</v>
      </c>
      <c r="G462" s="23">
        <v>1</v>
      </c>
      <c r="H462" s="23"/>
      <c r="I462" s="24" t="s">
        <v>34</v>
      </c>
      <c r="J462" s="24"/>
      <c r="K462" s="23"/>
      <c r="L462" s="23"/>
      <c r="M462" s="24"/>
      <c r="N462" s="24"/>
      <c r="O462" s="26" t="s">
        <v>1036</v>
      </c>
      <c r="P462" s="26"/>
      <c r="Q462" s="23"/>
      <c r="R462" s="25"/>
      <c r="S462" s="25"/>
      <c r="T462" s="25"/>
      <c r="U462" s="25"/>
      <c r="V462" s="25"/>
      <c r="W462" s="23" t="s">
        <v>707</v>
      </c>
      <c r="X462" s="4" t="str">
        <f>IF(Tabela2[[#This Row],[SIGLA]]="","",VLOOKUP(Tabela2[[#This Row],[SIGLA]],créditos_base!B:C,2,0))</f>
        <v>FABIO EUGENIO/ARQUIVO DA EDITORA</v>
      </c>
      <c r="Y462" s="24"/>
      <c r="Z462" s="24" t="str">
        <f>Tabela2[[#This Row],[ILUSTRADOR CRIAÇÃO]]</f>
        <v>FABIO EUGENIO/ARQUIVO DA EDITORA</v>
      </c>
      <c r="AA462" s="23"/>
      <c r="AB462" s="22"/>
      <c r="AC462" s="22"/>
      <c r="AD462" s="4" t="str">
        <f t="shared" si="7"/>
        <v>EF1 E001 HGC</v>
      </c>
    </row>
    <row r="463" spans="1:30" s="14" customFormat="1" x14ac:dyDescent="0.25">
      <c r="A463" s="24" t="s">
        <v>1037</v>
      </c>
      <c r="B463" s="22" t="s">
        <v>31</v>
      </c>
      <c r="C463" s="22" t="s">
        <v>32</v>
      </c>
      <c r="D463" s="22" t="s">
        <v>33</v>
      </c>
      <c r="E463" s="23">
        <v>48</v>
      </c>
      <c r="F463" s="23">
        <v>2</v>
      </c>
      <c r="G463" s="23">
        <v>1</v>
      </c>
      <c r="H463" s="23"/>
      <c r="I463" s="24" t="s">
        <v>34</v>
      </c>
      <c r="J463" s="24"/>
      <c r="K463" s="23"/>
      <c r="L463" s="23"/>
      <c r="M463" s="24"/>
      <c r="N463" s="24"/>
      <c r="O463" s="26" t="s">
        <v>1038</v>
      </c>
      <c r="P463" s="26"/>
      <c r="Q463" s="23"/>
      <c r="R463" s="25"/>
      <c r="S463" s="25"/>
      <c r="T463" s="25"/>
      <c r="U463" s="25"/>
      <c r="V463" s="25"/>
      <c r="W463" s="23" t="s">
        <v>707</v>
      </c>
      <c r="X463" s="4" t="str">
        <f>IF(Tabela2[[#This Row],[SIGLA]]="","",VLOOKUP(Tabela2[[#This Row],[SIGLA]],créditos_base!B:C,2,0))</f>
        <v>FABIO EUGENIO/ARQUIVO DA EDITORA</v>
      </c>
      <c r="Y463" s="24"/>
      <c r="Z463" s="24" t="str">
        <f>Tabela2[[#This Row],[ILUSTRADOR CRIAÇÃO]]</f>
        <v>FABIO EUGENIO/ARQUIVO DA EDITORA</v>
      </c>
      <c r="AA463" s="23"/>
      <c r="AB463" s="22"/>
      <c r="AC463" s="22"/>
      <c r="AD463" s="4" t="str">
        <f t="shared" si="7"/>
        <v>EF1 E001 HGC</v>
      </c>
    </row>
    <row r="464" spans="1:30" s="14" customFormat="1" x14ac:dyDescent="0.25">
      <c r="A464" s="24" t="s">
        <v>1039</v>
      </c>
      <c r="B464" s="22" t="s">
        <v>31</v>
      </c>
      <c r="C464" s="22" t="s">
        <v>32</v>
      </c>
      <c r="D464" s="22" t="s">
        <v>33</v>
      </c>
      <c r="E464" s="23">
        <v>48</v>
      </c>
      <c r="F464" s="23">
        <v>2</v>
      </c>
      <c r="G464" s="23">
        <v>1</v>
      </c>
      <c r="H464" s="23"/>
      <c r="I464" s="24" t="s">
        <v>34</v>
      </c>
      <c r="J464" s="24"/>
      <c r="K464" s="23"/>
      <c r="L464" s="23"/>
      <c r="M464" s="24"/>
      <c r="N464" s="24"/>
      <c r="O464" s="26" t="s">
        <v>1040</v>
      </c>
      <c r="P464" s="26"/>
      <c r="Q464" s="23"/>
      <c r="R464" s="25"/>
      <c r="S464" s="25"/>
      <c r="T464" s="25"/>
      <c r="U464" s="25"/>
      <c r="V464" s="25"/>
      <c r="W464" s="23" t="s">
        <v>707</v>
      </c>
      <c r="X464" s="4" t="str">
        <f>IF(Tabela2[[#This Row],[SIGLA]]="","",VLOOKUP(Tabela2[[#This Row],[SIGLA]],créditos_base!B:C,2,0))</f>
        <v>FABIO EUGENIO/ARQUIVO DA EDITORA</v>
      </c>
      <c r="Y464" s="24"/>
      <c r="Z464" s="24" t="str">
        <f>Tabela2[[#This Row],[ILUSTRADOR CRIAÇÃO]]</f>
        <v>FABIO EUGENIO/ARQUIVO DA EDITORA</v>
      </c>
      <c r="AA464" s="23"/>
      <c r="AB464" s="22"/>
      <c r="AC464" s="22"/>
      <c r="AD464" s="4" t="str">
        <f t="shared" si="7"/>
        <v>EF1 E001 HGC</v>
      </c>
    </row>
    <row r="465" spans="1:30" s="14" customFormat="1" x14ac:dyDescent="0.25">
      <c r="A465" s="24" t="s">
        <v>1041</v>
      </c>
      <c r="B465" s="22" t="s">
        <v>31</v>
      </c>
      <c r="C465" s="22" t="s">
        <v>32</v>
      </c>
      <c r="D465" s="22" t="s">
        <v>33</v>
      </c>
      <c r="E465" s="23">
        <v>49</v>
      </c>
      <c r="F465" s="23">
        <v>2</v>
      </c>
      <c r="G465" s="23">
        <v>1</v>
      </c>
      <c r="H465" s="23"/>
      <c r="I465" s="24" t="s">
        <v>34</v>
      </c>
      <c r="J465" s="24"/>
      <c r="K465" s="23"/>
      <c r="L465" s="23"/>
      <c r="M465" s="24"/>
      <c r="N465" s="24"/>
      <c r="O465" s="26" t="s">
        <v>1042</v>
      </c>
      <c r="P465" s="26"/>
      <c r="Q465" s="23"/>
      <c r="R465" s="25"/>
      <c r="S465" s="25"/>
      <c r="T465" s="25"/>
      <c r="U465" s="25"/>
      <c r="V465" s="25"/>
      <c r="W465" s="23" t="s">
        <v>707</v>
      </c>
      <c r="X465" s="4" t="str">
        <f>IF(Tabela2[[#This Row],[SIGLA]]="","",VLOOKUP(Tabela2[[#This Row],[SIGLA]],créditos_base!B:C,2,0))</f>
        <v>FABIO EUGENIO/ARQUIVO DA EDITORA</v>
      </c>
      <c r="Y465" s="24"/>
      <c r="Z465" s="24" t="str">
        <f>Tabela2[[#This Row],[ILUSTRADOR CRIAÇÃO]]</f>
        <v>FABIO EUGENIO/ARQUIVO DA EDITORA</v>
      </c>
      <c r="AA465" s="23"/>
      <c r="AB465" s="22"/>
      <c r="AC465" s="22"/>
      <c r="AD465" s="4" t="str">
        <f t="shared" si="7"/>
        <v>EF1 E001 HGC</v>
      </c>
    </row>
    <row r="466" spans="1:30" s="14" customFormat="1" x14ac:dyDescent="0.25">
      <c r="A466" s="24" t="s">
        <v>1043</v>
      </c>
      <c r="B466" s="22" t="s">
        <v>31</v>
      </c>
      <c r="C466" s="22" t="s">
        <v>32</v>
      </c>
      <c r="D466" s="22" t="s">
        <v>33</v>
      </c>
      <c r="E466" s="23">
        <v>49</v>
      </c>
      <c r="F466" s="23">
        <v>2</v>
      </c>
      <c r="G466" s="23">
        <v>1</v>
      </c>
      <c r="H466" s="23"/>
      <c r="I466" s="24" t="s">
        <v>34</v>
      </c>
      <c r="J466" s="24"/>
      <c r="K466" s="23"/>
      <c r="L466" s="23"/>
      <c r="M466" s="24"/>
      <c r="N466" s="24"/>
      <c r="O466" s="26" t="s">
        <v>1044</v>
      </c>
      <c r="P466" s="26"/>
      <c r="Q466" s="23"/>
      <c r="R466" s="25"/>
      <c r="S466" s="25"/>
      <c r="T466" s="25"/>
      <c r="U466" s="25"/>
      <c r="V466" s="25"/>
      <c r="W466" s="23" t="s">
        <v>707</v>
      </c>
      <c r="X466" s="4" t="str">
        <f>IF(Tabela2[[#This Row],[SIGLA]]="","",VLOOKUP(Tabela2[[#This Row],[SIGLA]],créditos_base!B:C,2,0))</f>
        <v>FABIO EUGENIO/ARQUIVO DA EDITORA</v>
      </c>
      <c r="Y466" s="24"/>
      <c r="Z466" s="24" t="str">
        <f>Tabela2[[#This Row],[ILUSTRADOR CRIAÇÃO]]</f>
        <v>FABIO EUGENIO/ARQUIVO DA EDITORA</v>
      </c>
      <c r="AA466" s="23"/>
      <c r="AB466" s="22"/>
      <c r="AC466" s="22"/>
      <c r="AD466" s="4" t="str">
        <f t="shared" si="7"/>
        <v>EF1 E001 HGC</v>
      </c>
    </row>
    <row r="467" spans="1:30" s="14" customFormat="1" x14ac:dyDescent="0.25">
      <c r="A467" s="24" t="s">
        <v>1045</v>
      </c>
      <c r="B467" s="22" t="s">
        <v>31</v>
      </c>
      <c r="C467" s="22" t="s">
        <v>32</v>
      </c>
      <c r="D467" s="22" t="s">
        <v>33</v>
      </c>
      <c r="E467" s="23">
        <v>49</v>
      </c>
      <c r="F467" s="23">
        <v>2</v>
      </c>
      <c r="G467" s="23">
        <v>1</v>
      </c>
      <c r="H467" s="23"/>
      <c r="I467" s="24" t="s">
        <v>34</v>
      </c>
      <c r="J467" s="24"/>
      <c r="K467" s="23"/>
      <c r="L467" s="23"/>
      <c r="M467" s="24"/>
      <c r="N467" s="24"/>
      <c r="O467" s="22" t="s">
        <v>1046</v>
      </c>
      <c r="P467" s="26"/>
      <c r="Q467" s="23"/>
      <c r="R467" s="25"/>
      <c r="S467" s="25"/>
      <c r="T467" s="25"/>
      <c r="U467" s="25"/>
      <c r="V467" s="25"/>
      <c r="W467" s="23" t="s">
        <v>707</v>
      </c>
      <c r="X467" s="4" t="str">
        <f>IF(Tabela2[[#This Row],[SIGLA]]="","",VLOOKUP(Tabela2[[#This Row],[SIGLA]],créditos_base!B:C,2,0))</f>
        <v>FABIO EUGENIO/ARQUIVO DA EDITORA</v>
      </c>
      <c r="Y467" s="24"/>
      <c r="Z467" s="24" t="str">
        <f>Tabela2[[#This Row],[ILUSTRADOR CRIAÇÃO]]</f>
        <v>FABIO EUGENIO/ARQUIVO DA EDITORA</v>
      </c>
      <c r="AA467" s="23"/>
      <c r="AB467" s="22"/>
      <c r="AC467" s="22"/>
      <c r="AD467" s="4" t="str">
        <f t="shared" si="7"/>
        <v>EF1 E001 HGC</v>
      </c>
    </row>
    <row r="468" spans="1:30" s="14" customFormat="1" x14ac:dyDescent="0.25">
      <c r="A468" s="24" t="s">
        <v>1047</v>
      </c>
      <c r="B468" s="22" t="s">
        <v>31</v>
      </c>
      <c r="C468" s="22" t="s">
        <v>32</v>
      </c>
      <c r="D468" s="22" t="s">
        <v>33</v>
      </c>
      <c r="E468" s="23">
        <v>49</v>
      </c>
      <c r="F468" s="23">
        <v>2</v>
      </c>
      <c r="G468" s="23">
        <v>1</v>
      </c>
      <c r="H468" s="23"/>
      <c r="I468" s="24" t="s">
        <v>34</v>
      </c>
      <c r="J468" s="24"/>
      <c r="K468" s="23"/>
      <c r="L468" s="23"/>
      <c r="M468" s="24"/>
      <c r="N468" s="24"/>
      <c r="O468" s="26" t="s">
        <v>1048</v>
      </c>
      <c r="P468" s="26"/>
      <c r="Q468" s="23"/>
      <c r="R468" s="25"/>
      <c r="S468" s="25"/>
      <c r="T468" s="25"/>
      <c r="U468" s="25"/>
      <c r="V468" s="25"/>
      <c r="W468" s="23" t="s">
        <v>707</v>
      </c>
      <c r="X468" s="4" t="str">
        <f>IF(Tabela2[[#This Row],[SIGLA]]="","",VLOOKUP(Tabela2[[#This Row],[SIGLA]],créditos_base!B:C,2,0))</f>
        <v>FABIO EUGENIO/ARQUIVO DA EDITORA</v>
      </c>
      <c r="Y468" s="24"/>
      <c r="Z468" s="24" t="str">
        <f>Tabela2[[#This Row],[ILUSTRADOR CRIAÇÃO]]</f>
        <v>FABIO EUGENIO/ARQUIVO DA EDITORA</v>
      </c>
      <c r="AA468" s="23"/>
      <c r="AB468" s="22"/>
      <c r="AC468" s="22"/>
      <c r="AD468" s="4" t="str">
        <f t="shared" si="7"/>
        <v>EF1 E001 HGC</v>
      </c>
    </row>
    <row r="469" spans="1:30" s="14" customFormat="1" x14ac:dyDescent="0.25">
      <c r="A469" s="24" t="s">
        <v>1049</v>
      </c>
      <c r="B469" s="22" t="s">
        <v>31</v>
      </c>
      <c r="C469" s="22" t="s">
        <v>32</v>
      </c>
      <c r="D469" s="22" t="s">
        <v>33</v>
      </c>
      <c r="E469" s="23">
        <v>49</v>
      </c>
      <c r="F469" s="23">
        <v>2</v>
      </c>
      <c r="G469" s="23">
        <v>1</v>
      </c>
      <c r="H469" s="23"/>
      <c r="I469" s="24" t="s">
        <v>34</v>
      </c>
      <c r="J469" s="24"/>
      <c r="K469" s="23"/>
      <c r="L469" s="23"/>
      <c r="M469" s="24"/>
      <c r="N469" s="24"/>
      <c r="O469" s="26" t="s">
        <v>1050</v>
      </c>
      <c r="P469" s="26"/>
      <c r="Q469" s="23"/>
      <c r="R469" s="25"/>
      <c r="S469" s="25"/>
      <c r="T469" s="25"/>
      <c r="U469" s="25"/>
      <c r="V469" s="25"/>
      <c r="W469" s="23" t="s">
        <v>707</v>
      </c>
      <c r="X469" s="4" t="str">
        <f>IF(Tabela2[[#This Row],[SIGLA]]="","",VLOOKUP(Tabela2[[#This Row],[SIGLA]],créditos_base!B:C,2,0))</f>
        <v>FABIO EUGENIO/ARQUIVO DA EDITORA</v>
      </c>
      <c r="Y469" s="24"/>
      <c r="Z469" s="24" t="str">
        <f>Tabela2[[#This Row],[ILUSTRADOR CRIAÇÃO]]</f>
        <v>FABIO EUGENIO/ARQUIVO DA EDITORA</v>
      </c>
      <c r="AA469" s="23"/>
      <c r="AB469" s="22"/>
      <c r="AC469" s="22"/>
      <c r="AD469" s="4" t="str">
        <f t="shared" si="7"/>
        <v>EF1 E001 HGC</v>
      </c>
    </row>
    <row r="470" spans="1:30" s="14" customFormat="1" x14ac:dyDescent="0.25">
      <c r="A470" s="24" t="s">
        <v>1051</v>
      </c>
      <c r="B470" s="22" t="s">
        <v>31</v>
      </c>
      <c r="C470" s="22" t="s">
        <v>32</v>
      </c>
      <c r="D470" s="22" t="s">
        <v>33</v>
      </c>
      <c r="E470" s="23">
        <v>49</v>
      </c>
      <c r="F470" s="23">
        <v>2</v>
      </c>
      <c r="G470" s="23">
        <v>1</v>
      </c>
      <c r="H470" s="23"/>
      <c r="I470" s="24" t="s">
        <v>34</v>
      </c>
      <c r="J470" s="24"/>
      <c r="K470" s="23"/>
      <c r="L470" s="23"/>
      <c r="M470" s="24"/>
      <c r="N470" s="24"/>
      <c r="O470" s="26" t="s">
        <v>1052</v>
      </c>
      <c r="P470" s="26"/>
      <c r="Q470" s="23"/>
      <c r="R470" s="25"/>
      <c r="S470" s="25"/>
      <c r="T470" s="25"/>
      <c r="U470" s="25"/>
      <c r="V470" s="25"/>
      <c r="W470" s="23" t="s">
        <v>707</v>
      </c>
      <c r="X470" s="4" t="str">
        <f>IF(Tabela2[[#This Row],[SIGLA]]="","",VLOOKUP(Tabela2[[#This Row],[SIGLA]],créditos_base!B:C,2,0))</f>
        <v>FABIO EUGENIO/ARQUIVO DA EDITORA</v>
      </c>
      <c r="Y470" s="24"/>
      <c r="Z470" s="24" t="str">
        <f>Tabela2[[#This Row],[ILUSTRADOR CRIAÇÃO]]</f>
        <v>FABIO EUGENIO/ARQUIVO DA EDITORA</v>
      </c>
      <c r="AA470" s="23"/>
      <c r="AB470" s="22"/>
      <c r="AC470" s="22"/>
      <c r="AD470" s="4" t="str">
        <f t="shared" si="7"/>
        <v>EF1 E001 HGC</v>
      </c>
    </row>
    <row r="471" spans="1:30" s="14" customFormat="1" x14ac:dyDescent="0.25">
      <c r="A471" s="24" t="s">
        <v>1053</v>
      </c>
      <c r="B471" s="22" t="s">
        <v>31</v>
      </c>
      <c r="C471" s="22" t="s">
        <v>32</v>
      </c>
      <c r="D471" s="22" t="s">
        <v>33</v>
      </c>
      <c r="E471" s="23">
        <v>49</v>
      </c>
      <c r="F471" s="23">
        <v>2</v>
      </c>
      <c r="G471" s="23">
        <v>1</v>
      </c>
      <c r="H471" s="23"/>
      <c r="I471" s="24" t="s">
        <v>34</v>
      </c>
      <c r="J471" s="24"/>
      <c r="K471" s="23"/>
      <c r="L471" s="23"/>
      <c r="M471" s="24"/>
      <c r="N471" s="24"/>
      <c r="O471" s="26" t="s">
        <v>1054</v>
      </c>
      <c r="P471" s="26"/>
      <c r="Q471" s="23"/>
      <c r="R471" s="25"/>
      <c r="S471" s="25"/>
      <c r="T471" s="25"/>
      <c r="U471" s="25"/>
      <c r="V471" s="25"/>
      <c r="W471" s="23" t="s">
        <v>707</v>
      </c>
      <c r="X471" s="4" t="str">
        <f>IF(Tabela2[[#This Row],[SIGLA]]="","",VLOOKUP(Tabela2[[#This Row],[SIGLA]],créditos_base!B:C,2,0))</f>
        <v>FABIO EUGENIO/ARQUIVO DA EDITORA</v>
      </c>
      <c r="Y471" s="24"/>
      <c r="Z471" s="24" t="str">
        <f>Tabela2[[#This Row],[ILUSTRADOR CRIAÇÃO]]</f>
        <v>FABIO EUGENIO/ARQUIVO DA EDITORA</v>
      </c>
      <c r="AA471" s="23"/>
      <c r="AB471" s="22"/>
      <c r="AC471" s="22"/>
      <c r="AD471" s="4" t="str">
        <f t="shared" si="7"/>
        <v>EF1 E001 HGC</v>
      </c>
    </row>
    <row r="472" spans="1:30" s="14" customFormat="1" x14ac:dyDescent="0.25">
      <c r="A472" s="24" t="s">
        <v>1055</v>
      </c>
      <c r="B472" s="22" t="s">
        <v>31</v>
      </c>
      <c r="C472" s="22" t="s">
        <v>32</v>
      </c>
      <c r="D472" s="22" t="s">
        <v>33</v>
      </c>
      <c r="E472" s="23">
        <v>49</v>
      </c>
      <c r="F472" s="23">
        <v>2</v>
      </c>
      <c r="G472" s="23">
        <v>1</v>
      </c>
      <c r="H472" s="23"/>
      <c r="I472" s="24" t="s">
        <v>34</v>
      </c>
      <c r="J472" s="24"/>
      <c r="K472" s="23"/>
      <c r="L472" s="23"/>
      <c r="M472" s="24"/>
      <c r="N472" s="24"/>
      <c r="O472" s="26" t="s">
        <v>1056</v>
      </c>
      <c r="P472" s="26"/>
      <c r="Q472" s="23"/>
      <c r="R472" s="25"/>
      <c r="S472" s="25"/>
      <c r="T472" s="25"/>
      <c r="U472" s="25"/>
      <c r="V472" s="25"/>
      <c r="W472" s="23" t="s">
        <v>707</v>
      </c>
      <c r="X472" s="4" t="str">
        <f>IF(Tabela2[[#This Row],[SIGLA]]="","",VLOOKUP(Tabela2[[#This Row],[SIGLA]],créditos_base!B:C,2,0))</f>
        <v>FABIO EUGENIO/ARQUIVO DA EDITORA</v>
      </c>
      <c r="Y472" s="24"/>
      <c r="Z472" s="24" t="str">
        <f>Tabela2[[#This Row],[ILUSTRADOR CRIAÇÃO]]</f>
        <v>FABIO EUGENIO/ARQUIVO DA EDITORA</v>
      </c>
      <c r="AA472" s="23"/>
      <c r="AB472" s="22"/>
      <c r="AC472" s="22"/>
      <c r="AD472" s="4" t="str">
        <f t="shared" si="7"/>
        <v>EF1 E001 HGC</v>
      </c>
    </row>
    <row r="473" spans="1:30" s="14" customFormat="1" ht="30" x14ac:dyDescent="0.25">
      <c r="A473" s="24" t="s">
        <v>1057</v>
      </c>
      <c r="B473" s="22" t="s">
        <v>31</v>
      </c>
      <c r="C473" s="22" t="s">
        <v>32</v>
      </c>
      <c r="D473" s="22" t="s">
        <v>33</v>
      </c>
      <c r="E473" s="23">
        <v>50</v>
      </c>
      <c r="F473" s="23">
        <v>2</v>
      </c>
      <c r="G473" s="23">
        <v>1</v>
      </c>
      <c r="H473" s="23"/>
      <c r="I473" s="24" t="s">
        <v>34</v>
      </c>
      <c r="J473" s="24"/>
      <c r="K473" s="23"/>
      <c r="L473" s="23"/>
      <c r="M473" s="24"/>
      <c r="N473" s="24"/>
      <c r="O473" s="26" t="s">
        <v>1058</v>
      </c>
      <c r="P473" s="26"/>
      <c r="Q473" s="23"/>
      <c r="R473" s="25"/>
      <c r="S473" s="25"/>
      <c r="T473" s="25"/>
      <c r="U473" s="25"/>
      <c r="V473" s="25"/>
      <c r="W473" s="23" t="s">
        <v>745</v>
      </c>
      <c r="X473" s="4" t="str">
        <f>IF(Tabela2[[#This Row],[SIGLA]]="","",VLOOKUP(Tabela2[[#This Row],[SIGLA]],créditos_base!B:C,2,0))</f>
        <v>LUIZ PEREZ LENTINI/ARQUIVO DA EDITORA</v>
      </c>
      <c r="Y473" s="24"/>
      <c r="Z473" s="24" t="str">
        <f>Tabela2[[#This Row],[ILUSTRADOR CRIAÇÃO]]</f>
        <v>LUIZ PEREZ LENTINI/ARQUIVO DA EDITORA</v>
      </c>
      <c r="AA473" s="23"/>
      <c r="AB473" s="22"/>
      <c r="AC473" s="22"/>
      <c r="AD473" s="4" t="str">
        <f t="shared" si="7"/>
        <v>EF1 E001 HGC</v>
      </c>
    </row>
    <row r="474" spans="1:30" s="14" customFormat="1" x14ac:dyDescent="0.25">
      <c r="A474" s="24" t="s">
        <v>1059</v>
      </c>
      <c r="B474" s="22" t="s">
        <v>31</v>
      </c>
      <c r="C474" s="22" t="s">
        <v>32</v>
      </c>
      <c r="D474" s="22" t="s">
        <v>33</v>
      </c>
      <c r="E474" s="23">
        <v>51</v>
      </c>
      <c r="F474" s="23">
        <v>2</v>
      </c>
      <c r="G474" s="23">
        <v>1</v>
      </c>
      <c r="H474" s="23"/>
      <c r="I474" s="24" t="s">
        <v>34</v>
      </c>
      <c r="J474" s="24"/>
      <c r="K474" s="23"/>
      <c r="L474" s="23"/>
      <c r="M474" s="24"/>
      <c r="N474" s="24"/>
      <c r="O474" s="26" t="s">
        <v>1060</v>
      </c>
      <c r="P474" s="26"/>
      <c r="Q474" s="23"/>
      <c r="R474" s="25"/>
      <c r="S474" s="25"/>
      <c r="T474" s="25"/>
      <c r="U474" s="25"/>
      <c r="V474" s="25"/>
      <c r="W474" s="23" t="s">
        <v>745</v>
      </c>
      <c r="X474" s="4" t="str">
        <f>IF(Tabela2[[#This Row],[SIGLA]]="","",VLOOKUP(Tabela2[[#This Row],[SIGLA]],créditos_base!B:C,2,0))</f>
        <v>LUIZ PEREZ LENTINI/ARQUIVO DA EDITORA</v>
      </c>
      <c r="Y474" s="24"/>
      <c r="Z474" s="24" t="str">
        <f>Tabela2[[#This Row],[ILUSTRADOR CRIAÇÃO]]</f>
        <v>LUIZ PEREZ LENTINI/ARQUIVO DA EDITORA</v>
      </c>
      <c r="AA474" s="23"/>
      <c r="AB474" s="22"/>
      <c r="AC474" s="22"/>
      <c r="AD474" s="4" t="str">
        <f t="shared" si="7"/>
        <v>EF1 E001 HGC</v>
      </c>
    </row>
    <row r="475" spans="1:30" s="14" customFormat="1" x14ac:dyDescent="0.25">
      <c r="A475" s="24" t="s">
        <v>1061</v>
      </c>
      <c r="B475" s="22" t="s">
        <v>31</v>
      </c>
      <c r="C475" s="22" t="s">
        <v>32</v>
      </c>
      <c r="D475" s="22" t="s">
        <v>33</v>
      </c>
      <c r="E475" s="23">
        <v>51</v>
      </c>
      <c r="F475" s="23">
        <v>2</v>
      </c>
      <c r="G475" s="23">
        <v>1</v>
      </c>
      <c r="H475" s="23"/>
      <c r="I475" s="24" t="s">
        <v>34</v>
      </c>
      <c r="J475" s="24"/>
      <c r="K475" s="23"/>
      <c r="L475" s="23"/>
      <c r="M475" s="24"/>
      <c r="N475" s="24"/>
      <c r="O475" s="24" t="s">
        <v>1062</v>
      </c>
      <c r="P475" s="26"/>
      <c r="Q475" s="23"/>
      <c r="R475" s="25"/>
      <c r="S475" s="25"/>
      <c r="T475" s="25"/>
      <c r="U475" s="25"/>
      <c r="V475" s="25"/>
      <c r="W475" s="23" t="s">
        <v>745</v>
      </c>
      <c r="X475" s="4" t="str">
        <f>IF(Tabela2[[#This Row],[SIGLA]]="","",VLOOKUP(Tabela2[[#This Row],[SIGLA]],créditos_base!B:C,2,0))</f>
        <v>LUIZ PEREZ LENTINI/ARQUIVO DA EDITORA</v>
      </c>
      <c r="Y475" s="24"/>
      <c r="Z475" s="24" t="str">
        <f>Tabela2[[#This Row],[ILUSTRADOR CRIAÇÃO]]</f>
        <v>LUIZ PEREZ LENTINI/ARQUIVO DA EDITORA</v>
      </c>
      <c r="AA475" s="23"/>
      <c r="AB475" s="22"/>
      <c r="AC475" s="22"/>
      <c r="AD475" s="4" t="str">
        <f t="shared" si="7"/>
        <v>EF1 E001 HGC</v>
      </c>
    </row>
    <row r="476" spans="1:30" s="14" customFormat="1" ht="15.75" x14ac:dyDescent="0.25">
      <c r="A476" s="24" t="s">
        <v>1063</v>
      </c>
      <c r="B476" s="22" t="s">
        <v>31</v>
      </c>
      <c r="C476" s="22" t="s">
        <v>32</v>
      </c>
      <c r="D476" s="22" t="s">
        <v>33</v>
      </c>
      <c r="E476" s="23">
        <v>52</v>
      </c>
      <c r="F476" s="23">
        <v>2</v>
      </c>
      <c r="G476" s="23">
        <v>1</v>
      </c>
      <c r="H476" s="23"/>
      <c r="I476" s="24" t="s">
        <v>34</v>
      </c>
      <c r="J476" s="24"/>
      <c r="K476" s="23"/>
      <c r="L476" s="23"/>
      <c r="M476" s="24"/>
      <c r="N476" s="24"/>
      <c r="O476" s="40" t="s">
        <v>1064</v>
      </c>
      <c r="P476" s="26"/>
      <c r="Q476" s="23"/>
      <c r="R476" s="25"/>
      <c r="S476" s="25"/>
      <c r="T476" s="25"/>
      <c r="U476" s="25"/>
      <c r="V476" s="25"/>
      <c r="W476" s="23" t="s">
        <v>707</v>
      </c>
      <c r="X476" s="4" t="str">
        <f>IF(Tabela2[[#This Row],[SIGLA]]="","",VLOOKUP(Tabela2[[#This Row],[SIGLA]],créditos_base!B:C,2,0))</f>
        <v>FABIO EUGENIO/ARQUIVO DA EDITORA</v>
      </c>
      <c r="Y476" s="24"/>
      <c r="Z476" s="24" t="str">
        <f>Tabela2[[#This Row],[ILUSTRADOR CRIAÇÃO]]</f>
        <v>FABIO EUGENIO/ARQUIVO DA EDITORA</v>
      </c>
      <c r="AA476" s="23"/>
      <c r="AB476" s="22"/>
      <c r="AC476" s="22"/>
      <c r="AD476" s="4" t="str">
        <f t="shared" si="7"/>
        <v>EF1 E001 HGC</v>
      </c>
    </row>
    <row r="477" spans="1:30" s="14" customFormat="1" x14ac:dyDescent="0.25">
      <c r="A477" s="24" t="s">
        <v>1065</v>
      </c>
      <c r="B477" s="22" t="s">
        <v>31</v>
      </c>
      <c r="C477" s="22" t="s">
        <v>32</v>
      </c>
      <c r="D477" s="22" t="s">
        <v>33</v>
      </c>
      <c r="E477" s="23">
        <v>52</v>
      </c>
      <c r="F477" s="23">
        <v>2</v>
      </c>
      <c r="G477" s="23">
        <v>1</v>
      </c>
      <c r="H477" s="23"/>
      <c r="I477" s="24" t="s">
        <v>34</v>
      </c>
      <c r="J477" s="24"/>
      <c r="K477" s="23"/>
      <c r="L477" s="23"/>
      <c r="M477" s="24"/>
      <c r="N477" s="24"/>
      <c r="O477" s="26" t="s">
        <v>1066</v>
      </c>
      <c r="P477" s="26"/>
      <c r="Q477" s="23"/>
      <c r="R477" s="25"/>
      <c r="S477" s="25"/>
      <c r="T477" s="25"/>
      <c r="U477" s="25"/>
      <c r="V477" s="25"/>
      <c r="W477" s="23" t="s">
        <v>707</v>
      </c>
      <c r="X477" s="4" t="str">
        <f>IF(Tabela2[[#This Row],[SIGLA]]="","",VLOOKUP(Tabela2[[#This Row],[SIGLA]],créditos_base!B:C,2,0))</f>
        <v>FABIO EUGENIO/ARQUIVO DA EDITORA</v>
      </c>
      <c r="Y477" s="24"/>
      <c r="Z477" s="24" t="str">
        <f>Tabela2[[#This Row],[ILUSTRADOR CRIAÇÃO]]</f>
        <v>FABIO EUGENIO/ARQUIVO DA EDITORA</v>
      </c>
      <c r="AA477" s="23"/>
      <c r="AB477" s="22"/>
      <c r="AC477" s="22"/>
      <c r="AD477" s="4" t="str">
        <f t="shared" si="7"/>
        <v>EF1 E001 HGC</v>
      </c>
    </row>
    <row r="478" spans="1:30" s="14" customFormat="1" x14ac:dyDescent="0.25">
      <c r="A478" s="24" t="s">
        <v>1067</v>
      </c>
      <c r="B478" s="22" t="s">
        <v>31</v>
      </c>
      <c r="C478" s="22" t="s">
        <v>32</v>
      </c>
      <c r="D478" s="22" t="s">
        <v>33</v>
      </c>
      <c r="E478" s="23">
        <v>52</v>
      </c>
      <c r="F478" s="23">
        <v>2</v>
      </c>
      <c r="G478" s="23">
        <v>1</v>
      </c>
      <c r="H478" s="23"/>
      <c r="I478" s="24" t="s">
        <v>34</v>
      </c>
      <c r="J478" s="24"/>
      <c r="K478" s="23"/>
      <c r="L478" s="23"/>
      <c r="M478" s="24"/>
      <c r="N478" s="24"/>
      <c r="O478" s="26" t="s">
        <v>1068</v>
      </c>
      <c r="P478" s="26"/>
      <c r="Q478" s="23"/>
      <c r="R478" s="25"/>
      <c r="S478" s="25"/>
      <c r="T478" s="25"/>
      <c r="U478" s="25"/>
      <c r="V478" s="25"/>
      <c r="W478" s="23" t="s">
        <v>707</v>
      </c>
      <c r="X478" s="4" t="str">
        <f>IF(Tabela2[[#This Row],[SIGLA]]="","",VLOOKUP(Tabela2[[#This Row],[SIGLA]],créditos_base!B:C,2,0))</f>
        <v>FABIO EUGENIO/ARQUIVO DA EDITORA</v>
      </c>
      <c r="Y478" s="24"/>
      <c r="Z478" s="24" t="str">
        <f>Tabela2[[#This Row],[ILUSTRADOR CRIAÇÃO]]</f>
        <v>FABIO EUGENIO/ARQUIVO DA EDITORA</v>
      </c>
      <c r="AA478" s="23"/>
      <c r="AB478" s="22"/>
      <c r="AC478" s="22"/>
      <c r="AD478" s="4" t="str">
        <f t="shared" si="7"/>
        <v>EF1 E001 HGC</v>
      </c>
    </row>
    <row r="479" spans="1:30" s="14" customFormat="1" x14ac:dyDescent="0.25">
      <c r="A479" s="24" t="s">
        <v>1069</v>
      </c>
      <c r="B479" s="22" t="s">
        <v>31</v>
      </c>
      <c r="C479" s="22" t="s">
        <v>32</v>
      </c>
      <c r="D479" s="22" t="s">
        <v>33</v>
      </c>
      <c r="E479" s="23">
        <v>53</v>
      </c>
      <c r="F479" s="23">
        <v>2</v>
      </c>
      <c r="G479" s="23">
        <v>1</v>
      </c>
      <c r="H479" s="23"/>
      <c r="I479" s="24" t="s">
        <v>34</v>
      </c>
      <c r="J479" s="24"/>
      <c r="K479" s="23"/>
      <c r="L479" s="23"/>
      <c r="M479" s="24"/>
      <c r="N479" s="24"/>
      <c r="O479" s="26" t="s">
        <v>1070</v>
      </c>
      <c r="P479" s="26"/>
      <c r="Q479" s="23"/>
      <c r="R479" s="25"/>
      <c r="S479" s="25"/>
      <c r="T479" s="25"/>
      <c r="U479" s="25"/>
      <c r="V479" s="25"/>
      <c r="W479" s="23" t="s">
        <v>707</v>
      </c>
      <c r="X479" s="4" t="str">
        <f>IF(Tabela2[[#This Row],[SIGLA]]="","",VLOOKUP(Tabela2[[#This Row],[SIGLA]],créditos_base!B:C,2,0))</f>
        <v>FABIO EUGENIO/ARQUIVO DA EDITORA</v>
      </c>
      <c r="Y479" s="24"/>
      <c r="Z479" s="24" t="str">
        <f>Tabela2[[#This Row],[ILUSTRADOR CRIAÇÃO]]</f>
        <v>FABIO EUGENIO/ARQUIVO DA EDITORA</v>
      </c>
      <c r="AA479" s="23"/>
      <c r="AB479" s="22"/>
      <c r="AC479" s="22"/>
      <c r="AD479" s="4" t="str">
        <f t="shared" si="7"/>
        <v>EF1 E001 HGC</v>
      </c>
    </row>
    <row r="480" spans="1:30" s="14" customFormat="1" x14ac:dyDescent="0.25">
      <c r="A480" s="24" t="s">
        <v>1071</v>
      </c>
      <c r="B480" s="22" t="s">
        <v>31</v>
      </c>
      <c r="C480" s="22" t="s">
        <v>32</v>
      </c>
      <c r="D480" s="22" t="s">
        <v>33</v>
      </c>
      <c r="E480" s="23">
        <v>53</v>
      </c>
      <c r="F480" s="23">
        <v>2</v>
      </c>
      <c r="G480" s="23">
        <v>1</v>
      </c>
      <c r="H480" s="23"/>
      <c r="I480" s="24" t="s">
        <v>34</v>
      </c>
      <c r="J480" s="24"/>
      <c r="K480" s="23"/>
      <c r="L480" s="23"/>
      <c r="M480" s="24"/>
      <c r="N480" s="24"/>
      <c r="O480" s="26" t="s">
        <v>1072</v>
      </c>
      <c r="P480" s="26"/>
      <c r="Q480" s="23"/>
      <c r="R480" s="25"/>
      <c r="S480" s="25"/>
      <c r="T480" s="25"/>
      <c r="U480" s="25"/>
      <c r="V480" s="25"/>
      <c r="W480" s="23" t="s">
        <v>707</v>
      </c>
      <c r="X480" s="4" t="str">
        <f>IF(Tabela2[[#This Row],[SIGLA]]="","",VLOOKUP(Tabela2[[#This Row],[SIGLA]],créditos_base!B:C,2,0))</f>
        <v>FABIO EUGENIO/ARQUIVO DA EDITORA</v>
      </c>
      <c r="Y480" s="24"/>
      <c r="Z480" s="24" t="str">
        <f>Tabela2[[#This Row],[ILUSTRADOR CRIAÇÃO]]</f>
        <v>FABIO EUGENIO/ARQUIVO DA EDITORA</v>
      </c>
      <c r="AA480" s="23"/>
      <c r="AB480" s="22"/>
      <c r="AC480" s="22"/>
      <c r="AD480" s="4" t="str">
        <f t="shared" si="7"/>
        <v>EF1 E001 HGC</v>
      </c>
    </row>
    <row r="481" spans="1:30" s="14" customFormat="1" x14ac:dyDescent="0.25">
      <c r="A481" s="24" t="s">
        <v>1073</v>
      </c>
      <c r="B481" s="22" t="s">
        <v>31</v>
      </c>
      <c r="C481" s="22" t="s">
        <v>32</v>
      </c>
      <c r="D481" s="22" t="s">
        <v>33</v>
      </c>
      <c r="E481" s="23">
        <v>53</v>
      </c>
      <c r="F481" s="23">
        <v>2</v>
      </c>
      <c r="G481" s="23">
        <v>1</v>
      </c>
      <c r="H481" s="23"/>
      <c r="I481" s="24" t="s">
        <v>34</v>
      </c>
      <c r="J481" s="24"/>
      <c r="K481" s="23"/>
      <c r="L481" s="23"/>
      <c r="M481" s="24"/>
      <c r="N481" s="24"/>
      <c r="O481" s="26" t="s">
        <v>1074</v>
      </c>
      <c r="P481" s="26"/>
      <c r="Q481" s="23"/>
      <c r="R481" s="25"/>
      <c r="S481" s="25"/>
      <c r="T481" s="25"/>
      <c r="U481" s="25"/>
      <c r="V481" s="25"/>
      <c r="W481" s="23" t="s">
        <v>707</v>
      </c>
      <c r="X481" s="4" t="str">
        <f>IF(Tabela2[[#This Row],[SIGLA]]="","",VLOOKUP(Tabela2[[#This Row],[SIGLA]],créditos_base!B:C,2,0))</f>
        <v>FABIO EUGENIO/ARQUIVO DA EDITORA</v>
      </c>
      <c r="Y481" s="24"/>
      <c r="Z481" s="24" t="str">
        <f>Tabela2[[#This Row],[ILUSTRADOR CRIAÇÃO]]</f>
        <v>FABIO EUGENIO/ARQUIVO DA EDITORA</v>
      </c>
      <c r="AA481" s="23"/>
      <c r="AB481" s="22"/>
      <c r="AC481" s="22"/>
      <c r="AD481" s="4" t="str">
        <f t="shared" si="7"/>
        <v>EF1 E001 HGC</v>
      </c>
    </row>
    <row r="482" spans="1:30" s="14" customFormat="1" x14ac:dyDescent="0.25">
      <c r="A482" s="24" t="s">
        <v>1075</v>
      </c>
      <c r="B482" s="22" t="s">
        <v>31</v>
      </c>
      <c r="C482" s="22" t="s">
        <v>32</v>
      </c>
      <c r="D482" s="22" t="s">
        <v>33</v>
      </c>
      <c r="E482" s="23">
        <v>53</v>
      </c>
      <c r="F482" s="23">
        <v>2</v>
      </c>
      <c r="G482" s="23">
        <v>1</v>
      </c>
      <c r="H482" s="23"/>
      <c r="I482" s="24" t="s">
        <v>34</v>
      </c>
      <c r="J482" s="24"/>
      <c r="K482" s="23"/>
      <c r="L482" s="23"/>
      <c r="M482" s="24"/>
      <c r="N482" s="24"/>
      <c r="O482" s="26" t="s">
        <v>1076</v>
      </c>
      <c r="P482" s="26"/>
      <c r="Q482" s="23"/>
      <c r="R482" s="25"/>
      <c r="S482" s="25"/>
      <c r="T482" s="25"/>
      <c r="U482" s="25"/>
      <c r="V482" s="25"/>
      <c r="W482" s="23" t="s">
        <v>707</v>
      </c>
      <c r="X482" s="4" t="str">
        <f>IF(Tabela2[[#This Row],[SIGLA]]="","",VLOOKUP(Tabela2[[#This Row],[SIGLA]],créditos_base!B:C,2,0))</f>
        <v>FABIO EUGENIO/ARQUIVO DA EDITORA</v>
      </c>
      <c r="Y482" s="24"/>
      <c r="Z482" s="24" t="str">
        <f>Tabela2[[#This Row],[ILUSTRADOR CRIAÇÃO]]</f>
        <v>FABIO EUGENIO/ARQUIVO DA EDITORA</v>
      </c>
      <c r="AA482" s="23"/>
      <c r="AB482" s="22"/>
      <c r="AC482" s="22"/>
      <c r="AD482" s="4" t="str">
        <f t="shared" si="7"/>
        <v>EF1 E001 HGC</v>
      </c>
    </row>
    <row r="483" spans="1:30" s="14" customFormat="1" ht="30" x14ac:dyDescent="0.25">
      <c r="A483" s="24" t="s">
        <v>1077</v>
      </c>
      <c r="B483" s="22" t="s">
        <v>31</v>
      </c>
      <c r="C483" s="22" t="s">
        <v>32</v>
      </c>
      <c r="D483" s="22" t="s">
        <v>33</v>
      </c>
      <c r="E483" s="23">
        <v>55</v>
      </c>
      <c r="F483" s="23">
        <v>2</v>
      </c>
      <c r="G483" s="23">
        <v>1</v>
      </c>
      <c r="H483" s="23"/>
      <c r="I483" s="24" t="s">
        <v>38</v>
      </c>
      <c r="J483" s="24"/>
      <c r="K483" s="23"/>
      <c r="L483" s="23"/>
      <c r="M483" s="24"/>
      <c r="N483" s="24"/>
      <c r="O483" s="26" t="s">
        <v>1078</v>
      </c>
      <c r="P483" s="26"/>
      <c r="Q483" s="23"/>
      <c r="R483" s="25"/>
      <c r="S483" s="25">
        <v>45869</v>
      </c>
      <c r="T483" s="25"/>
      <c r="U483" s="25"/>
      <c r="V483" s="25">
        <v>45869</v>
      </c>
      <c r="W483" s="23" t="s">
        <v>154</v>
      </c>
      <c r="X483" s="4" t="str">
        <f>IF(Tabela2[[#This Row],[SIGLA]]="","",VLOOKUP(Tabela2[[#This Row],[SIGLA]],créditos_base!B:C,2,0))</f>
        <v>VICTOR LEMOS/ARQUIVO DA EDITORA</v>
      </c>
      <c r="Y483" s="24" t="s">
        <v>70</v>
      </c>
      <c r="Z483" s="24" t="str">
        <f>Tabela2[[#This Row],[ILUSTRADOR CRIAÇÃO]]</f>
        <v>VICTOR LEMOS/ARQUIVO DA EDITORA</v>
      </c>
      <c r="AA483" s="23">
        <v>13</v>
      </c>
      <c r="AB483" s="22" t="s">
        <v>71</v>
      </c>
      <c r="AC483" s="22" t="s">
        <v>43</v>
      </c>
      <c r="AD483" s="4" t="str">
        <f t="shared" si="7"/>
        <v>EF1 E001 HGC</v>
      </c>
    </row>
    <row r="484" spans="1:30" s="14" customFormat="1" x14ac:dyDescent="0.25">
      <c r="A484" s="24" t="s">
        <v>1079</v>
      </c>
      <c r="B484" s="22" t="s">
        <v>31</v>
      </c>
      <c r="C484" s="22" t="s">
        <v>32</v>
      </c>
      <c r="D484" s="22" t="s">
        <v>33</v>
      </c>
      <c r="E484" s="23">
        <v>66</v>
      </c>
      <c r="F484" s="23">
        <v>2</v>
      </c>
      <c r="G484" s="23">
        <v>1</v>
      </c>
      <c r="H484" s="23"/>
      <c r="I484" s="24" t="s">
        <v>38</v>
      </c>
      <c r="J484" s="24"/>
      <c r="K484" s="23"/>
      <c r="L484" s="23"/>
      <c r="M484" s="24"/>
      <c r="N484" s="24"/>
      <c r="O484" s="26" t="s">
        <v>1080</v>
      </c>
      <c r="P484" s="26"/>
      <c r="Q484" s="23"/>
      <c r="R484" s="25"/>
      <c r="S484" s="25">
        <v>45869</v>
      </c>
      <c r="T484" s="25"/>
      <c r="U484" s="25"/>
      <c r="V484" s="25">
        <v>45869</v>
      </c>
      <c r="W484" s="23" t="s">
        <v>40</v>
      </c>
      <c r="X484" s="4" t="str">
        <f>IF(Tabela2[[#This Row],[SIGLA]]="","",VLOOKUP(Tabela2[[#This Row],[SIGLA]],créditos_base!B:C,2,0))</f>
        <v>LISLLEY GOMES FEIGE/ARQUIVO DA EDITORA</v>
      </c>
      <c r="Y484" s="24" t="s">
        <v>70</v>
      </c>
      <c r="Z484" s="24" t="str">
        <f>Tabela2[[#This Row],[ILUSTRADOR CRIAÇÃO]]</f>
        <v>LISLLEY GOMES FEIGE/ARQUIVO DA EDITORA</v>
      </c>
      <c r="AA484" s="23">
        <v>13</v>
      </c>
      <c r="AB484" s="22" t="s">
        <v>71</v>
      </c>
      <c r="AC484" s="22" t="s">
        <v>43</v>
      </c>
      <c r="AD484" s="4" t="str">
        <f t="shared" si="7"/>
        <v>EF1 E001 HGC</v>
      </c>
    </row>
    <row r="485" spans="1:30" s="14" customFormat="1" x14ac:dyDescent="0.25">
      <c r="A485" s="24" t="s">
        <v>1081</v>
      </c>
      <c r="B485" s="22" t="s">
        <v>31</v>
      </c>
      <c r="C485" s="22" t="s">
        <v>32</v>
      </c>
      <c r="D485" s="22" t="s">
        <v>33</v>
      </c>
      <c r="E485" s="23">
        <v>73</v>
      </c>
      <c r="F485" s="23">
        <v>2</v>
      </c>
      <c r="G485" s="23">
        <v>1</v>
      </c>
      <c r="H485" s="23"/>
      <c r="I485" s="24" t="s">
        <v>34</v>
      </c>
      <c r="J485" s="24"/>
      <c r="K485" s="23"/>
      <c r="L485" s="23"/>
      <c r="M485" s="24"/>
      <c r="N485" s="24"/>
      <c r="O485" s="26" t="s">
        <v>1082</v>
      </c>
      <c r="P485" s="26"/>
      <c r="Q485" s="23"/>
      <c r="R485" s="25"/>
      <c r="S485" s="25"/>
      <c r="T485" s="25"/>
      <c r="U485" s="25"/>
      <c r="V485" s="25"/>
      <c r="W485" s="23" t="s">
        <v>36</v>
      </c>
      <c r="X485" s="4" t="str">
        <f>IF(Tabela2[[#This Row],[SIGLA]]="","",VLOOKUP(Tabela2[[#This Row],[SIGLA]],créditos_base!B:C,2,0))</f>
        <v>REINALDO ROSA/ARQUIVO DA EDITORA</v>
      </c>
      <c r="Y485" s="24"/>
      <c r="Z485" s="24" t="str">
        <f>Tabela2[[#This Row],[ILUSTRADOR CRIAÇÃO]]</f>
        <v>REINALDO ROSA/ARQUIVO DA EDITORA</v>
      </c>
      <c r="AA485" s="23"/>
      <c r="AB485" s="22"/>
      <c r="AC485" s="22"/>
      <c r="AD485" s="4" t="str">
        <f t="shared" si="7"/>
        <v>EF1 E001 HGC</v>
      </c>
    </row>
    <row r="486" spans="1:30" s="14" customFormat="1" x14ac:dyDescent="0.25">
      <c r="A486" s="24" t="s">
        <v>1083</v>
      </c>
      <c r="B486" s="22" t="s">
        <v>83</v>
      </c>
      <c r="C486" s="22" t="s">
        <v>32</v>
      </c>
      <c r="D486" s="22" t="s">
        <v>33</v>
      </c>
      <c r="E486" s="23">
        <v>73</v>
      </c>
      <c r="F486" s="23">
        <v>2</v>
      </c>
      <c r="G486" s="23">
        <v>1</v>
      </c>
      <c r="H486" s="23"/>
      <c r="I486" s="24" t="s">
        <v>34</v>
      </c>
      <c r="J486" s="24"/>
      <c r="K486" s="23"/>
      <c r="L486" s="23"/>
      <c r="M486" s="24"/>
      <c r="N486" s="24"/>
      <c r="O486" s="26" t="s">
        <v>1084</v>
      </c>
      <c r="P486" s="26"/>
      <c r="Q486" s="23"/>
      <c r="R486" s="25"/>
      <c r="S486" s="25"/>
      <c r="T486" s="25"/>
      <c r="U486" s="25"/>
      <c r="V486" s="25"/>
      <c r="W486" s="23" t="s">
        <v>36</v>
      </c>
      <c r="X486" s="4" t="str">
        <f>IF(Tabela2[[#This Row],[SIGLA]]="","",VLOOKUP(Tabela2[[#This Row],[SIGLA]],créditos_base!B:C,2,0))</f>
        <v>REINALDO ROSA/ARQUIVO DA EDITORA</v>
      </c>
      <c r="Y486" s="24"/>
      <c r="Z486" s="24" t="str">
        <f>Tabela2[[#This Row],[ILUSTRADOR CRIAÇÃO]]</f>
        <v>REINALDO ROSA/ARQUIVO DA EDITORA</v>
      </c>
      <c r="AA486" s="23"/>
      <c r="AB486" s="22"/>
      <c r="AC486" s="22"/>
      <c r="AD486" s="4" t="str">
        <f t="shared" si="7"/>
        <v>EF1 E001 HGC</v>
      </c>
    </row>
    <row r="487" spans="1:30" s="14" customFormat="1" x14ac:dyDescent="0.25">
      <c r="A487" s="24" t="s">
        <v>1085</v>
      </c>
      <c r="B487" s="22" t="s">
        <v>31</v>
      </c>
      <c r="C487" s="22" t="s">
        <v>32</v>
      </c>
      <c r="D487" s="22" t="s">
        <v>33</v>
      </c>
      <c r="E487" s="23">
        <v>73</v>
      </c>
      <c r="F487" s="23">
        <v>2</v>
      </c>
      <c r="G487" s="23">
        <v>1</v>
      </c>
      <c r="H487" s="23"/>
      <c r="I487" s="24" t="s">
        <v>34</v>
      </c>
      <c r="J487" s="24"/>
      <c r="K487" s="23"/>
      <c r="L487" s="23"/>
      <c r="M487" s="24"/>
      <c r="N487" s="24"/>
      <c r="O487" s="26" t="s">
        <v>1086</v>
      </c>
      <c r="P487" s="26"/>
      <c r="Q487" s="23"/>
      <c r="R487" s="25"/>
      <c r="S487" s="25"/>
      <c r="T487" s="25"/>
      <c r="U487" s="25"/>
      <c r="V487" s="25"/>
      <c r="W487" s="23" t="s">
        <v>36</v>
      </c>
      <c r="X487" s="4" t="str">
        <f>IF(Tabela2[[#This Row],[SIGLA]]="","",VLOOKUP(Tabela2[[#This Row],[SIGLA]],créditos_base!B:C,2,0))</f>
        <v>REINALDO ROSA/ARQUIVO DA EDITORA</v>
      </c>
      <c r="Y487" s="24"/>
      <c r="Z487" s="24" t="str">
        <f>Tabela2[[#This Row],[ILUSTRADOR CRIAÇÃO]]</f>
        <v>REINALDO ROSA/ARQUIVO DA EDITORA</v>
      </c>
      <c r="AA487" s="23"/>
      <c r="AB487" s="22"/>
      <c r="AC487" s="22"/>
      <c r="AD487" s="4" t="str">
        <f t="shared" si="7"/>
        <v>EF1 E001 HGC</v>
      </c>
    </row>
    <row r="488" spans="1:30" s="14" customFormat="1" ht="30" x14ac:dyDescent="0.25">
      <c r="A488" s="24" t="s">
        <v>1087</v>
      </c>
      <c r="B488" s="22" t="s">
        <v>31</v>
      </c>
      <c r="C488" s="22" t="s">
        <v>32</v>
      </c>
      <c r="D488" s="22" t="s">
        <v>33</v>
      </c>
      <c r="E488" s="23">
        <v>73</v>
      </c>
      <c r="F488" s="23">
        <v>2</v>
      </c>
      <c r="G488" s="23">
        <v>1</v>
      </c>
      <c r="H488" s="23"/>
      <c r="I488" s="24" t="s">
        <v>38</v>
      </c>
      <c r="J488" s="24"/>
      <c r="K488" s="23"/>
      <c r="L488" s="23"/>
      <c r="M488" s="24"/>
      <c r="N488" s="24"/>
      <c r="O488" s="26" t="s">
        <v>1088</v>
      </c>
      <c r="P488" s="26"/>
      <c r="Q488" s="23"/>
      <c r="R488" s="25"/>
      <c r="S488" s="25">
        <v>45869</v>
      </c>
      <c r="T488" s="25"/>
      <c r="U488" s="25"/>
      <c r="V488" s="25">
        <v>45869</v>
      </c>
      <c r="W488" s="23" t="s">
        <v>36</v>
      </c>
      <c r="X488" s="4" t="str">
        <f>IF(Tabela2[[#This Row],[SIGLA]]="","",VLOOKUP(Tabela2[[#This Row],[SIGLA]],créditos_base!B:C,2,0))</f>
        <v>REINALDO ROSA/ARQUIVO DA EDITORA</v>
      </c>
      <c r="Y488" s="24" t="s">
        <v>70</v>
      </c>
      <c r="Z488" s="24" t="str">
        <f>Tabela2[[#This Row],[ILUSTRADOR CRIAÇÃO]]</f>
        <v>REINALDO ROSA/ARQUIVO DA EDITORA</v>
      </c>
      <c r="AA488" s="23">
        <v>13</v>
      </c>
      <c r="AB488" s="22" t="s">
        <v>71</v>
      </c>
      <c r="AC488" s="22" t="s">
        <v>43</v>
      </c>
      <c r="AD488" s="4" t="str">
        <f t="shared" si="7"/>
        <v>EF1 E001 HGC</v>
      </c>
    </row>
    <row r="489" spans="1:30" s="14" customFormat="1" x14ac:dyDescent="0.25">
      <c r="A489" s="24" t="s">
        <v>1089</v>
      </c>
      <c r="B489" s="22" t="s">
        <v>31</v>
      </c>
      <c r="C489" s="22" t="s">
        <v>32</v>
      </c>
      <c r="D489" s="22" t="s">
        <v>33</v>
      </c>
      <c r="E489" s="23">
        <v>76</v>
      </c>
      <c r="F489" s="23">
        <v>2</v>
      </c>
      <c r="G489" s="23">
        <v>1</v>
      </c>
      <c r="H489" s="23"/>
      <c r="I489" s="24" t="s">
        <v>34</v>
      </c>
      <c r="J489" s="24"/>
      <c r="K489" s="23"/>
      <c r="L489" s="23"/>
      <c r="M489" s="24"/>
      <c r="N489" s="24"/>
      <c r="O489" s="26" t="s">
        <v>1090</v>
      </c>
      <c r="P489" s="26"/>
      <c r="Q489" s="23"/>
      <c r="R489" s="25"/>
      <c r="S489" s="25"/>
      <c r="T489" s="25"/>
      <c r="U489" s="25"/>
      <c r="V489" s="25"/>
      <c r="W489" s="23" t="s">
        <v>36</v>
      </c>
      <c r="X489" s="4" t="str">
        <f>IF(Tabela2[[#This Row],[SIGLA]]="","",VLOOKUP(Tabela2[[#This Row],[SIGLA]],créditos_base!B:C,2,0))</f>
        <v>REINALDO ROSA/ARQUIVO DA EDITORA</v>
      </c>
      <c r="Y489" s="24"/>
      <c r="Z489" s="24" t="str">
        <f>Tabela2[[#This Row],[ILUSTRADOR CRIAÇÃO]]</f>
        <v>REINALDO ROSA/ARQUIVO DA EDITORA</v>
      </c>
      <c r="AA489" s="23"/>
      <c r="AB489" s="22"/>
      <c r="AC489" s="22"/>
      <c r="AD489" s="4" t="str">
        <f t="shared" si="7"/>
        <v>EF1 E001 HGC</v>
      </c>
    </row>
    <row r="490" spans="1:30" s="14" customFormat="1" x14ac:dyDescent="0.25">
      <c r="A490" s="24" t="s">
        <v>1091</v>
      </c>
      <c r="B490" s="22" t="s">
        <v>31</v>
      </c>
      <c r="C490" s="22" t="s">
        <v>32</v>
      </c>
      <c r="D490" s="22" t="s">
        <v>33</v>
      </c>
      <c r="E490" s="23">
        <v>77</v>
      </c>
      <c r="F490" s="23">
        <v>2</v>
      </c>
      <c r="G490" s="23">
        <v>1</v>
      </c>
      <c r="H490" s="23"/>
      <c r="I490" s="24" t="s">
        <v>34</v>
      </c>
      <c r="J490" s="24"/>
      <c r="K490" s="23"/>
      <c r="L490" s="23"/>
      <c r="M490" s="24"/>
      <c r="N490" s="24"/>
      <c r="O490" s="26" t="s">
        <v>1092</v>
      </c>
      <c r="P490" s="26"/>
      <c r="Q490" s="23"/>
      <c r="R490" s="25"/>
      <c r="S490" s="25"/>
      <c r="T490" s="25"/>
      <c r="U490" s="25"/>
      <c r="V490" s="25"/>
      <c r="W490" s="23" t="s">
        <v>745</v>
      </c>
      <c r="X490" s="4" t="str">
        <f>IF(Tabela2[[#This Row],[SIGLA]]="","",VLOOKUP(Tabela2[[#This Row],[SIGLA]],créditos_base!B:C,2,0))</f>
        <v>LUIZ PEREZ LENTINI/ARQUIVO DA EDITORA</v>
      </c>
      <c r="Y490" s="24"/>
      <c r="Z490" s="24" t="str">
        <f>Tabela2[[#This Row],[ILUSTRADOR CRIAÇÃO]]</f>
        <v>LUIZ PEREZ LENTINI/ARQUIVO DA EDITORA</v>
      </c>
      <c r="AA490" s="23"/>
      <c r="AB490" s="22"/>
      <c r="AC490" s="22"/>
      <c r="AD490" s="4" t="str">
        <f t="shared" si="7"/>
        <v>EF1 E001 HGC</v>
      </c>
    </row>
    <row r="491" spans="1:30" s="14" customFormat="1" x14ac:dyDescent="0.25">
      <c r="A491" s="24" t="s">
        <v>1093</v>
      </c>
      <c r="B491" s="22" t="s">
        <v>31</v>
      </c>
      <c r="C491" s="22" t="s">
        <v>32</v>
      </c>
      <c r="D491" s="22" t="s">
        <v>33</v>
      </c>
      <c r="E491" s="23">
        <v>77</v>
      </c>
      <c r="F491" s="23">
        <v>2</v>
      </c>
      <c r="G491" s="23">
        <v>1</v>
      </c>
      <c r="H491" s="23"/>
      <c r="I491" s="24" t="s">
        <v>34</v>
      </c>
      <c r="J491" s="24"/>
      <c r="K491" s="23"/>
      <c r="L491" s="23"/>
      <c r="M491" s="24"/>
      <c r="N491" s="24"/>
      <c r="O491" s="26" t="s">
        <v>1094</v>
      </c>
      <c r="P491" s="26"/>
      <c r="Q491" s="23"/>
      <c r="R491" s="25"/>
      <c r="S491" s="25"/>
      <c r="T491" s="25"/>
      <c r="U491" s="25"/>
      <c r="V491" s="25"/>
      <c r="W491" s="23" t="s">
        <v>707</v>
      </c>
      <c r="X491" s="4" t="str">
        <f>IF(Tabela2[[#This Row],[SIGLA]]="","",VLOOKUP(Tabela2[[#This Row],[SIGLA]],créditos_base!B:C,2,0))</f>
        <v>FABIO EUGENIO/ARQUIVO DA EDITORA</v>
      </c>
      <c r="Y491" s="24"/>
      <c r="Z491" s="24" t="str">
        <f>Tabela2[[#This Row],[ILUSTRADOR CRIAÇÃO]]</f>
        <v>FABIO EUGENIO/ARQUIVO DA EDITORA</v>
      </c>
      <c r="AA491" s="23"/>
      <c r="AB491" s="22"/>
      <c r="AC491" s="22"/>
      <c r="AD491" s="4" t="str">
        <f t="shared" si="7"/>
        <v>EF1 E001 HGC</v>
      </c>
    </row>
    <row r="492" spans="1:30" s="14" customFormat="1" x14ac:dyDescent="0.25">
      <c r="A492" s="24" t="s">
        <v>1095</v>
      </c>
      <c r="B492" s="22" t="s">
        <v>31</v>
      </c>
      <c r="C492" s="22" t="s">
        <v>32</v>
      </c>
      <c r="D492" s="22" t="s">
        <v>33</v>
      </c>
      <c r="E492" s="23">
        <v>77</v>
      </c>
      <c r="F492" s="23">
        <v>2</v>
      </c>
      <c r="G492" s="23">
        <v>1</v>
      </c>
      <c r="H492" s="23"/>
      <c r="I492" s="24" t="s">
        <v>34</v>
      </c>
      <c r="J492" s="24"/>
      <c r="K492" s="23"/>
      <c r="L492" s="23"/>
      <c r="M492" s="24"/>
      <c r="N492" s="24"/>
      <c r="O492" s="26" t="s">
        <v>1096</v>
      </c>
      <c r="P492" s="26"/>
      <c r="Q492" s="23"/>
      <c r="R492" s="25"/>
      <c r="S492" s="25"/>
      <c r="T492" s="25"/>
      <c r="U492" s="25"/>
      <c r="V492" s="25"/>
      <c r="W492" s="23" t="s">
        <v>36</v>
      </c>
      <c r="X492" s="4" t="str">
        <f>IF(Tabela2[[#This Row],[SIGLA]]="","",VLOOKUP(Tabela2[[#This Row],[SIGLA]],créditos_base!B:C,2,0))</f>
        <v>REINALDO ROSA/ARQUIVO DA EDITORA</v>
      </c>
      <c r="Y492" s="24"/>
      <c r="Z492" s="24" t="str">
        <f>Tabela2[[#This Row],[ILUSTRADOR CRIAÇÃO]]</f>
        <v>REINALDO ROSA/ARQUIVO DA EDITORA</v>
      </c>
      <c r="AA492" s="23"/>
      <c r="AB492" s="22"/>
      <c r="AC492" s="22"/>
      <c r="AD492" s="4" t="str">
        <f t="shared" si="7"/>
        <v>EF1 E001 HGC</v>
      </c>
    </row>
    <row r="493" spans="1:30" s="14" customFormat="1" x14ac:dyDescent="0.25">
      <c r="A493" s="24" t="s">
        <v>1097</v>
      </c>
      <c r="B493" s="22" t="s">
        <v>31</v>
      </c>
      <c r="C493" s="22" t="s">
        <v>32</v>
      </c>
      <c r="D493" s="22" t="s">
        <v>33</v>
      </c>
      <c r="E493" s="23">
        <v>77</v>
      </c>
      <c r="F493" s="23">
        <v>2</v>
      </c>
      <c r="G493" s="23">
        <v>1</v>
      </c>
      <c r="H493" s="23"/>
      <c r="I493" s="24" t="s">
        <v>34</v>
      </c>
      <c r="J493" s="24"/>
      <c r="K493" s="23"/>
      <c r="L493" s="23"/>
      <c r="M493" s="24"/>
      <c r="N493" s="24"/>
      <c r="O493" s="26" t="s">
        <v>1098</v>
      </c>
      <c r="P493" s="26"/>
      <c r="Q493" s="23"/>
      <c r="R493" s="25"/>
      <c r="S493" s="25"/>
      <c r="T493" s="25"/>
      <c r="U493" s="25"/>
      <c r="V493" s="25"/>
      <c r="W493" s="23" t="s">
        <v>36</v>
      </c>
      <c r="X493" s="4" t="str">
        <f>IF(Tabela2[[#This Row],[SIGLA]]="","",VLOOKUP(Tabela2[[#This Row],[SIGLA]],créditos_base!B:C,2,0))</f>
        <v>REINALDO ROSA/ARQUIVO DA EDITORA</v>
      </c>
      <c r="Y493" s="24"/>
      <c r="Z493" s="24" t="str">
        <f>Tabela2[[#This Row],[ILUSTRADOR CRIAÇÃO]]</f>
        <v>REINALDO ROSA/ARQUIVO DA EDITORA</v>
      </c>
      <c r="AA493" s="23"/>
      <c r="AB493" s="22"/>
      <c r="AC493" s="22"/>
      <c r="AD493" s="4" t="str">
        <f t="shared" si="7"/>
        <v>EF1 E001 HGC</v>
      </c>
    </row>
    <row r="494" spans="1:30" s="14" customFormat="1" x14ac:dyDescent="0.25">
      <c r="A494" s="24" t="s">
        <v>1099</v>
      </c>
      <c r="B494" s="22" t="s">
        <v>31</v>
      </c>
      <c r="C494" s="22" t="s">
        <v>32</v>
      </c>
      <c r="D494" s="22" t="s">
        <v>33</v>
      </c>
      <c r="E494" s="23">
        <v>77</v>
      </c>
      <c r="F494" s="23">
        <v>2</v>
      </c>
      <c r="G494" s="23">
        <v>1</v>
      </c>
      <c r="H494" s="23"/>
      <c r="I494" s="24" t="s">
        <v>34</v>
      </c>
      <c r="J494" s="24"/>
      <c r="K494" s="23"/>
      <c r="L494" s="23"/>
      <c r="M494" s="24"/>
      <c r="N494" s="24"/>
      <c r="O494" s="26" t="s">
        <v>1100</v>
      </c>
      <c r="P494" s="26"/>
      <c r="Q494" s="23"/>
      <c r="R494" s="25"/>
      <c r="S494" s="25"/>
      <c r="T494" s="25"/>
      <c r="U494" s="25"/>
      <c r="V494" s="25"/>
      <c r="W494" s="23" t="s">
        <v>36</v>
      </c>
      <c r="X494" s="4" t="str">
        <f>IF(Tabela2[[#This Row],[SIGLA]]="","",VLOOKUP(Tabela2[[#This Row],[SIGLA]],créditos_base!B:C,2,0))</f>
        <v>REINALDO ROSA/ARQUIVO DA EDITORA</v>
      </c>
      <c r="Y494" s="24"/>
      <c r="Z494" s="24" t="str">
        <f>Tabela2[[#This Row],[ILUSTRADOR CRIAÇÃO]]</f>
        <v>REINALDO ROSA/ARQUIVO DA EDITORA</v>
      </c>
      <c r="AA494" s="23"/>
      <c r="AB494" s="22"/>
      <c r="AC494" s="22"/>
      <c r="AD494" s="4" t="str">
        <f t="shared" si="7"/>
        <v>EF1 E001 HGC</v>
      </c>
    </row>
    <row r="495" spans="1:30" s="14" customFormat="1" ht="30" x14ac:dyDescent="0.25">
      <c r="A495" s="24" t="s">
        <v>1101</v>
      </c>
      <c r="B495" s="22" t="s">
        <v>31</v>
      </c>
      <c r="C495" s="22" t="s">
        <v>32</v>
      </c>
      <c r="D495" s="22" t="s">
        <v>33</v>
      </c>
      <c r="E495" s="23">
        <v>98</v>
      </c>
      <c r="F495" s="23">
        <v>2</v>
      </c>
      <c r="G495" s="23">
        <v>2</v>
      </c>
      <c r="H495" s="23"/>
      <c r="I495" s="24" t="s">
        <v>34</v>
      </c>
      <c r="J495" s="24"/>
      <c r="K495" s="23"/>
      <c r="L495" s="23"/>
      <c r="M495" s="24"/>
      <c r="N495" s="24"/>
      <c r="O495" s="26" t="s">
        <v>1102</v>
      </c>
      <c r="P495" s="26"/>
      <c r="Q495" s="23">
        <v>24</v>
      </c>
      <c r="R495" s="25">
        <v>45866</v>
      </c>
      <c r="S495" s="25">
        <v>45867</v>
      </c>
      <c r="T495" s="25"/>
      <c r="U495" s="25"/>
      <c r="V495" s="25">
        <v>45867</v>
      </c>
      <c r="W495" s="23" t="s">
        <v>405</v>
      </c>
      <c r="X495" s="4" t="str">
        <f>IF(Tabela2[[#This Row],[SIGLA]]="","",VLOOKUP(Tabela2[[#This Row],[SIGLA]],créditos_base!B:C,2,0))</f>
        <v>THIAGO LOPES/ARQUIVO DA EDITORA</v>
      </c>
      <c r="Y495" s="24" t="s">
        <v>70</v>
      </c>
      <c r="Z495" s="24" t="str">
        <f>Tabela2[[#This Row],[ILUSTRADOR CRIAÇÃO]]</f>
        <v>THIAGO LOPES/ARQUIVO DA EDITORA</v>
      </c>
      <c r="AA495" s="23">
        <v>13</v>
      </c>
      <c r="AB495" s="22" t="s">
        <v>71</v>
      </c>
      <c r="AC495" s="22" t="s">
        <v>43</v>
      </c>
      <c r="AD495" s="4" t="str">
        <f t="shared" si="7"/>
        <v>EF1 E001 HGC</v>
      </c>
    </row>
    <row r="496" spans="1:30" s="14" customFormat="1" ht="75" x14ac:dyDescent="0.25">
      <c r="A496" s="24" t="s">
        <v>1103</v>
      </c>
      <c r="B496" s="22" t="s">
        <v>31</v>
      </c>
      <c r="C496" s="22" t="s">
        <v>32</v>
      </c>
      <c r="D496" s="22" t="s">
        <v>33</v>
      </c>
      <c r="E496" s="23">
        <v>99</v>
      </c>
      <c r="F496" s="23">
        <v>2</v>
      </c>
      <c r="G496" s="23">
        <v>2</v>
      </c>
      <c r="H496" s="23"/>
      <c r="I496" s="24" t="s">
        <v>34</v>
      </c>
      <c r="J496" s="24"/>
      <c r="K496" s="23"/>
      <c r="L496" s="23"/>
      <c r="M496" s="24"/>
      <c r="N496" s="24"/>
      <c r="O496" s="26" t="s">
        <v>1104</v>
      </c>
      <c r="P496" s="26"/>
      <c r="Q496" s="23">
        <v>24</v>
      </c>
      <c r="R496" s="25">
        <v>45866</v>
      </c>
      <c r="S496" s="25">
        <v>45867</v>
      </c>
      <c r="T496" s="25"/>
      <c r="U496" s="25"/>
      <c r="V496" s="25">
        <v>45867</v>
      </c>
      <c r="W496" s="23" t="s">
        <v>405</v>
      </c>
      <c r="X496" s="4" t="str">
        <f>IF(Tabela2[[#This Row],[SIGLA]]="","",VLOOKUP(Tabela2[[#This Row],[SIGLA]],créditos_base!B:C,2,0))</f>
        <v>THIAGO LOPES/ARQUIVO DA EDITORA</v>
      </c>
      <c r="Y496" s="24" t="s">
        <v>70</v>
      </c>
      <c r="Z496" s="24" t="str">
        <f>Tabela2[[#This Row],[ILUSTRADOR CRIAÇÃO]]</f>
        <v>THIAGO LOPES/ARQUIVO DA EDITORA</v>
      </c>
      <c r="AA496" s="23">
        <v>13</v>
      </c>
      <c r="AB496" s="22" t="s">
        <v>71</v>
      </c>
      <c r="AC496" s="22" t="s">
        <v>43</v>
      </c>
      <c r="AD496" s="4" t="str">
        <f t="shared" si="7"/>
        <v>EF1 E001 HGC</v>
      </c>
    </row>
    <row r="497" spans="1:30" s="14" customFormat="1" ht="90" x14ac:dyDescent="0.25">
      <c r="A497" s="24" t="s">
        <v>1105</v>
      </c>
      <c r="B497" s="22" t="s">
        <v>31</v>
      </c>
      <c r="C497" s="22" t="s">
        <v>32</v>
      </c>
      <c r="D497" s="22" t="s">
        <v>33</v>
      </c>
      <c r="E497" s="23">
        <v>119</v>
      </c>
      <c r="F497" s="23">
        <v>2</v>
      </c>
      <c r="G497" s="23">
        <v>2</v>
      </c>
      <c r="H497" s="23"/>
      <c r="I497" s="24" t="s">
        <v>177</v>
      </c>
      <c r="J497" s="24"/>
      <c r="K497" s="23"/>
      <c r="L497" s="23"/>
      <c r="M497" s="24"/>
      <c r="N497" s="24"/>
      <c r="O497" s="26" t="s">
        <v>1106</v>
      </c>
      <c r="P497" s="26"/>
      <c r="Q497" s="23">
        <v>24</v>
      </c>
      <c r="R497" s="25">
        <v>45866</v>
      </c>
      <c r="S497" s="25">
        <v>45867</v>
      </c>
      <c r="T497" s="25">
        <v>45868</v>
      </c>
      <c r="U497" s="25">
        <v>45874</v>
      </c>
      <c r="V497" s="25">
        <v>45877</v>
      </c>
      <c r="W497" s="23" t="s">
        <v>1107</v>
      </c>
      <c r="X497" s="4" t="str">
        <f>IF(Tabela2[[#This Row],[SIGLA]]="","",VLOOKUP(Tabela2[[#This Row],[SIGLA]],créditos_base!B:C,2,0))</f>
        <v>ISABELLA MEDEIROS/ARQUIVO DA EDITORA</v>
      </c>
      <c r="Y497" s="24"/>
      <c r="Z497" s="24" t="str">
        <f>Tabela2[[#This Row],[ILUSTRADOR CRIAÇÃO]]</f>
        <v>ISABELLA MEDEIROS/ARQUIVO DA EDITORA</v>
      </c>
      <c r="AA497" s="23">
        <v>7</v>
      </c>
      <c r="AB497" s="22" t="s">
        <v>1108</v>
      </c>
      <c r="AC497" s="22" t="s">
        <v>340</v>
      </c>
      <c r="AD497" s="4" t="str">
        <f t="shared" si="7"/>
        <v>EF1 E001 HGC</v>
      </c>
    </row>
    <row r="498" spans="1:30" s="14" customFormat="1" ht="75" x14ac:dyDescent="0.25">
      <c r="A498" s="24" t="s">
        <v>1109</v>
      </c>
      <c r="B498" s="22" t="s">
        <v>31</v>
      </c>
      <c r="C498" s="22" t="s">
        <v>32</v>
      </c>
      <c r="D498" s="22" t="s">
        <v>33</v>
      </c>
      <c r="E498" s="23">
        <v>120</v>
      </c>
      <c r="F498" s="23">
        <v>2</v>
      </c>
      <c r="G498" s="23">
        <v>2</v>
      </c>
      <c r="H498" s="23"/>
      <c r="I498" s="24" t="s">
        <v>177</v>
      </c>
      <c r="J498" s="24"/>
      <c r="K498" s="23"/>
      <c r="L498" s="23"/>
      <c r="M498" s="24"/>
      <c r="N498" s="24"/>
      <c r="O498" s="26" t="s">
        <v>1110</v>
      </c>
      <c r="P498" s="26"/>
      <c r="Q498" s="23">
        <v>24</v>
      </c>
      <c r="R498" s="25">
        <v>45866</v>
      </c>
      <c r="S498" s="25">
        <v>45867</v>
      </c>
      <c r="T498" s="25">
        <v>45868</v>
      </c>
      <c r="U498" s="25">
        <v>45874</v>
      </c>
      <c r="V498" s="25">
        <v>45877</v>
      </c>
      <c r="W498" s="23" t="s">
        <v>1107</v>
      </c>
      <c r="X498" s="4" t="str">
        <f>IF(Tabela2[[#This Row],[SIGLA]]="","",VLOOKUP(Tabela2[[#This Row],[SIGLA]],créditos_base!B:C,2,0))</f>
        <v>ISABELLA MEDEIROS/ARQUIVO DA EDITORA</v>
      </c>
      <c r="Y498" s="24"/>
      <c r="Z498" s="24" t="str">
        <f>Tabela2[[#This Row],[ILUSTRADOR CRIAÇÃO]]</f>
        <v>ISABELLA MEDEIROS/ARQUIVO DA EDITORA</v>
      </c>
      <c r="AA498" s="23">
        <v>7</v>
      </c>
      <c r="AB498" s="22" t="s">
        <v>1108</v>
      </c>
      <c r="AC498" s="22" t="s">
        <v>340</v>
      </c>
      <c r="AD498" s="4" t="str">
        <f t="shared" si="7"/>
        <v>EF1 E001 HGC</v>
      </c>
    </row>
    <row r="499" spans="1:30" s="14" customFormat="1" ht="45" x14ac:dyDescent="0.25">
      <c r="A499" s="24" t="s">
        <v>1111</v>
      </c>
      <c r="B499" s="22" t="s">
        <v>31</v>
      </c>
      <c r="C499" s="22" t="s">
        <v>32</v>
      </c>
      <c r="D499" s="22" t="s">
        <v>33</v>
      </c>
      <c r="E499" s="23">
        <v>121</v>
      </c>
      <c r="F499" s="23">
        <v>2</v>
      </c>
      <c r="G499" s="23">
        <v>2</v>
      </c>
      <c r="H499" s="23"/>
      <c r="I499" s="24" t="s">
        <v>177</v>
      </c>
      <c r="J499" s="24"/>
      <c r="K499" s="23"/>
      <c r="L499" s="23"/>
      <c r="M499" s="24"/>
      <c r="N499" s="24"/>
      <c r="O499" s="26" t="s">
        <v>1112</v>
      </c>
      <c r="P499" s="26"/>
      <c r="Q499" s="23">
        <v>24</v>
      </c>
      <c r="R499" s="25">
        <v>45866</v>
      </c>
      <c r="S499" s="25">
        <v>45867</v>
      </c>
      <c r="T499" s="25">
        <v>45868</v>
      </c>
      <c r="U499" s="25">
        <v>45874</v>
      </c>
      <c r="V499" s="25">
        <v>45877</v>
      </c>
      <c r="W499" s="23" t="s">
        <v>1107</v>
      </c>
      <c r="X499" s="4" t="str">
        <f>IF(Tabela2[[#This Row],[SIGLA]]="","",VLOOKUP(Tabela2[[#This Row],[SIGLA]],créditos_base!B:C,2,0))</f>
        <v>ISABELLA MEDEIROS/ARQUIVO DA EDITORA</v>
      </c>
      <c r="Y499" s="24"/>
      <c r="Z499" s="24" t="str">
        <f>Tabela2[[#This Row],[ILUSTRADOR CRIAÇÃO]]</f>
        <v>ISABELLA MEDEIROS/ARQUIVO DA EDITORA</v>
      </c>
      <c r="AA499" s="23">
        <v>7</v>
      </c>
      <c r="AB499" s="22" t="s">
        <v>1108</v>
      </c>
      <c r="AC499" s="22" t="s">
        <v>340</v>
      </c>
      <c r="AD499" s="4" t="str">
        <f t="shared" si="7"/>
        <v>EF1 E001 HGC</v>
      </c>
    </row>
    <row r="500" spans="1:30" s="14" customFormat="1" ht="75" x14ac:dyDescent="0.25">
      <c r="A500" s="24" t="s">
        <v>1113</v>
      </c>
      <c r="B500" s="22" t="s">
        <v>31</v>
      </c>
      <c r="C500" s="22" t="s">
        <v>32</v>
      </c>
      <c r="D500" s="22" t="s">
        <v>33</v>
      </c>
      <c r="E500" s="23">
        <v>132</v>
      </c>
      <c r="F500" s="23">
        <v>2</v>
      </c>
      <c r="G500" s="23">
        <v>2</v>
      </c>
      <c r="H500" s="23"/>
      <c r="I500" s="24" t="s">
        <v>34</v>
      </c>
      <c r="J500" s="24"/>
      <c r="K500" s="23"/>
      <c r="L500" s="23"/>
      <c r="M500" s="24"/>
      <c r="N500" s="24"/>
      <c r="O500" s="26" t="s">
        <v>1114</v>
      </c>
      <c r="P500" s="26"/>
      <c r="Q500" s="23">
        <v>24</v>
      </c>
      <c r="R500" s="25">
        <v>45866</v>
      </c>
      <c r="S500" s="25">
        <v>45867</v>
      </c>
      <c r="T500" s="25"/>
      <c r="U500" s="25"/>
      <c r="V500" s="25">
        <v>45867</v>
      </c>
      <c r="W500" s="23" t="s">
        <v>280</v>
      </c>
      <c r="X500" s="4" t="str">
        <f>IF(Tabela2[[#This Row],[SIGLA]]="","",VLOOKUP(Tabela2[[#This Row],[SIGLA]],créditos_base!B:C,2,0))</f>
        <v>HELOÍSA PINTARELLI/ARQUIVO DA EDITORA</v>
      </c>
      <c r="Y500" s="24" t="s">
        <v>70</v>
      </c>
      <c r="Z500" s="24" t="str">
        <f>Tabela2[[#This Row],[ILUSTRADOR CRIAÇÃO]]</f>
        <v>HELOÍSA PINTARELLI/ARQUIVO DA EDITORA</v>
      </c>
      <c r="AA500" s="23">
        <v>13</v>
      </c>
      <c r="AB500" s="22" t="s">
        <v>71</v>
      </c>
      <c r="AC500" s="22" t="s">
        <v>43</v>
      </c>
      <c r="AD500" s="4" t="str">
        <f t="shared" si="7"/>
        <v>EF1 E001 HGC</v>
      </c>
    </row>
    <row r="501" spans="1:30" ht="45" x14ac:dyDescent="0.25">
      <c r="A501" s="24" t="s">
        <v>1115</v>
      </c>
      <c r="B501" s="22" t="s">
        <v>31</v>
      </c>
      <c r="C501" s="22" t="s">
        <v>32</v>
      </c>
      <c r="D501" s="22" t="s">
        <v>33</v>
      </c>
      <c r="E501" s="23">
        <v>62</v>
      </c>
      <c r="F501" s="23">
        <v>2</v>
      </c>
      <c r="G501" s="23">
        <v>1</v>
      </c>
      <c r="H501" s="23"/>
      <c r="I501" s="24" t="s">
        <v>38</v>
      </c>
      <c r="J501" s="24"/>
      <c r="K501" s="23"/>
      <c r="L501" s="23"/>
      <c r="M501" s="24"/>
      <c r="N501" s="24"/>
      <c r="O501" s="26" t="s">
        <v>1116</v>
      </c>
      <c r="P501" s="26"/>
      <c r="Q501" s="23"/>
      <c r="R501" s="25"/>
      <c r="S501" s="25">
        <v>45869</v>
      </c>
      <c r="T501" s="25"/>
      <c r="U501" s="25"/>
      <c r="V501" s="25">
        <v>45869</v>
      </c>
      <c r="W501" s="23" t="s">
        <v>297</v>
      </c>
      <c r="X501" s="7" t="str">
        <f>IF(Tabela2[[#This Row],[SIGLA]]="","",VLOOKUP(Tabela2[[#This Row],[SIGLA]],créditos_base!B:C,2,0))</f>
        <v>WERLLEN HOLANDA/ARQUIVO DA EDITORA</v>
      </c>
      <c r="Y501" s="24" t="s">
        <v>70</v>
      </c>
      <c r="Z501" s="24" t="str">
        <f>Tabela2[[#This Row],[ILUSTRADOR CRIAÇÃO]]</f>
        <v>WERLLEN HOLANDA/ARQUIVO DA EDITORA</v>
      </c>
      <c r="AA501" s="23">
        <v>13</v>
      </c>
      <c r="AB501" s="22" t="s">
        <v>71</v>
      </c>
      <c r="AC501" s="22" t="s">
        <v>43</v>
      </c>
      <c r="AD501" s="4" t="str">
        <f t="shared" ref="AD501:AD506" si="8">"EF1 E001 HGC"</f>
        <v>EF1 E001 HGC</v>
      </c>
    </row>
    <row r="502" spans="1:30" ht="60" x14ac:dyDescent="0.25">
      <c r="A502" s="24" t="s">
        <v>1117</v>
      </c>
      <c r="B502" s="22" t="s">
        <v>31</v>
      </c>
      <c r="C502" s="22" t="s">
        <v>32</v>
      </c>
      <c r="D502" s="22" t="s">
        <v>33</v>
      </c>
      <c r="E502" s="23">
        <v>72</v>
      </c>
      <c r="F502" s="23">
        <v>2</v>
      </c>
      <c r="G502" s="23">
        <v>1</v>
      </c>
      <c r="H502" s="23"/>
      <c r="I502" s="24" t="s">
        <v>177</v>
      </c>
      <c r="J502" s="24"/>
      <c r="K502" s="23"/>
      <c r="L502" s="23"/>
      <c r="M502" s="24"/>
      <c r="N502" s="24"/>
      <c r="O502" s="26" t="s">
        <v>1118</v>
      </c>
      <c r="P502" s="26"/>
      <c r="Q502" s="23">
        <v>25</v>
      </c>
      <c r="R502" s="25">
        <v>45866</v>
      </c>
      <c r="S502" s="25">
        <v>45867</v>
      </c>
      <c r="T502" s="25">
        <v>45876</v>
      </c>
      <c r="U502" s="25">
        <v>45877</v>
      </c>
      <c r="V502" s="25">
        <v>45882</v>
      </c>
      <c r="W502" s="23" t="s">
        <v>36</v>
      </c>
      <c r="X502" s="4" t="str">
        <f>IF(Tabela2[[#This Row],[SIGLA]]="","",VLOOKUP(Tabela2[[#This Row],[SIGLA]],créditos_base!B:C,2,0))</f>
        <v>REINALDO ROSA/ARQUIVO DA EDITORA</v>
      </c>
      <c r="Y502" s="24"/>
      <c r="Z502" s="24" t="str">
        <f>Tabela2[[#This Row],[ILUSTRADOR CRIAÇÃO]]</f>
        <v>REINALDO ROSA/ARQUIVO DA EDITORA</v>
      </c>
      <c r="AA502" s="23">
        <v>4</v>
      </c>
      <c r="AB502" s="22" t="s">
        <v>1014</v>
      </c>
      <c r="AC502" s="22" t="s">
        <v>340</v>
      </c>
      <c r="AD502" s="4" t="str">
        <f t="shared" si="8"/>
        <v>EF1 E001 HGC</v>
      </c>
    </row>
    <row r="503" spans="1:30" ht="75" x14ac:dyDescent="0.25">
      <c r="A503" s="24" t="s">
        <v>1119</v>
      </c>
      <c r="B503" s="22" t="s">
        <v>31</v>
      </c>
      <c r="C503" s="22" t="s">
        <v>32</v>
      </c>
      <c r="D503" s="22" t="s">
        <v>33</v>
      </c>
      <c r="E503" s="23">
        <v>178</v>
      </c>
      <c r="F503" s="23">
        <v>2</v>
      </c>
      <c r="G503" s="23">
        <v>3</v>
      </c>
      <c r="H503" s="23"/>
      <c r="I503" s="24" t="s">
        <v>177</v>
      </c>
      <c r="J503" s="24"/>
      <c r="K503" s="23"/>
      <c r="L503" s="23"/>
      <c r="M503" s="24"/>
      <c r="N503" s="24"/>
      <c r="O503" s="26" t="s">
        <v>1120</v>
      </c>
      <c r="P503" s="26"/>
      <c r="Q503" s="23">
        <v>25</v>
      </c>
      <c r="R503" s="25">
        <v>45869</v>
      </c>
      <c r="S503" s="25">
        <v>45869</v>
      </c>
      <c r="T503" s="25">
        <v>45873</v>
      </c>
      <c r="U503" s="25">
        <v>45874</v>
      </c>
      <c r="V503" s="25">
        <v>45875</v>
      </c>
      <c r="W503" s="23" t="s">
        <v>1121</v>
      </c>
      <c r="X503" s="4" t="str">
        <f>IF(Tabela2[[#This Row],[SIGLA]]="","",VLOOKUP(Tabela2[[#This Row],[SIGLA]],créditos_base!B:C,2,0))</f>
        <v>GABRIELA MELLO/MILENA GODOY/ARQUIVO DA EDITORA</v>
      </c>
      <c r="Y503" s="24"/>
      <c r="Z503" s="41" t="str">
        <f>Tabela2[[#This Row],[ILUSTRADOR CRIAÇÃO]]</f>
        <v>GABRIELA MELLO/MILENA GODOY/ARQUIVO DA EDITORA</v>
      </c>
      <c r="AA503" s="23">
        <v>4</v>
      </c>
      <c r="AB503" s="22" t="s">
        <v>1122</v>
      </c>
      <c r="AC503" s="22" t="s">
        <v>340</v>
      </c>
      <c r="AD503" s="4" t="str">
        <f t="shared" si="8"/>
        <v>EF1 E001 HGC</v>
      </c>
    </row>
    <row r="504" spans="1:30" ht="60" x14ac:dyDescent="0.25">
      <c r="A504" s="24" t="s">
        <v>1123</v>
      </c>
      <c r="B504" s="22" t="s">
        <v>83</v>
      </c>
      <c r="C504" s="22" t="s">
        <v>32</v>
      </c>
      <c r="D504" s="22" t="s">
        <v>33</v>
      </c>
      <c r="E504" s="23">
        <v>179</v>
      </c>
      <c r="F504" s="23">
        <v>2</v>
      </c>
      <c r="G504" s="23">
        <v>3</v>
      </c>
      <c r="H504" s="23"/>
      <c r="I504" s="24" t="s">
        <v>177</v>
      </c>
      <c r="J504" s="24"/>
      <c r="K504" s="23"/>
      <c r="L504" s="23"/>
      <c r="M504" s="24"/>
      <c r="N504" s="24"/>
      <c r="O504" s="26" t="s">
        <v>1124</v>
      </c>
      <c r="P504" s="26"/>
      <c r="Q504" s="23">
        <v>25</v>
      </c>
      <c r="R504" s="25">
        <v>45869</v>
      </c>
      <c r="S504" s="25"/>
      <c r="T504" s="25"/>
      <c r="U504" s="25"/>
      <c r="V504" s="25"/>
      <c r="W504" s="23"/>
      <c r="X504" s="4" t="str">
        <f>IF(Tabela2[[#This Row],[SIGLA]]="","",VLOOKUP(Tabela2[[#This Row],[SIGLA]],créditos_base!B:C,2,0))</f>
        <v/>
      </c>
      <c r="Y504" s="24"/>
      <c r="Z504" s="24" t="str">
        <f>Tabela2[[#This Row],[ILUSTRADOR CRIAÇÃO]]</f>
        <v/>
      </c>
      <c r="AA504" s="23"/>
      <c r="AB504" s="22" t="s">
        <v>1125</v>
      </c>
      <c r="AC504" s="22"/>
      <c r="AD504" s="4" t="str">
        <f t="shared" si="8"/>
        <v>EF1 E001 HGC</v>
      </c>
    </row>
    <row r="505" spans="1:30" ht="90" x14ac:dyDescent="0.25">
      <c r="A505" s="24" t="s">
        <v>1126</v>
      </c>
      <c r="B505" s="22" t="s">
        <v>83</v>
      </c>
      <c r="C505" s="22" t="s">
        <v>32</v>
      </c>
      <c r="D505" s="22" t="s">
        <v>33</v>
      </c>
      <c r="E505" s="23">
        <v>179</v>
      </c>
      <c r="F505" s="23">
        <v>2</v>
      </c>
      <c r="G505" s="23">
        <v>3</v>
      </c>
      <c r="H505" s="23"/>
      <c r="I505" s="24" t="s">
        <v>177</v>
      </c>
      <c r="J505" s="24"/>
      <c r="K505" s="23"/>
      <c r="L505" s="23"/>
      <c r="M505" s="24"/>
      <c r="N505" s="24"/>
      <c r="O505" s="26" t="s">
        <v>1127</v>
      </c>
      <c r="P505" s="26"/>
      <c r="Q505" s="23">
        <v>25</v>
      </c>
      <c r="R505" s="25">
        <v>45869</v>
      </c>
      <c r="S505" s="25"/>
      <c r="T505" s="25"/>
      <c r="U505" s="25"/>
      <c r="V505" s="25"/>
      <c r="W505" s="23"/>
      <c r="X505" s="4" t="str">
        <f>IF(Tabela2[[#This Row],[SIGLA]]="","",VLOOKUP(Tabela2[[#This Row],[SIGLA]],créditos_base!B:C,2,0))</f>
        <v/>
      </c>
      <c r="Y505" s="24"/>
      <c r="Z505" s="24" t="str">
        <f>Tabela2[[#This Row],[ILUSTRADOR CRIAÇÃO]]</f>
        <v/>
      </c>
      <c r="AA505" s="23"/>
      <c r="AB505" s="22" t="s">
        <v>1125</v>
      </c>
      <c r="AC505" s="22"/>
      <c r="AD505" s="4" t="str">
        <f t="shared" si="8"/>
        <v>EF1 E001 HGC</v>
      </c>
    </row>
    <row r="506" spans="1:30" ht="30" x14ac:dyDescent="0.25">
      <c r="A506" s="24" t="s">
        <v>1128</v>
      </c>
      <c r="B506" s="22" t="s">
        <v>31</v>
      </c>
      <c r="C506" s="22" t="s">
        <v>32</v>
      </c>
      <c r="D506" s="22" t="s">
        <v>33</v>
      </c>
      <c r="E506" s="23">
        <v>184</v>
      </c>
      <c r="F506" s="23">
        <v>2</v>
      </c>
      <c r="G506" s="23">
        <v>3</v>
      </c>
      <c r="H506" s="23"/>
      <c r="I506" s="24" t="s">
        <v>38</v>
      </c>
      <c r="J506" s="24"/>
      <c r="K506" s="23"/>
      <c r="L506" s="23"/>
      <c r="M506" s="24"/>
      <c r="N506" s="24"/>
      <c r="O506" s="26" t="s">
        <v>1129</v>
      </c>
      <c r="P506" s="26"/>
      <c r="Q506" s="23">
        <v>25</v>
      </c>
      <c r="R506" s="25">
        <v>45869</v>
      </c>
      <c r="S506" s="25">
        <v>45870</v>
      </c>
      <c r="T506" s="25"/>
      <c r="U506" s="25"/>
      <c r="V506" s="25">
        <v>45870</v>
      </c>
      <c r="W506" s="23" t="s">
        <v>1130</v>
      </c>
      <c r="X506" s="4" t="str">
        <f>IF(Tabela2[[#This Row],[SIGLA]]="","",VLOOKUP(Tabela2[[#This Row],[SIGLA]],créditos_base!B:C,2,0))</f>
        <v>CLARISSA FRANÇA/ARQUIVO DA EDITORA</v>
      </c>
      <c r="Y506" s="24" t="s">
        <v>180</v>
      </c>
      <c r="Z506" s="24" t="str">
        <f>Tabela2[[#This Row],[ILUSTRADOR CRIAÇÃO]]</f>
        <v>CLARISSA FRANÇA/ARQUIVO DA EDITORA</v>
      </c>
      <c r="AA506" s="23">
        <v>13</v>
      </c>
      <c r="AB506" s="22" t="s">
        <v>71</v>
      </c>
      <c r="AC506" s="22" t="s">
        <v>43</v>
      </c>
      <c r="AD506" s="4" t="str">
        <f t="shared" si="8"/>
        <v>EF1 E001 HGC</v>
      </c>
    </row>
    <row r="507" spans="1:30" ht="45" x14ac:dyDescent="0.25">
      <c r="A507" s="24" t="s">
        <v>1131</v>
      </c>
      <c r="B507" s="22" t="s">
        <v>31</v>
      </c>
      <c r="C507" s="22" t="s">
        <v>32</v>
      </c>
      <c r="D507" s="22" t="s">
        <v>33</v>
      </c>
      <c r="E507" s="23">
        <v>206</v>
      </c>
      <c r="F507" s="23">
        <v>2</v>
      </c>
      <c r="G507" s="23">
        <v>3</v>
      </c>
      <c r="H507" s="23"/>
      <c r="I507" s="24" t="s">
        <v>34</v>
      </c>
      <c r="J507" s="24"/>
      <c r="K507" s="23"/>
      <c r="L507" s="23"/>
      <c r="M507" s="24"/>
      <c r="N507" s="24"/>
      <c r="O507" s="26" t="s">
        <v>1132</v>
      </c>
      <c r="P507" s="22"/>
      <c r="Q507" s="23"/>
      <c r="R507" s="25"/>
      <c r="S507" s="25"/>
      <c r="T507" s="25"/>
      <c r="U507" s="25"/>
      <c r="V507" s="25"/>
      <c r="W507" s="23"/>
      <c r="X507" s="4" t="str">
        <f>IF(Tabela2[[#This Row],[SIGLA]]="","",VLOOKUP(Tabela2[[#This Row],[SIGLA]],créditos_base!B:C,2,0))</f>
        <v/>
      </c>
      <c r="Y507" s="24"/>
      <c r="Z507" s="24" t="str">
        <f>Tabela2[[#This Row],[ILUSTRADOR CRIAÇÃO]]</f>
        <v/>
      </c>
      <c r="AA507" s="23"/>
      <c r="AB507" s="22"/>
      <c r="AC507" s="22"/>
      <c r="AD507" s="4" t="str">
        <f t="shared" ref="AD507:AD599" si="9">"EF1 E001 HGC"</f>
        <v>EF1 E001 HGC</v>
      </c>
    </row>
    <row r="508" spans="1:30" ht="45" x14ac:dyDescent="0.25">
      <c r="A508" s="24" t="s">
        <v>1133</v>
      </c>
      <c r="B508" s="22" t="s">
        <v>31</v>
      </c>
      <c r="C508" s="22" t="s">
        <v>32</v>
      </c>
      <c r="D508" s="22" t="s">
        <v>33</v>
      </c>
      <c r="E508" s="23">
        <v>206</v>
      </c>
      <c r="F508" s="23">
        <v>2</v>
      </c>
      <c r="G508" s="23">
        <v>3</v>
      </c>
      <c r="H508" s="23"/>
      <c r="I508" s="24" t="s">
        <v>34</v>
      </c>
      <c r="J508" s="24"/>
      <c r="K508" s="23"/>
      <c r="L508" s="23"/>
      <c r="M508" s="24"/>
      <c r="N508" s="24"/>
      <c r="O508" s="26" t="s">
        <v>1134</v>
      </c>
      <c r="P508" s="22"/>
      <c r="Q508" s="23"/>
      <c r="R508" s="25"/>
      <c r="S508" s="25"/>
      <c r="T508" s="25"/>
      <c r="U508" s="25"/>
      <c r="V508" s="25"/>
      <c r="W508" s="23"/>
      <c r="X508" s="4" t="str">
        <f>IF(Tabela2[[#This Row],[SIGLA]]="","",VLOOKUP(Tabela2[[#This Row],[SIGLA]],créditos_base!B:C,2,0))</f>
        <v/>
      </c>
      <c r="Y508" s="24"/>
      <c r="Z508" s="24" t="str">
        <f>Tabela2[[#This Row],[ILUSTRADOR CRIAÇÃO]]</f>
        <v/>
      </c>
      <c r="AA508" s="23"/>
      <c r="AB508" s="22"/>
      <c r="AC508" s="22"/>
      <c r="AD508" s="4" t="str">
        <f t="shared" si="9"/>
        <v>EF1 E001 HGC</v>
      </c>
    </row>
    <row r="509" spans="1:30" ht="45" x14ac:dyDescent="0.25">
      <c r="A509" s="24" t="s">
        <v>1135</v>
      </c>
      <c r="B509" s="22" t="s">
        <v>31</v>
      </c>
      <c r="C509" s="22" t="s">
        <v>32</v>
      </c>
      <c r="D509" s="22" t="s">
        <v>33</v>
      </c>
      <c r="E509" s="23">
        <v>206</v>
      </c>
      <c r="F509" s="23">
        <v>2</v>
      </c>
      <c r="G509" s="23">
        <v>3</v>
      </c>
      <c r="H509" s="23"/>
      <c r="I509" s="24" t="s">
        <v>34</v>
      </c>
      <c r="J509" s="24"/>
      <c r="K509" s="23"/>
      <c r="L509" s="23"/>
      <c r="M509" s="24"/>
      <c r="N509" s="24"/>
      <c r="O509" s="26" t="s">
        <v>1136</v>
      </c>
      <c r="P509" s="22"/>
      <c r="Q509" s="23"/>
      <c r="R509" s="25"/>
      <c r="S509" s="25"/>
      <c r="T509" s="25"/>
      <c r="U509" s="25"/>
      <c r="V509" s="25"/>
      <c r="W509" s="23"/>
      <c r="X509" s="4" t="str">
        <f>IF(Tabela2[[#This Row],[SIGLA]]="","",VLOOKUP(Tabela2[[#This Row],[SIGLA]],créditos_base!B:C,2,0))</f>
        <v/>
      </c>
      <c r="Y509" s="24"/>
      <c r="Z509" s="24" t="str">
        <f>Tabela2[[#This Row],[ILUSTRADOR CRIAÇÃO]]</f>
        <v/>
      </c>
      <c r="AA509" s="23"/>
      <c r="AB509" s="22"/>
      <c r="AC509" s="22"/>
      <c r="AD509" s="4" t="str">
        <f t="shared" si="9"/>
        <v>EF1 E001 HGC</v>
      </c>
    </row>
    <row r="510" spans="1:30" ht="45" x14ac:dyDescent="0.25">
      <c r="A510" s="24" t="s">
        <v>1137</v>
      </c>
      <c r="B510" s="22" t="s">
        <v>31</v>
      </c>
      <c r="C510" s="22" t="s">
        <v>32</v>
      </c>
      <c r="D510" s="22" t="s">
        <v>33</v>
      </c>
      <c r="E510" s="23">
        <v>206</v>
      </c>
      <c r="F510" s="23">
        <v>2</v>
      </c>
      <c r="G510" s="23">
        <v>3</v>
      </c>
      <c r="H510" s="23"/>
      <c r="I510" s="24" t="s">
        <v>34</v>
      </c>
      <c r="J510" s="24"/>
      <c r="K510" s="23"/>
      <c r="L510" s="23"/>
      <c r="M510" s="24"/>
      <c r="N510" s="24"/>
      <c r="O510" s="26" t="s">
        <v>1138</v>
      </c>
      <c r="P510" s="22"/>
      <c r="Q510" s="23"/>
      <c r="R510" s="25"/>
      <c r="S510" s="25"/>
      <c r="T510" s="25"/>
      <c r="U510" s="25"/>
      <c r="V510" s="25"/>
      <c r="W510" s="23"/>
      <c r="X510" s="4" t="str">
        <f>IF(Tabela2[[#This Row],[SIGLA]]="","",VLOOKUP(Tabela2[[#This Row],[SIGLA]],créditos_base!B:C,2,0))</f>
        <v/>
      </c>
      <c r="Y510" s="24"/>
      <c r="Z510" s="24" t="str">
        <f>Tabela2[[#This Row],[ILUSTRADOR CRIAÇÃO]]</f>
        <v/>
      </c>
      <c r="AA510" s="23"/>
      <c r="AB510" s="22"/>
      <c r="AC510" s="22"/>
      <c r="AD510" s="4" t="str">
        <f t="shared" si="9"/>
        <v>EF1 E001 HGC</v>
      </c>
    </row>
    <row r="511" spans="1:30" ht="30" x14ac:dyDescent="0.25">
      <c r="A511" s="24" t="s">
        <v>1139</v>
      </c>
      <c r="B511" s="22" t="s">
        <v>31</v>
      </c>
      <c r="C511" s="22" t="s">
        <v>32</v>
      </c>
      <c r="D511" s="22" t="s">
        <v>33</v>
      </c>
      <c r="E511" s="23">
        <v>276</v>
      </c>
      <c r="F511" s="23">
        <v>1</v>
      </c>
      <c r="G511" s="23">
        <v>4</v>
      </c>
      <c r="H511" s="23"/>
      <c r="I511" s="24" t="s">
        <v>34</v>
      </c>
      <c r="J511" s="24"/>
      <c r="K511" s="23"/>
      <c r="L511" s="23"/>
      <c r="M511" s="24"/>
      <c r="N511" s="24"/>
      <c r="O511" s="26" t="s">
        <v>1140</v>
      </c>
      <c r="P511" s="22"/>
      <c r="Q511" s="23"/>
      <c r="R511" s="25"/>
      <c r="S511" s="25"/>
      <c r="T511" s="25"/>
      <c r="U511" s="25"/>
      <c r="V511" s="25"/>
      <c r="W511" s="23" t="s">
        <v>193</v>
      </c>
      <c r="X511" s="4" t="str">
        <f>IF(Tabela2[[#This Row],[SIGLA]]="","",VLOOKUP(Tabela2[[#This Row],[SIGLA]],créditos_base!B:C,2,0))</f>
        <v>NATANAELE BILMAIA/ARQUIVO DA EDITORA</v>
      </c>
      <c r="Y511" s="24"/>
      <c r="Z511" s="24" t="str">
        <f>Tabela2[[#This Row],[ILUSTRADOR CRIAÇÃO]]</f>
        <v>NATANAELE BILMAIA/ARQUIVO DA EDITORA</v>
      </c>
      <c r="AA511" s="23"/>
      <c r="AB511" s="22"/>
      <c r="AC511" s="22"/>
      <c r="AD511" s="4" t="str">
        <f t="shared" si="9"/>
        <v>EF1 E001 HGC</v>
      </c>
    </row>
    <row r="512" spans="1:30" ht="30" x14ac:dyDescent="0.25">
      <c r="A512" s="24" t="s">
        <v>1141</v>
      </c>
      <c r="B512" s="22" t="s">
        <v>31</v>
      </c>
      <c r="C512" s="22" t="s">
        <v>32</v>
      </c>
      <c r="D512" s="22" t="s">
        <v>33</v>
      </c>
      <c r="E512" s="23">
        <v>276</v>
      </c>
      <c r="F512" s="23">
        <v>1</v>
      </c>
      <c r="G512" s="23">
        <v>4</v>
      </c>
      <c r="H512" s="23"/>
      <c r="I512" s="24" t="s">
        <v>34</v>
      </c>
      <c r="J512" s="24"/>
      <c r="K512" s="23"/>
      <c r="L512" s="23"/>
      <c r="M512" s="24"/>
      <c r="N512" s="24"/>
      <c r="O512" s="26" t="s">
        <v>1142</v>
      </c>
      <c r="P512" s="22"/>
      <c r="Q512" s="23"/>
      <c r="R512" s="25"/>
      <c r="S512" s="25"/>
      <c r="T512" s="25"/>
      <c r="U512" s="25"/>
      <c r="V512" s="25"/>
      <c r="W512" s="23" t="s">
        <v>193</v>
      </c>
      <c r="X512" s="4" t="str">
        <f>IF(Tabela2[[#This Row],[SIGLA]]="","",VLOOKUP(Tabela2[[#This Row],[SIGLA]],créditos_base!B:C,2,0))</f>
        <v>NATANAELE BILMAIA/ARQUIVO DA EDITORA</v>
      </c>
      <c r="Y512" s="24"/>
      <c r="Z512" s="24" t="str">
        <f>Tabela2[[#This Row],[ILUSTRADOR CRIAÇÃO]]</f>
        <v>NATANAELE BILMAIA/ARQUIVO DA EDITORA</v>
      </c>
      <c r="AA512" s="23"/>
      <c r="AB512" s="22"/>
      <c r="AC512" s="22"/>
      <c r="AD512" s="4" t="str">
        <f t="shared" si="9"/>
        <v>EF1 E001 HGC</v>
      </c>
    </row>
    <row r="513" spans="1:30" ht="60" x14ac:dyDescent="0.25">
      <c r="A513" s="24" t="s">
        <v>1143</v>
      </c>
      <c r="B513" s="22" t="s">
        <v>31</v>
      </c>
      <c r="C513" s="22" t="s">
        <v>32</v>
      </c>
      <c r="D513" s="22" t="s">
        <v>33</v>
      </c>
      <c r="E513" s="23">
        <v>261</v>
      </c>
      <c r="F513" s="23">
        <v>2</v>
      </c>
      <c r="G513" s="23">
        <v>4</v>
      </c>
      <c r="H513" s="23"/>
      <c r="I513" s="24" t="s">
        <v>177</v>
      </c>
      <c r="J513" s="24"/>
      <c r="K513" s="23"/>
      <c r="L513" s="23"/>
      <c r="M513" s="24"/>
      <c r="N513" s="24"/>
      <c r="O513" s="26" t="s">
        <v>1144</v>
      </c>
      <c r="P513" s="22"/>
      <c r="Q513" s="23">
        <v>27</v>
      </c>
      <c r="R513" s="25">
        <v>45870</v>
      </c>
      <c r="S513" s="25">
        <v>45874</v>
      </c>
      <c r="T513" s="25"/>
      <c r="U513" s="25"/>
      <c r="V513" s="25">
        <v>45877</v>
      </c>
      <c r="W513" s="23" t="s">
        <v>280</v>
      </c>
      <c r="X513" s="4" t="str">
        <f>IF(Tabela2[[#This Row],[SIGLA]]="","",VLOOKUP(Tabela2[[#This Row],[SIGLA]],créditos_base!B:C,2,0))</f>
        <v>HELOÍSA PINTARELLI/ARQUIVO DA EDITORA</v>
      </c>
      <c r="Y513" s="24"/>
      <c r="Z513" s="24" t="str">
        <f>Tabela2[[#This Row],[ILUSTRADOR CRIAÇÃO]]</f>
        <v>HELOÍSA PINTARELLI/ARQUIVO DA EDITORA</v>
      </c>
      <c r="AA513" s="23">
        <v>6</v>
      </c>
      <c r="AB513" s="22" t="s">
        <v>1145</v>
      </c>
      <c r="AC513" s="22" t="s">
        <v>340</v>
      </c>
      <c r="AD513" s="4" t="str">
        <f t="shared" si="9"/>
        <v>EF1 E001 HGC</v>
      </c>
    </row>
    <row r="514" spans="1:30" ht="60" x14ac:dyDescent="0.25">
      <c r="A514" s="24" t="s">
        <v>1146</v>
      </c>
      <c r="B514" s="22" t="s">
        <v>31</v>
      </c>
      <c r="C514" s="22" t="s">
        <v>32</v>
      </c>
      <c r="D514" s="22" t="s">
        <v>33</v>
      </c>
      <c r="E514" s="23">
        <v>265</v>
      </c>
      <c r="F514" s="23">
        <v>2</v>
      </c>
      <c r="G514" s="23">
        <v>4</v>
      </c>
      <c r="H514" s="23"/>
      <c r="I514" s="24" t="s">
        <v>177</v>
      </c>
      <c r="J514" s="24"/>
      <c r="K514" s="23"/>
      <c r="L514" s="23"/>
      <c r="M514" s="24"/>
      <c r="N514" s="24"/>
      <c r="O514" s="26" t="s">
        <v>1147</v>
      </c>
      <c r="P514" s="22"/>
      <c r="Q514" s="23">
        <v>27</v>
      </c>
      <c r="R514" s="25">
        <v>45870</v>
      </c>
      <c r="S514" s="25">
        <v>45873</v>
      </c>
      <c r="T514" s="25">
        <v>45880</v>
      </c>
      <c r="U514" s="25">
        <v>45881</v>
      </c>
      <c r="V514" s="25">
        <v>45888</v>
      </c>
      <c r="W514" s="23" t="s">
        <v>40</v>
      </c>
      <c r="X514" s="4" t="str">
        <f>IF(Tabela2[[#This Row],[SIGLA]]="","",VLOOKUP(Tabela2[[#This Row],[SIGLA]],créditos_base!B:C,2,0))</f>
        <v>LISLLEY GOMES FEIGE/ARQUIVO DA EDITORA</v>
      </c>
      <c r="Y514" s="24"/>
      <c r="Z514" s="24" t="str">
        <f>Tabela2[[#This Row],[ILUSTRADOR CRIAÇÃO]]</f>
        <v>LISLLEY GOMES FEIGE/ARQUIVO DA EDITORA</v>
      </c>
      <c r="AA514" s="23">
        <v>4</v>
      </c>
      <c r="AB514" s="26" t="s">
        <v>1148</v>
      </c>
      <c r="AC514" s="22" t="s">
        <v>340</v>
      </c>
      <c r="AD514" s="4" t="str">
        <f t="shared" ref="AD514:AD545" si="10">"EF1 E001 HGC"</f>
        <v>EF1 E001 HGC</v>
      </c>
    </row>
    <row r="515" spans="1:30" ht="45" x14ac:dyDescent="0.25">
      <c r="A515" s="24" t="s">
        <v>1149</v>
      </c>
      <c r="B515" s="22" t="s">
        <v>31</v>
      </c>
      <c r="C515" s="22" t="s">
        <v>32</v>
      </c>
      <c r="D515" s="22" t="s">
        <v>33</v>
      </c>
      <c r="E515" s="23">
        <v>268</v>
      </c>
      <c r="F515" s="23">
        <v>2</v>
      </c>
      <c r="G515" s="23">
        <v>4</v>
      </c>
      <c r="H515" s="23"/>
      <c r="I515" s="24" t="s">
        <v>38</v>
      </c>
      <c r="J515" s="24"/>
      <c r="K515" s="23"/>
      <c r="L515" s="23"/>
      <c r="M515" s="24"/>
      <c r="N515" s="24"/>
      <c r="O515" s="26" t="s">
        <v>1150</v>
      </c>
      <c r="P515" s="22"/>
      <c r="Q515" s="23">
        <v>27</v>
      </c>
      <c r="R515" s="25">
        <v>45870</v>
      </c>
      <c r="S515" s="25">
        <v>45870</v>
      </c>
      <c r="T515" s="25"/>
      <c r="U515" s="25"/>
      <c r="V515" s="25">
        <v>45874</v>
      </c>
      <c r="W515" s="23" t="s">
        <v>1151</v>
      </c>
      <c r="X515" s="4" t="str">
        <f>IF(Tabela2[[#This Row],[SIGLA]]="","",VLOOKUP(Tabela2[[#This Row],[SIGLA]],créditos_base!B:C,2,0))</f>
        <v>CAUÊ ZUNCHINI/ARQUIVO DA EDITORA</v>
      </c>
      <c r="Y515" s="24" t="s">
        <v>70</v>
      </c>
      <c r="Z515" s="24" t="str">
        <f>Tabela2[[#This Row],[ILUSTRADOR CRIAÇÃO]]</f>
        <v>CAUÊ ZUNCHINI/ARQUIVO DA EDITORA</v>
      </c>
      <c r="AA515" s="23">
        <v>13</v>
      </c>
      <c r="AB515" s="22" t="s">
        <v>71</v>
      </c>
      <c r="AC515" s="22" t="s">
        <v>43</v>
      </c>
      <c r="AD515" s="4" t="str">
        <f t="shared" si="10"/>
        <v>EF1 E001 HGC</v>
      </c>
    </row>
    <row r="516" spans="1:30" ht="90" x14ac:dyDescent="0.25">
      <c r="A516" s="24" t="s">
        <v>1152</v>
      </c>
      <c r="B516" s="22" t="s">
        <v>67</v>
      </c>
      <c r="C516" s="22" t="s">
        <v>32</v>
      </c>
      <c r="D516" s="22" t="s">
        <v>33</v>
      </c>
      <c r="E516" s="23">
        <v>269</v>
      </c>
      <c r="F516" s="23">
        <v>2</v>
      </c>
      <c r="G516" s="23">
        <v>4</v>
      </c>
      <c r="H516" s="23"/>
      <c r="I516" s="24" t="s">
        <v>177</v>
      </c>
      <c r="J516" s="24"/>
      <c r="K516" s="23"/>
      <c r="L516" s="23"/>
      <c r="M516" s="24"/>
      <c r="N516" s="24"/>
      <c r="O516" s="26" t="s">
        <v>1153</v>
      </c>
      <c r="P516" s="22"/>
      <c r="Q516" s="23">
        <v>27</v>
      </c>
      <c r="R516" s="25">
        <v>45870</v>
      </c>
      <c r="S516" s="25">
        <v>45873</v>
      </c>
      <c r="T516" s="25">
        <v>45880</v>
      </c>
      <c r="U516" s="25">
        <v>45881</v>
      </c>
      <c r="V516" s="25">
        <v>45888</v>
      </c>
      <c r="W516" s="23" t="s">
        <v>40</v>
      </c>
      <c r="X516" s="4" t="str">
        <f>IF(Tabela2[[#This Row],[SIGLA]]="","",VLOOKUP(Tabela2[[#This Row],[SIGLA]],créditos_base!B:C,2,0))</f>
        <v>LISLLEY GOMES FEIGE/ARQUIVO DA EDITORA</v>
      </c>
      <c r="Y516" s="24"/>
      <c r="Z516" s="24" t="str">
        <f>Tabela2[[#This Row],[ILUSTRADOR CRIAÇÃO]]</f>
        <v>LISLLEY GOMES FEIGE/ARQUIVO DA EDITORA</v>
      </c>
      <c r="AA516" s="23">
        <v>3</v>
      </c>
      <c r="AB516" s="26" t="s">
        <v>1148</v>
      </c>
      <c r="AC516" s="22" t="s">
        <v>340</v>
      </c>
      <c r="AD516" s="4" t="str">
        <f t="shared" si="10"/>
        <v>EF1 E001 HGC</v>
      </c>
    </row>
    <row r="517" spans="1:30" ht="105" x14ac:dyDescent="0.25">
      <c r="A517" s="24" t="s">
        <v>1154</v>
      </c>
      <c r="B517" s="22" t="s">
        <v>83</v>
      </c>
      <c r="C517" s="22" t="s">
        <v>32</v>
      </c>
      <c r="D517" s="22" t="s">
        <v>33</v>
      </c>
      <c r="E517" s="23">
        <v>269</v>
      </c>
      <c r="F517" s="23">
        <v>2</v>
      </c>
      <c r="G517" s="23">
        <v>4</v>
      </c>
      <c r="H517" s="23"/>
      <c r="I517" s="24" t="s">
        <v>177</v>
      </c>
      <c r="J517" s="24"/>
      <c r="K517" s="23"/>
      <c r="L517" s="23"/>
      <c r="M517" s="24"/>
      <c r="N517" s="24"/>
      <c r="O517" s="26" t="s">
        <v>1155</v>
      </c>
      <c r="P517" s="22"/>
      <c r="Q517" s="23">
        <v>27</v>
      </c>
      <c r="R517" s="25">
        <v>45870</v>
      </c>
      <c r="S517" s="25"/>
      <c r="T517" s="25"/>
      <c r="U517" s="25"/>
      <c r="V517" s="25"/>
      <c r="W517" s="23"/>
      <c r="X517" s="4" t="str">
        <f>IF(Tabela2[[#This Row],[SIGLA]]="","",VLOOKUP(Tabela2[[#This Row],[SIGLA]],créditos_base!B:C,2,0))</f>
        <v/>
      </c>
      <c r="Y517" s="24"/>
      <c r="Z517" s="24" t="str">
        <f>Tabela2[[#This Row],[ILUSTRADOR CRIAÇÃO]]</f>
        <v/>
      </c>
      <c r="AA517" s="23"/>
      <c r="AB517" s="22" t="s">
        <v>1156</v>
      </c>
      <c r="AC517" s="22"/>
      <c r="AD517" s="4" t="str">
        <f t="shared" si="10"/>
        <v>EF1 E001 HGC</v>
      </c>
    </row>
    <row r="518" spans="1:30" ht="90" x14ac:dyDescent="0.25">
      <c r="A518" s="24" t="s">
        <v>1157</v>
      </c>
      <c r="B518" s="22" t="s">
        <v>31</v>
      </c>
      <c r="C518" s="22" t="s">
        <v>32</v>
      </c>
      <c r="D518" s="22" t="s">
        <v>33</v>
      </c>
      <c r="E518" s="23">
        <v>270</v>
      </c>
      <c r="F518" s="23">
        <v>2</v>
      </c>
      <c r="G518" s="23">
        <v>4</v>
      </c>
      <c r="H518" s="23"/>
      <c r="I518" s="24" t="s">
        <v>38</v>
      </c>
      <c r="J518" s="24"/>
      <c r="K518" s="23"/>
      <c r="L518" s="23"/>
      <c r="M518" s="24"/>
      <c r="N518" s="24"/>
      <c r="O518" s="26" t="s">
        <v>1158</v>
      </c>
      <c r="P518" s="22"/>
      <c r="Q518" s="23">
        <v>27</v>
      </c>
      <c r="R518" s="25">
        <v>45870</v>
      </c>
      <c r="S518" s="25">
        <v>45870</v>
      </c>
      <c r="T518" s="25"/>
      <c r="U518" s="25"/>
      <c r="V518" s="25">
        <v>45874</v>
      </c>
      <c r="W518" s="23" t="s">
        <v>40</v>
      </c>
      <c r="X518" s="4" t="str">
        <f>IF(Tabela2[[#This Row],[SIGLA]]="","",VLOOKUP(Tabela2[[#This Row],[SIGLA]],créditos_base!B:C,2,0))</f>
        <v>LISLLEY GOMES FEIGE/ARQUIVO DA EDITORA</v>
      </c>
      <c r="Y518" s="24" t="s">
        <v>70</v>
      </c>
      <c r="Z518" s="24" t="str">
        <f>Tabela2[[#This Row],[ILUSTRADOR CRIAÇÃO]]</f>
        <v>LISLLEY GOMES FEIGE/ARQUIVO DA EDITORA</v>
      </c>
      <c r="AA518" s="23">
        <v>13</v>
      </c>
      <c r="AB518" s="22" t="s">
        <v>71</v>
      </c>
      <c r="AC518" s="22" t="s">
        <v>43</v>
      </c>
      <c r="AD518" s="4" t="str">
        <f t="shared" si="10"/>
        <v>EF1 E001 HGC</v>
      </c>
    </row>
    <row r="519" spans="1:30" x14ac:dyDescent="0.25">
      <c r="A519" s="24" t="s">
        <v>1159</v>
      </c>
      <c r="B519" s="22" t="s">
        <v>83</v>
      </c>
      <c r="C519" s="22" t="s">
        <v>32</v>
      </c>
      <c r="D519" s="22" t="s">
        <v>33</v>
      </c>
      <c r="E519" s="23">
        <v>275</v>
      </c>
      <c r="F519" s="23">
        <v>2</v>
      </c>
      <c r="G519" s="23">
        <v>4</v>
      </c>
      <c r="H519" s="23"/>
      <c r="I519" s="24" t="s">
        <v>34</v>
      </c>
      <c r="J519" s="24"/>
      <c r="K519" s="23"/>
      <c r="L519" s="23"/>
      <c r="M519" s="24"/>
      <c r="N519" s="24"/>
      <c r="O519" s="22" t="s">
        <v>1160</v>
      </c>
      <c r="P519" s="22"/>
      <c r="Q519" s="23"/>
      <c r="R519" s="25"/>
      <c r="S519" s="25"/>
      <c r="T519" s="25"/>
      <c r="U519" s="25"/>
      <c r="V519" s="25"/>
      <c r="W519" s="23"/>
      <c r="X519" s="4" t="str">
        <f>IF(Tabela2[[#This Row],[SIGLA]]="","",VLOOKUP(Tabela2[[#This Row],[SIGLA]],créditos_base!B:C,2,0))</f>
        <v/>
      </c>
      <c r="Y519" s="24"/>
      <c r="Z519" s="24" t="str">
        <f>Tabela2[[#This Row],[ILUSTRADOR CRIAÇÃO]]</f>
        <v/>
      </c>
      <c r="AA519" s="23"/>
      <c r="AB519" s="22"/>
      <c r="AC519" s="22"/>
      <c r="AD519" s="4" t="str">
        <f t="shared" si="10"/>
        <v>EF1 E001 HGC</v>
      </c>
    </row>
    <row r="520" spans="1:30" x14ac:dyDescent="0.25">
      <c r="A520" s="24" t="s">
        <v>1161</v>
      </c>
      <c r="B520" s="22" t="s">
        <v>83</v>
      </c>
      <c r="C520" s="22" t="s">
        <v>32</v>
      </c>
      <c r="D520" s="22" t="s">
        <v>33</v>
      </c>
      <c r="E520" s="23">
        <v>275</v>
      </c>
      <c r="F520" s="23">
        <v>2</v>
      </c>
      <c r="G520" s="23">
        <v>4</v>
      </c>
      <c r="H520" s="23"/>
      <c r="I520" s="24" t="s">
        <v>34</v>
      </c>
      <c r="J520" s="24"/>
      <c r="K520" s="23"/>
      <c r="L520" s="23"/>
      <c r="M520" s="24"/>
      <c r="N520" s="24"/>
      <c r="O520" s="22" t="s">
        <v>1162</v>
      </c>
      <c r="P520" s="22"/>
      <c r="Q520" s="23"/>
      <c r="R520" s="25"/>
      <c r="S520" s="25"/>
      <c r="T520" s="25"/>
      <c r="U520" s="25"/>
      <c r="V520" s="25"/>
      <c r="W520" s="23"/>
      <c r="X520" s="4" t="str">
        <f>IF(Tabela2[[#This Row],[SIGLA]]="","",VLOOKUP(Tabela2[[#This Row],[SIGLA]],créditos_base!B:C,2,0))</f>
        <v/>
      </c>
      <c r="Y520" s="24"/>
      <c r="Z520" s="24" t="str">
        <f>Tabela2[[#This Row],[ILUSTRADOR CRIAÇÃO]]</f>
        <v/>
      </c>
      <c r="AA520" s="23"/>
      <c r="AB520" s="22"/>
      <c r="AC520" s="22"/>
      <c r="AD520" s="4" t="str">
        <f t="shared" si="10"/>
        <v>EF1 E001 HGC</v>
      </c>
    </row>
    <row r="521" spans="1:30" x14ac:dyDescent="0.25">
      <c r="A521" s="24" t="s">
        <v>1163</v>
      </c>
      <c r="B521" s="22" t="s">
        <v>83</v>
      </c>
      <c r="C521" s="22" t="s">
        <v>32</v>
      </c>
      <c r="D521" s="22" t="s">
        <v>33</v>
      </c>
      <c r="E521" s="23">
        <v>275</v>
      </c>
      <c r="F521" s="23">
        <v>2</v>
      </c>
      <c r="G521" s="23">
        <v>4</v>
      </c>
      <c r="H521" s="23"/>
      <c r="I521" s="24" t="s">
        <v>34</v>
      </c>
      <c r="J521" s="24"/>
      <c r="K521" s="23"/>
      <c r="L521" s="23"/>
      <c r="M521" s="24"/>
      <c r="N521" s="24"/>
      <c r="O521" s="22" t="s">
        <v>1164</v>
      </c>
      <c r="P521" s="22"/>
      <c r="Q521" s="23"/>
      <c r="R521" s="25"/>
      <c r="S521" s="25"/>
      <c r="T521" s="25"/>
      <c r="U521" s="25"/>
      <c r="V521" s="25"/>
      <c r="W521" s="23"/>
      <c r="X521" s="4" t="str">
        <f>IF(Tabela2[[#This Row],[SIGLA]]="","",VLOOKUP(Tabela2[[#This Row],[SIGLA]],créditos_base!B:C,2,0))</f>
        <v/>
      </c>
      <c r="Y521" s="24"/>
      <c r="Z521" s="24" t="str">
        <f>Tabela2[[#This Row],[ILUSTRADOR CRIAÇÃO]]</f>
        <v/>
      </c>
      <c r="AA521" s="23"/>
      <c r="AB521" s="22"/>
      <c r="AC521" s="22"/>
      <c r="AD521" s="4" t="str">
        <f t="shared" si="10"/>
        <v>EF1 E001 HGC</v>
      </c>
    </row>
    <row r="522" spans="1:30" ht="75" x14ac:dyDescent="0.25">
      <c r="A522" s="24" t="s">
        <v>1165</v>
      </c>
      <c r="B522" s="22" t="s">
        <v>31</v>
      </c>
      <c r="C522" s="22" t="s">
        <v>32</v>
      </c>
      <c r="D522" s="22" t="s">
        <v>33</v>
      </c>
      <c r="E522" s="23">
        <v>277</v>
      </c>
      <c r="F522" s="23">
        <v>2</v>
      </c>
      <c r="G522" s="23">
        <v>4</v>
      </c>
      <c r="H522" s="23"/>
      <c r="I522" s="24" t="s">
        <v>177</v>
      </c>
      <c r="J522" s="24"/>
      <c r="K522" s="23"/>
      <c r="L522" s="23"/>
      <c r="M522" s="24"/>
      <c r="N522" s="24"/>
      <c r="O522" s="26" t="s">
        <v>1166</v>
      </c>
      <c r="P522" s="22"/>
      <c r="Q522" s="23">
        <v>27</v>
      </c>
      <c r="R522" s="25">
        <v>45870</v>
      </c>
      <c r="S522" s="25">
        <v>45874</v>
      </c>
      <c r="T522" s="25"/>
      <c r="U522" s="25"/>
      <c r="V522" s="25">
        <v>45877</v>
      </c>
      <c r="W522" s="23" t="s">
        <v>280</v>
      </c>
      <c r="X522" s="4" t="str">
        <f>IF(Tabela2[[#This Row],[SIGLA]]="","",VLOOKUP(Tabela2[[#This Row],[SIGLA]],créditos_base!B:C,2,0))</f>
        <v>HELOÍSA PINTARELLI/ARQUIVO DA EDITORA</v>
      </c>
      <c r="Y522" s="24"/>
      <c r="Z522" s="24" t="str">
        <f>Tabela2[[#This Row],[ILUSTRADOR CRIAÇÃO]]</f>
        <v>HELOÍSA PINTARELLI/ARQUIVO DA EDITORA</v>
      </c>
      <c r="AA522" s="23">
        <v>6</v>
      </c>
      <c r="AB522" s="22" t="s">
        <v>1145</v>
      </c>
      <c r="AC522" s="22" t="s">
        <v>340</v>
      </c>
      <c r="AD522" s="4" t="str">
        <f t="shared" si="10"/>
        <v>EF1 E001 HGC</v>
      </c>
    </row>
    <row r="523" spans="1:30" ht="105" x14ac:dyDescent="0.25">
      <c r="A523" s="24" t="s">
        <v>1167</v>
      </c>
      <c r="B523" s="22" t="s">
        <v>31</v>
      </c>
      <c r="C523" s="22" t="s">
        <v>32</v>
      </c>
      <c r="D523" s="22" t="s">
        <v>33</v>
      </c>
      <c r="E523" s="23">
        <v>31</v>
      </c>
      <c r="F523" s="23">
        <v>2</v>
      </c>
      <c r="G523" s="23">
        <v>1</v>
      </c>
      <c r="H523" s="23"/>
      <c r="I523" s="24" t="s">
        <v>177</v>
      </c>
      <c r="J523" s="24"/>
      <c r="K523" s="23"/>
      <c r="L523" s="23"/>
      <c r="M523" s="24"/>
      <c r="N523" s="24"/>
      <c r="O523" s="26" t="s">
        <v>1168</v>
      </c>
      <c r="P523" s="22"/>
      <c r="Q523" s="23">
        <v>28</v>
      </c>
      <c r="R523" s="25">
        <v>45880</v>
      </c>
      <c r="S523" s="25">
        <v>45880</v>
      </c>
      <c r="T523" s="25">
        <v>45882</v>
      </c>
      <c r="U523" s="25">
        <v>45882</v>
      </c>
      <c r="V523" s="25">
        <v>45884</v>
      </c>
      <c r="W523" s="23" t="s">
        <v>1121</v>
      </c>
      <c r="X523" s="4" t="str">
        <f>IF(Tabela2[[#This Row],[SIGLA]]="","",VLOOKUP(Tabela2[[#This Row],[SIGLA]],créditos_base!B:C,2,0))</f>
        <v>GABRIELA MELLO/MILENA GODOY/ARQUIVO DA EDITORA</v>
      </c>
      <c r="Y523" s="24"/>
      <c r="Z523" s="24" t="str">
        <f>Tabela2[[#This Row],[ILUSTRADOR CRIAÇÃO]]</f>
        <v>GABRIELA MELLO/MILENA GODOY/ARQUIVO DA EDITORA</v>
      </c>
      <c r="AA523" s="23">
        <v>3</v>
      </c>
      <c r="AB523" s="22" t="s">
        <v>1169</v>
      </c>
      <c r="AC523" s="22" t="s">
        <v>340</v>
      </c>
      <c r="AD523" s="4" t="str">
        <f t="shared" si="10"/>
        <v>EF1 E001 HGC</v>
      </c>
    </row>
    <row r="524" spans="1:30" ht="94.5" x14ac:dyDescent="0.25">
      <c r="A524" s="24" t="s">
        <v>1170</v>
      </c>
      <c r="B524" s="22" t="s">
        <v>31</v>
      </c>
      <c r="C524" s="22" t="s">
        <v>32</v>
      </c>
      <c r="D524" s="22" t="s">
        <v>33</v>
      </c>
      <c r="E524" s="23">
        <v>23</v>
      </c>
      <c r="F524" s="23">
        <v>2</v>
      </c>
      <c r="G524" s="23">
        <v>1</v>
      </c>
      <c r="H524" s="23"/>
      <c r="I524" s="24" t="s">
        <v>177</v>
      </c>
      <c r="J524" s="24"/>
      <c r="K524" s="23"/>
      <c r="L524" s="23"/>
      <c r="M524" s="24"/>
      <c r="N524" s="24"/>
      <c r="O524" s="42" t="s">
        <v>1171</v>
      </c>
      <c r="P524" s="22"/>
      <c r="Q524" s="23">
        <v>29</v>
      </c>
      <c r="R524" s="25">
        <v>45883</v>
      </c>
      <c r="S524" s="25">
        <v>45884</v>
      </c>
      <c r="T524" s="25"/>
      <c r="U524" s="25"/>
      <c r="V524" s="25">
        <v>45884</v>
      </c>
      <c r="W524" s="23" t="s">
        <v>577</v>
      </c>
      <c r="X524" s="4" t="str">
        <f>IF(Tabela2[[#This Row],[SIGLA]]="","",VLOOKUP(Tabela2[[#This Row],[SIGLA]],créditos_base!B:C,2,0))</f>
        <v>INGRIDHI BORGES/ARQUIVO DA EDITORA</v>
      </c>
      <c r="Y524" s="24" t="s">
        <v>180</v>
      </c>
      <c r="Z524" s="24" t="str">
        <f>Tabela2[[#This Row],[ILUSTRADOR CRIAÇÃO]]</f>
        <v>INGRIDHI BORGES/ARQUIVO DA EDITORA</v>
      </c>
      <c r="AA524" s="23">
        <v>7</v>
      </c>
      <c r="AB524" s="22" t="s">
        <v>578</v>
      </c>
      <c r="AC524" s="22" t="s">
        <v>43</v>
      </c>
      <c r="AD524" s="4" t="str">
        <f t="shared" si="10"/>
        <v>EF1 E001 HGC</v>
      </c>
    </row>
    <row r="525" spans="1:30" ht="90" x14ac:dyDescent="0.25">
      <c r="A525" s="24" t="s">
        <v>1172</v>
      </c>
      <c r="B525" s="22" t="s">
        <v>67</v>
      </c>
      <c r="C525" s="22" t="s">
        <v>32</v>
      </c>
      <c r="D525" s="22" t="s">
        <v>33</v>
      </c>
      <c r="E525" s="23">
        <v>39</v>
      </c>
      <c r="F525" s="23">
        <v>1</v>
      </c>
      <c r="G525" s="23">
        <v>1</v>
      </c>
      <c r="H525" s="23"/>
      <c r="I525" s="24" t="s">
        <v>177</v>
      </c>
      <c r="J525" s="24"/>
      <c r="K525" s="23"/>
      <c r="L525" s="23"/>
      <c r="M525" s="24"/>
      <c r="N525" s="24"/>
      <c r="O525" s="26" t="s">
        <v>1173</v>
      </c>
      <c r="P525" s="22"/>
      <c r="Q525" s="23">
        <v>30</v>
      </c>
      <c r="R525" s="25">
        <v>45891</v>
      </c>
      <c r="S525" s="25">
        <v>45895</v>
      </c>
      <c r="T525" s="25"/>
      <c r="U525" s="25"/>
      <c r="V525" s="25">
        <v>45895</v>
      </c>
      <c r="W525" s="23" t="s">
        <v>370</v>
      </c>
      <c r="X525" s="4" t="str">
        <f>IF(Tabela2[[#This Row],[SIGLA]]="","",VLOOKUP(Tabela2[[#This Row],[SIGLA]],créditos_base!B:C,2,0))</f>
        <v>VER DOCUMENTO DE ILS. TÉCNICAS</v>
      </c>
      <c r="Y525" s="24"/>
      <c r="Z525" s="24" t="s">
        <v>1174</v>
      </c>
      <c r="AA525" s="23">
        <v>8</v>
      </c>
      <c r="AB525" s="22" t="s">
        <v>180</v>
      </c>
      <c r="AC525" s="22" t="s">
        <v>43</v>
      </c>
      <c r="AD525" s="4" t="str">
        <f t="shared" si="10"/>
        <v>EF1 E001 HGC</v>
      </c>
    </row>
    <row r="526" spans="1:30" ht="135" x14ac:dyDescent="0.25">
      <c r="A526" s="24" t="s">
        <v>1175</v>
      </c>
      <c r="B526" s="22" t="s">
        <v>1176</v>
      </c>
      <c r="C526" s="22" t="s">
        <v>32</v>
      </c>
      <c r="D526" s="22" t="s">
        <v>33</v>
      </c>
      <c r="E526" s="23">
        <v>249</v>
      </c>
      <c r="F526" s="23">
        <v>1</v>
      </c>
      <c r="G526" s="23">
        <v>4</v>
      </c>
      <c r="H526" s="23"/>
      <c r="I526" s="24" t="s">
        <v>177</v>
      </c>
      <c r="J526" s="24"/>
      <c r="K526" s="23"/>
      <c r="L526" s="23"/>
      <c r="M526" s="24"/>
      <c r="N526" s="24"/>
      <c r="O526" s="26" t="s">
        <v>1177</v>
      </c>
      <c r="P526" s="22"/>
      <c r="Q526" s="23">
        <v>31</v>
      </c>
      <c r="R526" s="25">
        <v>45894</v>
      </c>
      <c r="S526" s="25">
        <v>45894</v>
      </c>
      <c r="T526" s="25">
        <v>45897</v>
      </c>
      <c r="U526" s="25">
        <v>45898</v>
      </c>
      <c r="V526" s="25">
        <v>45905</v>
      </c>
      <c r="W526" s="23" t="s">
        <v>1178</v>
      </c>
      <c r="X526" s="4" t="str">
        <f>IF(Tabela2[[#This Row],[SIGLA]]="","",VLOOKUP(Tabela2[[#This Row],[SIGLA]],créditos_base!B:C,2,0))</f>
        <v>HUGO ARAÚJO/ARQUIVO DA EDITORA</v>
      </c>
      <c r="Y526" s="24"/>
      <c r="Z526" s="24" t="str">
        <f>Tabela2[[#This Row],[ILUSTRADOR CRIAÇÃO]]</f>
        <v>HUGO ARAÚJO/ARQUIVO DA EDITORA</v>
      </c>
      <c r="AA526" s="23">
        <v>6</v>
      </c>
      <c r="AB526" s="22" t="s">
        <v>1179</v>
      </c>
      <c r="AC526" s="22" t="s">
        <v>340</v>
      </c>
      <c r="AD526" s="4" t="str">
        <f t="shared" si="10"/>
        <v>EF1 E001 HGC</v>
      </c>
    </row>
    <row r="527" spans="1:30" ht="30" x14ac:dyDescent="0.25">
      <c r="A527" s="24" t="s">
        <v>1180</v>
      </c>
      <c r="B527" s="22" t="s">
        <v>31</v>
      </c>
      <c r="C527" s="22" t="s">
        <v>32</v>
      </c>
      <c r="D527" s="22" t="s">
        <v>33</v>
      </c>
      <c r="E527" s="23">
        <v>258</v>
      </c>
      <c r="F527" s="23">
        <v>2</v>
      </c>
      <c r="G527" s="23">
        <v>4</v>
      </c>
      <c r="H527" s="23"/>
      <c r="I527" s="24" t="s">
        <v>38</v>
      </c>
      <c r="J527" s="24"/>
      <c r="K527" s="23"/>
      <c r="L527" s="23"/>
      <c r="M527" s="24"/>
      <c r="N527" s="24"/>
      <c r="O527" s="26" t="s">
        <v>1181</v>
      </c>
      <c r="P527" s="22"/>
      <c r="Q527" s="23">
        <v>33</v>
      </c>
      <c r="R527" s="25">
        <v>45902</v>
      </c>
      <c r="S527" s="25">
        <v>45902</v>
      </c>
      <c r="T527" s="25"/>
      <c r="U527" s="25"/>
      <c r="V527" s="25">
        <v>45902</v>
      </c>
      <c r="W527" s="23" t="s">
        <v>316</v>
      </c>
      <c r="X527" s="4" t="str">
        <f>IF(Tabela2[[#This Row],[SIGLA]]="","",VLOOKUP(Tabela2[[#This Row],[SIGLA]],créditos_base!B:C,2,0))</f>
        <v>SAULO NUNES/ARQUIVO DA EDITORA</v>
      </c>
      <c r="Y527" s="24" t="s">
        <v>70</v>
      </c>
      <c r="Z527" s="24" t="str">
        <f>Tabela2[[#This Row],[ILUSTRADOR CRIAÇÃO]]</f>
        <v>SAULO NUNES/ARQUIVO DA EDITORA</v>
      </c>
      <c r="AA527" s="23">
        <v>13</v>
      </c>
      <c r="AB527" s="22" t="s">
        <v>71</v>
      </c>
      <c r="AC527" s="22" t="s">
        <v>43</v>
      </c>
      <c r="AD527" s="4" t="str">
        <f t="shared" si="10"/>
        <v>EF1 E001 HGC</v>
      </c>
    </row>
    <row r="528" spans="1:30" x14ac:dyDescent="0.25">
      <c r="A528" s="24" t="s">
        <v>1182</v>
      </c>
      <c r="B528" s="22" t="s">
        <v>31</v>
      </c>
      <c r="C528" s="22" t="s">
        <v>32</v>
      </c>
      <c r="D528" s="22" t="s">
        <v>33</v>
      </c>
      <c r="E528" s="23">
        <v>14</v>
      </c>
      <c r="F528" s="23">
        <v>2</v>
      </c>
      <c r="G528" s="23" t="s">
        <v>1183</v>
      </c>
      <c r="H528" s="23"/>
      <c r="I528" s="24" t="s">
        <v>34</v>
      </c>
      <c r="J528" s="24"/>
      <c r="K528" s="23"/>
      <c r="L528" s="23"/>
      <c r="M528" s="24"/>
      <c r="N528" s="24"/>
      <c r="O528" s="22" t="s">
        <v>1184</v>
      </c>
      <c r="P528" s="22"/>
      <c r="Q528" s="23"/>
      <c r="R528" s="25"/>
      <c r="S528" s="25"/>
      <c r="T528" s="25"/>
      <c r="U528" s="25"/>
      <c r="V528" s="25"/>
      <c r="W528" s="23" t="s">
        <v>154</v>
      </c>
      <c r="X528" s="4" t="str">
        <f>IF(Tabela2[[#This Row],[SIGLA]]="","",VLOOKUP(Tabela2[[#This Row],[SIGLA]],créditos_base!B:C,2,0))</f>
        <v>VICTOR LEMOS/ARQUIVO DA EDITORA</v>
      </c>
      <c r="Y528" s="24"/>
      <c r="Z528" s="24" t="str">
        <f>Tabela2[[#This Row],[ILUSTRADOR CRIAÇÃO]]</f>
        <v>VICTOR LEMOS/ARQUIVO DA EDITORA</v>
      </c>
      <c r="AA528" s="23"/>
      <c r="AB528" s="22"/>
      <c r="AC528" s="22"/>
      <c r="AD528" s="4" t="str">
        <f t="shared" si="10"/>
        <v>EF1 E001 HGC</v>
      </c>
    </row>
    <row r="529" spans="1:30" x14ac:dyDescent="0.25">
      <c r="A529" s="24" t="s">
        <v>1185</v>
      </c>
      <c r="B529" s="22" t="s">
        <v>31</v>
      </c>
      <c r="C529" s="22" t="s">
        <v>32</v>
      </c>
      <c r="D529" s="22" t="s">
        <v>33</v>
      </c>
      <c r="E529" s="23">
        <v>14</v>
      </c>
      <c r="F529" s="23">
        <v>2</v>
      </c>
      <c r="G529" s="23" t="s">
        <v>1183</v>
      </c>
      <c r="H529" s="23"/>
      <c r="I529" s="24" t="s">
        <v>34</v>
      </c>
      <c r="J529" s="24"/>
      <c r="K529" s="23"/>
      <c r="L529" s="23"/>
      <c r="M529" s="24"/>
      <c r="N529" s="24"/>
      <c r="O529" s="22" t="s">
        <v>1186</v>
      </c>
      <c r="P529" s="22"/>
      <c r="Q529" s="23"/>
      <c r="R529" s="25"/>
      <c r="S529" s="25"/>
      <c r="T529" s="25"/>
      <c r="U529" s="25"/>
      <c r="V529" s="25"/>
      <c r="W529" s="23" t="s">
        <v>154</v>
      </c>
      <c r="X529" s="4" t="str">
        <f>IF(Tabela2[[#This Row],[SIGLA]]="","",VLOOKUP(Tabela2[[#This Row],[SIGLA]],créditos_base!B:C,2,0))</f>
        <v>VICTOR LEMOS/ARQUIVO DA EDITORA</v>
      </c>
      <c r="Y529" s="24"/>
      <c r="Z529" s="24" t="str">
        <f>Tabela2[[#This Row],[ILUSTRADOR CRIAÇÃO]]</f>
        <v>VICTOR LEMOS/ARQUIVO DA EDITORA</v>
      </c>
      <c r="AA529" s="23"/>
      <c r="AB529" s="22"/>
      <c r="AC529" s="22"/>
      <c r="AD529" s="4" t="str">
        <f t="shared" si="10"/>
        <v>EF1 E001 HGC</v>
      </c>
    </row>
    <row r="530" spans="1:30" ht="15.75" x14ac:dyDescent="0.25">
      <c r="A530" s="24" t="s">
        <v>1187</v>
      </c>
      <c r="B530" s="22" t="s">
        <v>83</v>
      </c>
      <c r="C530" s="22" t="s">
        <v>32</v>
      </c>
      <c r="D530" s="22" t="s">
        <v>33</v>
      </c>
      <c r="E530" s="23">
        <v>14</v>
      </c>
      <c r="F530" s="23">
        <v>2</v>
      </c>
      <c r="G530" s="23" t="s">
        <v>1183</v>
      </c>
      <c r="H530" s="23"/>
      <c r="I530" s="24" t="s">
        <v>34</v>
      </c>
      <c r="J530" s="24"/>
      <c r="K530" s="23"/>
      <c r="L530" s="23"/>
      <c r="M530" s="24"/>
      <c r="N530" s="24"/>
      <c r="O530" s="38" t="s">
        <v>1188</v>
      </c>
      <c r="P530" s="22"/>
      <c r="Q530" s="23"/>
      <c r="R530" s="25"/>
      <c r="S530" s="25"/>
      <c r="T530" s="25"/>
      <c r="U530" s="25"/>
      <c r="V530" s="25"/>
      <c r="W530" s="23" t="s">
        <v>1189</v>
      </c>
      <c r="X530" s="4" t="str">
        <f>IF(Tabela2[[#This Row],[SIGLA]]="","",VLOOKUP(Tabela2[[#This Row],[SIGLA]],créditos_base!B:C,2,0))</f>
        <v>DEIVY LIMA COSTA/ARQUIVO DA EDITORA</v>
      </c>
      <c r="Y530" s="24"/>
      <c r="Z530" s="24" t="str">
        <f>Tabela2[[#This Row],[ILUSTRADOR CRIAÇÃO]]</f>
        <v>DEIVY LIMA COSTA/ARQUIVO DA EDITORA</v>
      </c>
      <c r="AA530" s="23"/>
      <c r="AB530" s="22"/>
      <c r="AC530" s="22"/>
      <c r="AD530" s="4" t="str">
        <f t="shared" si="10"/>
        <v>EF1 E001 HGC</v>
      </c>
    </row>
    <row r="531" spans="1:30" ht="15.75" x14ac:dyDescent="0.25">
      <c r="A531" s="24" t="s">
        <v>1190</v>
      </c>
      <c r="B531" s="22" t="s">
        <v>31</v>
      </c>
      <c r="C531" s="22" t="s">
        <v>32</v>
      </c>
      <c r="D531" s="22" t="s">
        <v>33</v>
      </c>
      <c r="E531" s="23">
        <v>17</v>
      </c>
      <c r="F531" s="23">
        <v>2</v>
      </c>
      <c r="G531" s="23" t="s">
        <v>1183</v>
      </c>
      <c r="H531" s="23"/>
      <c r="I531" s="24" t="s">
        <v>34</v>
      </c>
      <c r="J531" s="24"/>
      <c r="K531" s="23"/>
      <c r="L531" s="23"/>
      <c r="M531" s="24"/>
      <c r="N531" s="24"/>
      <c r="O531" s="38" t="s">
        <v>1191</v>
      </c>
      <c r="P531" s="22"/>
      <c r="Q531" s="23"/>
      <c r="R531" s="25"/>
      <c r="S531" s="25"/>
      <c r="T531" s="25"/>
      <c r="U531" s="25"/>
      <c r="V531" s="25"/>
      <c r="W531" s="23" t="s">
        <v>1189</v>
      </c>
      <c r="X531" s="4" t="str">
        <f>IF(Tabela2[[#This Row],[SIGLA]]="","",VLOOKUP(Tabela2[[#This Row],[SIGLA]],créditos_base!B:C,2,0))</f>
        <v>DEIVY LIMA COSTA/ARQUIVO DA EDITORA</v>
      </c>
      <c r="Y531" s="24"/>
      <c r="Z531" s="24" t="str">
        <f>Tabela2[[#This Row],[ILUSTRADOR CRIAÇÃO]]</f>
        <v>DEIVY LIMA COSTA/ARQUIVO DA EDITORA</v>
      </c>
      <c r="AA531" s="23"/>
      <c r="AB531" s="22"/>
      <c r="AC531" s="22"/>
      <c r="AD531" s="4" t="str">
        <f t="shared" si="10"/>
        <v>EF1 E001 HGC</v>
      </c>
    </row>
    <row r="532" spans="1:30" x14ac:dyDescent="0.25">
      <c r="A532" s="24" t="s">
        <v>1192</v>
      </c>
      <c r="B532" s="22" t="s">
        <v>31</v>
      </c>
      <c r="C532" s="22" t="s">
        <v>32</v>
      </c>
      <c r="D532" s="22" t="s">
        <v>33</v>
      </c>
      <c r="E532" s="23">
        <v>17</v>
      </c>
      <c r="F532" s="23">
        <v>2</v>
      </c>
      <c r="G532" s="23" t="s">
        <v>1183</v>
      </c>
      <c r="H532" s="23"/>
      <c r="I532" s="24" t="s">
        <v>34</v>
      </c>
      <c r="J532" s="24"/>
      <c r="K532" s="23"/>
      <c r="L532" s="23"/>
      <c r="M532" s="24"/>
      <c r="N532" s="24"/>
      <c r="O532" s="22" t="s">
        <v>1193</v>
      </c>
      <c r="P532" s="22"/>
      <c r="Q532" s="23"/>
      <c r="R532" s="25"/>
      <c r="S532" s="25"/>
      <c r="T532" s="25"/>
      <c r="U532" s="25"/>
      <c r="V532" s="25"/>
      <c r="W532" s="23" t="s">
        <v>1189</v>
      </c>
      <c r="X532" s="4" t="str">
        <f>IF(Tabela2[[#This Row],[SIGLA]]="","",VLOOKUP(Tabela2[[#This Row],[SIGLA]],créditos_base!B:C,2,0))</f>
        <v>DEIVY LIMA COSTA/ARQUIVO DA EDITORA</v>
      </c>
      <c r="Y532" s="24"/>
      <c r="Z532" s="24" t="str">
        <f>Tabela2[[#This Row],[ILUSTRADOR CRIAÇÃO]]</f>
        <v>DEIVY LIMA COSTA/ARQUIVO DA EDITORA</v>
      </c>
      <c r="AA532" s="23"/>
      <c r="AB532" s="22"/>
      <c r="AC532" s="22"/>
      <c r="AD532" s="4" t="str">
        <f t="shared" si="10"/>
        <v>EF1 E001 HGC</v>
      </c>
    </row>
    <row r="533" spans="1:30" x14ac:dyDescent="0.25">
      <c r="A533" s="24" t="s">
        <v>1194</v>
      </c>
      <c r="B533" s="22" t="s">
        <v>31</v>
      </c>
      <c r="C533" s="22" t="s">
        <v>32</v>
      </c>
      <c r="D533" s="22" t="s">
        <v>33</v>
      </c>
      <c r="E533" s="23">
        <v>17</v>
      </c>
      <c r="F533" s="23">
        <v>2</v>
      </c>
      <c r="G533" s="23" t="s">
        <v>1183</v>
      </c>
      <c r="H533" s="23"/>
      <c r="I533" s="24" t="s">
        <v>34</v>
      </c>
      <c r="J533" s="24"/>
      <c r="K533" s="23"/>
      <c r="L533" s="23"/>
      <c r="M533" s="24"/>
      <c r="N533" s="24"/>
      <c r="O533" s="22" t="s">
        <v>1195</v>
      </c>
      <c r="P533" s="22"/>
      <c r="Q533" s="23"/>
      <c r="R533" s="25"/>
      <c r="S533" s="25"/>
      <c r="T533" s="25"/>
      <c r="U533" s="25"/>
      <c r="V533" s="25"/>
      <c r="W533" s="23" t="s">
        <v>1189</v>
      </c>
      <c r="X533" s="4" t="str">
        <f>IF(Tabela2[[#This Row],[SIGLA]]="","",VLOOKUP(Tabela2[[#This Row],[SIGLA]],créditos_base!B:C,2,0))</f>
        <v>DEIVY LIMA COSTA/ARQUIVO DA EDITORA</v>
      </c>
      <c r="Y533" s="24"/>
      <c r="Z533" s="24" t="str">
        <f>Tabela2[[#This Row],[ILUSTRADOR CRIAÇÃO]]</f>
        <v>DEIVY LIMA COSTA/ARQUIVO DA EDITORA</v>
      </c>
      <c r="AA533" s="23"/>
      <c r="AB533" s="22"/>
      <c r="AC533" s="22"/>
      <c r="AD533" s="4" t="str">
        <f t="shared" si="10"/>
        <v>EF1 E001 HGC</v>
      </c>
    </row>
    <row r="534" spans="1:30" x14ac:dyDescent="0.25">
      <c r="A534" s="24" t="s">
        <v>1196</v>
      </c>
      <c r="B534" s="22" t="s">
        <v>31</v>
      </c>
      <c r="C534" s="22" t="s">
        <v>32</v>
      </c>
      <c r="D534" s="22" t="s">
        <v>33</v>
      </c>
      <c r="E534" s="23">
        <v>17</v>
      </c>
      <c r="F534" s="23">
        <v>2</v>
      </c>
      <c r="G534" s="23" t="s">
        <v>1183</v>
      </c>
      <c r="H534" s="23"/>
      <c r="I534" s="24" t="s">
        <v>34</v>
      </c>
      <c r="J534" s="24"/>
      <c r="K534" s="23"/>
      <c r="L534" s="23"/>
      <c r="M534" s="24"/>
      <c r="N534" s="24"/>
      <c r="O534" s="22" t="s">
        <v>1197</v>
      </c>
      <c r="P534" s="22"/>
      <c r="Q534" s="23"/>
      <c r="R534" s="25"/>
      <c r="S534" s="25"/>
      <c r="T534" s="25"/>
      <c r="U534" s="25"/>
      <c r="V534" s="25"/>
      <c r="W534" s="23" t="s">
        <v>1189</v>
      </c>
      <c r="X534" s="4" t="str">
        <f>IF(Tabela2[[#This Row],[SIGLA]]="","",VLOOKUP(Tabela2[[#This Row],[SIGLA]],créditos_base!B:C,2,0))</f>
        <v>DEIVY LIMA COSTA/ARQUIVO DA EDITORA</v>
      </c>
      <c r="Y534" s="24"/>
      <c r="Z534" s="24" t="str">
        <f>Tabela2[[#This Row],[ILUSTRADOR CRIAÇÃO]]</f>
        <v>DEIVY LIMA COSTA/ARQUIVO DA EDITORA</v>
      </c>
      <c r="AA534" s="23"/>
      <c r="AB534" s="22"/>
      <c r="AC534" s="22"/>
      <c r="AD534" s="4" t="str">
        <f t="shared" si="10"/>
        <v>EF1 E001 HGC</v>
      </c>
    </row>
    <row r="535" spans="1:30" x14ac:dyDescent="0.25">
      <c r="A535" s="24"/>
      <c r="B535" s="22"/>
      <c r="C535" s="22"/>
      <c r="D535" s="22"/>
      <c r="E535" s="23"/>
      <c r="F535" s="23"/>
      <c r="G535" s="23"/>
      <c r="H535" s="23"/>
      <c r="I535" s="24"/>
      <c r="J535" s="24"/>
      <c r="K535" s="23"/>
      <c r="L535" s="23"/>
      <c r="M535" s="24"/>
      <c r="N535" s="24"/>
      <c r="O535" s="22"/>
      <c r="P535" s="22"/>
      <c r="Q535" s="23"/>
      <c r="R535" s="25"/>
      <c r="S535" s="25"/>
      <c r="T535" s="25"/>
      <c r="U535" s="25"/>
      <c r="V535" s="25"/>
      <c r="W535" s="23"/>
      <c r="X535" s="4" t="str">
        <f>IF(Tabela2[[#This Row],[SIGLA]]="","",VLOOKUP(Tabela2[[#This Row],[SIGLA]],créditos_base!B:C,2,0))</f>
        <v/>
      </c>
      <c r="Y535" s="24"/>
      <c r="Z535" s="24" t="str">
        <f>Tabela2[[#This Row],[ILUSTRADOR CRIAÇÃO]]</f>
        <v/>
      </c>
      <c r="AA535" s="23"/>
      <c r="AB535" s="22"/>
      <c r="AC535" s="22"/>
      <c r="AD535" s="4" t="str">
        <f t="shared" si="10"/>
        <v>EF1 E001 HGC</v>
      </c>
    </row>
    <row r="536" spans="1:30" x14ac:dyDescent="0.25">
      <c r="A536" s="24"/>
      <c r="B536" s="22"/>
      <c r="C536" s="22"/>
      <c r="D536" s="22"/>
      <c r="E536" s="23"/>
      <c r="F536" s="23"/>
      <c r="G536" s="23"/>
      <c r="H536" s="23"/>
      <c r="I536" s="24"/>
      <c r="J536" s="24"/>
      <c r="K536" s="23"/>
      <c r="L536" s="23"/>
      <c r="M536" s="24"/>
      <c r="N536" s="24"/>
      <c r="O536" s="22"/>
      <c r="P536" s="22"/>
      <c r="Q536" s="23"/>
      <c r="R536" s="25"/>
      <c r="S536" s="25"/>
      <c r="T536" s="25"/>
      <c r="U536" s="25"/>
      <c r="V536" s="25"/>
      <c r="W536" s="23"/>
      <c r="X536" s="4" t="str">
        <f>IF(Tabela2[[#This Row],[SIGLA]]="","",VLOOKUP(Tabela2[[#This Row],[SIGLA]],créditos_base!B:C,2,0))</f>
        <v/>
      </c>
      <c r="Y536" s="24"/>
      <c r="Z536" s="24" t="str">
        <f>Tabela2[[#This Row],[ILUSTRADOR CRIAÇÃO]]</f>
        <v/>
      </c>
      <c r="AA536" s="23"/>
      <c r="AB536" s="22"/>
      <c r="AC536" s="22"/>
      <c r="AD536" s="4" t="str">
        <f t="shared" si="10"/>
        <v>EF1 E001 HGC</v>
      </c>
    </row>
    <row r="537" spans="1:30" x14ac:dyDescent="0.25">
      <c r="A537" s="24"/>
      <c r="B537" s="22"/>
      <c r="C537" s="22"/>
      <c r="D537" s="22"/>
      <c r="E537" s="23"/>
      <c r="F537" s="23"/>
      <c r="G537" s="23"/>
      <c r="H537" s="23"/>
      <c r="I537" s="24"/>
      <c r="J537" s="24"/>
      <c r="K537" s="23"/>
      <c r="L537" s="23"/>
      <c r="M537" s="24"/>
      <c r="N537" s="24"/>
      <c r="O537" s="22"/>
      <c r="P537" s="22"/>
      <c r="Q537" s="23"/>
      <c r="R537" s="25"/>
      <c r="S537" s="25"/>
      <c r="T537" s="25"/>
      <c r="U537" s="25"/>
      <c r="V537" s="25"/>
      <c r="W537" s="23"/>
      <c r="X537" s="4" t="str">
        <f>IF(Tabela2[[#This Row],[SIGLA]]="","",VLOOKUP(Tabela2[[#This Row],[SIGLA]],créditos_base!B:C,2,0))</f>
        <v/>
      </c>
      <c r="Y537" s="24"/>
      <c r="Z537" s="24" t="str">
        <f>Tabela2[[#This Row],[ILUSTRADOR CRIAÇÃO]]</f>
        <v/>
      </c>
      <c r="AA537" s="23"/>
      <c r="AB537" s="22"/>
      <c r="AC537" s="22"/>
      <c r="AD537" s="4" t="str">
        <f t="shared" si="10"/>
        <v>EF1 E001 HGC</v>
      </c>
    </row>
    <row r="538" spans="1:30" x14ac:dyDescent="0.25">
      <c r="A538" s="24"/>
      <c r="B538" s="22"/>
      <c r="C538" s="22"/>
      <c r="D538" s="22"/>
      <c r="E538" s="23"/>
      <c r="F538" s="23"/>
      <c r="G538" s="23"/>
      <c r="H538" s="23"/>
      <c r="I538" s="24"/>
      <c r="J538" s="24"/>
      <c r="K538" s="23"/>
      <c r="L538" s="23"/>
      <c r="M538" s="24"/>
      <c r="N538" s="24"/>
      <c r="O538" s="22"/>
      <c r="P538" s="22"/>
      <c r="Q538" s="23"/>
      <c r="R538" s="25"/>
      <c r="S538" s="25"/>
      <c r="T538" s="25"/>
      <c r="U538" s="25"/>
      <c r="V538" s="25"/>
      <c r="W538" s="23"/>
      <c r="X538" s="4" t="str">
        <f>IF(Tabela2[[#This Row],[SIGLA]]="","",VLOOKUP(Tabela2[[#This Row],[SIGLA]],créditos_base!B:C,2,0))</f>
        <v/>
      </c>
      <c r="Y538" s="24"/>
      <c r="Z538" s="24" t="str">
        <f>Tabela2[[#This Row],[ILUSTRADOR CRIAÇÃO]]</f>
        <v/>
      </c>
      <c r="AA538" s="23"/>
      <c r="AB538" s="22"/>
      <c r="AC538" s="22"/>
      <c r="AD538" s="4" t="str">
        <f t="shared" si="10"/>
        <v>EF1 E001 HGC</v>
      </c>
    </row>
    <row r="539" spans="1:30" x14ac:dyDescent="0.25">
      <c r="A539" s="24"/>
      <c r="B539" s="22"/>
      <c r="C539" s="22"/>
      <c r="D539" s="22"/>
      <c r="E539" s="23"/>
      <c r="F539" s="23"/>
      <c r="G539" s="23"/>
      <c r="H539" s="23"/>
      <c r="I539" s="24"/>
      <c r="J539" s="24"/>
      <c r="K539" s="23"/>
      <c r="L539" s="23"/>
      <c r="M539" s="24"/>
      <c r="N539" s="24"/>
      <c r="O539" s="22"/>
      <c r="P539" s="22"/>
      <c r="Q539" s="23"/>
      <c r="R539" s="25"/>
      <c r="S539" s="25"/>
      <c r="T539" s="25"/>
      <c r="U539" s="25"/>
      <c r="V539" s="25"/>
      <c r="W539" s="23"/>
      <c r="X539" s="4" t="str">
        <f>IF(Tabela2[[#This Row],[SIGLA]]="","",VLOOKUP(Tabela2[[#This Row],[SIGLA]],créditos_base!B:C,2,0))</f>
        <v/>
      </c>
      <c r="Y539" s="24"/>
      <c r="Z539" s="24" t="str">
        <f>Tabela2[[#This Row],[ILUSTRADOR CRIAÇÃO]]</f>
        <v/>
      </c>
      <c r="AA539" s="23"/>
      <c r="AB539" s="22"/>
      <c r="AC539" s="22"/>
      <c r="AD539" s="4" t="str">
        <f t="shared" si="10"/>
        <v>EF1 E001 HGC</v>
      </c>
    </row>
    <row r="540" spans="1:30" x14ac:dyDescent="0.25">
      <c r="A540" s="24"/>
      <c r="B540" s="22"/>
      <c r="C540" s="22"/>
      <c r="D540" s="22"/>
      <c r="E540" s="23"/>
      <c r="F540" s="23"/>
      <c r="G540" s="23"/>
      <c r="H540" s="23"/>
      <c r="I540" s="24"/>
      <c r="J540" s="24"/>
      <c r="K540" s="23"/>
      <c r="L540" s="23"/>
      <c r="M540" s="24"/>
      <c r="N540" s="24"/>
      <c r="O540" s="22"/>
      <c r="P540" s="22"/>
      <c r="Q540" s="23"/>
      <c r="R540" s="25"/>
      <c r="S540" s="25"/>
      <c r="T540" s="25"/>
      <c r="U540" s="25"/>
      <c r="V540" s="25"/>
      <c r="W540" s="23"/>
      <c r="X540" s="4" t="str">
        <f>IF(Tabela2[[#This Row],[SIGLA]]="","",VLOOKUP(Tabela2[[#This Row],[SIGLA]],créditos_base!B:C,2,0))</f>
        <v/>
      </c>
      <c r="Y540" s="24"/>
      <c r="Z540" s="24" t="str">
        <f>Tabela2[[#This Row],[ILUSTRADOR CRIAÇÃO]]</f>
        <v/>
      </c>
      <c r="AA540" s="23"/>
      <c r="AB540" s="22"/>
      <c r="AC540" s="22"/>
      <c r="AD540" s="4" t="str">
        <f t="shared" si="10"/>
        <v>EF1 E001 HGC</v>
      </c>
    </row>
    <row r="541" spans="1:30" x14ac:dyDescent="0.25">
      <c r="A541" s="24"/>
      <c r="B541" s="22"/>
      <c r="C541" s="22"/>
      <c r="D541" s="22"/>
      <c r="E541" s="23"/>
      <c r="F541" s="23"/>
      <c r="G541" s="23"/>
      <c r="H541" s="23"/>
      <c r="I541" s="24"/>
      <c r="J541" s="24"/>
      <c r="K541" s="23"/>
      <c r="L541" s="23"/>
      <c r="M541" s="24"/>
      <c r="N541" s="24"/>
      <c r="O541" s="22"/>
      <c r="P541" s="22"/>
      <c r="Q541" s="23"/>
      <c r="R541" s="25"/>
      <c r="S541" s="25"/>
      <c r="T541" s="25"/>
      <c r="U541" s="25"/>
      <c r="V541" s="25"/>
      <c r="W541" s="23"/>
      <c r="X541" s="4" t="str">
        <f>IF(Tabela2[[#This Row],[SIGLA]]="","",VLOOKUP(Tabela2[[#This Row],[SIGLA]],créditos_base!B:C,2,0))</f>
        <v/>
      </c>
      <c r="Y541" s="24"/>
      <c r="Z541" s="24" t="str">
        <f>Tabela2[[#This Row],[ILUSTRADOR CRIAÇÃO]]</f>
        <v/>
      </c>
      <c r="AA541" s="23"/>
      <c r="AB541" s="22"/>
      <c r="AC541" s="22"/>
      <c r="AD541" s="4" t="str">
        <f t="shared" si="10"/>
        <v>EF1 E001 HGC</v>
      </c>
    </row>
    <row r="542" spans="1:30" x14ac:dyDescent="0.25">
      <c r="A542" s="24"/>
      <c r="B542" s="22"/>
      <c r="C542" s="22"/>
      <c r="D542" s="22"/>
      <c r="E542" s="23"/>
      <c r="F542" s="23"/>
      <c r="G542" s="23"/>
      <c r="H542" s="23"/>
      <c r="I542" s="24"/>
      <c r="J542" s="24"/>
      <c r="K542" s="23"/>
      <c r="L542" s="23"/>
      <c r="M542" s="24"/>
      <c r="N542" s="24"/>
      <c r="O542" s="22"/>
      <c r="P542" s="22"/>
      <c r="Q542" s="23"/>
      <c r="R542" s="25"/>
      <c r="S542" s="25"/>
      <c r="T542" s="25"/>
      <c r="U542" s="25"/>
      <c r="V542" s="25"/>
      <c r="W542" s="23"/>
      <c r="X542" s="4" t="str">
        <f>IF(Tabela2[[#This Row],[SIGLA]]="","",VLOOKUP(Tabela2[[#This Row],[SIGLA]],créditos_base!B:C,2,0))</f>
        <v/>
      </c>
      <c r="Y542" s="24"/>
      <c r="Z542" s="24" t="str">
        <f>Tabela2[[#This Row],[ILUSTRADOR CRIAÇÃO]]</f>
        <v/>
      </c>
      <c r="AA542" s="23"/>
      <c r="AB542" s="22"/>
      <c r="AC542" s="22"/>
      <c r="AD542" s="4" t="str">
        <f t="shared" si="10"/>
        <v>EF1 E001 HGC</v>
      </c>
    </row>
    <row r="543" spans="1:30" x14ac:dyDescent="0.25">
      <c r="A543" s="24"/>
      <c r="B543" s="22"/>
      <c r="C543" s="22"/>
      <c r="D543" s="22"/>
      <c r="E543" s="23"/>
      <c r="F543" s="23"/>
      <c r="G543" s="23"/>
      <c r="H543" s="23"/>
      <c r="I543" s="24"/>
      <c r="J543" s="24"/>
      <c r="K543" s="23"/>
      <c r="L543" s="23"/>
      <c r="M543" s="24"/>
      <c r="N543" s="24"/>
      <c r="O543" s="22"/>
      <c r="P543" s="22"/>
      <c r="Q543" s="23"/>
      <c r="R543" s="25"/>
      <c r="S543" s="25"/>
      <c r="T543" s="25"/>
      <c r="U543" s="25"/>
      <c r="V543" s="25"/>
      <c r="W543" s="23"/>
      <c r="X543" s="4" t="str">
        <f>IF(Tabela2[[#This Row],[SIGLA]]="","",VLOOKUP(Tabela2[[#This Row],[SIGLA]],créditos_base!B:C,2,0))</f>
        <v/>
      </c>
      <c r="Y543" s="24"/>
      <c r="Z543" s="24" t="str">
        <f>Tabela2[[#This Row],[ILUSTRADOR CRIAÇÃO]]</f>
        <v/>
      </c>
      <c r="AA543" s="23"/>
      <c r="AB543" s="22"/>
      <c r="AC543" s="22"/>
      <c r="AD543" s="4" t="str">
        <f t="shared" si="10"/>
        <v>EF1 E001 HGC</v>
      </c>
    </row>
    <row r="544" spans="1:30" x14ac:dyDescent="0.25">
      <c r="A544" s="24"/>
      <c r="B544" s="22"/>
      <c r="C544" s="22"/>
      <c r="D544" s="22"/>
      <c r="E544" s="23"/>
      <c r="F544" s="23"/>
      <c r="G544" s="23"/>
      <c r="H544" s="23"/>
      <c r="I544" s="24"/>
      <c r="J544" s="24"/>
      <c r="K544" s="23"/>
      <c r="L544" s="23"/>
      <c r="M544" s="24"/>
      <c r="N544" s="24"/>
      <c r="O544" s="22"/>
      <c r="P544" s="22"/>
      <c r="Q544" s="23"/>
      <c r="R544" s="25"/>
      <c r="S544" s="25"/>
      <c r="T544" s="25"/>
      <c r="U544" s="25"/>
      <c r="V544" s="25"/>
      <c r="W544" s="23"/>
      <c r="X544" s="4" t="str">
        <f>IF(Tabela2[[#This Row],[SIGLA]]="","",VLOOKUP(Tabela2[[#This Row],[SIGLA]],créditos_base!B:C,2,0))</f>
        <v/>
      </c>
      <c r="Y544" s="24"/>
      <c r="Z544" s="24" t="str">
        <f>Tabela2[[#This Row],[ILUSTRADOR CRIAÇÃO]]</f>
        <v/>
      </c>
      <c r="AA544" s="23"/>
      <c r="AB544" s="22"/>
      <c r="AC544" s="22"/>
      <c r="AD544" s="4" t="str">
        <f t="shared" si="10"/>
        <v>EF1 E001 HGC</v>
      </c>
    </row>
    <row r="545" spans="1:30" x14ac:dyDescent="0.25">
      <c r="A545" s="24"/>
      <c r="B545" s="22"/>
      <c r="C545" s="22"/>
      <c r="D545" s="22"/>
      <c r="E545" s="23"/>
      <c r="F545" s="23"/>
      <c r="G545" s="23"/>
      <c r="H545" s="23"/>
      <c r="I545" s="24"/>
      <c r="J545" s="24"/>
      <c r="K545" s="23"/>
      <c r="L545" s="23"/>
      <c r="M545" s="24"/>
      <c r="N545" s="24"/>
      <c r="O545" s="22"/>
      <c r="P545" s="22"/>
      <c r="Q545" s="23"/>
      <c r="R545" s="25"/>
      <c r="S545" s="25"/>
      <c r="T545" s="25"/>
      <c r="U545" s="25"/>
      <c r="V545" s="25"/>
      <c r="W545" s="23"/>
      <c r="X545" s="4" t="str">
        <f>IF(Tabela2[[#This Row],[SIGLA]]="","",VLOOKUP(Tabela2[[#This Row],[SIGLA]],créditos_base!B:C,2,0))</f>
        <v/>
      </c>
      <c r="Y545" s="24"/>
      <c r="Z545" s="24" t="str">
        <f>Tabela2[[#This Row],[ILUSTRADOR CRIAÇÃO]]</f>
        <v/>
      </c>
      <c r="AA545" s="23"/>
      <c r="AB545" s="22"/>
      <c r="AC545" s="22"/>
      <c r="AD545" s="4" t="str">
        <f t="shared" si="10"/>
        <v>EF1 E001 HGC</v>
      </c>
    </row>
    <row r="546" spans="1:30" x14ac:dyDescent="0.25">
      <c r="A546" s="24"/>
      <c r="B546" s="22"/>
      <c r="C546" s="22"/>
      <c r="D546" s="22"/>
      <c r="E546" s="23"/>
      <c r="F546" s="23"/>
      <c r="G546" s="23"/>
      <c r="H546" s="23"/>
      <c r="I546" s="24"/>
      <c r="J546" s="24"/>
      <c r="K546" s="23"/>
      <c r="L546" s="23"/>
      <c r="M546" s="24"/>
      <c r="N546" s="24"/>
      <c r="O546" s="22"/>
      <c r="P546" s="22"/>
      <c r="Q546" s="23"/>
      <c r="R546" s="25"/>
      <c r="S546" s="25"/>
      <c r="T546" s="25"/>
      <c r="U546" s="25"/>
      <c r="V546" s="25"/>
      <c r="W546" s="23"/>
      <c r="X546" s="4" t="str">
        <f>IF(Tabela2[[#This Row],[SIGLA]]="","",VLOOKUP(Tabela2[[#This Row],[SIGLA]],créditos_base!B:C,2,0))</f>
        <v/>
      </c>
      <c r="Y546" s="24"/>
      <c r="Z546" s="24" t="str">
        <f>Tabela2[[#This Row],[ILUSTRADOR CRIAÇÃO]]</f>
        <v/>
      </c>
      <c r="AA546" s="23"/>
      <c r="AB546" s="22"/>
      <c r="AC546" s="22"/>
      <c r="AD546" s="4" t="str">
        <f t="shared" ref="AD546:AD577" si="11">"EF1 E001 HGC"</f>
        <v>EF1 E001 HGC</v>
      </c>
    </row>
    <row r="547" spans="1:30" x14ac:dyDescent="0.25">
      <c r="A547" s="24"/>
      <c r="B547" s="22"/>
      <c r="C547" s="22"/>
      <c r="D547" s="22"/>
      <c r="E547" s="23"/>
      <c r="F547" s="23"/>
      <c r="G547" s="23"/>
      <c r="H547" s="23"/>
      <c r="I547" s="24"/>
      <c r="J547" s="24"/>
      <c r="K547" s="23"/>
      <c r="L547" s="23"/>
      <c r="M547" s="24"/>
      <c r="N547" s="24"/>
      <c r="O547" s="22"/>
      <c r="P547" s="22"/>
      <c r="Q547" s="23"/>
      <c r="R547" s="25"/>
      <c r="S547" s="25"/>
      <c r="T547" s="25"/>
      <c r="U547" s="25"/>
      <c r="V547" s="25"/>
      <c r="W547" s="23"/>
      <c r="X547" s="4" t="str">
        <f>IF(Tabela2[[#This Row],[SIGLA]]="","",VLOOKUP(Tabela2[[#This Row],[SIGLA]],créditos_base!B:C,2,0))</f>
        <v/>
      </c>
      <c r="Y547" s="24"/>
      <c r="Z547" s="24" t="str">
        <f>Tabela2[[#This Row],[ILUSTRADOR CRIAÇÃO]]</f>
        <v/>
      </c>
      <c r="AA547" s="23"/>
      <c r="AB547" s="22"/>
      <c r="AC547" s="22"/>
      <c r="AD547" s="4" t="str">
        <f t="shared" si="11"/>
        <v>EF1 E001 HGC</v>
      </c>
    </row>
    <row r="548" spans="1:30" x14ac:dyDescent="0.25">
      <c r="A548" s="24"/>
      <c r="B548" s="22"/>
      <c r="C548" s="22"/>
      <c r="D548" s="22"/>
      <c r="E548" s="23"/>
      <c r="F548" s="23"/>
      <c r="G548" s="23"/>
      <c r="H548" s="23"/>
      <c r="I548" s="24"/>
      <c r="J548" s="24"/>
      <c r="K548" s="23"/>
      <c r="L548" s="23"/>
      <c r="M548" s="24"/>
      <c r="N548" s="24"/>
      <c r="O548" s="22"/>
      <c r="P548" s="22"/>
      <c r="Q548" s="23"/>
      <c r="R548" s="25"/>
      <c r="S548" s="25"/>
      <c r="T548" s="25"/>
      <c r="U548" s="25"/>
      <c r="V548" s="25"/>
      <c r="W548" s="23"/>
      <c r="X548" s="4" t="str">
        <f>IF(Tabela2[[#This Row],[SIGLA]]="","",VLOOKUP(Tabela2[[#This Row],[SIGLA]],créditos_base!B:C,2,0))</f>
        <v/>
      </c>
      <c r="Y548" s="24"/>
      <c r="Z548" s="24" t="str">
        <f>Tabela2[[#This Row],[ILUSTRADOR CRIAÇÃO]]</f>
        <v/>
      </c>
      <c r="AA548" s="23"/>
      <c r="AB548" s="22"/>
      <c r="AC548" s="22"/>
      <c r="AD548" s="4" t="str">
        <f t="shared" si="11"/>
        <v>EF1 E001 HGC</v>
      </c>
    </row>
    <row r="549" spans="1:30" x14ac:dyDescent="0.25">
      <c r="A549" s="24"/>
      <c r="B549" s="22"/>
      <c r="C549" s="22"/>
      <c r="D549" s="22"/>
      <c r="E549" s="23"/>
      <c r="F549" s="23"/>
      <c r="G549" s="23"/>
      <c r="H549" s="23"/>
      <c r="I549" s="24"/>
      <c r="J549" s="24"/>
      <c r="K549" s="23"/>
      <c r="L549" s="23"/>
      <c r="M549" s="24"/>
      <c r="N549" s="24"/>
      <c r="O549" s="22"/>
      <c r="P549" s="22"/>
      <c r="Q549" s="23"/>
      <c r="R549" s="25"/>
      <c r="S549" s="25"/>
      <c r="T549" s="25"/>
      <c r="U549" s="25"/>
      <c r="V549" s="25"/>
      <c r="W549" s="23"/>
      <c r="X549" s="4" t="str">
        <f>IF(Tabela2[[#This Row],[SIGLA]]="","",VLOOKUP(Tabela2[[#This Row],[SIGLA]],créditos_base!B:C,2,0))</f>
        <v/>
      </c>
      <c r="Y549" s="24"/>
      <c r="Z549" s="24" t="str">
        <f>Tabela2[[#This Row],[ILUSTRADOR CRIAÇÃO]]</f>
        <v/>
      </c>
      <c r="AA549" s="23"/>
      <c r="AB549" s="22"/>
      <c r="AC549" s="22"/>
      <c r="AD549" s="4" t="str">
        <f t="shared" si="11"/>
        <v>EF1 E001 HGC</v>
      </c>
    </row>
    <row r="550" spans="1:30" x14ac:dyDescent="0.25">
      <c r="A550" s="24"/>
      <c r="B550" s="22"/>
      <c r="C550" s="22"/>
      <c r="D550" s="22"/>
      <c r="E550" s="23"/>
      <c r="F550" s="23"/>
      <c r="G550" s="23"/>
      <c r="H550" s="23"/>
      <c r="I550" s="24"/>
      <c r="J550" s="24"/>
      <c r="K550" s="23"/>
      <c r="L550" s="23"/>
      <c r="M550" s="24"/>
      <c r="N550" s="24"/>
      <c r="O550" s="22"/>
      <c r="P550" s="22"/>
      <c r="Q550" s="23"/>
      <c r="R550" s="25"/>
      <c r="S550" s="25"/>
      <c r="T550" s="25"/>
      <c r="U550" s="25"/>
      <c r="V550" s="25"/>
      <c r="W550" s="23"/>
      <c r="X550" s="4" t="str">
        <f>IF(Tabela2[[#This Row],[SIGLA]]="","",VLOOKUP(Tabela2[[#This Row],[SIGLA]],créditos_base!B:C,2,0))</f>
        <v/>
      </c>
      <c r="Y550" s="24"/>
      <c r="Z550" s="24" t="str">
        <f>Tabela2[[#This Row],[ILUSTRADOR CRIAÇÃO]]</f>
        <v/>
      </c>
      <c r="AA550" s="23"/>
      <c r="AB550" s="22"/>
      <c r="AC550" s="22"/>
      <c r="AD550" s="4" t="str">
        <f t="shared" si="11"/>
        <v>EF1 E001 HGC</v>
      </c>
    </row>
    <row r="551" spans="1:30" x14ac:dyDescent="0.25">
      <c r="A551" s="24"/>
      <c r="B551" s="22"/>
      <c r="C551" s="22"/>
      <c r="D551" s="22"/>
      <c r="E551" s="23"/>
      <c r="F551" s="23"/>
      <c r="G551" s="23"/>
      <c r="H551" s="23"/>
      <c r="I551" s="24"/>
      <c r="J551" s="24"/>
      <c r="K551" s="23"/>
      <c r="L551" s="23"/>
      <c r="M551" s="24"/>
      <c r="N551" s="24"/>
      <c r="O551" s="22"/>
      <c r="P551" s="22"/>
      <c r="Q551" s="23"/>
      <c r="R551" s="25"/>
      <c r="S551" s="25"/>
      <c r="T551" s="25"/>
      <c r="U551" s="25"/>
      <c r="V551" s="25"/>
      <c r="W551" s="23"/>
      <c r="X551" s="4" t="str">
        <f>IF(Tabela2[[#This Row],[SIGLA]]="","",VLOOKUP(Tabela2[[#This Row],[SIGLA]],créditos_base!B:C,2,0))</f>
        <v/>
      </c>
      <c r="Y551" s="24"/>
      <c r="Z551" s="24" t="str">
        <f>Tabela2[[#This Row],[ILUSTRADOR CRIAÇÃO]]</f>
        <v/>
      </c>
      <c r="AA551" s="23"/>
      <c r="AB551" s="22"/>
      <c r="AC551" s="22"/>
      <c r="AD551" s="4" t="str">
        <f t="shared" si="11"/>
        <v>EF1 E001 HGC</v>
      </c>
    </row>
    <row r="552" spans="1:30" x14ac:dyDescent="0.25">
      <c r="A552" s="24"/>
      <c r="B552" s="22"/>
      <c r="C552" s="22"/>
      <c r="D552" s="22"/>
      <c r="E552" s="23"/>
      <c r="F552" s="23"/>
      <c r="G552" s="23"/>
      <c r="H552" s="23"/>
      <c r="I552" s="24"/>
      <c r="J552" s="24"/>
      <c r="K552" s="23"/>
      <c r="L552" s="23"/>
      <c r="M552" s="24"/>
      <c r="N552" s="24"/>
      <c r="O552" s="22"/>
      <c r="P552" s="22"/>
      <c r="Q552" s="23"/>
      <c r="R552" s="25"/>
      <c r="S552" s="25"/>
      <c r="T552" s="25"/>
      <c r="U552" s="25"/>
      <c r="V552" s="25"/>
      <c r="W552" s="23"/>
      <c r="X552" s="4" t="str">
        <f>IF(Tabela2[[#This Row],[SIGLA]]="","",VLOOKUP(Tabela2[[#This Row],[SIGLA]],créditos_base!B:C,2,0))</f>
        <v/>
      </c>
      <c r="Y552" s="24"/>
      <c r="Z552" s="24" t="str">
        <f>Tabela2[[#This Row],[ILUSTRADOR CRIAÇÃO]]</f>
        <v/>
      </c>
      <c r="AA552" s="23"/>
      <c r="AB552" s="22"/>
      <c r="AC552" s="22"/>
      <c r="AD552" s="4" t="str">
        <f t="shared" si="11"/>
        <v>EF1 E001 HGC</v>
      </c>
    </row>
    <row r="553" spans="1:30" x14ac:dyDescent="0.25">
      <c r="A553" s="24"/>
      <c r="B553" s="22"/>
      <c r="C553" s="22"/>
      <c r="D553" s="22"/>
      <c r="E553" s="23"/>
      <c r="F553" s="23"/>
      <c r="G553" s="23"/>
      <c r="H553" s="23"/>
      <c r="I553" s="24"/>
      <c r="J553" s="24"/>
      <c r="K553" s="23"/>
      <c r="L553" s="23"/>
      <c r="M553" s="24"/>
      <c r="N553" s="24"/>
      <c r="O553" s="22"/>
      <c r="P553" s="22"/>
      <c r="Q553" s="23"/>
      <c r="R553" s="25"/>
      <c r="S553" s="25"/>
      <c r="T553" s="25"/>
      <c r="U553" s="25"/>
      <c r="V553" s="25"/>
      <c r="W553" s="23"/>
      <c r="X553" s="4" t="str">
        <f>IF(Tabela2[[#This Row],[SIGLA]]="","",VLOOKUP(Tabela2[[#This Row],[SIGLA]],créditos_base!B:C,2,0))</f>
        <v/>
      </c>
      <c r="Y553" s="24"/>
      <c r="Z553" s="24" t="str">
        <f>Tabela2[[#This Row],[ILUSTRADOR CRIAÇÃO]]</f>
        <v/>
      </c>
      <c r="AA553" s="23"/>
      <c r="AB553" s="22"/>
      <c r="AC553" s="22"/>
      <c r="AD553" s="4" t="str">
        <f t="shared" si="11"/>
        <v>EF1 E001 HGC</v>
      </c>
    </row>
    <row r="554" spans="1:30" x14ac:dyDescent="0.25">
      <c r="A554" s="24"/>
      <c r="B554" s="22"/>
      <c r="C554" s="22"/>
      <c r="D554" s="22"/>
      <c r="E554" s="23"/>
      <c r="F554" s="23"/>
      <c r="G554" s="23"/>
      <c r="H554" s="23"/>
      <c r="I554" s="24"/>
      <c r="J554" s="24"/>
      <c r="K554" s="23"/>
      <c r="L554" s="23"/>
      <c r="M554" s="24"/>
      <c r="N554" s="24"/>
      <c r="O554" s="22"/>
      <c r="P554" s="22"/>
      <c r="Q554" s="23"/>
      <c r="R554" s="25"/>
      <c r="S554" s="25"/>
      <c r="T554" s="25"/>
      <c r="U554" s="25"/>
      <c r="V554" s="25"/>
      <c r="W554" s="23"/>
      <c r="X554" s="4" t="str">
        <f>IF(Tabela2[[#This Row],[SIGLA]]="","",VLOOKUP(Tabela2[[#This Row],[SIGLA]],créditos_base!B:C,2,0))</f>
        <v/>
      </c>
      <c r="Y554" s="24"/>
      <c r="Z554" s="24" t="str">
        <f>Tabela2[[#This Row],[ILUSTRADOR CRIAÇÃO]]</f>
        <v/>
      </c>
      <c r="AA554" s="23"/>
      <c r="AB554" s="22"/>
      <c r="AC554" s="22"/>
      <c r="AD554" s="4" t="str">
        <f t="shared" si="11"/>
        <v>EF1 E001 HGC</v>
      </c>
    </row>
    <row r="555" spans="1:30" x14ac:dyDescent="0.25">
      <c r="A555" s="24"/>
      <c r="B555" s="22"/>
      <c r="C555" s="22"/>
      <c r="D555" s="22"/>
      <c r="E555" s="23"/>
      <c r="F555" s="23"/>
      <c r="G555" s="23"/>
      <c r="H555" s="23"/>
      <c r="I555" s="24"/>
      <c r="J555" s="24"/>
      <c r="K555" s="23"/>
      <c r="L555" s="23"/>
      <c r="M555" s="24"/>
      <c r="N555" s="24"/>
      <c r="O555" s="22"/>
      <c r="P555" s="22"/>
      <c r="Q555" s="23"/>
      <c r="R555" s="25"/>
      <c r="S555" s="25"/>
      <c r="T555" s="25"/>
      <c r="U555" s="25"/>
      <c r="V555" s="25"/>
      <c r="W555" s="23"/>
      <c r="X555" s="4" t="str">
        <f>IF(Tabela2[[#This Row],[SIGLA]]="","",VLOOKUP(Tabela2[[#This Row],[SIGLA]],créditos_base!B:C,2,0))</f>
        <v/>
      </c>
      <c r="Y555" s="24"/>
      <c r="Z555" s="24" t="str">
        <f>Tabela2[[#This Row],[ILUSTRADOR CRIAÇÃO]]</f>
        <v/>
      </c>
      <c r="AA555" s="23"/>
      <c r="AB555" s="22"/>
      <c r="AC555" s="22"/>
      <c r="AD555" s="4" t="str">
        <f t="shared" si="11"/>
        <v>EF1 E001 HGC</v>
      </c>
    </row>
    <row r="556" spans="1:30" x14ac:dyDescent="0.25">
      <c r="A556" s="24"/>
      <c r="B556" s="22"/>
      <c r="C556" s="22"/>
      <c r="D556" s="22"/>
      <c r="E556" s="23"/>
      <c r="F556" s="23"/>
      <c r="G556" s="23"/>
      <c r="H556" s="23"/>
      <c r="I556" s="24"/>
      <c r="J556" s="24"/>
      <c r="K556" s="23"/>
      <c r="L556" s="23"/>
      <c r="M556" s="24"/>
      <c r="N556" s="24"/>
      <c r="O556" s="22"/>
      <c r="P556" s="22"/>
      <c r="Q556" s="23"/>
      <c r="R556" s="25"/>
      <c r="S556" s="25"/>
      <c r="T556" s="25"/>
      <c r="U556" s="25"/>
      <c r="V556" s="25"/>
      <c r="W556" s="23"/>
      <c r="X556" s="4" t="str">
        <f>IF(Tabela2[[#This Row],[SIGLA]]="","",VLOOKUP(Tabela2[[#This Row],[SIGLA]],créditos_base!B:C,2,0))</f>
        <v/>
      </c>
      <c r="Y556" s="24"/>
      <c r="Z556" s="24" t="str">
        <f>Tabela2[[#This Row],[ILUSTRADOR CRIAÇÃO]]</f>
        <v/>
      </c>
      <c r="AA556" s="23"/>
      <c r="AB556" s="22"/>
      <c r="AC556" s="22"/>
      <c r="AD556" s="4" t="str">
        <f t="shared" si="11"/>
        <v>EF1 E001 HGC</v>
      </c>
    </row>
    <row r="557" spans="1:30" x14ac:dyDescent="0.25">
      <c r="A557" s="24"/>
      <c r="B557" s="22"/>
      <c r="C557" s="22"/>
      <c r="D557" s="22"/>
      <c r="E557" s="23"/>
      <c r="F557" s="23"/>
      <c r="G557" s="23"/>
      <c r="H557" s="23"/>
      <c r="I557" s="24"/>
      <c r="J557" s="24"/>
      <c r="K557" s="23"/>
      <c r="L557" s="23"/>
      <c r="M557" s="24"/>
      <c r="N557" s="24"/>
      <c r="O557" s="22"/>
      <c r="P557" s="22"/>
      <c r="Q557" s="23"/>
      <c r="R557" s="25"/>
      <c r="S557" s="25"/>
      <c r="T557" s="25"/>
      <c r="U557" s="25"/>
      <c r="V557" s="25"/>
      <c r="W557" s="23"/>
      <c r="X557" s="4" t="str">
        <f>IF(Tabela2[[#This Row],[SIGLA]]="","",VLOOKUP(Tabela2[[#This Row],[SIGLA]],créditos_base!B:C,2,0))</f>
        <v/>
      </c>
      <c r="Y557" s="24"/>
      <c r="Z557" s="24" t="str">
        <f>Tabela2[[#This Row],[ILUSTRADOR CRIAÇÃO]]</f>
        <v/>
      </c>
      <c r="AA557" s="23"/>
      <c r="AB557" s="22"/>
      <c r="AC557" s="22"/>
      <c r="AD557" s="4" t="str">
        <f t="shared" si="11"/>
        <v>EF1 E001 HGC</v>
      </c>
    </row>
    <row r="558" spans="1:30" x14ac:dyDescent="0.25">
      <c r="A558" s="24"/>
      <c r="B558" s="22"/>
      <c r="C558" s="22"/>
      <c r="D558" s="22"/>
      <c r="E558" s="23"/>
      <c r="F558" s="23"/>
      <c r="G558" s="23"/>
      <c r="H558" s="23"/>
      <c r="I558" s="24"/>
      <c r="J558" s="24"/>
      <c r="K558" s="23"/>
      <c r="L558" s="23"/>
      <c r="M558" s="24"/>
      <c r="N558" s="24"/>
      <c r="O558" s="22"/>
      <c r="P558" s="22"/>
      <c r="Q558" s="23"/>
      <c r="R558" s="25"/>
      <c r="S558" s="25"/>
      <c r="T558" s="25"/>
      <c r="U558" s="25"/>
      <c r="V558" s="25"/>
      <c r="W558" s="23"/>
      <c r="X558" s="4" t="str">
        <f>IF(Tabela2[[#This Row],[SIGLA]]="","",VLOOKUP(Tabela2[[#This Row],[SIGLA]],créditos_base!B:C,2,0))</f>
        <v/>
      </c>
      <c r="Y558" s="24"/>
      <c r="Z558" s="24" t="str">
        <f>Tabela2[[#This Row],[ILUSTRADOR CRIAÇÃO]]</f>
        <v/>
      </c>
      <c r="AA558" s="23"/>
      <c r="AB558" s="22"/>
      <c r="AC558" s="22"/>
      <c r="AD558" s="4" t="str">
        <f t="shared" si="11"/>
        <v>EF1 E001 HGC</v>
      </c>
    </row>
    <row r="559" spans="1:30" x14ac:dyDescent="0.25">
      <c r="A559" s="24"/>
      <c r="B559" s="22"/>
      <c r="C559" s="22"/>
      <c r="D559" s="22"/>
      <c r="E559" s="23"/>
      <c r="F559" s="23"/>
      <c r="G559" s="23"/>
      <c r="H559" s="23"/>
      <c r="I559" s="24"/>
      <c r="J559" s="24"/>
      <c r="K559" s="23"/>
      <c r="L559" s="23"/>
      <c r="M559" s="24"/>
      <c r="N559" s="24"/>
      <c r="O559" s="22"/>
      <c r="P559" s="22"/>
      <c r="Q559" s="23"/>
      <c r="R559" s="25"/>
      <c r="S559" s="25"/>
      <c r="T559" s="25"/>
      <c r="U559" s="25"/>
      <c r="V559" s="25"/>
      <c r="W559" s="23"/>
      <c r="X559" s="4" t="str">
        <f>IF(Tabela2[[#This Row],[SIGLA]]="","",VLOOKUP(Tabela2[[#This Row],[SIGLA]],créditos_base!B:C,2,0))</f>
        <v/>
      </c>
      <c r="Y559" s="24"/>
      <c r="Z559" s="24" t="str">
        <f>Tabela2[[#This Row],[ILUSTRADOR CRIAÇÃO]]</f>
        <v/>
      </c>
      <c r="AA559" s="23"/>
      <c r="AB559" s="22"/>
      <c r="AC559" s="22"/>
      <c r="AD559" s="4" t="str">
        <f t="shared" si="11"/>
        <v>EF1 E001 HGC</v>
      </c>
    </row>
    <row r="560" spans="1:30" x14ac:dyDescent="0.25">
      <c r="A560" s="24"/>
      <c r="B560" s="22"/>
      <c r="C560" s="22"/>
      <c r="D560" s="22"/>
      <c r="E560" s="23"/>
      <c r="F560" s="23"/>
      <c r="G560" s="23"/>
      <c r="H560" s="23"/>
      <c r="I560" s="24"/>
      <c r="J560" s="24"/>
      <c r="K560" s="23"/>
      <c r="L560" s="23"/>
      <c r="M560" s="24"/>
      <c r="N560" s="24"/>
      <c r="O560" s="22"/>
      <c r="P560" s="22"/>
      <c r="Q560" s="23"/>
      <c r="R560" s="25"/>
      <c r="S560" s="25"/>
      <c r="T560" s="25"/>
      <c r="U560" s="25"/>
      <c r="V560" s="25"/>
      <c r="W560" s="23"/>
      <c r="X560" s="4" t="str">
        <f>IF(Tabela2[[#This Row],[SIGLA]]="","",VLOOKUP(Tabela2[[#This Row],[SIGLA]],créditos_base!B:C,2,0))</f>
        <v/>
      </c>
      <c r="Y560" s="24"/>
      <c r="Z560" s="24" t="str">
        <f>Tabela2[[#This Row],[ILUSTRADOR CRIAÇÃO]]</f>
        <v/>
      </c>
      <c r="AA560" s="23"/>
      <c r="AB560" s="22"/>
      <c r="AC560" s="22"/>
      <c r="AD560" s="4" t="str">
        <f t="shared" si="11"/>
        <v>EF1 E001 HGC</v>
      </c>
    </row>
    <row r="561" spans="1:30" x14ac:dyDescent="0.25">
      <c r="A561" s="24"/>
      <c r="B561" s="22"/>
      <c r="C561" s="22"/>
      <c r="D561" s="22"/>
      <c r="E561" s="23"/>
      <c r="F561" s="23"/>
      <c r="G561" s="23"/>
      <c r="H561" s="23"/>
      <c r="I561" s="24"/>
      <c r="J561" s="24"/>
      <c r="K561" s="23"/>
      <c r="L561" s="23"/>
      <c r="M561" s="24"/>
      <c r="N561" s="24"/>
      <c r="O561" s="22"/>
      <c r="P561" s="22"/>
      <c r="Q561" s="23"/>
      <c r="R561" s="25"/>
      <c r="S561" s="25"/>
      <c r="T561" s="25"/>
      <c r="U561" s="25"/>
      <c r="V561" s="25"/>
      <c r="W561" s="23"/>
      <c r="X561" s="4" t="str">
        <f>IF(Tabela2[[#This Row],[SIGLA]]="","",VLOOKUP(Tabela2[[#This Row],[SIGLA]],créditos_base!B:C,2,0))</f>
        <v/>
      </c>
      <c r="Y561" s="24"/>
      <c r="Z561" s="24" t="str">
        <f>Tabela2[[#This Row],[ILUSTRADOR CRIAÇÃO]]</f>
        <v/>
      </c>
      <c r="AA561" s="23"/>
      <c r="AB561" s="22"/>
      <c r="AC561" s="22"/>
      <c r="AD561" s="4" t="str">
        <f t="shared" si="11"/>
        <v>EF1 E001 HGC</v>
      </c>
    </row>
    <row r="562" spans="1:30" x14ac:dyDescent="0.25">
      <c r="A562" s="24"/>
      <c r="B562" s="22"/>
      <c r="C562" s="22"/>
      <c r="D562" s="22"/>
      <c r="E562" s="23"/>
      <c r="F562" s="23"/>
      <c r="G562" s="23"/>
      <c r="H562" s="23"/>
      <c r="I562" s="24"/>
      <c r="J562" s="24"/>
      <c r="K562" s="23"/>
      <c r="L562" s="23"/>
      <c r="M562" s="24"/>
      <c r="N562" s="24"/>
      <c r="O562" s="22"/>
      <c r="P562" s="22"/>
      <c r="Q562" s="23"/>
      <c r="R562" s="25"/>
      <c r="S562" s="25"/>
      <c r="T562" s="25"/>
      <c r="U562" s="25"/>
      <c r="V562" s="25"/>
      <c r="W562" s="23"/>
      <c r="X562" s="4" t="str">
        <f>IF(Tabela2[[#This Row],[SIGLA]]="","",VLOOKUP(Tabela2[[#This Row],[SIGLA]],créditos_base!B:C,2,0))</f>
        <v/>
      </c>
      <c r="Y562" s="24"/>
      <c r="Z562" s="24" t="str">
        <f>Tabela2[[#This Row],[ILUSTRADOR CRIAÇÃO]]</f>
        <v/>
      </c>
      <c r="AA562" s="23"/>
      <c r="AB562" s="22"/>
      <c r="AC562" s="22"/>
      <c r="AD562" s="4" t="str">
        <f t="shared" si="11"/>
        <v>EF1 E001 HGC</v>
      </c>
    </row>
    <row r="563" spans="1:30" x14ac:dyDescent="0.25">
      <c r="A563" s="24"/>
      <c r="B563" s="22"/>
      <c r="C563" s="22"/>
      <c r="D563" s="22"/>
      <c r="E563" s="23"/>
      <c r="F563" s="23"/>
      <c r="G563" s="23"/>
      <c r="H563" s="23"/>
      <c r="I563" s="24"/>
      <c r="J563" s="24"/>
      <c r="K563" s="23"/>
      <c r="L563" s="23"/>
      <c r="M563" s="24"/>
      <c r="N563" s="24"/>
      <c r="O563" s="22"/>
      <c r="P563" s="22"/>
      <c r="Q563" s="23"/>
      <c r="R563" s="25"/>
      <c r="S563" s="25"/>
      <c r="T563" s="25"/>
      <c r="U563" s="25"/>
      <c r="V563" s="25"/>
      <c r="W563" s="23"/>
      <c r="X563" s="4" t="str">
        <f>IF(Tabela2[[#This Row],[SIGLA]]="","",VLOOKUP(Tabela2[[#This Row],[SIGLA]],créditos_base!B:C,2,0))</f>
        <v/>
      </c>
      <c r="Y563" s="24"/>
      <c r="Z563" s="24" t="str">
        <f>Tabela2[[#This Row],[ILUSTRADOR CRIAÇÃO]]</f>
        <v/>
      </c>
      <c r="AA563" s="23"/>
      <c r="AB563" s="22"/>
      <c r="AC563" s="22"/>
      <c r="AD563" s="4" t="str">
        <f t="shared" si="11"/>
        <v>EF1 E001 HGC</v>
      </c>
    </row>
    <row r="564" spans="1:30" x14ac:dyDescent="0.25">
      <c r="A564" s="24"/>
      <c r="B564" s="22"/>
      <c r="C564" s="22"/>
      <c r="D564" s="22"/>
      <c r="E564" s="23"/>
      <c r="F564" s="23"/>
      <c r="G564" s="23"/>
      <c r="H564" s="23"/>
      <c r="I564" s="24"/>
      <c r="J564" s="24"/>
      <c r="K564" s="23"/>
      <c r="L564" s="23"/>
      <c r="M564" s="24"/>
      <c r="N564" s="24"/>
      <c r="O564" s="22"/>
      <c r="P564" s="22"/>
      <c r="Q564" s="23"/>
      <c r="R564" s="25"/>
      <c r="S564" s="25"/>
      <c r="T564" s="25"/>
      <c r="U564" s="25"/>
      <c r="V564" s="25"/>
      <c r="W564" s="23"/>
      <c r="X564" s="4" t="str">
        <f>IF(Tabela2[[#This Row],[SIGLA]]="","",VLOOKUP(Tabela2[[#This Row],[SIGLA]],créditos_base!B:C,2,0))</f>
        <v/>
      </c>
      <c r="Y564" s="24"/>
      <c r="Z564" s="24" t="str">
        <f>Tabela2[[#This Row],[ILUSTRADOR CRIAÇÃO]]</f>
        <v/>
      </c>
      <c r="AA564" s="23"/>
      <c r="AB564" s="22"/>
      <c r="AC564" s="22"/>
      <c r="AD564" s="4" t="str">
        <f t="shared" si="11"/>
        <v>EF1 E001 HGC</v>
      </c>
    </row>
    <row r="565" spans="1:30" x14ac:dyDescent="0.25">
      <c r="A565" s="24"/>
      <c r="B565" s="22"/>
      <c r="C565" s="22"/>
      <c r="D565" s="22"/>
      <c r="E565" s="23"/>
      <c r="F565" s="23"/>
      <c r="G565" s="23"/>
      <c r="H565" s="23"/>
      <c r="I565" s="24"/>
      <c r="J565" s="24"/>
      <c r="K565" s="23"/>
      <c r="L565" s="23"/>
      <c r="M565" s="24"/>
      <c r="N565" s="24"/>
      <c r="O565" s="22"/>
      <c r="P565" s="22"/>
      <c r="Q565" s="23"/>
      <c r="R565" s="25"/>
      <c r="S565" s="25"/>
      <c r="T565" s="25"/>
      <c r="U565" s="25"/>
      <c r="V565" s="25"/>
      <c r="W565" s="23"/>
      <c r="X565" s="4" t="str">
        <f>IF(Tabela2[[#This Row],[SIGLA]]="","",VLOOKUP(Tabela2[[#This Row],[SIGLA]],créditos_base!B:C,2,0))</f>
        <v/>
      </c>
      <c r="Y565" s="24"/>
      <c r="Z565" s="24" t="str">
        <f>Tabela2[[#This Row],[ILUSTRADOR CRIAÇÃO]]</f>
        <v/>
      </c>
      <c r="AA565" s="23"/>
      <c r="AB565" s="22"/>
      <c r="AC565" s="22"/>
      <c r="AD565" s="4" t="str">
        <f t="shared" si="11"/>
        <v>EF1 E001 HGC</v>
      </c>
    </row>
    <row r="566" spans="1:30" x14ac:dyDescent="0.25">
      <c r="A566" s="24"/>
      <c r="B566" s="22"/>
      <c r="C566" s="22"/>
      <c r="D566" s="22"/>
      <c r="E566" s="23"/>
      <c r="F566" s="23"/>
      <c r="G566" s="23"/>
      <c r="H566" s="23"/>
      <c r="I566" s="24"/>
      <c r="J566" s="24"/>
      <c r="K566" s="23"/>
      <c r="L566" s="23"/>
      <c r="M566" s="24"/>
      <c r="N566" s="24"/>
      <c r="O566" s="22"/>
      <c r="P566" s="22"/>
      <c r="Q566" s="23"/>
      <c r="R566" s="25"/>
      <c r="S566" s="25"/>
      <c r="T566" s="25"/>
      <c r="U566" s="25"/>
      <c r="V566" s="25"/>
      <c r="W566" s="23"/>
      <c r="X566" s="4" t="str">
        <f>IF(Tabela2[[#This Row],[SIGLA]]="","",VLOOKUP(Tabela2[[#This Row],[SIGLA]],créditos_base!B:C,2,0))</f>
        <v/>
      </c>
      <c r="Y566" s="24"/>
      <c r="Z566" s="24" t="str">
        <f>Tabela2[[#This Row],[ILUSTRADOR CRIAÇÃO]]</f>
        <v/>
      </c>
      <c r="AA566" s="23"/>
      <c r="AB566" s="22"/>
      <c r="AC566" s="22"/>
      <c r="AD566" s="4" t="str">
        <f t="shared" si="11"/>
        <v>EF1 E001 HGC</v>
      </c>
    </row>
    <row r="567" spans="1:30" x14ac:dyDescent="0.25">
      <c r="A567" s="24"/>
      <c r="B567" s="22"/>
      <c r="C567" s="22"/>
      <c r="D567" s="22"/>
      <c r="E567" s="23"/>
      <c r="F567" s="23"/>
      <c r="G567" s="23"/>
      <c r="H567" s="23"/>
      <c r="I567" s="24"/>
      <c r="J567" s="24"/>
      <c r="K567" s="23"/>
      <c r="L567" s="23"/>
      <c r="M567" s="24"/>
      <c r="N567" s="24"/>
      <c r="O567" s="22"/>
      <c r="P567" s="22"/>
      <c r="Q567" s="23"/>
      <c r="R567" s="25"/>
      <c r="S567" s="25"/>
      <c r="T567" s="25"/>
      <c r="U567" s="25"/>
      <c r="V567" s="25"/>
      <c r="W567" s="23"/>
      <c r="X567" s="4" t="str">
        <f>IF(Tabela2[[#This Row],[SIGLA]]="","",VLOOKUP(Tabela2[[#This Row],[SIGLA]],créditos_base!B:C,2,0))</f>
        <v/>
      </c>
      <c r="Y567" s="24"/>
      <c r="Z567" s="24" t="str">
        <f>Tabela2[[#This Row],[ILUSTRADOR CRIAÇÃO]]</f>
        <v/>
      </c>
      <c r="AA567" s="23"/>
      <c r="AB567" s="22"/>
      <c r="AC567" s="22"/>
      <c r="AD567" s="4" t="str">
        <f t="shared" si="11"/>
        <v>EF1 E001 HGC</v>
      </c>
    </row>
    <row r="568" spans="1:30" x14ac:dyDescent="0.25">
      <c r="A568" s="24"/>
      <c r="B568" s="22"/>
      <c r="C568" s="22"/>
      <c r="D568" s="22"/>
      <c r="E568" s="23"/>
      <c r="F568" s="23"/>
      <c r="G568" s="23"/>
      <c r="H568" s="23"/>
      <c r="I568" s="24"/>
      <c r="J568" s="24"/>
      <c r="K568" s="23"/>
      <c r="L568" s="23"/>
      <c r="M568" s="24"/>
      <c r="N568" s="24"/>
      <c r="O568" s="22"/>
      <c r="P568" s="22"/>
      <c r="Q568" s="23"/>
      <c r="R568" s="25"/>
      <c r="S568" s="25"/>
      <c r="T568" s="25"/>
      <c r="U568" s="25"/>
      <c r="V568" s="25"/>
      <c r="W568" s="23"/>
      <c r="X568" s="4" t="str">
        <f>IF(Tabela2[[#This Row],[SIGLA]]="","",VLOOKUP(Tabela2[[#This Row],[SIGLA]],créditos_base!B:C,2,0))</f>
        <v/>
      </c>
      <c r="Y568" s="24"/>
      <c r="Z568" s="24" t="str">
        <f>Tabela2[[#This Row],[ILUSTRADOR CRIAÇÃO]]</f>
        <v/>
      </c>
      <c r="AA568" s="23"/>
      <c r="AB568" s="22"/>
      <c r="AC568" s="22"/>
      <c r="AD568" s="4" t="str">
        <f t="shared" si="11"/>
        <v>EF1 E001 HGC</v>
      </c>
    </row>
    <row r="569" spans="1:30" x14ac:dyDescent="0.25">
      <c r="A569" s="24"/>
      <c r="B569" s="22"/>
      <c r="C569" s="22"/>
      <c r="D569" s="22"/>
      <c r="E569" s="23"/>
      <c r="F569" s="23"/>
      <c r="G569" s="23"/>
      <c r="H569" s="23"/>
      <c r="I569" s="24"/>
      <c r="J569" s="24"/>
      <c r="K569" s="23"/>
      <c r="L569" s="23"/>
      <c r="M569" s="24"/>
      <c r="N569" s="24"/>
      <c r="O569" s="22"/>
      <c r="P569" s="22"/>
      <c r="Q569" s="23"/>
      <c r="R569" s="25"/>
      <c r="S569" s="25"/>
      <c r="T569" s="25"/>
      <c r="U569" s="25"/>
      <c r="V569" s="25"/>
      <c r="W569" s="23"/>
      <c r="X569" s="4" t="str">
        <f>IF(Tabela2[[#This Row],[SIGLA]]="","",VLOOKUP(Tabela2[[#This Row],[SIGLA]],créditos_base!B:C,2,0))</f>
        <v/>
      </c>
      <c r="Y569" s="24"/>
      <c r="Z569" s="24" t="str">
        <f>Tabela2[[#This Row],[ILUSTRADOR CRIAÇÃO]]</f>
        <v/>
      </c>
      <c r="AA569" s="23"/>
      <c r="AB569" s="22"/>
      <c r="AC569" s="22"/>
      <c r="AD569" s="4" t="str">
        <f t="shared" si="11"/>
        <v>EF1 E001 HGC</v>
      </c>
    </row>
    <row r="570" spans="1:30" x14ac:dyDescent="0.25">
      <c r="A570" s="24"/>
      <c r="B570" s="22"/>
      <c r="C570" s="22"/>
      <c r="D570" s="22"/>
      <c r="E570" s="23"/>
      <c r="F570" s="23"/>
      <c r="G570" s="23"/>
      <c r="H570" s="23"/>
      <c r="I570" s="24"/>
      <c r="J570" s="24"/>
      <c r="K570" s="23"/>
      <c r="L570" s="23"/>
      <c r="M570" s="24"/>
      <c r="N570" s="24"/>
      <c r="O570" s="22"/>
      <c r="P570" s="22"/>
      <c r="Q570" s="23"/>
      <c r="R570" s="25"/>
      <c r="S570" s="25"/>
      <c r="T570" s="25"/>
      <c r="U570" s="25"/>
      <c r="V570" s="25"/>
      <c r="W570" s="23"/>
      <c r="X570" s="4" t="str">
        <f>IF(Tabela2[[#This Row],[SIGLA]]="","",VLOOKUP(Tabela2[[#This Row],[SIGLA]],créditos_base!B:C,2,0))</f>
        <v/>
      </c>
      <c r="Y570" s="24"/>
      <c r="Z570" s="24" t="str">
        <f>Tabela2[[#This Row],[ILUSTRADOR CRIAÇÃO]]</f>
        <v/>
      </c>
      <c r="AA570" s="23"/>
      <c r="AB570" s="22"/>
      <c r="AC570" s="22"/>
      <c r="AD570" s="4" t="str">
        <f t="shared" si="11"/>
        <v>EF1 E001 HGC</v>
      </c>
    </row>
    <row r="571" spans="1:30" x14ac:dyDescent="0.25">
      <c r="A571" s="24"/>
      <c r="B571" s="22"/>
      <c r="C571" s="22"/>
      <c r="D571" s="22"/>
      <c r="E571" s="23"/>
      <c r="F571" s="23"/>
      <c r="G571" s="23"/>
      <c r="H571" s="23"/>
      <c r="I571" s="24"/>
      <c r="J571" s="24"/>
      <c r="K571" s="23"/>
      <c r="L571" s="23"/>
      <c r="M571" s="24"/>
      <c r="N571" s="24"/>
      <c r="O571" s="22"/>
      <c r="P571" s="22"/>
      <c r="Q571" s="23"/>
      <c r="R571" s="25"/>
      <c r="S571" s="25"/>
      <c r="T571" s="25"/>
      <c r="U571" s="25"/>
      <c r="V571" s="25"/>
      <c r="W571" s="23"/>
      <c r="X571" s="4" t="str">
        <f>IF(Tabela2[[#This Row],[SIGLA]]="","",VLOOKUP(Tabela2[[#This Row],[SIGLA]],créditos_base!B:C,2,0))</f>
        <v/>
      </c>
      <c r="Y571" s="24"/>
      <c r="Z571" s="24" t="str">
        <f>Tabela2[[#This Row],[ILUSTRADOR CRIAÇÃO]]</f>
        <v/>
      </c>
      <c r="AA571" s="23"/>
      <c r="AB571" s="22"/>
      <c r="AC571" s="22"/>
      <c r="AD571" s="4" t="str">
        <f t="shared" si="11"/>
        <v>EF1 E001 HGC</v>
      </c>
    </row>
    <row r="572" spans="1:30" x14ac:dyDescent="0.25">
      <c r="A572" s="24"/>
      <c r="B572" s="22"/>
      <c r="C572" s="22"/>
      <c r="D572" s="22"/>
      <c r="E572" s="23"/>
      <c r="F572" s="23"/>
      <c r="G572" s="23"/>
      <c r="H572" s="23"/>
      <c r="I572" s="24"/>
      <c r="J572" s="24"/>
      <c r="K572" s="23"/>
      <c r="L572" s="23"/>
      <c r="M572" s="24"/>
      <c r="N572" s="24"/>
      <c r="O572" s="22"/>
      <c r="P572" s="22"/>
      <c r="Q572" s="23"/>
      <c r="R572" s="25"/>
      <c r="S572" s="25"/>
      <c r="T572" s="25"/>
      <c r="U572" s="25"/>
      <c r="V572" s="25"/>
      <c r="W572" s="23"/>
      <c r="X572" s="4" t="str">
        <f>IF(Tabela2[[#This Row],[SIGLA]]="","",VLOOKUP(Tabela2[[#This Row],[SIGLA]],créditos_base!B:C,2,0))</f>
        <v/>
      </c>
      <c r="Y572" s="24"/>
      <c r="Z572" s="24" t="str">
        <f>Tabela2[[#This Row],[ILUSTRADOR CRIAÇÃO]]</f>
        <v/>
      </c>
      <c r="AA572" s="23"/>
      <c r="AB572" s="22"/>
      <c r="AC572" s="22"/>
      <c r="AD572" s="4" t="str">
        <f t="shared" si="11"/>
        <v>EF1 E001 HGC</v>
      </c>
    </row>
    <row r="573" spans="1:30" x14ac:dyDescent="0.25">
      <c r="A573" s="24"/>
      <c r="B573" s="22"/>
      <c r="C573" s="22"/>
      <c r="D573" s="22"/>
      <c r="E573" s="23"/>
      <c r="F573" s="23"/>
      <c r="G573" s="23"/>
      <c r="H573" s="23"/>
      <c r="I573" s="24"/>
      <c r="J573" s="24"/>
      <c r="K573" s="23"/>
      <c r="L573" s="23"/>
      <c r="M573" s="24"/>
      <c r="N573" s="24"/>
      <c r="O573" s="22"/>
      <c r="P573" s="22"/>
      <c r="Q573" s="23"/>
      <c r="R573" s="25"/>
      <c r="S573" s="25"/>
      <c r="T573" s="25"/>
      <c r="U573" s="25"/>
      <c r="V573" s="25"/>
      <c r="W573" s="23"/>
      <c r="X573" s="4" t="str">
        <f>IF(Tabela2[[#This Row],[SIGLA]]="","",VLOOKUP(Tabela2[[#This Row],[SIGLA]],créditos_base!B:C,2,0))</f>
        <v/>
      </c>
      <c r="Y573" s="24"/>
      <c r="Z573" s="24" t="str">
        <f>Tabela2[[#This Row],[ILUSTRADOR CRIAÇÃO]]</f>
        <v/>
      </c>
      <c r="AA573" s="23"/>
      <c r="AB573" s="22"/>
      <c r="AC573" s="22"/>
      <c r="AD573" s="4" t="str">
        <f t="shared" si="11"/>
        <v>EF1 E001 HGC</v>
      </c>
    </row>
    <row r="574" spans="1:30" x14ac:dyDescent="0.25">
      <c r="A574" s="24"/>
      <c r="B574" s="22"/>
      <c r="C574" s="22"/>
      <c r="D574" s="22"/>
      <c r="E574" s="23"/>
      <c r="F574" s="23"/>
      <c r="G574" s="23"/>
      <c r="H574" s="23"/>
      <c r="I574" s="24"/>
      <c r="J574" s="24"/>
      <c r="K574" s="23"/>
      <c r="L574" s="23"/>
      <c r="M574" s="24"/>
      <c r="N574" s="24"/>
      <c r="O574" s="22"/>
      <c r="P574" s="22"/>
      <c r="Q574" s="23"/>
      <c r="R574" s="25"/>
      <c r="S574" s="25"/>
      <c r="T574" s="25"/>
      <c r="U574" s="25"/>
      <c r="V574" s="25"/>
      <c r="W574" s="23"/>
      <c r="X574" s="4" t="str">
        <f>IF(Tabela2[[#This Row],[SIGLA]]="","",VLOOKUP(Tabela2[[#This Row],[SIGLA]],créditos_base!B:C,2,0))</f>
        <v/>
      </c>
      <c r="Y574" s="24"/>
      <c r="Z574" s="24" t="str">
        <f>Tabela2[[#This Row],[ILUSTRADOR CRIAÇÃO]]</f>
        <v/>
      </c>
      <c r="AA574" s="23"/>
      <c r="AB574" s="22"/>
      <c r="AC574" s="22"/>
      <c r="AD574" s="4" t="str">
        <f t="shared" si="11"/>
        <v>EF1 E001 HGC</v>
      </c>
    </row>
    <row r="575" spans="1:30" x14ac:dyDescent="0.25">
      <c r="A575" s="24"/>
      <c r="B575" s="22"/>
      <c r="C575" s="22"/>
      <c r="D575" s="22"/>
      <c r="E575" s="23"/>
      <c r="F575" s="23"/>
      <c r="G575" s="23"/>
      <c r="H575" s="23"/>
      <c r="I575" s="24"/>
      <c r="J575" s="24"/>
      <c r="K575" s="23"/>
      <c r="L575" s="23"/>
      <c r="M575" s="24"/>
      <c r="N575" s="24"/>
      <c r="O575" s="22"/>
      <c r="P575" s="22"/>
      <c r="Q575" s="23"/>
      <c r="R575" s="25"/>
      <c r="S575" s="25"/>
      <c r="T575" s="25"/>
      <c r="U575" s="25"/>
      <c r="V575" s="25"/>
      <c r="W575" s="23"/>
      <c r="X575" s="4" t="str">
        <f>IF(Tabela2[[#This Row],[SIGLA]]="","",VLOOKUP(Tabela2[[#This Row],[SIGLA]],créditos_base!B:C,2,0))</f>
        <v/>
      </c>
      <c r="Y575" s="24"/>
      <c r="Z575" s="24" t="str">
        <f>Tabela2[[#This Row],[ILUSTRADOR CRIAÇÃO]]</f>
        <v/>
      </c>
      <c r="AA575" s="23"/>
      <c r="AB575" s="22"/>
      <c r="AC575" s="22"/>
      <c r="AD575" s="4" t="str">
        <f t="shared" si="11"/>
        <v>EF1 E001 HGC</v>
      </c>
    </row>
    <row r="576" spans="1:30" x14ac:dyDescent="0.25">
      <c r="A576" s="24"/>
      <c r="B576" s="22"/>
      <c r="C576" s="22"/>
      <c r="D576" s="22"/>
      <c r="E576" s="23"/>
      <c r="F576" s="23"/>
      <c r="G576" s="23"/>
      <c r="H576" s="23"/>
      <c r="I576" s="24"/>
      <c r="J576" s="24"/>
      <c r="K576" s="23"/>
      <c r="L576" s="23"/>
      <c r="M576" s="24"/>
      <c r="N576" s="24"/>
      <c r="O576" s="22"/>
      <c r="P576" s="22"/>
      <c r="Q576" s="23"/>
      <c r="R576" s="25"/>
      <c r="S576" s="25"/>
      <c r="T576" s="25"/>
      <c r="U576" s="25"/>
      <c r="V576" s="25"/>
      <c r="W576" s="23"/>
      <c r="X576" s="4" t="str">
        <f>IF(Tabela2[[#This Row],[SIGLA]]="","",VLOOKUP(Tabela2[[#This Row],[SIGLA]],créditos_base!B:C,2,0))</f>
        <v/>
      </c>
      <c r="Y576" s="24"/>
      <c r="Z576" s="24" t="str">
        <f>Tabela2[[#This Row],[ILUSTRADOR CRIAÇÃO]]</f>
        <v/>
      </c>
      <c r="AA576" s="23"/>
      <c r="AB576" s="22"/>
      <c r="AC576" s="22"/>
      <c r="AD576" s="4" t="str">
        <f t="shared" si="11"/>
        <v>EF1 E001 HGC</v>
      </c>
    </row>
    <row r="577" spans="1:30" x14ac:dyDescent="0.25">
      <c r="A577" s="24"/>
      <c r="B577" s="22"/>
      <c r="C577" s="22"/>
      <c r="D577" s="22"/>
      <c r="E577" s="23"/>
      <c r="F577" s="23"/>
      <c r="G577" s="23"/>
      <c r="H577" s="23"/>
      <c r="I577" s="24"/>
      <c r="J577" s="24"/>
      <c r="K577" s="23"/>
      <c r="L577" s="23"/>
      <c r="M577" s="24"/>
      <c r="N577" s="24"/>
      <c r="O577" s="22"/>
      <c r="P577" s="22"/>
      <c r="Q577" s="23"/>
      <c r="R577" s="25"/>
      <c r="S577" s="25"/>
      <c r="T577" s="25"/>
      <c r="U577" s="25"/>
      <c r="V577" s="25"/>
      <c r="W577" s="23"/>
      <c r="X577" s="4" t="str">
        <f>IF(Tabela2[[#This Row],[SIGLA]]="","",VLOOKUP(Tabela2[[#This Row],[SIGLA]],créditos_base!B:C,2,0))</f>
        <v/>
      </c>
      <c r="Y577" s="24"/>
      <c r="Z577" s="24" t="str">
        <f>Tabela2[[#This Row],[ILUSTRADOR CRIAÇÃO]]</f>
        <v/>
      </c>
      <c r="AA577" s="23"/>
      <c r="AB577" s="22"/>
      <c r="AC577" s="22"/>
      <c r="AD577" s="4" t="str">
        <f t="shared" si="11"/>
        <v>EF1 E001 HGC</v>
      </c>
    </row>
    <row r="578" spans="1:30" x14ac:dyDescent="0.25">
      <c r="A578" s="24"/>
      <c r="B578" s="22"/>
      <c r="C578" s="22"/>
      <c r="D578" s="22"/>
      <c r="E578" s="23"/>
      <c r="F578" s="23"/>
      <c r="G578" s="23"/>
      <c r="H578" s="23"/>
      <c r="I578" s="24"/>
      <c r="J578" s="24"/>
      <c r="K578" s="23"/>
      <c r="L578" s="23"/>
      <c r="M578" s="24"/>
      <c r="N578" s="24"/>
      <c r="O578" s="22"/>
      <c r="P578" s="22"/>
      <c r="Q578" s="23"/>
      <c r="R578" s="25"/>
      <c r="S578" s="25"/>
      <c r="T578" s="25"/>
      <c r="U578" s="25"/>
      <c r="V578" s="25"/>
      <c r="W578" s="23"/>
      <c r="X578" s="4" t="str">
        <f>IF(Tabela2[[#This Row],[SIGLA]]="","",VLOOKUP(Tabela2[[#This Row],[SIGLA]],créditos_base!B:C,2,0))</f>
        <v/>
      </c>
      <c r="Y578" s="24"/>
      <c r="Z578" s="24" t="str">
        <f>Tabela2[[#This Row],[ILUSTRADOR CRIAÇÃO]]</f>
        <v/>
      </c>
      <c r="AA578" s="23"/>
      <c r="AB578" s="22"/>
      <c r="AC578" s="22"/>
      <c r="AD578" s="4" t="str">
        <f t="shared" ref="AD578:AD598" si="12">"EF1 E001 HGC"</f>
        <v>EF1 E001 HGC</v>
      </c>
    </row>
    <row r="579" spans="1:30" x14ac:dyDescent="0.25">
      <c r="A579" s="24"/>
      <c r="B579" s="22"/>
      <c r="C579" s="22"/>
      <c r="D579" s="22"/>
      <c r="E579" s="23"/>
      <c r="F579" s="23"/>
      <c r="G579" s="23"/>
      <c r="H579" s="23"/>
      <c r="I579" s="24"/>
      <c r="J579" s="24"/>
      <c r="K579" s="23"/>
      <c r="L579" s="23"/>
      <c r="M579" s="24"/>
      <c r="N579" s="24"/>
      <c r="O579" s="22"/>
      <c r="P579" s="22"/>
      <c r="Q579" s="23"/>
      <c r="R579" s="25"/>
      <c r="S579" s="25"/>
      <c r="T579" s="25"/>
      <c r="U579" s="25"/>
      <c r="V579" s="25"/>
      <c r="W579" s="23"/>
      <c r="X579" s="4" t="str">
        <f>IF(Tabela2[[#This Row],[SIGLA]]="","",VLOOKUP(Tabela2[[#This Row],[SIGLA]],créditos_base!B:C,2,0))</f>
        <v/>
      </c>
      <c r="Y579" s="24"/>
      <c r="Z579" s="24" t="str">
        <f>Tabela2[[#This Row],[ILUSTRADOR CRIAÇÃO]]</f>
        <v/>
      </c>
      <c r="AA579" s="23"/>
      <c r="AB579" s="22"/>
      <c r="AC579" s="22"/>
      <c r="AD579" s="4" t="str">
        <f t="shared" si="12"/>
        <v>EF1 E001 HGC</v>
      </c>
    </row>
    <row r="580" spans="1:30" x14ac:dyDescent="0.25">
      <c r="A580" s="24"/>
      <c r="B580" s="22"/>
      <c r="C580" s="22"/>
      <c r="D580" s="22"/>
      <c r="E580" s="23"/>
      <c r="F580" s="23"/>
      <c r="G580" s="23"/>
      <c r="H580" s="23"/>
      <c r="I580" s="24"/>
      <c r="J580" s="24"/>
      <c r="K580" s="23"/>
      <c r="L580" s="23"/>
      <c r="M580" s="24"/>
      <c r="N580" s="24"/>
      <c r="O580" s="22"/>
      <c r="P580" s="22"/>
      <c r="Q580" s="23"/>
      <c r="R580" s="25"/>
      <c r="S580" s="25"/>
      <c r="T580" s="25"/>
      <c r="U580" s="25"/>
      <c r="V580" s="25"/>
      <c r="W580" s="23"/>
      <c r="X580" s="4" t="str">
        <f>IF(Tabela2[[#This Row],[SIGLA]]="","",VLOOKUP(Tabela2[[#This Row],[SIGLA]],créditos_base!B:C,2,0))</f>
        <v/>
      </c>
      <c r="Y580" s="24"/>
      <c r="Z580" s="24" t="str">
        <f>Tabela2[[#This Row],[ILUSTRADOR CRIAÇÃO]]</f>
        <v/>
      </c>
      <c r="AA580" s="23"/>
      <c r="AB580" s="22"/>
      <c r="AC580" s="22"/>
      <c r="AD580" s="4" t="str">
        <f t="shared" si="12"/>
        <v>EF1 E001 HGC</v>
      </c>
    </row>
    <row r="581" spans="1:30" x14ac:dyDescent="0.25">
      <c r="A581" s="24"/>
      <c r="B581" s="22"/>
      <c r="C581" s="22"/>
      <c r="D581" s="22"/>
      <c r="E581" s="23"/>
      <c r="F581" s="23"/>
      <c r="G581" s="23"/>
      <c r="H581" s="23"/>
      <c r="I581" s="24"/>
      <c r="J581" s="24"/>
      <c r="K581" s="23"/>
      <c r="L581" s="23"/>
      <c r="M581" s="24"/>
      <c r="N581" s="24"/>
      <c r="O581" s="22"/>
      <c r="P581" s="22"/>
      <c r="Q581" s="23"/>
      <c r="R581" s="25"/>
      <c r="S581" s="25"/>
      <c r="T581" s="25"/>
      <c r="U581" s="25"/>
      <c r="V581" s="25"/>
      <c r="W581" s="23"/>
      <c r="X581" s="4" t="str">
        <f>IF(Tabela2[[#This Row],[SIGLA]]="","",VLOOKUP(Tabela2[[#This Row],[SIGLA]],créditos_base!B:C,2,0))</f>
        <v/>
      </c>
      <c r="Y581" s="24"/>
      <c r="Z581" s="24" t="str">
        <f>Tabela2[[#This Row],[ILUSTRADOR CRIAÇÃO]]</f>
        <v/>
      </c>
      <c r="AA581" s="23"/>
      <c r="AB581" s="22"/>
      <c r="AC581" s="22"/>
      <c r="AD581" s="4" t="str">
        <f t="shared" si="12"/>
        <v>EF1 E001 HGC</v>
      </c>
    </row>
    <row r="582" spans="1:30" x14ac:dyDescent="0.25">
      <c r="A582" s="24"/>
      <c r="B582" s="22"/>
      <c r="C582" s="22"/>
      <c r="D582" s="22"/>
      <c r="E582" s="23"/>
      <c r="F582" s="23"/>
      <c r="G582" s="23"/>
      <c r="H582" s="23"/>
      <c r="I582" s="24"/>
      <c r="J582" s="24"/>
      <c r="K582" s="23"/>
      <c r="L582" s="23"/>
      <c r="M582" s="24"/>
      <c r="N582" s="24"/>
      <c r="O582" s="22"/>
      <c r="P582" s="22"/>
      <c r="Q582" s="23"/>
      <c r="R582" s="25"/>
      <c r="S582" s="25"/>
      <c r="T582" s="25"/>
      <c r="U582" s="25"/>
      <c r="V582" s="25"/>
      <c r="W582" s="23"/>
      <c r="X582" s="4" t="str">
        <f>IF(Tabela2[[#This Row],[SIGLA]]="","",VLOOKUP(Tabela2[[#This Row],[SIGLA]],créditos_base!B:C,2,0))</f>
        <v/>
      </c>
      <c r="Y582" s="24"/>
      <c r="Z582" s="24" t="str">
        <f>Tabela2[[#This Row],[ILUSTRADOR CRIAÇÃO]]</f>
        <v/>
      </c>
      <c r="AA582" s="23"/>
      <c r="AB582" s="22"/>
      <c r="AC582" s="22"/>
      <c r="AD582" s="4" t="str">
        <f t="shared" si="12"/>
        <v>EF1 E001 HGC</v>
      </c>
    </row>
    <row r="583" spans="1:30" x14ac:dyDescent="0.25">
      <c r="A583" s="24"/>
      <c r="B583" s="22"/>
      <c r="C583" s="22"/>
      <c r="D583" s="22"/>
      <c r="E583" s="23"/>
      <c r="F583" s="23"/>
      <c r="G583" s="23"/>
      <c r="H583" s="23"/>
      <c r="I583" s="24"/>
      <c r="J583" s="24"/>
      <c r="K583" s="23"/>
      <c r="L583" s="23"/>
      <c r="M583" s="24"/>
      <c r="N583" s="24"/>
      <c r="O583" s="22"/>
      <c r="P583" s="22"/>
      <c r="Q583" s="23"/>
      <c r="R583" s="25"/>
      <c r="S583" s="25"/>
      <c r="T583" s="25"/>
      <c r="U583" s="25"/>
      <c r="V583" s="25"/>
      <c r="W583" s="23"/>
      <c r="X583" s="4" t="str">
        <f>IF(Tabela2[[#This Row],[SIGLA]]="","",VLOOKUP(Tabela2[[#This Row],[SIGLA]],créditos_base!B:C,2,0))</f>
        <v/>
      </c>
      <c r="Y583" s="24"/>
      <c r="Z583" s="24" t="str">
        <f>Tabela2[[#This Row],[ILUSTRADOR CRIAÇÃO]]</f>
        <v/>
      </c>
      <c r="AA583" s="23"/>
      <c r="AB583" s="22"/>
      <c r="AC583" s="22"/>
      <c r="AD583" s="4" t="str">
        <f t="shared" si="12"/>
        <v>EF1 E001 HGC</v>
      </c>
    </row>
    <row r="584" spans="1:30" x14ac:dyDescent="0.25">
      <c r="A584" s="24"/>
      <c r="B584" s="22"/>
      <c r="C584" s="22"/>
      <c r="D584" s="22"/>
      <c r="E584" s="23"/>
      <c r="F584" s="23"/>
      <c r="G584" s="23"/>
      <c r="H584" s="23"/>
      <c r="I584" s="24"/>
      <c r="J584" s="24"/>
      <c r="K584" s="23"/>
      <c r="L584" s="23"/>
      <c r="M584" s="24"/>
      <c r="N584" s="24"/>
      <c r="O584" s="22"/>
      <c r="P584" s="22"/>
      <c r="Q584" s="23"/>
      <c r="R584" s="25"/>
      <c r="S584" s="25"/>
      <c r="T584" s="25"/>
      <c r="U584" s="25"/>
      <c r="V584" s="25"/>
      <c r="W584" s="23"/>
      <c r="X584" s="4" t="str">
        <f>IF(Tabela2[[#This Row],[SIGLA]]="","",VLOOKUP(Tabela2[[#This Row],[SIGLA]],créditos_base!B:C,2,0))</f>
        <v/>
      </c>
      <c r="Y584" s="24"/>
      <c r="Z584" s="24" t="str">
        <f>Tabela2[[#This Row],[ILUSTRADOR CRIAÇÃO]]</f>
        <v/>
      </c>
      <c r="AA584" s="23"/>
      <c r="AB584" s="22"/>
      <c r="AC584" s="22"/>
      <c r="AD584" s="4" t="str">
        <f t="shared" si="12"/>
        <v>EF1 E001 HGC</v>
      </c>
    </row>
    <row r="585" spans="1:30" x14ac:dyDescent="0.25">
      <c r="A585" s="24"/>
      <c r="B585" s="22"/>
      <c r="C585" s="22"/>
      <c r="D585" s="22"/>
      <c r="E585" s="23"/>
      <c r="F585" s="23"/>
      <c r="G585" s="23"/>
      <c r="H585" s="23"/>
      <c r="I585" s="24"/>
      <c r="J585" s="24"/>
      <c r="K585" s="23"/>
      <c r="L585" s="23"/>
      <c r="M585" s="24"/>
      <c r="N585" s="24"/>
      <c r="O585" s="22"/>
      <c r="P585" s="22"/>
      <c r="Q585" s="23"/>
      <c r="R585" s="25"/>
      <c r="S585" s="25"/>
      <c r="T585" s="25"/>
      <c r="U585" s="25"/>
      <c r="V585" s="25"/>
      <c r="W585" s="23"/>
      <c r="X585" s="4" t="str">
        <f>IF(Tabela2[[#This Row],[SIGLA]]="","",VLOOKUP(Tabela2[[#This Row],[SIGLA]],créditos_base!B:C,2,0))</f>
        <v/>
      </c>
      <c r="Y585" s="24"/>
      <c r="Z585" s="24" t="str">
        <f>Tabela2[[#This Row],[ILUSTRADOR CRIAÇÃO]]</f>
        <v/>
      </c>
      <c r="AA585" s="23"/>
      <c r="AB585" s="22"/>
      <c r="AC585" s="22"/>
      <c r="AD585" s="4" t="str">
        <f t="shared" si="12"/>
        <v>EF1 E001 HGC</v>
      </c>
    </row>
    <row r="586" spans="1:30" x14ac:dyDescent="0.25">
      <c r="A586" s="24"/>
      <c r="B586" s="22"/>
      <c r="C586" s="22"/>
      <c r="D586" s="22"/>
      <c r="E586" s="23"/>
      <c r="F586" s="23"/>
      <c r="G586" s="23"/>
      <c r="H586" s="23"/>
      <c r="I586" s="24"/>
      <c r="J586" s="24"/>
      <c r="K586" s="23"/>
      <c r="L586" s="23"/>
      <c r="M586" s="24"/>
      <c r="N586" s="24"/>
      <c r="O586" s="22"/>
      <c r="P586" s="22"/>
      <c r="Q586" s="23"/>
      <c r="R586" s="25"/>
      <c r="S586" s="25"/>
      <c r="T586" s="25"/>
      <c r="U586" s="25"/>
      <c r="V586" s="25"/>
      <c r="W586" s="23"/>
      <c r="X586" s="4" t="str">
        <f>IF(Tabela2[[#This Row],[SIGLA]]="","",VLOOKUP(Tabela2[[#This Row],[SIGLA]],créditos_base!B:C,2,0))</f>
        <v/>
      </c>
      <c r="Y586" s="24"/>
      <c r="Z586" s="24" t="str">
        <f>Tabela2[[#This Row],[ILUSTRADOR CRIAÇÃO]]</f>
        <v/>
      </c>
      <c r="AA586" s="23"/>
      <c r="AB586" s="22"/>
      <c r="AC586" s="22"/>
      <c r="AD586" s="4" t="str">
        <f t="shared" si="12"/>
        <v>EF1 E001 HGC</v>
      </c>
    </row>
    <row r="587" spans="1:30" x14ac:dyDescent="0.25">
      <c r="A587" s="24"/>
      <c r="B587" s="22"/>
      <c r="C587" s="22"/>
      <c r="D587" s="22"/>
      <c r="E587" s="23"/>
      <c r="F587" s="23"/>
      <c r="G587" s="23"/>
      <c r="H587" s="23"/>
      <c r="I587" s="24"/>
      <c r="J587" s="24"/>
      <c r="K587" s="23"/>
      <c r="L587" s="23"/>
      <c r="M587" s="24"/>
      <c r="N587" s="24"/>
      <c r="O587" s="22"/>
      <c r="P587" s="22"/>
      <c r="Q587" s="23"/>
      <c r="R587" s="25"/>
      <c r="S587" s="25"/>
      <c r="T587" s="25"/>
      <c r="U587" s="25"/>
      <c r="V587" s="25"/>
      <c r="W587" s="23"/>
      <c r="X587" s="4" t="str">
        <f>IF(Tabela2[[#This Row],[SIGLA]]="","",VLOOKUP(Tabela2[[#This Row],[SIGLA]],créditos_base!B:C,2,0))</f>
        <v/>
      </c>
      <c r="Y587" s="24"/>
      <c r="Z587" s="24" t="str">
        <f>Tabela2[[#This Row],[ILUSTRADOR CRIAÇÃO]]</f>
        <v/>
      </c>
      <c r="AA587" s="23"/>
      <c r="AB587" s="22"/>
      <c r="AC587" s="22"/>
      <c r="AD587" s="4" t="str">
        <f t="shared" si="12"/>
        <v>EF1 E001 HGC</v>
      </c>
    </row>
    <row r="588" spans="1:30" x14ac:dyDescent="0.25">
      <c r="A588" s="24"/>
      <c r="B588" s="22"/>
      <c r="C588" s="22"/>
      <c r="D588" s="22"/>
      <c r="E588" s="23"/>
      <c r="F588" s="23"/>
      <c r="G588" s="23"/>
      <c r="H588" s="23"/>
      <c r="I588" s="24"/>
      <c r="J588" s="24"/>
      <c r="K588" s="23"/>
      <c r="L588" s="23"/>
      <c r="M588" s="24"/>
      <c r="N588" s="24"/>
      <c r="O588" s="22"/>
      <c r="P588" s="22"/>
      <c r="Q588" s="23"/>
      <c r="R588" s="25"/>
      <c r="S588" s="25"/>
      <c r="T588" s="25"/>
      <c r="U588" s="25"/>
      <c r="V588" s="25"/>
      <c r="W588" s="23"/>
      <c r="X588" s="4" t="str">
        <f>IF(Tabela2[[#This Row],[SIGLA]]="","",VLOOKUP(Tabela2[[#This Row],[SIGLA]],créditos_base!B:C,2,0))</f>
        <v/>
      </c>
      <c r="Y588" s="24"/>
      <c r="Z588" s="24" t="str">
        <f>Tabela2[[#This Row],[ILUSTRADOR CRIAÇÃO]]</f>
        <v/>
      </c>
      <c r="AA588" s="23"/>
      <c r="AB588" s="22"/>
      <c r="AC588" s="22"/>
      <c r="AD588" s="4" t="str">
        <f t="shared" si="12"/>
        <v>EF1 E001 HGC</v>
      </c>
    </row>
    <row r="589" spans="1:30" x14ac:dyDescent="0.25">
      <c r="A589" s="24"/>
      <c r="B589" s="22"/>
      <c r="C589" s="22"/>
      <c r="D589" s="22"/>
      <c r="E589" s="23"/>
      <c r="F589" s="23"/>
      <c r="G589" s="23"/>
      <c r="H589" s="23"/>
      <c r="I589" s="24"/>
      <c r="J589" s="24"/>
      <c r="K589" s="23"/>
      <c r="L589" s="23"/>
      <c r="M589" s="24"/>
      <c r="N589" s="24"/>
      <c r="O589" s="22"/>
      <c r="P589" s="22"/>
      <c r="Q589" s="23"/>
      <c r="R589" s="25"/>
      <c r="S589" s="25"/>
      <c r="T589" s="25"/>
      <c r="U589" s="25"/>
      <c r="V589" s="25"/>
      <c r="W589" s="23"/>
      <c r="X589" s="4" t="str">
        <f>IF(Tabela2[[#This Row],[SIGLA]]="","",VLOOKUP(Tabela2[[#This Row],[SIGLA]],créditos_base!B:C,2,0))</f>
        <v/>
      </c>
      <c r="Y589" s="24"/>
      <c r="Z589" s="24" t="str">
        <f>Tabela2[[#This Row],[ILUSTRADOR CRIAÇÃO]]</f>
        <v/>
      </c>
      <c r="AA589" s="23"/>
      <c r="AB589" s="22"/>
      <c r="AC589" s="22"/>
      <c r="AD589" s="4" t="str">
        <f t="shared" si="12"/>
        <v>EF1 E001 HGC</v>
      </c>
    </row>
    <row r="590" spans="1:30" x14ac:dyDescent="0.25">
      <c r="A590" s="24"/>
      <c r="B590" s="22"/>
      <c r="C590" s="22"/>
      <c r="D590" s="22"/>
      <c r="E590" s="23"/>
      <c r="F590" s="23"/>
      <c r="G590" s="23"/>
      <c r="H590" s="23"/>
      <c r="I590" s="24"/>
      <c r="J590" s="24"/>
      <c r="K590" s="23"/>
      <c r="L590" s="23"/>
      <c r="M590" s="24"/>
      <c r="N590" s="24"/>
      <c r="O590" s="22"/>
      <c r="P590" s="22"/>
      <c r="Q590" s="23"/>
      <c r="R590" s="25"/>
      <c r="S590" s="25"/>
      <c r="T590" s="25"/>
      <c r="U590" s="25"/>
      <c r="V590" s="25"/>
      <c r="W590" s="23"/>
      <c r="X590" s="4" t="str">
        <f>IF(Tabela2[[#This Row],[SIGLA]]="","",VLOOKUP(Tabela2[[#This Row],[SIGLA]],créditos_base!B:C,2,0))</f>
        <v/>
      </c>
      <c r="Y590" s="24"/>
      <c r="Z590" s="24" t="str">
        <f>Tabela2[[#This Row],[ILUSTRADOR CRIAÇÃO]]</f>
        <v/>
      </c>
      <c r="AA590" s="23"/>
      <c r="AB590" s="22"/>
      <c r="AC590" s="22"/>
      <c r="AD590" s="4" t="str">
        <f t="shared" si="12"/>
        <v>EF1 E001 HGC</v>
      </c>
    </row>
    <row r="591" spans="1:30" x14ac:dyDescent="0.25">
      <c r="A591" s="24"/>
      <c r="B591" s="22"/>
      <c r="C591" s="22"/>
      <c r="D591" s="22"/>
      <c r="E591" s="23"/>
      <c r="F591" s="23"/>
      <c r="G591" s="23"/>
      <c r="H591" s="23"/>
      <c r="I591" s="24"/>
      <c r="J591" s="24"/>
      <c r="K591" s="23"/>
      <c r="L591" s="23"/>
      <c r="M591" s="24"/>
      <c r="N591" s="24"/>
      <c r="O591" s="22"/>
      <c r="P591" s="22"/>
      <c r="Q591" s="23"/>
      <c r="R591" s="25"/>
      <c r="S591" s="25"/>
      <c r="T591" s="25"/>
      <c r="U591" s="25"/>
      <c r="V591" s="25"/>
      <c r="W591" s="23"/>
      <c r="X591" s="4" t="str">
        <f>IF(Tabela2[[#This Row],[SIGLA]]="","",VLOOKUP(Tabela2[[#This Row],[SIGLA]],créditos_base!B:C,2,0))</f>
        <v/>
      </c>
      <c r="Y591" s="24"/>
      <c r="Z591" s="24" t="str">
        <f>Tabela2[[#This Row],[ILUSTRADOR CRIAÇÃO]]</f>
        <v/>
      </c>
      <c r="AA591" s="23"/>
      <c r="AB591" s="22"/>
      <c r="AC591" s="22"/>
      <c r="AD591" s="4" t="str">
        <f t="shared" si="12"/>
        <v>EF1 E001 HGC</v>
      </c>
    </row>
    <row r="592" spans="1:30" x14ac:dyDescent="0.25">
      <c r="A592" s="24"/>
      <c r="B592" s="22"/>
      <c r="C592" s="22"/>
      <c r="D592" s="22"/>
      <c r="E592" s="23"/>
      <c r="F592" s="23"/>
      <c r="G592" s="23"/>
      <c r="H592" s="23"/>
      <c r="I592" s="24"/>
      <c r="J592" s="24"/>
      <c r="K592" s="23"/>
      <c r="L592" s="23"/>
      <c r="M592" s="24"/>
      <c r="N592" s="24"/>
      <c r="O592" s="22"/>
      <c r="P592" s="22"/>
      <c r="Q592" s="23"/>
      <c r="R592" s="25"/>
      <c r="S592" s="25"/>
      <c r="T592" s="25"/>
      <c r="U592" s="25"/>
      <c r="V592" s="25"/>
      <c r="W592" s="23"/>
      <c r="X592" s="4" t="str">
        <f>IF(Tabela2[[#This Row],[SIGLA]]="","",VLOOKUP(Tabela2[[#This Row],[SIGLA]],créditos_base!B:C,2,0))</f>
        <v/>
      </c>
      <c r="Y592" s="24"/>
      <c r="Z592" s="24" t="str">
        <f>Tabela2[[#This Row],[ILUSTRADOR CRIAÇÃO]]</f>
        <v/>
      </c>
      <c r="AA592" s="23"/>
      <c r="AB592" s="22"/>
      <c r="AC592" s="22"/>
      <c r="AD592" s="4" t="str">
        <f t="shared" si="12"/>
        <v>EF1 E001 HGC</v>
      </c>
    </row>
    <row r="593" spans="1:30" x14ac:dyDescent="0.25">
      <c r="A593" s="24"/>
      <c r="B593" s="22"/>
      <c r="C593" s="22"/>
      <c r="D593" s="22"/>
      <c r="E593" s="23"/>
      <c r="F593" s="23"/>
      <c r="G593" s="23"/>
      <c r="H593" s="23"/>
      <c r="I593" s="24"/>
      <c r="J593" s="24"/>
      <c r="K593" s="23"/>
      <c r="L593" s="23"/>
      <c r="M593" s="24"/>
      <c r="N593" s="24"/>
      <c r="O593" s="22"/>
      <c r="P593" s="22"/>
      <c r="Q593" s="23"/>
      <c r="R593" s="25"/>
      <c r="S593" s="25"/>
      <c r="T593" s="25"/>
      <c r="U593" s="25"/>
      <c r="V593" s="25"/>
      <c r="W593" s="23"/>
      <c r="X593" s="4" t="str">
        <f>IF(Tabela2[[#This Row],[SIGLA]]="","",VLOOKUP(Tabela2[[#This Row],[SIGLA]],créditos_base!B:C,2,0))</f>
        <v/>
      </c>
      <c r="Y593" s="24"/>
      <c r="Z593" s="24" t="str">
        <f>Tabela2[[#This Row],[ILUSTRADOR CRIAÇÃO]]</f>
        <v/>
      </c>
      <c r="AA593" s="23"/>
      <c r="AB593" s="22"/>
      <c r="AC593" s="22"/>
      <c r="AD593" s="4" t="str">
        <f t="shared" si="12"/>
        <v>EF1 E001 HGC</v>
      </c>
    </row>
    <row r="594" spans="1:30" x14ac:dyDescent="0.25">
      <c r="A594" s="24"/>
      <c r="B594" s="22"/>
      <c r="C594" s="22"/>
      <c r="D594" s="22"/>
      <c r="E594" s="23"/>
      <c r="F594" s="23"/>
      <c r="G594" s="23"/>
      <c r="H594" s="23"/>
      <c r="I594" s="24"/>
      <c r="J594" s="24"/>
      <c r="K594" s="23"/>
      <c r="L594" s="23"/>
      <c r="M594" s="24"/>
      <c r="N594" s="24"/>
      <c r="O594" s="22"/>
      <c r="P594" s="22"/>
      <c r="Q594" s="23"/>
      <c r="R594" s="25"/>
      <c r="S594" s="25"/>
      <c r="T594" s="25"/>
      <c r="U594" s="25"/>
      <c r="V594" s="25"/>
      <c r="W594" s="23"/>
      <c r="X594" s="4" t="str">
        <f>IF(Tabela2[[#This Row],[SIGLA]]="","",VLOOKUP(Tabela2[[#This Row],[SIGLA]],créditos_base!B:C,2,0))</f>
        <v/>
      </c>
      <c r="Y594" s="24"/>
      <c r="Z594" s="24" t="str">
        <f>Tabela2[[#This Row],[ILUSTRADOR CRIAÇÃO]]</f>
        <v/>
      </c>
      <c r="AA594" s="23"/>
      <c r="AB594" s="22"/>
      <c r="AC594" s="22"/>
      <c r="AD594" s="4" t="str">
        <f t="shared" si="12"/>
        <v>EF1 E001 HGC</v>
      </c>
    </row>
    <row r="595" spans="1:30" x14ac:dyDescent="0.25">
      <c r="A595" s="24"/>
      <c r="B595" s="22"/>
      <c r="C595" s="22"/>
      <c r="D595" s="22"/>
      <c r="E595" s="23"/>
      <c r="F595" s="23"/>
      <c r="G595" s="23"/>
      <c r="H595" s="23"/>
      <c r="I595" s="24"/>
      <c r="J595" s="24"/>
      <c r="K595" s="23"/>
      <c r="L595" s="23"/>
      <c r="M595" s="24"/>
      <c r="N595" s="24"/>
      <c r="O595" s="22"/>
      <c r="P595" s="22"/>
      <c r="Q595" s="23"/>
      <c r="R595" s="25"/>
      <c r="S595" s="25"/>
      <c r="T595" s="25"/>
      <c r="U595" s="25"/>
      <c r="V595" s="25"/>
      <c r="W595" s="23"/>
      <c r="X595" s="4" t="str">
        <f>IF(Tabela2[[#This Row],[SIGLA]]="","",VLOOKUP(Tabela2[[#This Row],[SIGLA]],créditos_base!B:C,2,0))</f>
        <v/>
      </c>
      <c r="Y595" s="24"/>
      <c r="Z595" s="24" t="str">
        <f>Tabela2[[#This Row],[ILUSTRADOR CRIAÇÃO]]</f>
        <v/>
      </c>
      <c r="AA595" s="23"/>
      <c r="AB595" s="22"/>
      <c r="AC595" s="22"/>
      <c r="AD595" s="4" t="str">
        <f t="shared" si="12"/>
        <v>EF1 E001 HGC</v>
      </c>
    </row>
    <row r="596" spans="1:30" x14ac:dyDescent="0.25">
      <c r="A596" s="24"/>
      <c r="B596" s="22"/>
      <c r="C596" s="22"/>
      <c r="D596" s="22"/>
      <c r="E596" s="23"/>
      <c r="F596" s="23"/>
      <c r="G596" s="23"/>
      <c r="H596" s="23"/>
      <c r="I596" s="24"/>
      <c r="J596" s="24"/>
      <c r="K596" s="23"/>
      <c r="L596" s="23"/>
      <c r="M596" s="24"/>
      <c r="N596" s="24"/>
      <c r="O596" s="22"/>
      <c r="P596" s="22"/>
      <c r="Q596" s="23"/>
      <c r="R596" s="25"/>
      <c r="S596" s="25"/>
      <c r="T596" s="25"/>
      <c r="U596" s="25"/>
      <c r="V596" s="25"/>
      <c r="W596" s="23"/>
      <c r="X596" s="4" t="str">
        <f>IF(Tabela2[[#This Row],[SIGLA]]="","",VLOOKUP(Tabela2[[#This Row],[SIGLA]],créditos_base!B:C,2,0))</f>
        <v/>
      </c>
      <c r="Y596" s="24"/>
      <c r="Z596" s="24" t="str">
        <f>Tabela2[[#This Row],[ILUSTRADOR CRIAÇÃO]]</f>
        <v/>
      </c>
      <c r="AA596" s="23"/>
      <c r="AB596" s="22"/>
      <c r="AC596" s="22"/>
      <c r="AD596" s="4" t="str">
        <f t="shared" si="12"/>
        <v>EF1 E001 HGC</v>
      </c>
    </row>
    <row r="597" spans="1:30" x14ac:dyDescent="0.25">
      <c r="A597" s="24"/>
      <c r="B597" s="22"/>
      <c r="C597" s="22"/>
      <c r="D597" s="22"/>
      <c r="E597" s="23"/>
      <c r="F597" s="23"/>
      <c r="G597" s="23"/>
      <c r="H597" s="23"/>
      <c r="I597" s="24"/>
      <c r="J597" s="24"/>
      <c r="K597" s="23"/>
      <c r="L597" s="23"/>
      <c r="M597" s="24"/>
      <c r="N597" s="24"/>
      <c r="O597" s="22"/>
      <c r="P597" s="22"/>
      <c r="Q597" s="23"/>
      <c r="R597" s="25"/>
      <c r="S597" s="25"/>
      <c r="T597" s="25"/>
      <c r="U597" s="25"/>
      <c r="V597" s="25"/>
      <c r="W597" s="23"/>
      <c r="X597" s="4" t="str">
        <f>IF(Tabela2[[#This Row],[SIGLA]]="","",VLOOKUP(Tabela2[[#This Row],[SIGLA]],créditos_base!B:C,2,0))</f>
        <v/>
      </c>
      <c r="Y597" s="24"/>
      <c r="Z597" s="24" t="str">
        <f>Tabela2[[#This Row],[ILUSTRADOR CRIAÇÃO]]</f>
        <v/>
      </c>
      <c r="AA597" s="23"/>
      <c r="AB597" s="22"/>
      <c r="AC597" s="22"/>
      <c r="AD597" s="4" t="str">
        <f t="shared" si="12"/>
        <v>EF1 E001 HGC</v>
      </c>
    </row>
    <row r="598" spans="1:30" x14ac:dyDescent="0.25">
      <c r="A598" s="24"/>
      <c r="B598" s="22"/>
      <c r="C598" s="22"/>
      <c r="D598" s="22"/>
      <c r="E598" s="23"/>
      <c r="F598" s="23"/>
      <c r="G598" s="23"/>
      <c r="H598" s="23"/>
      <c r="I598" s="24"/>
      <c r="J598" s="24"/>
      <c r="K598" s="23"/>
      <c r="L598" s="23"/>
      <c r="M598" s="24"/>
      <c r="N598" s="24"/>
      <c r="O598" s="22"/>
      <c r="P598" s="22"/>
      <c r="Q598" s="23"/>
      <c r="R598" s="25"/>
      <c r="S598" s="25"/>
      <c r="T598" s="25"/>
      <c r="U598" s="25"/>
      <c r="V598" s="25"/>
      <c r="W598" s="23"/>
      <c r="X598" s="4" t="str">
        <f>IF(Tabela2[[#This Row],[SIGLA]]="","",VLOOKUP(Tabela2[[#This Row],[SIGLA]],créditos_base!B:C,2,0))</f>
        <v/>
      </c>
      <c r="Y598" s="24"/>
      <c r="Z598" s="24" t="str">
        <f>Tabela2[[#This Row],[ILUSTRADOR CRIAÇÃO]]</f>
        <v/>
      </c>
      <c r="AA598" s="23"/>
      <c r="AB598" s="22"/>
      <c r="AC598" s="22"/>
      <c r="AD598" s="4" t="str">
        <f t="shared" si="12"/>
        <v>EF1 E001 HGC</v>
      </c>
    </row>
    <row r="599" spans="1:30" x14ac:dyDescent="0.25">
      <c r="A599" s="24"/>
      <c r="B599" s="22"/>
      <c r="C599" s="22"/>
      <c r="D599" s="22"/>
      <c r="E599" s="23"/>
      <c r="F599" s="23"/>
      <c r="G599" s="23"/>
      <c r="H599" s="23"/>
      <c r="I599" s="24"/>
      <c r="J599" s="24"/>
      <c r="K599" s="23"/>
      <c r="L599" s="23"/>
      <c r="M599" s="24"/>
      <c r="N599" s="24"/>
      <c r="O599" s="22"/>
      <c r="P599" s="22"/>
      <c r="Q599" s="23"/>
      <c r="R599" s="25"/>
      <c r="S599" s="25"/>
      <c r="T599" s="25"/>
      <c r="U599" s="25"/>
      <c r="V599" s="25"/>
      <c r="W599" s="23"/>
      <c r="X599" s="4" t="str">
        <f>IF(Tabela2[[#This Row],[SIGLA]]="","",VLOOKUP(Tabela2[[#This Row],[SIGLA]],créditos_base!B:C,2,0))</f>
        <v/>
      </c>
      <c r="Y599" s="24"/>
      <c r="Z599" s="24" t="str">
        <f>Tabela2[[#This Row],[ILUSTRADOR CRIAÇÃO]]</f>
        <v/>
      </c>
      <c r="AA599" s="23"/>
      <c r="AB599" s="22"/>
      <c r="AC599" s="22"/>
      <c r="AD599" s="4" t="str">
        <f t="shared" si="9"/>
        <v>EF1 E001 HGC</v>
      </c>
    </row>
    <row r="600" spans="1:30" x14ac:dyDescent="0.25">
      <c r="A600" s="24"/>
      <c r="B600" s="22"/>
      <c r="C600" s="22"/>
      <c r="D600" s="22"/>
      <c r="E600" s="23"/>
      <c r="F600" s="23"/>
      <c r="G600" s="23"/>
      <c r="H600" s="23"/>
      <c r="I600" s="24"/>
      <c r="J600" s="24"/>
      <c r="K600" s="23"/>
      <c r="L600" s="23"/>
      <c r="M600" s="24"/>
      <c r="N600" s="24"/>
      <c r="O600" s="22"/>
      <c r="P600" s="22"/>
      <c r="Q600" s="23"/>
      <c r="R600" s="25"/>
      <c r="S600" s="25"/>
      <c r="T600" s="25"/>
      <c r="U600" s="25"/>
      <c r="V600" s="25"/>
      <c r="W600" s="23"/>
      <c r="X600" s="4" t="str">
        <f>IF(Tabela2[[#This Row],[SIGLA]]="","",VLOOKUP(Tabela2[[#This Row],[SIGLA]],créditos_base!B:C,2,0))</f>
        <v/>
      </c>
      <c r="Y600" s="24"/>
      <c r="Z600" s="24" t="str">
        <f>Tabela2[[#This Row],[ILUSTRADOR CRIAÇÃO]]</f>
        <v/>
      </c>
      <c r="AA600" s="23"/>
      <c r="AB600" s="22"/>
      <c r="AC600" s="22"/>
      <c r="AD600" s="4" t="str">
        <f>"EF1 E001 HGC"</f>
        <v>EF1 E001 HGC</v>
      </c>
    </row>
    <row r="601" spans="1:30" x14ac:dyDescent="0.25">
      <c r="A601" s="24"/>
      <c r="B601" s="22"/>
      <c r="C601" s="22"/>
      <c r="D601" s="22"/>
      <c r="E601" s="23"/>
      <c r="F601" s="23"/>
      <c r="G601" s="23"/>
      <c r="H601" s="23"/>
      <c r="I601" s="24"/>
      <c r="J601" s="24"/>
      <c r="K601" s="23"/>
      <c r="L601" s="23"/>
      <c r="M601" s="24"/>
      <c r="N601" s="24"/>
      <c r="O601" s="22"/>
      <c r="P601" s="22"/>
      <c r="Q601" s="23"/>
      <c r="R601" s="25"/>
      <c r="S601" s="25"/>
      <c r="T601" s="25"/>
      <c r="U601" s="25"/>
      <c r="V601" s="25"/>
      <c r="W601" s="23"/>
      <c r="X601" s="4" t="str">
        <f>IF(Tabela2[[#This Row],[SIGLA]]="","",VLOOKUP(Tabela2[[#This Row],[SIGLA]],créditos_base!B:C,2,0))</f>
        <v/>
      </c>
      <c r="Y601" s="24"/>
      <c r="Z601" s="24" t="str">
        <f>Tabela2[[#This Row],[ILUSTRADOR CRIAÇÃO]]</f>
        <v/>
      </c>
      <c r="AA601" s="23"/>
      <c r="AB601" s="22"/>
      <c r="AC601" s="22"/>
      <c r="AD601" s="4" t="str">
        <f>"EF1 E001 HGC"</f>
        <v>EF1 E001 HGC</v>
      </c>
    </row>
  </sheetData>
  <sheetProtection sheet="1" objects="1" scenarios="1" formatCells="0" formatColumns="0" formatRows="0" sort="0" autoFilter="0" pivotTables="0"/>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0">
        <x14:dataValidation type="list" allowBlank="1" showInputMessage="1" showErrorMessage="1" xr:uid="{1E0E5C3B-B338-4A82-ABB7-55FA01F1FD25}">
          <x14:formula1>
            <xm:f>metadados!$C$1:$C$8</xm:f>
          </x14:formula1>
          <xm:sqref>D1:D150 D152:D601</xm:sqref>
        </x14:dataValidation>
        <x14:dataValidation type="list" allowBlank="1" showInputMessage="1" showErrorMessage="1" xr:uid="{C969C20B-651A-4D17-86CC-88E223060629}">
          <x14:formula1>
            <xm:f>metadados!$B$1:$B$7</xm:f>
          </x14:formula1>
          <xm:sqref>C1:C496 C498:C601</xm:sqref>
        </x14:dataValidation>
        <x14:dataValidation type="list" allowBlank="1" showErrorMessage="1" xr:uid="{8C59E314-3DFF-498C-8F2E-89E73DBE2751}">
          <x14:formula1>
            <xm:f>metadados!$A$1:$A$100</xm:f>
          </x14:formula1>
          <xm:sqref>B1:B503 B505:B601</xm:sqref>
        </x14:dataValidation>
        <x14:dataValidation type="list" allowBlank="1" showInputMessage="1" showErrorMessage="1" xr:uid="{C70449A7-09E1-454B-83EB-81DB8E145BED}">
          <x14:formula1>
            <xm:f>metadados!$D$1:$D$7</xm:f>
          </x14:formula1>
          <xm:sqref>L1:L601 F1:F601</xm:sqref>
        </x14:dataValidation>
        <x14:dataValidation type="list" allowBlank="1" showInputMessage="1" showErrorMessage="1" xr:uid="{832AC6A1-37A3-4247-8D3B-0B1514A698E5}">
          <x14:formula1>
            <xm:f>metadados!$E$1:$E$3</xm:f>
          </x14:formula1>
          <xm:sqref>I1:I601</xm:sqref>
        </x14:dataValidation>
        <x14:dataValidation type="list" allowBlank="1" showInputMessage="1" showErrorMessage="1" xr:uid="{ABD634A1-19D3-465A-AE87-A59444E4CB70}">
          <x14:formula1>
            <xm:f>metadados!$F$1:$F$13</xm:f>
          </x14:formula1>
          <xm:sqref>N1:N601</xm:sqref>
        </x14:dataValidation>
        <x14:dataValidation type="list" allowBlank="1" showInputMessage="1" showErrorMessage="1" xr:uid="{B4ADD33D-8B17-41A6-94BC-BC2885E9FB91}">
          <x14:formula1>
            <xm:f>metadados!$G$1:$G$14</xm:f>
          </x14:formula1>
          <xm:sqref>AA1:AA601</xm:sqref>
        </x14:dataValidation>
        <x14:dataValidation type="list" allowBlank="1" showInputMessage="1" showErrorMessage="1" xr:uid="{61E550D5-36D2-44FC-A08D-4E51EFE8F470}">
          <x14:formula1>
            <xm:f>metadados!$H$1:$H$5</xm:f>
          </x14:formula1>
          <xm:sqref>AC1:AC601</xm:sqref>
        </x14:dataValidation>
        <x14:dataValidation type="list" allowBlank="1" showInputMessage="1" showErrorMessage="1" xr:uid="{7A984DA8-B642-4270-9181-62D45679CEDD}">
          <x14:formula1>
            <xm:f>créditos_base!$B$3:$B$381</xm:f>
          </x14:formula1>
          <xm:sqref>W1:W601</xm:sqref>
        </x14:dataValidation>
        <x14:dataValidation type="list" allowBlank="1" showInputMessage="1" showErrorMessage="1" xr:uid="{89081D89-B950-4BC5-95B6-5B2C7BE6E7ED}">
          <x14:formula1>
            <xm:f>créditos_base!$A$3:$A$381</xm:f>
          </x14:formula1>
          <xm:sqref>Y1:Y601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4"/>
  <sheetViews>
    <sheetView topLeftCell="A312" workbookViewId="0">
      <selection activeCell="A77" sqref="A77"/>
    </sheetView>
  </sheetViews>
  <sheetFormatPr defaultRowHeight="15" x14ac:dyDescent="0.25"/>
  <cols>
    <col min="1" max="1" width="61" bestFit="1" customWidth="1"/>
    <col min="2" max="2" width="11.7109375" bestFit="1" customWidth="1"/>
    <col min="3" max="3" width="67.85546875" customWidth="1"/>
  </cols>
  <sheetData>
    <row r="1" spans="1:3" ht="50.25" customHeight="1" x14ac:dyDescent="0.35">
      <c r="A1" s="43" t="s">
        <v>1198</v>
      </c>
      <c r="B1" s="44"/>
      <c r="C1" s="44"/>
    </row>
    <row r="2" spans="1:3" x14ac:dyDescent="0.25">
      <c r="A2" t="s">
        <v>1199</v>
      </c>
      <c r="B2" t="s">
        <v>1200</v>
      </c>
      <c r="C2" t="s">
        <v>1201</v>
      </c>
    </row>
    <row r="3" spans="1:3" x14ac:dyDescent="0.25">
      <c r="A3" t="s">
        <v>1199</v>
      </c>
      <c r="B3" t="s">
        <v>1200</v>
      </c>
      <c r="C3" t="s">
        <v>1201</v>
      </c>
    </row>
    <row r="4" spans="1:3" x14ac:dyDescent="0.25">
      <c r="A4" t="s">
        <v>1202</v>
      </c>
      <c r="B4" t="s">
        <v>1203</v>
      </c>
      <c r="C4" t="s">
        <v>1204</v>
      </c>
    </row>
    <row r="5" spans="1:3" x14ac:dyDescent="0.25">
      <c r="A5" t="s">
        <v>1205</v>
      </c>
      <c r="B5" t="s">
        <v>370</v>
      </c>
      <c r="C5" t="s">
        <v>1206</v>
      </c>
    </row>
    <row r="6" spans="1:3" ht="45" x14ac:dyDescent="0.25">
      <c r="A6" t="s">
        <v>1207</v>
      </c>
      <c r="B6" t="s">
        <v>1208</v>
      </c>
      <c r="C6" s="12" t="s">
        <v>1209</v>
      </c>
    </row>
    <row r="7" spans="1:3" x14ac:dyDescent="0.25">
      <c r="A7" t="s">
        <v>1210</v>
      </c>
      <c r="B7" t="s">
        <v>1211</v>
      </c>
      <c r="C7" t="s">
        <v>1212</v>
      </c>
    </row>
    <row r="8" spans="1:3" x14ac:dyDescent="0.25">
      <c r="A8" t="s">
        <v>1213</v>
      </c>
      <c r="B8" t="s">
        <v>1214</v>
      </c>
      <c r="C8" t="s">
        <v>1212</v>
      </c>
    </row>
    <row r="9" spans="1:3" x14ac:dyDescent="0.25">
      <c r="A9" t="s">
        <v>1215</v>
      </c>
      <c r="B9" t="s">
        <v>1216</v>
      </c>
      <c r="C9" t="s">
        <v>1212</v>
      </c>
    </row>
    <row r="10" spans="1:3" x14ac:dyDescent="0.25">
      <c r="A10" t="s">
        <v>1217</v>
      </c>
      <c r="B10" t="s">
        <v>1218</v>
      </c>
      <c r="C10" t="s">
        <v>1204</v>
      </c>
    </row>
    <row r="11" spans="1:3" x14ac:dyDescent="0.25">
      <c r="A11" t="s">
        <v>180</v>
      </c>
      <c r="B11" t="s">
        <v>1219</v>
      </c>
      <c r="C11" t="s">
        <v>578</v>
      </c>
    </row>
    <row r="12" spans="1:3" x14ac:dyDescent="0.25">
      <c r="A12" t="s">
        <v>1220</v>
      </c>
      <c r="B12" t="s">
        <v>1221</v>
      </c>
      <c r="C12" s="7" t="s">
        <v>1222</v>
      </c>
    </row>
    <row r="13" spans="1:3" x14ac:dyDescent="0.25">
      <c r="A13" t="s">
        <v>1223</v>
      </c>
      <c r="B13" t="s">
        <v>1224</v>
      </c>
      <c r="C13" s="7" t="s">
        <v>1225</v>
      </c>
    </row>
    <row r="14" spans="1:3" x14ac:dyDescent="0.25">
      <c r="A14" t="s">
        <v>1226</v>
      </c>
      <c r="B14" t="s">
        <v>1227</v>
      </c>
      <c r="C14" s="7" t="s">
        <v>1228</v>
      </c>
    </row>
    <row r="15" spans="1:3" x14ac:dyDescent="0.25">
      <c r="A15" t="s">
        <v>1229</v>
      </c>
      <c r="B15" t="s">
        <v>1230</v>
      </c>
      <c r="C15" s="7" t="s">
        <v>1231</v>
      </c>
    </row>
    <row r="16" spans="1:3" x14ac:dyDescent="0.25">
      <c r="A16" t="s">
        <v>1232</v>
      </c>
      <c r="B16" t="s">
        <v>1233</v>
      </c>
      <c r="C16" s="7" t="s">
        <v>1234</v>
      </c>
    </row>
    <row r="17" spans="1:3" x14ac:dyDescent="0.25">
      <c r="A17" t="s">
        <v>1235</v>
      </c>
      <c r="B17" t="s">
        <v>1236</v>
      </c>
      <c r="C17" s="7" t="s">
        <v>1237</v>
      </c>
    </row>
    <row r="18" spans="1:3" x14ac:dyDescent="0.25">
      <c r="A18" t="s">
        <v>1238</v>
      </c>
      <c r="B18" t="s">
        <v>1239</v>
      </c>
      <c r="C18" s="7" t="s">
        <v>1240</v>
      </c>
    </row>
    <row r="19" spans="1:3" x14ac:dyDescent="0.25">
      <c r="A19" t="s">
        <v>1241</v>
      </c>
      <c r="B19" t="s">
        <v>1242</v>
      </c>
      <c r="C19" s="7" t="s">
        <v>1243</v>
      </c>
    </row>
    <row r="20" spans="1:3" x14ac:dyDescent="0.25">
      <c r="A20" t="s">
        <v>1244</v>
      </c>
      <c r="B20" t="s">
        <v>1245</v>
      </c>
      <c r="C20" s="7" t="s">
        <v>1246</v>
      </c>
    </row>
    <row r="21" spans="1:3" x14ac:dyDescent="0.25">
      <c r="A21" t="s">
        <v>1247</v>
      </c>
      <c r="B21" t="s">
        <v>1248</v>
      </c>
      <c r="C21" s="7" t="s">
        <v>1249</v>
      </c>
    </row>
    <row r="22" spans="1:3" x14ac:dyDescent="0.25">
      <c r="A22" t="s">
        <v>1250</v>
      </c>
      <c r="B22" t="s">
        <v>1251</v>
      </c>
      <c r="C22" s="7" t="s">
        <v>1252</v>
      </c>
    </row>
    <row r="23" spans="1:3" x14ac:dyDescent="0.25">
      <c r="A23" t="s">
        <v>1253</v>
      </c>
      <c r="B23" t="s">
        <v>1254</v>
      </c>
      <c r="C23" s="7" t="s">
        <v>1255</v>
      </c>
    </row>
    <row r="24" spans="1:3" x14ac:dyDescent="0.25">
      <c r="A24" t="s">
        <v>1256</v>
      </c>
      <c r="B24" t="s">
        <v>1257</v>
      </c>
      <c r="C24" s="7" t="s">
        <v>1258</v>
      </c>
    </row>
    <row r="25" spans="1:3" x14ac:dyDescent="0.25">
      <c r="A25" t="s">
        <v>1259</v>
      </c>
      <c r="B25" t="s">
        <v>1260</v>
      </c>
      <c r="C25" s="7" t="s">
        <v>1261</v>
      </c>
    </row>
    <row r="26" spans="1:3" x14ac:dyDescent="0.25">
      <c r="A26" t="s">
        <v>1262</v>
      </c>
      <c r="B26" t="s">
        <v>1263</v>
      </c>
      <c r="C26" s="7" t="s">
        <v>1264</v>
      </c>
    </row>
    <row r="27" spans="1:3" x14ac:dyDescent="0.25">
      <c r="A27" t="s">
        <v>1265</v>
      </c>
      <c r="B27" t="s">
        <v>1266</v>
      </c>
      <c r="C27" s="7" t="s">
        <v>1267</v>
      </c>
    </row>
    <row r="28" spans="1:3" x14ac:dyDescent="0.25">
      <c r="A28" t="s">
        <v>1268</v>
      </c>
      <c r="B28" t="s">
        <v>1269</v>
      </c>
      <c r="C28" s="7" t="s">
        <v>1270</v>
      </c>
    </row>
    <row r="29" spans="1:3" x14ac:dyDescent="0.25">
      <c r="A29" t="s">
        <v>1271</v>
      </c>
      <c r="B29" t="s">
        <v>1272</v>
      </c>
      <c r="C29" s="7" t="s">
        <v>1273</v>
      </c>
    </row>
    <row r="30" spans="1:3" x14ac:dyDescent="0.25">
      <c r="A30" t="s">
        <v>1274</v>
      </c>
      <c r="B30" t="s">
        <v>1275</v>
      </c>
      <c r="C30" s="7" t="s">
        <v>1276</v>
      </c>
    </row>
    <row r="31" spans="1:3" x14ac:dyDescent="0.25">
      <c r="A31" t="s">
        <v>1277</v>
      </c>
      <c r="B31" t="s">
        <v>1278</v>
      </c>
      <c r="C31" s="7" t="s">
        <v>1279</v>
      </c>
    </row>
    <row r="32" spans="1:3" x14ac:dyDescent="0.25">
      <c r="A32" t="s">
        <v>1280</v>
      </c>
      <c r="B32" t="s">
        <v>1281</v>
      </c>
      <c r="C32" s="7" t="s">
        <v>1282</v>
      </c>
    </row>
    <row r="33" spans="1:3" x14ac:dyDescent="0.25">
      <c r="A33" t="s">
        <v>1283</v>
      </c>
      <c r="B33" t="s">
        <v>1284</v>
      </c>
      <c r="C33" s="7" t="s">
        <v>1285</v>
      </c>
    </row>
    <row r="34" spans="1:3" x14ac:dyDescent="0.25">
      <c r="A34" t="s">
        <v>1286</v>
      </c>
      <c r="B34" t="s">
        <v>1287</v>
      </c>
      <c r="C34" s="7" t="s">
        <v>1288</v>
      </c>
    </row>
    <row r="35" spans="1:3" x14ac:dyDescent="0.25">
      <c r="A35" t="s">
        <v>1289</v>
      </c>
      <c r="B35" t="s">
        <v>1290</v>
      </c>
      <c r="C35" s="7" t="s">
        <v>1291</v>
      </c>
    </row>
    <row r="36" spans="1:3" x14ac:dyDescent="0.25">
      <c r="A36" t="s">
        <v>1292</v>
      </c>
      <c r="B36" t="s">
        <v>1293</v>
      </c>
      <c r="C36" s="7" t="s">
        <v>1294</v>
      </c>
    </row>
    <row r="37" spans="1:3" x14ac:dyDescent="0.25">
      <c r="A37" t="s">
        <v>1295</v>
      </c>
      <c r="B37" t="s">
        <v>1296</v>
      </c>
      <c r="C37" s="7" t="s">
        <v>1297</v>
      </c>
    </row>
    <row r="38" spans="1:3" x14ac:dyDescent="0.25">
      <c r="A38" t="s">
        <v>1298</v>
      </c>
      <c r="B38" t="s">
        <v>1299</v>
      </c>
      <c r="C38" s="7" t="s">
        <v>1300</v>
      </c>
    </row>
    <row r="39" spans="1:3" x14ac:dyDescent="0.25">
      <c r="A39" t="s">
        <v>1301</v>
      </c>
      <c r="B39" t="s">
        <v>240</v>
      </c>
      <c r="C39" s="7" t="s">
        <v>1302</v>
      </c>
    </row>
    <row r="40" spans="1:3" x14ac:dyDescent="0.25">
      <c r="A40" t="s">
        <v>1303</v>
      </c>
      <c r="B40" t="s">
        <v>1304</v>
      </c>
      <c r="C40" s="7" t="s">
        <v>1305</v>
      </c>
    </row>
    <row r="41" spans="1:3" x14ac:dyDescent="0.25">
      <c r="A41" t="s">
        <v>1306</v>
      </c>
      <c r="B41" t="s">
        <v>1307</v>
      </c>
      <c r="C41" s="7" t="s">
        <v>1308</v>
      </c>
    </row>
    <row r="42" spans="1:3" x14ac:dyDescent="0.25">
      <c r="A42" t="s">
        <v>1309</v>
      </c>
      <c r="B42" t="s">
        <v>1310</v>
      </c>
      <c r="C42" s="7" t="s">
        <v>1311</v>
      </c>
    </row>
    <row r="43" spans="1:3" x14ac:dyDescent="0.25">
      <c r="A43" t="s">
        <v>1312</v>
      </c>
      <c r="B43" t="s">
        <v>1313</v>
      </c>
      <c r="C43" s="7" t="s">
        <v>1314</v>
      </c>
    </row>
    <row r="44" spans="1:3" x14ac:dyDescent="0.25">
      <c r="A44" t="s">
        <v>1315</v>
      </c>
      <c r="B44" t="s">
        <v>1316</v>
      </c>
      <c r="C44" s="7" t="s">
        <v>1317</v>
      </c>
    </row>
    <row r="45" spans="1:3" x14ac:dyDescent="0.25">
      <c r="A45" t="s">
        <v>1318</v>
      </c>
      <c r="B45" t="s">
        <v>1319</v>
      </c>
      <c r="C45" s="7" t="s">
        <v>1320</v>
      </c>
    </row>
    <row r="46" spans="1:3" x14ac:dyDescent="0.25">
      <c r="A46" t="s">
        <v>1321</v>
      </c>
      <c r="B46" t="s">
        <v>1322</v>
      </c>
      <c r="C46" s="7" t="s">
        <v>1323</v>
      </c>
    </row>
    <row r="47" spans="1:3" x14ac:dyDescent="0.25">
      <c r="A47" t="s">
        <v>317</v>
      </c>
      <c r="B47" t="s">
        <v>1324</v>
      </c>
      <c r="C47" s="7" t="s">
        <v>1325</v>
      </c>
    </row>
    <row r="48" spans="1:3" x14ac:dyDescent="0.25">
      <c r="A48" t="s">
        <v>1326</v>
      </c>
      <c r="B48" t="s">
        <v>1327</v>
      </c>
      <c r="C48" s="7" t="s">
        <v>1328</v>
      </c>
    </row>
    <row r="49" spans="1:3" x14ac:dyDescent="0.25">
      <c r="A49" t="s">
        <v>1329</v>
      </c>
      <c r="B49" t="s">
        <v>1330</v>
      </c>
      <c r="C49" s="7" t="s">
        <v>1331</v>
      </c>
    </row>
    <row r="50" spans="1:3" x14ac:dyDescent="0.25">
      <c r="A50" t="s">
        <v>1332</v>
      </c>
      <c r="B50" t="s">
        <v>1333</v>
      </c>
      <c r="C50" s="7" t="s">
        <v>1334</v>
      </c>
    </row>
    <row r="51" spans="1:3" x14ac:dyDescent="0.25">
      <c r="A51" t="s">
        <v>1335</v>
      </c>
      <c r="B51" t="s">
        <v>1336</v>
      </c>
      <c r="C51" s="7" t="s">
        <v>1337</v>
      </c>
    </row>
    <row r="52" spans="1:3" x14ac:dyDescent="0.25">
      <c r="A52" t="s">
        <v>1338</v>
      </c>
      <c r="B52" t="s">
        <v>1339</v>
      </c>
      <c r="C52" s="7" t="s">
        <v>1340</v>
      </c>
    </row>
    <row r="53" spans="1:3" x14ac:dyDescent="0.25">
      <c r="A53" t="s">
        <v>1341</v>
      </c>
      <c r="B53" t="s">
        <v>1342</v>
      </c>
      <c r="C53" s="7" t="s">
        <v>1343</v>
      </c>
    </row>
    <row r="54" spans="1:3" x14ac:dyDescent="0.25">
      <c r="A54" t="s">
        <v>1344</v>
      </c>
      <c r="B54" t="s">
        <v>1345</v>
      </c>
      <c r="C54" s="8"/>
    </row>
    <row r="55" spans="1:3" x14ac:dyDescent="0.25">
      <c r="A55" t="s">
        <v>1346</v>
      </c>
      <c r="B55" t="s">
        <v>521</v>
      </c>
      <c r="C55" s="7" t="s">
        <v>1347</v>
      </c>
    </row>
    <row r="56" spans="1:3" x14ac:dyDescent="0.25">
      <c r="A56" t="s">
        <v>1348</v>
      </c>
      <c r="B56" t="s">
        <v>1349</v>
      </c>
      <c r="C56" s="7"/>
    </row>
    <row r="57" spans="1:3" x14ac:dyDescent="0.25">
      <c r="A57" t="s">
        <v>1350</v>
      </c>
      <c r="B57" t="s">
        <v>322</v>
      </c>
      <c r="C57" s="7" t="s">
        <v>323</v>
      </c>
    </row>
    <row r="58" spans="1:3" x14ac:dyDescent="0.25">
      <c r="A58" t="s">
        <v>1351</v>
      </c>
      <c r="B58" t="s">
        <v>1352</v>
      </c>
      <c r="C58" s="7" t="s">
        <v>1353</v>
      </c>
    </row>
    <row r="59" spans="1:3" x14ac:dyDescent="0.25">
      <c r="A59" t="s">
        <v>1354</v>
      </c>
      <c r="B59" t="s">
        <v>1355</v>
      </c>
      <c r="C59" s="7" t="s">
        <v>1356</v>
      </c>
    </row>
    <row r="60" spans="1:3" x14ac:dyDescent="0.25">
      <c r="A60" t="s">
        <v>1357</v>
      </c>
      <c r="B60" t="s">
        <v>1358</v>
      </c>
      <c r="C60" s="7" t="s">
        <v>1359</v>
      </c>
    </row>
    <row r="61" spans="1:3" x14ac:dyDescent="0.25">
      <c r="A61" t="s">
        <v>1360</v>
      </c>
      <c r="B61" t="s">
        <v>1361</v>
      </c>
      <c r="C61" s="7" t="s">
        <v>1362</v>
      </c>
    </row>
    <row r="62" spans="1:3" x14ac:dyDescent="0.25">
      <c r="A62" t="s">
        <v>1363</v>
      </c>
      <c r="B62" t="s">
        <v>1364</v>
      </c>
      <c r="C62" s="7" t="s">
        <v>1365</v>
      </c>
    </row>
    <row r="63" spans="1:3" x14ac:dyDescent="0.25">
      <c r="A63" t="s">
        <v>1366</v>
      </c>
      <c r="B63" t="s">
        <v>1367</v>
      </c>
      <c r="C63" s="7" t="s">
        <v>1368</v>
      </c>
    </row>
    <row r="64" spans="1:3" x14ac:dyDescent="0.25">
      <c r="A64" t="s">
        <v>1369</v>
      </c>
      <c r="B64" t="s">
        <v>1370</v>
      </c>
      <c r="C64" s="7" t="s">
        <v>1371</v>
      </c>
    </row>
    <row r="65" spans="1:3" x14ac:dyDescent="0.25">
      <c r="A65" t="s">
        <v>1372</v>
      </c>
      <c r="B65" t="s">
        <v>69</v>
      </c>
      <c r="C65" s="7" t="s">
        <v>1373</v>
      </c>
    </row>
    <row r="66" spans="1:3" x14ac:dyDescent="0.25">
      <c r="A66" t="s">
        <v>1374</v>
      </c>
      <c r="B66" t="s">
        <v>1375</v>
      </c>
      <c r="C66" s="7" t="s">
        <v>1311</v>
      </c>
    </row>
    <row r="67" spans="1:3" x14ac:dyDescent="0.25">
      <c r="A67" t="s">
        <v>1376</v>
      </c>
      <c r="B67" t="s">
        <v>1377</v>
      </c>
      <c r="C67" s="7" t="s">
        <v>1378</v>
      </c>
    </row>
    <row r="68" spans="1:3" x14ac:dyDescent="0.25">
      <c r="A68" t="s">
        <v>1379</v>
      </c>
      <c r="B68" t="s">
        <v>1380</v>
      </c>
      <c r="C68" s="7" t="s">
        <v>1381</v>
      </c>
    </row>
    <row r="69" spans="1:3" x14ac:dyDescent="0.25">
      <c r="A69" t="s">
        <v>1382</v>
      </c>
      <c r="B69" t="s">
        <v>1383</v>
      </c>
      <c r="C69" s="7" t="s">
        <v>1384</v>
      </c>
    </row>
    <row r="70" spans="1:3" x14ac:dyDescent="0.25">
      <c r="A70" t="s">
        <v>1385</v>
      </c>
      <c r="B70" t="s">
        <v>1151</v>
      </c>
      <c r="C70" s="7" t="s">
        <v>1386</v>
      </c>
    </row>
    <row r="71" spans="1:3" x14ac:dyDescent="0.25">
      <c r="A71" t="s">
        <v>1387</v>
      </c>
      <c r="B71" t="s">
        <v>1388</v>
      </c>
      <c r="C71" s="7" t="s">
        <v>1389</v>
      </c>
    </row>
    <row r="72" spans="1:3" x14ac:dyDescent="0.25">
      <c r="A72" t="s">
        <v>1390</v>
      </c>
      <c r="B72" t="s">
        <v>1391</v>
      </c>
      <c r="C72" s="7" t="s">
        <v>1311</v>
      </c>
    </row>
    <row r="73" spans="1:3" x14ac:dyDescent="0.25">
      <c r="A73" t="s">
        <v>1392</v>
      </c>
      <c r="B73" t="s">
        <v>1393</v>
      </c>
      <c r="C73" s="7" t="s">
        <v>1394</v>
      </c>
    </row>
    <row r="74" spans="1:3" x14ac:dyDescent="0.25">
      <c r="A74" t="s">
        <v>1395</v>
      </c>
      <c r="B74" t="s">
        <v>1130</v>
      </c>
      <c r="C74" s="7" t="s">
        <v>1396</v>
      </c>
    </row>
    <row r="75" spans="1:3" x14ac:dyDescent="0.25">
      <c r="A75" t="s">
        <v>1397</v>
      </c>
      <c r="B75" t="s">
        <v>1398</v>
      </c>
      <c r="C75" s="7" t="s">
        <v>1399</v>
      </c>
    </row>
    <row r="76" spans="1:3" x14ac:dyDescent="0.25">
      <c r="A76" t="s">
        <v>1400</v>
      </c>
      <c r="B76" t="s">
        <v>1401</v>
      </c>
      <c r="C76" s="7" t="s">
        <v>1402</v>
      </c>
    </row>
    <row r="77" spans="1:3" ht="16.5" x14ac:dyDescent="0.3">
      <c r="A77" s="27" t="s">
        <v>1403</v>
      </c>
      <c r="B77" s="28" t="s">
        <v>1404</v>
      </c>
      <c r="C77" s="28" t="s">
        <v>1311</v>
      </c>
    </row>
    <row r="78" spans="1:3" x14ac:dyDescent="0.25">
      <c r="A78" t="s">
        <v>1405</v>
      </c>
      <c r="B78" t="s">
        <v>1406</v>
      </c>
      <c r="C78" s="7" t="s">
        <v>1311</v>
      </c>
    </row>
    <row r="79" spans="1:3" x14ac:dyDescent="0.25">
      <c r="A79" t="s">
        <v>1407</v>
      </c>
      <c r="B79" t="s">
        <v>1408</v>
      </c>
      <c r="C79" s="7" t="s">
        <v>1409</v>
      </c>
    </row>
    <row r="80" spans="1:3" x14ac:dyDescent="0.25">
      <c r="A80" t="s">
        <v>1410</v>
      </c>
      <c r="B80" t="s">
        <v>1411</v>
      </c>
      <c r="C80" s="7" t="s">
        <v>1412</v>
      </c>
    </row>
    <row r="81" spans="1:3" x14ac:dyDescent="0.25">
      <c r="A81" t="s">
        <v>1413</v>
      </c>
      <c r="B81" t="s">
        <v>1414</v>
      </c>
      <c r="C81" s="7" t="s">
        <v>1415</v>
      </c>
    </row>
    <row r="82" spans="1:3" x14ac:dyDescent="0.25">
      <c r="A82" t="s">
        <v>1416</v>
      </c>
      <c r="B82" t="s">
        <v>1417</v>
      </c>
      <c r="C82" s="7" t="s">
        <v>1418</v>
      </c>
    </row>
    <row r="83" spans="1:3" x14ac:dyDescent="0.25">
      <c r="A83" t="s">
        <v>1419</v>
      </c>
      <c r="B83" t="s">
        <v>1420</v>
      </c>
      <c r="C83" s="7" t="s">
        <v>1421</v>
      </c>
    </row>
    <row r="84" spans="1:3" x14ac:dyDescent="0.25">
      <c r="A84" t="s">
        <v>1422</v>
      </c>
      <c r="B84" t="s">
        <v>1423</v>
      </c>
      <c r="C84" s="7" t="s">
        <v>1424</v>
      </c>
    </row>
    <row r="85" spans="1:3" x14ac:dyDescent="0.25">
      <c r="A85" t="s">
        <v>1425</v>
      </c>
      <c r="B85" t="s">
        <v>983</v>
      </c>
      <c r="C85" s="7" t="s">
        <v>1426</v>
      </c>
    </row>
    <row r="86" spans="1:3" x14ac:dyDescent="0.25">
      <c r="A86" t="s">
        <v>1427</v>
      </c>
      <c r="B86" t="s">
        <v>1428</v>
      </c>
      <c r="C86" s="7" t="s">
        <v>1429</v>
      </c>
    </row>
    <row r="87" spans="1:3" x14ac:dyDescent="0.25">
      <c r="A87" t="s">
        <v>1430</v>
      </c>
      <c r="B87" t="s">
        <v>1431</v>
      </c>
      <c r="C87" s="7" t="s">
        <v>1432</v>
      </c>
    </row>
    <row r="88" spans="1:3" x14ac:dyDescent="0.25">
      <c r="A88" t="s">
        <v>1433</v>
      </c>
      <c r="B88" t="s">
        <v>59</v>
      </c>
      <c r="C88" s="7" t="s">
        <v>1434</v>
      </c>
    </row>
    <row r="89" spans="1:3" x14ac:dyDescent="0.25">
      <c r="A89" t="s">
        <v>1435</v>
      </c>
      <c r="B89" t="s">
        <v>1436</v>
      </c>
      <c r="C89" s="7" t="s">
        <v>1437</v>
      </c>
    </row>
    <row r="90" spans="1:3" x14ac:dyDescent="0.25">
      <c r="A90" t="s">
        <v>1438</v>
      </c>
      <c r="B90" t="s">
        <v>1439</v>
      </c>
      <c r="C90" s="7" t="s">
        <v>1440</v>
      </c>
    </row>
    <row r="91" spans="1:3" x14ac:dyDescent="0.25">
      <c r="A91" t="s">
        <v>1441</v>
      </c>
      <c r="B91" t="s">
        <v>1442</v>
      </c>
      <c r="C91" s="7" t="s">
        <v>1443</v>
      </c>
    </row>
    <row r="92" spans="1:3" x14ac:dyDescent="0.25">
      <c r="A92" t="s">
        <v>1444</v>
      </c>
      <c r="B92" t="s">
        <v>1445</v>
      </c>
      <c r="C92" s="7" t="s">
        <v>1446</v>
      </c>
    </row>
    <row r="93" spans="1:3" x14ac:dyDescent="0.25">
      <c r="A93" t="s">
        <v>1447</v>
      </c>
      <c r="B93" t="s">
        <v>1448</v>
      </c>
      <c r="C93" s="7" t="s">
        <v>1449</v>
      </c>
    </row>
    <row r="94" spans="1:3" x14ac:dyDescent="0.25">
      <c r="A94" t="s">
        <v>1450</v>
      </c>
      <c r="B94" t="s">
        <v>1451</v>
      </c>
      <c r="C94" s="7" t="s">
        <v>1452</v>
      </c>
    </row>
    <row r="95" spans="1:3" x14ac:dyDescent="0.25">
      <c r="A95" t="s">
        <v>1453</v>
      </c>
      <c r="B95" t="s">
        <v>1189</v>
      </c>
      <c r="C95" s="7" t="s">
        <v>1454</v>
      </c>
    </row>
    <row r="96" spans="1:3" x14ac:dyDescent="0.25">
      <c r="A96" t="s">
        <v>1455</v>
      </c>
      <c r="B96" t="s">
        <v>1456</v>
      </c>
      <c r="C96" s="7" t="s">
        <v>1457</v>
      </c>
    </row>
    <row r="97" spans="1:3" x14ac:dyDescent="0.25">
      <c r="A97" t="s">
        <v>1458</v>
      </c>
      <c r="B97" t="s">
        <v>1459</v>
      </c>
      <c r="C97" s="7" t="s">
        <v>1460</v>
      </c>
    </row>
    <row r="98" spans="1:3" x14ac:dyDescent="0.25">
      <c r="A98" t="s">
        <v>1461</v>
      </c>
      <c r="B98" t="s">
        <v>1462</v>
      </c>
      <c r="C98" s="7" t="s">
        <v>1463</v>
      </c>
    </row>
    <row r="99" spans="1:3" x14ac:dyDescent="0.25">
      <c r="A99" t="s">
        <v>1464</v>
      </c>
      <c r="B99" t="s">
        <v>1465</v>
      </c>
      <c r="C99" s="7" t="s">
        <v>1466</v>
      </c>
    </row>
    <row r="100" spans="1:3" x14ac:dyDescent="0.25">
      <c r="A100" t="s">
        <v>1467</v>
      </c>
      <c r="B100" t="s">
        <v>1468</v>
      </c>
      <c r="C100" s="7" t="s">
        <v>1469</v>
      </c>
    </row>
    <row r="101" spans="1:3" x14ac:dyDescent="0.25">
      <c r="A101" t="s">
        <v>1470</v>
      </c>
      <c r="B101" t="s">
        <v>1471</v>
      </c>
      <c r="C101" s="7" t="s">
        <v>1472</v>
      </c>
    </row>
    <row r="102" spans="1:3" x14ac:dyDescent="0.25">
      <c r="A102" t="s">
        <v>1473</v>
      </c>
      <c r="B102" t="s">
        <v>1474</v>
      </c>
      <c r="C102" s="7" t="s">
        <v>1475</v>
      </c>
    </row>
    <row r="103" spans="1:3" x14ac:dyDescent="0.25">
      <c r="A103" t="s">
        <v>1476</v>
      </c>
      <c r="B103" t="s">
        <v>1477</v>
      </c>
      <c r="C103" s="7" t="s">
        <v>1478</v>
      </c>
    </row>
    <row r="104" spans="1:3" x14ac:dyDescent="0.25">
      <c r="A104" t="s">
        <v>1479</v>
      </c>
      <c r="B104" t="s">
        <v>1480</v>
      </c>
      <c r="C104" s="7" t="s">
        <v>1481</v>
      </c>
    </row>
    <row r="105" spans="1:3" x14ac:dyDescent="0.25">
      <c r="A105" t="s">
        <v>1482</v>
      </c>
      <c r="B105" t="s">
        <v>1483</v>
      </c>
      <c r="C105" s="7" t="s">
        <v>1484</v>
      </c>
    </row>
    <row r="106" spans="1:3" x14ac:dyDescent="0.25">
      <c r="A106" t="s">
        <v>1485</v>
      </c>
      <c r="B106" t="s">
        <v>1486</v>
      </c>
      <c r="C106" s="7" t="s">
        <v>1487</v>
      </c>
    </row>
    <row r="107" spans="1:3" x14ac:dyDescent="0.25">
      <c r="A107" t="s">
        <v>1488</v>
      </c>
      <c r="B107" t="s">
        <v>1489</v>
      </c>
      <c r="C107" s="7" t="s">
        <v>1490</v>
      </c>
    </row>
    <row r="108" spans="1:3" x14ac:dyDescent="0.25">
      <c r="A108" t="s">
        <v>1491</v>
      </c>
      <c r="B108" t="s">
        <v>1492</v>
      </c>
      <c r="C108" s="7" t="s">
        <v>1493</v>
      </c>
    </row>
    <row r="109" spans="1:3" x14ac:dyDescent="0.25">
      <c r="A109" t="s">
        <v>1494</v>
      </c>
      <c r="B109" t="s">
        <v>1495</v>
      </c>
      <c r="C109" s="7" t="s">
        <v>1311</v>
      </c>
    </row>
    <row r="110" spans="1:3" x14ac:dyDescent="0.25">
      <c r="A110" t="s">
        <v>1496</v>
      </c>
      <c r="B110" t="s">
        <v>1497</v>
      </c>
      <c r="C110" s="7" t="s">
        <v>1311</v>
      </c>
    </row>
    <row r="111" spans="1:3" x14ac:dyDescent="0.25">
      <c r="A111" t="s">
        <v>1498</v>
      </c>
      <c r="B111" t="s">
        <v>1499</v>
      </c>
      <c r="C111" s="7" t="s">
        <v>1500</v>
      </c>
    </row>
    <row r="112" spans="1:3" x14ac:dyDescent="0.25">
      <c r="A112" t="s">
        <v>1501</v>
      </c>
      <c r="B112" t="s">
        <v>405</v>
      </c>
      <c r="C112" s="7" t="s">
        <v>1502</v>
      </c>
    </row>
    <row r="113" spans="1:3" x14ac:dyDescent="0.25">
      <c r="A113" t="s">
        <v>1503</v>
      </c>
      <c r="B113" t="s">
        <v>412</v>
      </c>
      <c r="C113" s="7" t="s">
        <v>1504</v>
      </c>
    </row>
    <row r="114" spans="1:3" x14ac:dyDescent="0.25">
      <c r="A114" t="s">
        <v>1505</v>
      </c>
      <c r="B114" t="s">
        <v>193</v>
      </c>
      <c r="C114" s="7" t="s">
        <v>1506</v>
      </c>
    </row>
    <row r="115" spans="1:3" x14ac:dyDescent="0.25">
      <c r="A115" t="s">
        <v>1507</v>
      </c>
      <c r="B115" t="s">
        <v>1508</v>
      </c>
      <c r="C115" s="7" t="s">
        <v>1311</v>
      </c>
    </row>
    <row r="116" spans="1:3" x14ac:dyDescent="0.25">
      <c r="A116" t="s">
        <v>1509</v>
      </c>
      <c r="B116" t="s">
        <v>1510</v>
      </c>
      <c r="C116" s="7" t="s">
        <v>1311</v>
      </c>
    </row>
    <row r="117" spans="1:3" x14ac:dyDescent="0.25">
      <c r="A117" t="s">
        <v>1511</v>
      </c>
      <c r="B117" t="s">
        <v>48</v>
      </c>
      <c r="C117" s="7" t="s">
        <v>1512</v>
      </c>
    </row>
    <row r="118" spans="1:3" x14ac:dyDescent="0.25">
      <c r="A118" t="s">
        <v>1513</v>
      </c>
      <c r="B118" t="s">
        <v>1514</v>
      </c>
      <c r="C118" s="7" t="s">
        <v>1311</v>
      </c>
    </row>
    <row r="119" spans="1:3" x14ac:dyDescent="0.25">
      <c r="A119" t="s">
        <v>1515</v>
      </c>
      <c r="B119" t="s">
        <v>1516</v>
      </c>
      <c r="C119" s="7" t="s">
        <v>1517</v>
      </c>
    </row>
    <row r="120" spans="1:3" x14ac:dyDescent="0.25">
      <c r="A120" t="s">
        <v>1518</v>
      </c>
      <c r="B120" t="s">
        <v>1519</v>
      </c>
      <c r="C120" s="7" t="s">
        <v>1520</v>
      </c>
    </row>
    <row r="121" spans="1:3" x14ac:dyDescent="0.25">
      <c r="A121" t="s">
        <v>1521</v>
      </c>
      <c r="B121" t="s">
        <v>707</v>
      </c>
      <c r="C121" s="7" t="s">
        <v>1522</v>
      </c>
    </row>
    <row r="122" spans="1:3" x14ac:dyDescent="0.25">
      <c r="A122" t="s">
        <v>1523</v>
      </c>
      <c r="B122" t="s">
        <v>1524</v>
      </c>
      <c r="C122" s="7" t="s">
        <v>1525</v>
      </c>
    </row>
    <row r="123" spans="1:3" x14ac:dyDescent="0.25">
      <c r="A123" t="s">
        <v>41</v>
      </c>
      <c r="B123" t="s">
        <v>1526</v>
      </c>
      <c r="C123" s="7" t="s">
        <v>1527</v>
      </c>
    </row>
    <row r="124" spans="1:3" x14ac:dyDescent="0.25">
      <c r="A124" t="s">
        <v>1528</v>
      </c>
      <c r="B124" t="s">
        <v>1529</v>
      </c>
      <c r="C124" s="7" t="s">
        <v>1530</v>
      </c>
    </row>
    <row r="125" spans="1:3" x14ac:dyDescent="0.25">
      <c r="A125" t="s">
        <v>1531</v>
      </c>
      <c r="B125" t="s">
        <v>1532</v>
      </c>
      <c r="C125" s="7" t="s">
        <v>1533</v>
      </c>
    </row>
    <row r="126" spans="1:3" x14ac:dyDescent="0.25">
      <c r="A126" t="s">
        <v>1534</v>
      </c>
      <c r="B126" t="s">
        <v>1535</v>
      </c>
      <c r="C126" s="7" t="s">
        <v>1536</v>
      </c>
    </row>
    <row r="127" spans="1:3" x14ac:dyDescent="0.25">
      <c r="A127" t="s">
        <v>1537</v>
      </c>
      <c r="B127" t="s">
        <v>1538</v>
      </c>
      <c r="C127" s="7" t="s">
        <v>1539</v>
      </c>
    </row>
    <row r="128" spans="1:3" x14ac:dyDescent="0.25">
      <c r="A128" t="s">
        <v>1540</v>
      </c>
      <c r="B128" t="s">
        <v>1541</v>
      </c>
      <c r="C128" s="7" t="s">
        <v>1542</v>
      </c>
    </row>
    <row r="129" spans="1:3" x14ac:dyDescent="0.25">
      <c r="A129" t="s">
        <v>1543</v>
      </c>
      <c r="B129" t="s">
        <v>1544</v>
      </c>
      <c r="C129" s="7" t="s">
        <v>1545</v>
      </c>
    </row>
    <row r="130" spans="1:3" x14ac:dyDescent="0.25">
      <c r="A130" t="s">
        <v>1546</v>
      </c>
      <c r="B130" t="s">
        <v>1547</v>
      </c>
      <c r="C130" s="7" t="s">
        <v>1548</v>
      </c>
    </row>
    <row r="131" spans="1:3" x14ac:dyDescent="0.25">
      <c r="A131" t="s">
        <v>1549</v>
      </c>
      <c r="B131" t="s">
        <v>1550</v>
      </c>
      <c r="C131" s="7" t="s">
        <v>1551</v>
      </c>
    </row>
    <row r="132" spans="1:3" x14ac:dyDescent="0.25">
      <c r="A132" t="s">
        <v>1552</v>
      </c>
      <c r="B132" t="s">
        <v>1553</v>
      </c>
      <c r="C132" s="7" t="s">
        <v>1554</v>
      </c>
    </row>
    <row r="133" spans="1:3" x14ac:dyDescent="0.25">
      <c r="A133" t="s">
        <v>1555</v>
      </c>
      <c r="B133" t="s">
        <v>1556</v>
      </c>
      <c r="C133" s="7" t="s">
        <v>1557</v>
      </c>
    </row>
    <row r="134" spans="1:3" x14ac:dyDescent="0.25">
      <c r="A134" t="s">
        <v>821</v>
      </c>
      <c r="B134" t="s">
        <v>1558</v>
      </c>
      <c r="C134" s="7" t="s">
        <v>1559</v>
      </c>
    </row>
    <row r="135" spans="1:3" x14ac:dyDescent="0.25">
      <c r="A135" t="s">
        <v>1560</v>
      </c>
      <c r="B135" t="s">
        <v>1561</v>
      </c>
      <c r="C135" s="7" t="s">
        <v>1562</v>
      </c>
    </row>
    <row r="136" spans="1:3" x14ac:dyDescent="0.25">
      <c r="A136" t="s">
        <v>1563</v>
      </c>
      <c r="B136" t="s">
        <v>1564</v>
      </c>
      <c r="C136" s="7" t="s">
        <v>1565</v>
      </c>
    </row>
    <row r="137" spans="1:3" x14ac:dyDescent="0.25">
      <c r="A137" t="s">
        <v>1566</v>
      </c>
      <c r="B137" t="s">
        <v>1567</v>
      </c>
      <c r="C137" s="7" t="s">
        <v>1568</v>
      </c>
    </row>
    <row r="138" spans="1:3" x14ac:dyDescent="0.25">
      <c r="A138" t="s">
        <v>1569</v>
      </c>
      <c r="B138" t="s">
        <v>1570</v>
      </c>
      <c r="C138" s="7" t="s">
        <v>1571</v>
      </c>
    </row>
    <row r="139" spans="1:3" x14ac:dyDescent="0.25">
      <c r="A139" t="s">
        <v>1572</v>
      </c>
      <c r="B139" t="s">
        <v>1573</v>
      </c>
      <c r="C139" s="7" t="s">
        <v>1311</v>
      </c>
    </row>
    <row r="140" spans="1:3" x14ac:dyDescent="0.25">
      <c r="A140" t="s">
        <v>1574</v>
      </c>
      <c r="B140" t="s">
        <v>1575</v>
      </c>
      <c r="C140" s="7" t="s">
        <v>1311</v>
      </c>
    </row>
    <row r="141" spans="1:3" x14ac:dyDescent="0.25">
      <c r="A141" t="s">
        <v>1576</v>
      </c>
      <c r="B141" t="s">
        <v>1577</v>
      </c>
      <c r="C141" s="7" t="s">
        <v>1578</v>
      </c>
    </row>
    <row r="142" spans="1:3" x14ac:dyDescent="0.25">
      <c r="A142" t="s">
        <v>1579</v>
      </c>
      <c r="B142" t="s">
        <v>1580</v>
      </c>
      <c r="C142" s="7" t="s">
        <v>1581</v>
      </c>
    </row>
    <row r="143" spans="1:3" x14ac:dyDescent="0.25">
      <c r="A143" t="s">
        <v>1582</v>
      </c>
      <c r="B143" t="s">
        <v>1583</v>
      </c>
      <c r="C143" s="7" t="s">
        <v>1584</v>
      </c>
    </row>
    <row r="144" spans="1:3" x14ac:dyDescent="0.25">
      <c r="A144" t="s">
        <v>1585</v>
      </c>
      <c r="B144" t="s">
        <v>1586</v>
      </c>
      <c r="C144" s="7" t="s">
        <v>1587</v>
      </c>
    </row>
    <row r="145" spans="1:3" x14ac:dyDescent="0.25">
      <c r="A145" t="s">
        <v>1588</v>
      </c>
      <c r="B145" t="s">
        <v>1589</v>
      </c>
      <c r="C145" s="7" t="s">
        <v>1590</v>
      </c>
    </row>
    <row r="146" spans="1:3" x14ac:dyDescent="0.25">
      <c r="A146" t="s">
        <v>1591</v>
      </c>
      <c r="B146" t="s">
        <v>1592</v>
      </c>
      <c r="C146" s="7" t="s">
        <v>1593</v>
      </c>
    </row>
    <row r="147" spans="1:3" x14ac:dyDescent="0.25">
      <c r="A147" t="s">
        <v>1594</v>
      </c>
      <c r="B147" t="s">
        <v>169</v>
      </c>
      <c r="C147" s="7" t="s">
        <v>1595</v>
      </c>
    </row>
    <row r="148" spans="1:3" x14ac:dyDescent="0.25">
      <c r="A148" t="s">
        <v>1596</v>
      </c>
      <c r="B148" t="s">
        <v>1597</v>
      </c>
      <c r="C148" s="7" t="s">
        <v>1598</v>
      </c>
    </row>
    <row r="149" spans="1:3" x14ac:dyDescent="0.25">
      <c r="A149" t="s">
        <v>1599</v>
      </c>
      <c r="B149" t="s">
        <v>1600</v>
      </c>
      <c r="C149" s="7" t="s">
        <v>1601</v>
      </c>
    </row>
    <row r="150" spans="1:3" x14ac:dyDescent="0.25">
      <c r="A150" t="s">
        <v>1602</v>
      </c>
      <c r="B150" t="s">
        <v>229</v>
      </c>
      <c r="C150" s="7" t="s">
        <v>1603</v>
      </c>
    </row>
    <row r="151" spans="1:3" x14ac:dyDescent="0.25">
      <c r="A151" t="s">
        <v>1604</v>
      </c>
      <c r="B151" t="s">
        <v>1605</v>
      </c>
      <c r="C151" s="7" t="s">
        <v>1606</v>
      </c>
    </row>
    <row r="152" spans="1:3" x14ac:dyDescent="0.25">
      <c r="A152" t="s">
        <v>1607</v>
      </c>
      <c r="B152" t="s">
        <v>1178</v>
      </c>
      <c r="C152" s="7" t="s">
        <v>1608</v>
      </c>
    </row>
    <row r="153" spans="1:3" x14ac:dyDescent="0.25">
      <c r="A153" t="s">
        <v>1609</v>
      </c>
      <c r="B153" t="s">
        <v>1610</v>
      </c>
      <c r="C153" s="7" t="s">
        <v>1611</v>
      </c>
    </row>
    <row r="154" spans="1:3" x14ac:dyDescent="0.25">
      <c r="A154" t="s">
        <v>1612</v>
      </c>
      <c r="B154" t="s">
        <v>36</v>
      </c>
      <c r="C154" s="7" t="s">
        <v>1613</v>
      </c>
    </row>
    <row r="155" spans="1:3" x14ac:dyDescent="0.25">
      <c r="A155" t="s">
        <v>1614</v>
      </c>
      <c r="B155" t="s">
        <v>1615</v>
      </c>
      <c r="C155" s="7" t="s">
        <v>1311</v>
      </c>
    </row>
    <row r="156" spans="1:3" x14ac:dyDescent="0.25">
      <c r="A156" t="s">
        <v>1616</v>
      </c>
      <c r="B156" t="s">
        <v>1617</v>
      </c>
      <c r="C156" s="7" t="s">
        <v>1618</v>
      </c>
    </row>
    <row r="157" spans="1:3" x14ac:dyDescent="0.25">
      <c r="A157" t="s">
        <v>1619</v>
      </c>
      <c r="B157" t="s">
        <v>1620</v>
      </c>
      <c r="C157" s="7" t="s">
        <v>1621</v>
      </c>
    </row>
    <row r="158" spans="1:3" x14ac:dyDescent="0.25">
      <c r="A158" t="s">
        <v>583</v>
      </c>
      <c r="B158" t="s">
        <v>577</v>
      </c>
      <c r="C158" s="7" t="s">
        <v>1622</v>
      </c>
    </row>
    <row r="159" spans="1:3" x14ac:dyDescent="0.25">
      <c r="A159" t="s">
        <v>1623</v>
      </c>
      <c r="B159" t="s">
        <v>1624</v>
      </c>
      <c r="C159" s="7" t="s">
        <v>1311</v>
      </c>
    </row>
    <row r="160" spans="1:3" x14ac:dyDescent="0.25">
      <c r="A160" t="s">
        <v>1625</v>
      </c>
      <c r="B160" t="s">
        <v>1626</v>
      </c>
      <c r="C160" s="7" t="s">
        <v>1627</v>
      </c>
    </row>
    <row r="161" spans="1:3" x14ac:dyDescent="0.25">
      <c r="A161" t="s">
        <v>1628</v>
      </c>
      <c r="B161" t="s">
        <v>1629</v>
      </c>
      <c r="C161" s="7" t="s">
        <v>1630</v>
      </c>
    </row>
    <row r="162" spans="1:3" x14ac:dyDescent="0.25">
      <c r="A162" t="s">
        <v>1631</v>
      </c>
      <c r="B162" t="s">
        <v>1107</v>
      </c>
      <c r="C162" s="7" t="s">
        <v>1632</v>
      </c>
    </row>
    <row r="163" spans="1:3" x14ac:dyDescent="0.25">
      <c r="A163" t="s">
        <v>1633</v>
      </c>
      <c r="B163" t="s">
        <v>1634</v>
      </c>
      <c r="C163" s="7" t="s">
        <v>1635</v>
      </c>
    </row>
    <row r="164" spans="1:3" x14ac:dyDescent="0.25">
      <c r="A164" t="s">
        <v>1636</v>
      </c>
      <c r="B164" t="s">
        <v>1637</v>
      </c>
      <c r="C164" s="7" t="s">
        <v>1638</v>
      </c>
    </row>
    <row r="165" spans="1:3" x14ac:dyDescent="0.25">
      <c r="A165" t="s">
        <v>1639</v>
      </c>
      <c r="B165" t="s">
        <v>1640</v>
      </c>
      <c r="C165" s="7" t="s">
        <v>1641</v>
      </c>
    </row>
    <row r="166" spans="1:3" x14ac:dyDescent="0.25">
      <c r="A166" t="s">
        <v>1642</v>
      </c>
      <c r="B166" t="s">
        <v>1643</v>
      </c>
      <c r="C166" s="7" t="s">
        <v>1644</v>
      </c>
    </row>
    <row r="167" spans="1:3" x14ac:dyDescent="0.25">
      <c r="A167" t="s">
        <v>1645</v>
      </c>
      <c r="B167" t="s">
        <v>1646</v>
      </c>
      <c r="C167" s="7" t="s">
        <v>1647</v>
      </c>
    </row>
    <row r="168" spans="1:3" x14ac:dyDescent="0.25">
      <c r="A168" t="s">
        <v>1648</v>
      </c>
      <c r="B168" t="s">
        <v>1649</v>
      </c>
      <c r="C168" s="7" t="s">
        <v>1650</v>
      </c>
    </row>
    <row r="169" spans="1:3" x14ac:dyDescent="0.25">
      <c r="A169" t="s">
        <v>1651</v>
      </c>
      <c r="B169" t="s">
        <v>1652</v>
      </c>
      <c r="C169" s="7" t="s">
        <v>1653</v>
      </c>
    </row>
    <row r="170" spans="1:3" x14ac:dyDescent="0.25">
      <c r="A170" t="s">
        <v>1654</v>
      </c>
      <c r="B170" t="s">
        <v>1655</v>
      </c>
      <c r="C170" s="7" t="s">
        <v>1656</v>
      </c>
    </row>
    <row r="171" spans="1:3" x14ac:dyDescent="0.25">
      <c r="A171" t="s">
        <v>1657</v>
      </c>
      <c r="B171" t="s">
        <v>1658</v>
      </c>
      <c r="C171" s="7" t="s">
        <v>1659</v>
      </c>
    </row>
    <row r="172" spans="1:3" x14ac:dyDescent="0.25">
      <c r="A172" t="s">
        <v>1660</v>
      </c>
      <c r="B172" t="s">
        <v>1661</v>
      </c>
      <c r="C172" s="7" t="s">
        <v>1662</v>
      </c>
    </row>
    <row r="173" spans="1:3" x14ac:dyDescent="0.25">
      <c r="A173" t="s">
        <v>1663</v>
      </c>
      <c r="B173" t="s">
        <v>1664</v>
      </c>
      <c r="C173" s="7" t="s">
        <v>1665</v>
      </c>
    </row>
    <row r="174" spans="1:3" x14ac:dyDescent="0.25">
      <c r="A174" t="s">
        <v>1666</v>
      </c>
      <c r="B174" t="s">
        <v>1667</v>
      </c>
      <c r="C174" s="7" t="s">
        <v>1668</v>
      </c>
    </row>
    <row r="175" spans="1:3" x14ac:dyDescent="0.25">
      <c r="A175" t="s">
        <v>1669</v>
      </c>
      <c r="B175" t="s">
        <v>1670</v>
      </c>
      <c r="C175" s="7" t="s">
        <v>1671</v>
      </c>
    </row>
    <row r="176" spans="1:3" x14ac:dyDescent="0.25">
      <c r="A176" t="s">
        <v>1672</v>
      </c>
      <c r="B176" t="s">
        <v>1673</v>
      </c>
      <c r="C176" s="7" t="s">
        <v>1674</v>
      </c>
    </row>
    <row r="177" spans="1:3" x14ac:dyDescent="0.25">
      <c r="A177" t="s">
        <v>1675</v>
      </c>
      <c r="B177" t="s">
        <v>544</v>
      </c>
      <c r="C177" s="7" t="s">
        <v>1676</v>
      </c>
    </row>
    <row r="178" spans="1:3" x14ac:dyDescent="0.25">
      <c r="A178" t="s">
        <v>1677</v>
      </c>
      <c r="B178" t="s">
        <v>1678</v>
      </c>
      <c r="C178" s="7" t="s">
        <v>1679</v>
      </c>
    </row>
    <row r="179" spans="1:3" x14ac:dyDescent="0.25">
      <c r="A179" t="s">
        <v>1680</v>
      </c>
      <c r="B179" t="s">
        <v>1681</v>
      </c>
      <c r="C179" s="7" t="s">
        <v>1311</v>
      </c>
    </row>
    <row r="180" spans="1:3" x14ac:dyDescent="0.25">
      <c r="A180" t="s">
        <v>1682</v>
      </c>
      <c r="B180" t="s">
        <v>1683</v>
      </c>
      <c r="C180" s="7" t="s">
        <v>1684</v>
      </c>
    </row>
    <row r="181" spans="1:3" x14ac:dyDescent="0.25">
      <c r="A181" t="s">
        <v>1685</v>
      </c>
      <c r="B181" t="s">
        <v>1686</v>
      </c>
      <c r="C181" s="7" t="s">
        <v>1687</v>
      </c>
    </row>
    <row r="182" spans="1:3" x14ac:dyDescent="0.25">
      <c r="A182" t="s">
        <v>1688</v>
      </c>
      <c r="B182" t="s">
        <v>1689</v>
      </c>
      <c r="C182" s="7" t="s">
        <v>1690</v>
      </c>
    </row>
    <row r="183" spans="1:3" x14ac:dyDescent="0.25">
      <c r="A183" t="s">
        <v>1691</v>
      </c>
      <c r="B183" t="s">
        <v>1692</v>
      </c>
      <c r="C183" s="7" t="s">
        <v>1693</v>
      </c>
    </row>
    <row r="184" spans="1:3" x14ac:dyDescent="0.25">
      <c r="A184" t="s">
        <v>1694</v>
      </c>
      <c r="B184" t="s">
        <v>1695</v>
      </c>
      <c r="C184" s="7" t="s">
        <v>1696</v>
      </c>
    </row>
    <row r="185" spans="1:3" x14ac:dyDescent="0.25">
      <c r="A185" t="s">
        <v>1697</v>
      </c>
      <c r="B185" t="s">
        <v>1698</v>
      </c>
      <c r="C185" s="7" t="s">
        <v>1699</v>
      </c>
    </row>
    <row r="186" spans="1:3" x14ac:dyDescent="0.25">
      <c r="A186" t="s">
        <v>1700</v>
      </c>
      <c r="B186" t="s">
        <v>1701</v>
      </c>
      <c r="C186" s="7" t="s">
        <v>1702</v>
      </c>
    </row>
    <row r="187" spans="1:3" x14ac:dyDescent="0.25">
      <c r="A187" t="s">
        <v>1703</v>
      </c>
      <c r="B187" t="s">
        <v>1704</v>
      </c>
      <c r="C187" s="7" t="s">
        <v>1311</v>
      </c>
    </row>
    <row r="188" spans="1:3" x14ac:dyDescent="0.25">
      <c r="A188" t="s">
        <v>1705</v>
      </c>
      <c r="B188" t="s">
        <v>1706</v>
      </c>
      <c r="C188" s="7" t="s">
        <v>1707</v>
      </c>
    </row>
    <row r="189" spans="1:3" x14ac:dyDescent="0.25">
      <c r="A189" t="s">
        <v>170</v>
      </c>
      <c r="B189" t="s">
        <v>870</v>
      </c>
      <c r="C189" s="7" t="s">
        <v>875</v>
      </c>
    </row>
    <row r="190" spans="1:3" x14ac:dyDescent="0.25">
      <c r="A190" t="s">
        <v>1708</v>
      </c>
      <c r="B190" t="s">
        <v>1709</v>
      </c>
      <c r="C190" s="7" t="s">
        <v>1710</v>
      </c>
    </row>
    <row r="191" spans="1:3" x14ac:dyDescent="0.25">
      <c r="A191" t="s">
        <v>1711</v>
      </c>
      <c r="B191" t="s">
        <v>1712</v>
      </c>
      <c r="C191" s="7" t="s">
        <v>1713</v>
      </c>
    </row>
    <row r="192" spans="1:3" x14ac:dyDescent="0.25">
      <c r="A192" t="s">
        <v>1714</v>
      </c>
      <c r="B192" t="s">
        <v>1715</v>
      </c>
      <c r="C192" s="7" t="s">
        <v>1716</v>
      </c>
    </row>
    <row r="193" spans="1:3" x14ac:dyDescent="0.25">
      <c r="A193" t="s">
        <v>1717</v>
      </c>
      <c r="B193" t="s">
        <v>1718</v>
      </c>
      <c r="C193" s="7" t="s">
        <v>1719</v>
      </c>
    </row>
    <row r="194" spans="1:3" x14ac:dyDescent="0.25">
      <c r="A194" t="s">
        <v>1720</v>
      </c>
      <c r="B194" t="s">
        <v>888</v>
      </c>
      <c r="C194" s="7" t="s">
        <v>1721</v>
      </c>
    </row>
    <row r="195" spans="1:3" x14ac:dyDescent="0.25">
      <c r="A195" t="s">
        <v>1722</v>
      </c>
      <c r="B195" t="s">
        <v>1723</v>
      </c>
      <c r="C195" s="7" t="s">
        <v>1724</v>
      </c>
    </row>
    <row r="196" spans="1:3" x14ac:dyDescent="0.25">
      <c r="A196" t="s">
        <v>1725</v>
      </c>
      <c r="B196" t="s">
        <v>1726</v>
      </c>
      <c r="C196" s="7" t="s">
        <v>1727</v>
      </c>
    </row>
    <row r="197" spans="1:3" x14ac:dyDescent="0.25">
      <c r="A197" t="s">
        <v>1728</v>
      </c>
      <c r="B197" t="s">
        <v>1729</v>
      </c>
      <c r="C197" s="7" t="s">
        <v>1730</v>
      </c>
    </row>
    <row r="198" spans="1:3" x14ac:dyDescent="0.25">
      <c r="A198" t="s">
        <v>1731</v>
      </c>
      <c r="B198" t="s">
        <v>1732</v>
      </c>
      <c r="C198" s="7" t="s">
        <v>1733</v>
      </c>
    </row>
    <row r="199" spans="1:3" x14ac:dyDescent="0.25">
      <c r="A199" t="s">
        <v>1734</v>
      </c>
      <c r="B199" t="s">
        <v>1735</v>
      </c>
      <c r="C199" s="7" t="s">
        <v>1736</v>
      </c>
    </row>
    <row r="200" spans="1:3" x14ac:dyDescent="0.25">
      <c r="A200" t="s">
        <v>1737</v>
      </c>
      <c r="B200" t="s">
        <v>1738</v>
      </c>
      <c r="C200" s="7" t="s">
        <v>1739</v>
      </c>
    </row>
    <row r="201" spans="1:3" x14ac:dyDescent="0.25">
      <c r="A201" t="s">
        <v>1740</v>
      </c>
      <c r="B201" t="s">
        <v>633</v>
      </c>
      <c r="C201" s="7" t="s">
        <v>1741</v>
      </c>
    </row>
    <row r="202" spans="1:3" x14ac:dyDescent="0.25">
      <c r="A202" t="s">
        <v>1742</v>
      </c>
      <c r="B202" t="s">
        <v>1743</v>
      </c>
      <c r="C202" s="7" t="s">
        <v>1744</v>
      </c>
    </row>
    <row r="203" spans="1:3" x14ac:dyDescent="0.25">
      <c r="A203" t="s">
        <v>1745</v>
      </c>
      <c r="B203" t="s">
        <v>1746</v>
      </c>
      <c r="C203" s="7" t="s">
        <v>1747</v>
      </c>
    </row>
    <row r="204" spans="1:3" x14ac:dyDescent="0.25">
      <c r="A204" t="s">
        <v>1748</v>
      </c>
      <c r="B204" t="s">
        <v>1749</v>
      </c>
      <c r="C204" s="7" t="s">
        <v>1750</v>
      </c>
    </row>
    <row r="205" spans="1:3" x14ac:dyDescent="0.25">
      <c r="A205" t="s">
        <v>1751</v>
      </c>
      <c r="B205" t="s">
        <v>40</v>
      </c>
      <c r="C205" s="7" t="s">
        <v>1752</v>
      </c>
    </row>
    <row r="206" spans="1:3" x14ac:dyDescent="0.25">
      <c r="A206" t="s">
        <v>1753</v>
      </c>
      <c r="B206" t="s">
        <v>1754</v>
      </c>
      <c r="C206" s="7" t="s">
        <v>1311</v>
      </c>
    </row>
    <row r="207" spans="1:3" x14ac:dyDescent="0.25">
      <c r="A207" t="s">
        <v>1755</v>
      </c>
      <c r="B207" t="s">
        <v>1756</v>
      </c>
      <c r="C207" s="7" t="s">
        <v>1757</v>
      </c>
    </row>
    <row r="208" spans="1:3" x14ac:dyDescent="0.25">
      <c r="A208" t="s">
        <v>1758</v>
      </c>
      <c r="B208" t="s">
        <v>1759</v>
      </c>
      <c r="C208" s="7" t="s">
        <v>1760</v>
      </c>
    </row>
    <row r="209" spans="1:3" x14ac:dyDescent="0.25">
      <c r="A209" t="s">
        <v>1761</v>
      </c>
      <c r="B209" t="s">
        <v>111</v>
      </c>
      <c r="C209" s="7" t="s">
        <v>1762</v>
      </c>
    </row>
    <row r="210" spans="1:3" x14ac:dyDescent="0.25">
      <c r="A210" t="s">
        <v>1763</v>
      </c>
      <c r="B210" t="s">
        <v>1764</v>
      </c>
      <c r="C210" s="7" t="s">
        <v>1765</v>
      </c>
    </row>
    <row r="211" spans="1:3" x14ac:dyDescent="0.25">
      <c r="A211" t="s">
        <v>1766</v>
      </c>
      <c r="B211" t="s">
        <v>1767</v>
      </c>
      <c r="C211" s="7" t="s">
        <v>1768</v>
      </c>
    </row>
    <row r="212" spans="1:3" x14ac:dyDescent="0.25">
      <c r="A212" t="s">
        <v>1769</v>
      </c>
      <c r="B212" t="s">
        <v>745</v>
      </c>
      <c r="C212" s="7" t="s">
        <v>1770</v>
      </c>
    </row>
    <row r="213" spans="1:3" x14ac:dyDescent="0.25">
      <c r="A213" t="s">
        <v>1771</v>
      </c>
      <c r="B213" t="s">
        <v>1772</v>
      </c>
      <c r="C213" s="7" t="s">
        <v>1773</v>
      </c>
    </row>
    <row r="214" spans="1:3" x14ac:dyDescent="0.25">
      <c r="A214" t="s">
        <v>1774</v>
      </c>
      <c r="B214" t="s">
        <v>1775</v>
      </c>
      <c r="C214" s="7" t="s">
        <v>1776</v>
      </c>
    </row>
    <row r="215" spans="1:3" x14ac:dyDescent="0.25">
      <c r="A215" t="s">
        <v>1777</v>
      </c>
      <c r="B215" t="s">
        <v>1778</v>
      </c>
      <c r="C215" s="7" t="s">
        <v>1779</v>
      </c>
    </row>
    <row r="216" spans="1:3" x14ac:dyDescent="0.25">
      <c r="A216" t="s">
        <v>1780</v>
      </c>
      <c r="B216" t="s">
        <v>1781</v>
      </c>
      <c r="C216" s="7" t="s">
        <v>1782</v>
      </c>
    </row>
    <row r="217" spans="1:3" x14ac:dyDescent="0.25">
      <c r="A217" t="s">
        <v>1783</v>
      </c>
      <c r="B217" t="s">
        <v>1784</v>
      </c>
      <c r="C217" s="7" t="s">
        <v>1785</v>
      </c>
    </row>
    <row r="218" spans="1:3" x14ac:dyDescent="0.25">
      <c r="A218" t="s">
        <v>1786</v>
      </c>
      <c r="B218" t="s">
        <v>1787</v>
      </c>
      <c r="C218" s="7" t="s">
        <v>1788</v>
      </c>
    </row>
    <row r="219" spans="1:3" x14ac:dyDescent="0.25">
      <c r="A219" t="s">
        <v>1789</v>
      </c>
      <c r="B219" t="s">
        <v>1790</v>
      </c>
      <c r="C219" s="7" t="s">
        <v>1791</v>
      </c>
    </row>
    <row r="220" spans="1:3" x14ac:dyDescent="0.25">
      <c r="A220" t="s">
        <v>1792</v>
      </c>
      <c r="B220" t="s">
        <v>1793</v>
      </c>
      <c r="C220" s="7" t="s">
        <v>1794</v>
      </c>
    </row>
    <row r="221" spans="1:3" x14ac:dyDescent="0.25">
      <c r="A221" t="s">
        <v>1795</v>
      </c>
      <c r="B221" t="s">
        <v>1796</v>
      </c>
      <c r="C221" s="7" t="s">
        <v>1797</v>
      </c>
    </row>
    <row r="222" spans="1:3" x14ac:dyDescent="0.25">
      <c r="A222" t="s">
        <v>1798</v>
      </c>
      <c r="B222" t="s">
        <v>1799</v>
      </c>
      <c r="C222" s="7" t="s">
        <v>1800</v>
      </c>
    </row>
    <row r="223" spans="1:3" x14ac:dyDescent="0.25">
      <c r="A223" t="s">
        <v>1801</v>
      </c>
      <c r="B223" t="s">
        <v>1802</v>
      </c>
      <c r="C223" s="7" t="s">
        <v>1803</v>
      </c>
    </row>
    <row r="224" spans="1:3" x14ac:dyDescent="0.25">
      <c r="A224" t="s">
        <v>1804</v>
      </c>
      <c r="B224" t="s">
        <v>1805</v>
      </c>
      <c r="C224" s="7" t="s">
        <v>1806</v>
      </c>
    </row>
    <row r="225" spans="1:3" x14ac:dyDescent="0.25">
      <c r="A225" t="s">
        <v>1807</v>
      </c>
      <c r="B225" t="s">
        <v>1808</v>
      </c>
      <c r="C225" s="7" t="s">
        <v>1809</v>
      </c>
    </row>
    <row r="226" spans="1:3" x14ac:dyDescent="0.25">
      <c r="A226" t="s">
        <v>1810</v>
      </c>
      <c r="B226" t="s">
        <v>1811</v>
      </c>
      <c r="C226" s="7" t="s">
        <v>1812</v>
      </c>
    </row>
    <row r="227" spans="1:3" x14ac:dyDescent="0.25">
      <c r="A227" t="s">
        <v>1813</v>
      </c>
      <c r="B227" t="s">
        <v>1814</v>
      </c>
      <c r="C227" s="7" t="s">
        <v>1815</v>
      </c>
    </row>
    <row r="228" spans="1:3" x14ac:dyDescent="0.25">
      <c r="A228" t="s">
        <v>1816</v>
      </c>
      <c r="B228" t="s">
        <v>1817</v>
      </c>
      <c r="C228" s="7" t="s">
        <v>1818</v>
      </c>
    </row>
    <row r="229" spans="1:3" x14ac:dyDescent="0.25">
      <c r="A229" t="s">
        <v>892</v>
      </c>
      <c r="B229" t="s">
        <v>1819</v>
      </c>
      <c r="C229" s="7" t="s">
        <v>1820</v>
      </c>
    </row>
    <row r="230" spans="1:3" x14ac:dyDescent="0.25">
      <c r="A230" t="s">
        <v>1821</v>
      </c>
      <c r="B230" t="s">
        <v>1822</v>
      </c>
      <c r="C230" s="7" t="s">
        <v>1823</v>
      </c>
    </row>
    <row r="231" spans="1:3" x14ac:dyDescent="0.25">
      <c r="A231" t="s">
        <v>1824</v>
      </c>
      <c r="B231" t="s">
        <v>1825</v>
      </c>
      <c r="C231" s="7" t="s">
        <v>1826</v>
      </c>
    </row>
    <row r="232" spans="1:3" x14ac:dyDescent="0.25">
      <c r="A232" t="s">
        <v>1827</v>
      </c>
      <c r="B232" t="s">
        <v>1828</v>
      </c>
      <c r="C232" s="7" t="s">
        <v>1829</v>
      </c>
    </row>
    <row r="233" spans="1:3" x14ac:dyDescent="0.25">
      <c r="A233" t="s">
        <v>1830</v>
      </c>
      <c r="B233" t="s">
        <v>1831</v>
      </c>
      <c r="C233" s="7" t="s">
        <v>1832</v>
      </c>
    </row>
    <row r="234" spans="1:3" x14ac:dyDescent="0.25">
      <c r="A234" t="s">
        <v>1833</v>
      </c>
      <c r="B234" t="s">
        <v>1834</v>
      </c>
      <c r="C234" s="7" t="s">
        <v>1835</v>
      </c>
    </row>
    <row r="235" spans="1:3" x14ac:dyDescent="0.25">
      <c r="A235" t="s">
        <v>1836</v>
      </c>
      <c r="B235" t="s">
        <v>1825</v>
      </c>
      <c r="C235" s="7" t="s">
        <v>1837</v>
      </c>
    </row>
    <row r="236" spans="1:3" x14ac:dyDescent="0.25">
      <c r="A236" t="s">
        <v>1838</v>
      </c>
      <c r="B236" t="s">
        <v>1839</v>
      </c>
      <c r="C236" s="7" t="s">
        <v>1840</v>
      </c>
    </row>
    <row r="237" spans="1:3" x14ac:dyDescent="0.25">
      <c r="A237" t="s">
        <v>1841</v>
      </c>
      <c r="B237" t="s">
        <v>1121</v>
      </c>
      <c r="C237" s="36" t="s">
        <v>1842</v>
      </c>
    </row>
    <row r="238" spans="1:3" x14ac:dyDescent="0.25">
      <c r="A238" t="s">
        <v>1843</v>
      </c>
      <c r="B238" t="s">
        <v>1844</v>
      </c>
      <c r="C238" s="7" t="s">
        <v>1845</v>
      </c>
    </row>
    <row r="239" spans="1:3" x14ac:dyDescent="0.25">
      <c r="A239" t="s">
        <v>1846</v>
      </c>
      <c r="B239" t="s">
        <v>1847</v>
      </c>
      <c r="C239" s="7" t="s">
        <v>1848</v>
      </c>
    </row>
    <row r="240" spans="1:3" x14ac:dyDescent="0.25">
      <c r="A240" t="s">
        <v>1849</v>
      </c>
      <c r="B240" t="s">
        <v>1850</v>
      </c>
      <c r="C240" s="7" t="s">
        <v>1851</v>
      </c>
    </row>
    <row r="241" spans="1:3" x14ac:dyDescent="0.25">
      <c r="A241" t="s">
        <v>1852</v>
      </c>
      <c r="B241" t="s">
        <v>1853</v>
      </c>
      <c r="C241" s="7" t="s">
        <v>1506</v>
      </c>
    </row>
    <row r="242" spans="1:3" x14ac:dyDescent="0.25">
      <c r="A242" t="s">
        <v>1854</v>
      </c>
      <c r="B242" t="s">
        <v>1855</v>
      </c>
      <c r="C242" s="7" t="s">
        <v>1856</v>
      </c>
    </row>
    <row r="243" spans="1:3" x14ac:dyDescent="0.25">
      <c r="A243" t="s">
        <v>1857</v>
      </c>
      <c r="B243" t="s">
        <v>1858</v>
      </c>
      <c r="C243" s="7" t="s">
        <v>1859</v>
      </c>
    </row>
    <row r="244" spans="1:3" x14ac:dyDescent="0.25">
      <c r="A244" t="s">
        <v>1860</v>
      </c>
      <c r="B244" t="s">
        <v>1861</v>
      </c>
      <c r="C244" s="7" t="s">
        <v>1862</v>
      </c>
    </row>
    <row r="245" spans="1:3" x14ac:dyDescent="0.25">
      <c r="A245" t="s">
        <v>1003</v>
      </c>
      <c r="B245" t="s">
        <v>1863</v>
      </c>
      <c r="C245" s="7" t="s">
        <v>1864</v>
      </c>
    </row>
    <row r="246" spans="1:3" x14ac:dyDescent="0.25">
      <c r="A246" t="s">
        <v>1865</v>
      </c>
      <c r="B246" t="s">
        <v>1866</v>
      </c>
      <c r="C246" s="7" t="s">
        <v>1867</v>
      </c>
    </row>
    <row r="247" spans="1:3" x14ac:dyDescent="0.25">
      <c r="A247" t="s">
        <v>1868</v>
      </c>
      <c r="B247" t="s">
        <v>1869</v>
      </c>
      <c r="C247" s="7" t="s">
        <v>1870</v>
      </c>
    </row>
    <row r="248" spans="1:3" x14ac:dyDescent="0.25">
      <c r="A248" t="s">
        <v>1871</v>
      </c>
      <c r="B248" t="s">
        <v>1872</v>
      </c>
      <c r="C248" s="7" t="s">
        <v>1873</v>
      </c>
    </row>
    <row r="249" spans="1:3" x14ac:dyDescent="0.25">
      <c r="A249" t="s">
        <v>1874</v>
      </c>
      <c r="B249" t="s">
        <v>1875</v>
      </c>
      <c r="C249" s="7" t="s">
        <v>1876</v>
      </c>
    </row>
    <row r="250" spans="1:3" x14ac:dyDescent="0.25">
      <c r="A250" t="s">
        <v>1877</v>
      </c>
      <c r="B250" t="s">
        <v>1878</v>
      </c>
      <c r="C250" s="7" t="s">
        <v>1879</v>
      </c>
    </row>
    <row r="251" spans="1:3" x14ac:dyDescent="0.25">
      <c r="A251" t="s">
        <v>1880</v>
      </c>
      <c r="B251" t="s">
        <v>1881</v>
      </c>
      <c r="C251" s="7" t="s">
        <v>1882</v>
      </c>
    </row>
    <row r="252" spans="1:3" x14ac:dyDescent="0.25">
      <c r="A252" t="s">
        <v>1883</v>
      </c>
      <c r="B252" t="s">
        <v>1884</v>
      </c>
      <c r="C252" s="7" t="s">
        <v>1885</v>
      </c>
    </row>
    <row r="253" spans="1:3" x14ac:dyDescent="0.25">
      <c r="A253" t="s">
        <v>1886</v>
      </c>
      <c r="B253" t="s">
        <v>1887</v>
      </c>
      <c r="C253" s="7" t="s">
        <v>1888</v>
      </c>
    </row>
    <row r="254" spans="1:3" x14ac:dyDescent="0.25">
      <c r="A254" t="s">
        <v>1889</v>
      </c>
      <c r="B254" t="s">
        <v>1890</v>
      </c>
      <c r="C254" s="7" t="s">
        <v>1891</v>
      </c>
    </row>
    <row r="255" spans="1:3" x14ac:dyDescent="0.25">
      <c r="A255" t="s">
        <v>1892</v>
      </c>
      <c r="B255" t="s">
        <v>1893</v>
      </c>
      <c r="C255" s="7" t="s">
        <v>1894</v>
      </c>
    </row>
    <row r="256" spans="1:3" x14ac:dyDescent="0.25">
      <c r="A256" t="s">
        <v>1895</v>
      </c>
      <c r="B256" t="s">
        <v>1896</v>
      </c>
      <c r="C256" s="7" t="s">
        <v>1897</v>
      </c>
    </row>
    <row r="257" spans="1:3" x14ac:dyDescent="0.25">
      <c r="A257" t="s">
        <v>1898</v>
      </c>
      <c r="B257" t="s">
        <v>1899</v>
      </c>
      <c r="C257" s="7" t="s">
        <v>1900</v>
      </c>
    </row>
    <row r="258" spans="1:3" x14ac:dyDescent="0.25">
      <c r="A258" t="s">
        <v>1901</v>
      </c>
      <c r="B258" t="s">
        <v>1902</v>
      </c>
      <c r="C258" s="7" t="s">
        <v>1903</v>
      </c>
    </row>
    <row r="259" spans="1:3" x14ac:dyDescent="0.25">
      <c r="A259" t="s">
        <v>1904</v>
      </c>
      <c r="B259" t="s">
        <v>1905</v>
      </c>
      <c r="C259" s="7" t="s">
        <v>1906</v>
      </c>
    </row>
    <row r="260" spans="1:3" x14ac:dyDescent="0.25">
      <c r="A260" t="s">
        <v>1907</v>
      </c>
      <c r="B260" t="s">
        <v>1908</v>
      </c>
      <c r="C260" s="7" t="s">
        <v>1909</v>
      </c>
    </row>
    <row r="261" spans="1:3" x14ac:dyDescent="0.25">
      <c r="A261" t="s">
        <v>1910</v>
      </c>
      <c r="B261" t="s">
        <v>1911</v>
      </c>
      <c r="C261" s="7" t="s">
        <v>1912</v>
      </c>
    </row>
    <row r="262" spans="1:3" x14ac:dyDescent="0.25">
      <c r="A262" t="s">
        <v>1913</v>
      </c>
      <c r="B262" t="s">
        <v>1914</v>
      </c>
      <c r="C262" s="7" t="s">
        <v>1915</v>
      </c>
    </row>
    <row r="263" spans="1:3" x14ac:dyDescent="0.25">
      <c r="A263" t="s">
        <v>1916</v>
      </c>
      <c r="B263" t="s">
        <v>1917</v>
      </c>
      <c r="C263" s="7" t="s">
        <v>1918</v>
      </c>
    </row>
    <row r="264" spans="1:3" x14ac:dyDescent="0.25">
      <c r="A264" t="s">
        <v>1919</v>
      </c>
      <c r="B264" t="s">
        <v>1920</v>
      </c>
      <c r="C264" s="7" t="s">
        <v>1921</v>
      </c>
    </row>
    <row r="265" spans="1:3" x14ac:dyDescent="0.25">
      <c r="A265" t="s">
        <v>1922</v>
      </c>
      <c r="B265" t="s">
        <v>1923</v>
      </c>
      <c r="C265" s="7" t="s">
        <v>1924</v>
      </c>
    </row>
    <row r="266" spans="1:3" x14ac:dyDescent="0.25">
      <c r="A266" t="s">
        <v>1925</v>
      </c>
      <c r="B266" t="s">
        <v>1926</v>
      </c>
      <c r="C266" s="7" t="s">
        <v>1927</v>
      </c>
    </row>
    <row r="267" spans="1:3" x14ac:dyDescent="0.25">
      <c r="A267" t="s">
        <v>1928</v>
      </c>
      <c r="B267" t="s">
        <v>1929</v>
      </c>
      <c r="C267" s="7" t="s">
        <v>1930</v>
      </c>
    </row>
    <row r="268" spans="1:3" x14ac:dyDescent="0.25">
      <c r="A268" t="s">
        <v>1931</v>
      </c>
      <c r="B268" t="s">
        <v>280</v>
      </c>
      <c r="C268" s="7" t="s">
        <v>1598</v>
      </c>
    </row>
    <row r="269" spans="1:3" x14ac:dyDescent="0.25">
      <c r="A269" t="s">
        <v>1932</v>
      </c>
      <c r="B269" t="s">
        <v>1933</v>
      </c>
      <c r="C269" s="7" t="s">
        <v>1934</v>
      </c>
    </row>
    <row r="270" spans="1:3" x14ac:dyDescent="0.25">
      <c r="A270" t="s">
        <v>1935</v>
      </c>
      <c r="B270" t="s">
        <v>1936</v>
      </c>
      <c r="C270" s="7" t="s">
        <v>1937</v>
      </c>
    </row>
    <row r="271" spans="1:3" x14ac:dyDescent="0.25">
      <c r="A271" t="s">
        <v>70</v>
      </c>
      <c r="B271" t="s">
        <v>1938</v>
      </c>
      <c r="C271" s="7" t="s">
        <v>1174</v>
      </c>
    </row>
    <row r="272" spans="1:3" x14ac:dyDescent="0.25">
      <c r="A272" t="s">
        <v>1939</v>
      </c>
      <c r="B272" t="s">
        <v>1940</v>
      </c>
      <c r="C272" s="7" t="s">
        <v>1941</v>
      </c>
    </row>
    <row r="273" spans="1:3" x14ac:dyDescent="0.25">
      <c r="A273" t="s">
        <v>1942</v>
      </c>
      <c r="B273" t="s">
        <v>1943</v>
      </c>
      <c r="C273" s="7" t="s">
        <v>1944</v>
      </c>
    </row>
    <row r="274" spans="1:3" x14ac:dyDescent="0.25">
      <c r="A274" t="s">
        <v>1945</v>
      </c>
      <c r="B274" t="s">
        <v>1946</v>
      </c>
      <c r="C274" s="7" t="s">
        <v>1947</v>
      </c>
    </row>
    <row r="275" spans="1:3" x14ac:dyDescent="0.25">
      <c r="A275" t="s">
        <v>1948</v>
      </c>
      <c r="B275" t="s">
        <v>1949</v>
      </c>
      <c r="C275" s="7" t="s">
        <v>1950</v>
      </c>
    </row>
    <row r="276" spans="1:3" x14ac:dyDescent="0.25">
      <c r="A276" t="s">
        <v>1951</v>
      </c>
      <c r="B276" t="s">
        <v>1952</v>
      </c>
      <c r="C276" s="7" t="s">
        <v>1953</v>
      </c>
    </row>
    <row r="277" spans="1:3" x14ac:dyDescent="0.25">
      <c r="A277" t="s">
        <v>371</v>
      </c>
      <c r="B277" t="s">
        <v>1954</v>
      </c>
      <c r="C277" s="7" t="s">
        <v>1955</v>
      </c>
    </row>
    <row r="278" spans="1:3" x14ac:dyDescent="0.25">
      <c r="A278" t="s">
        <v>1956</v>
      </c>
      <c r="B278" t="s">
        <v>1957</v>
      </c>
      <c r="C278" s="7" t="s">
        <v>1613</v>
      </c>
    </row>
    <row r="279" spans="1:3" x14ac:dyDescent="0.25">
      <c r="A279" t="s">
        <v>1958</v>
      </c>
      <c r="B279" t="s">
        <v>1959</v>
      </c>
      <c r="C279" s="7" t="s">
        <v>1960</v>
      </c>
    </row>
    <row r="280" spans="1:3" x14ac:dyDescent="0.25">
      <c r="A280" t="s">
        <v>1961</v>
      </c>
      <c r="B280" t="s">
        <v>1962</v>
      </c>
      <c r="C280" s="7" t="s">
        <v>1963</v>
      </c>
    </row>
    <row r="281" spans="1:3" x14ac:dyDescent="0.25">
      <c r="A281" t="s">
        <v>1964</v>
      </c>
      <c r="B281" t="s">
        <v>1965</v>
      </c>
      <c r="C281" s="7" t="s">
        <v>1966</v>
      </c>
    </row>
    <row r="282" spans="1:3" x14ac:dyDescent="0.25">
      <c r="A282" t="s">
        <v>1967</v>
      </c>
      <c r="B282" t="s">
        <v>338</v>
      </c>
      <c r="C282" s="7" t="s">
        <v>1968</v>
      </c>
    </row>
    <row r="283" spans="1:3" x14ac:dyDescent="0.25">
      <c r="A283" t="s">
        <v>1969</v>
      </c>
      <c r="B283" t="s">
        <v>1970</v>
      </c>
      <c r="C283" s="7" t="s">
        <v>1971</v>
      </c>
    </row>
    <row r="284" spans="1:3" x14ac:dyDescent="0.25">
      <c r="A284" t="s">
        <v>1972</v>
      </c>
      <c r="B284" t="s">
        <v>1973</v>
      </c>
      <c r="C284" s="7" t="s">
        <v>1974</v>
      </c>
    </row>
    <row r="285" spans="1:3" x14ac:dyDescent="0.25">
      <c r="A285" t="s">
        <v>1975</v>
      </c>
      <c r="B285" t="s">
        <v>1976</v>
      </c>
      <c r="C285" s="7" t="s">
        <v>1977</v>
      </c>
    </row>
    <row r="286" spans="1:3" x14ac:dyDescent="0.25">
      <c r="A286" t="s">
        <v>1978</v>
      </c>
      <c r="B286" t="s">
        <v>1979</v>
      </c>
      <c r="C286" s="7" t="s">
        <v>1980</v>
      </c>
    </row>
    <row r="287" spans="1:3" x14ac:dyDescent="0.25">
      <c r="A287" t="s">
        <v>1981</v>
      </c>
      <c r="B287" t="s">
        <v>1982</v>
      </c>
      <c r="C287" s="7" t="s">
        <v>1983</v>
      </c>
    </row>
    <row r="288" spans="1:3" x14ac:dyDescent="0.25">
      <c r="A288" t="s">
        <v>1984</v>
      </c>
      <c r="B288" t="s">
        <v>1985</v>
      </c>
      <c r="C288" s="7" t="s">
        <v>1986</v>
      </c>
    </row>
    <row r="289" spans="1:3" x14ac:dyDescent="0.25">
      <c r="A289" t="s">
        <v>1987</v>
      </c>
      <c r="B289" t="s">
        <v>1988</v>
      </c>
      <c r="C289" s="7" t="s">
        <v>1989</v>
      </c>
    </row>
    <row r="290" spans="1:3" x14ac:dyDescent="0.25">
      <c r="A290" t="s">
        <v>1990</v>
      </c>
      <c r="B290" t="s">
        <v>722</v>
      </c>
      <c r="C290" s="7" t="s">
        <v>1991</v>
      </c>
    </row>
    <row r="291" spans="1:3" x14ac:dyDescent="0.25">
      <c r="A291" t="s">
        <v>1992</v>
      </c>
      <c r="B291" t="s">
        <v>1993</v>
      </c>
      <c r="C291" s="7" t="s">
        <v>1994</v>
      </c>
    </row>
    <row r="292" spans="1:3" x14ac:dyDescent="0.25">
      <c r="A292" t="s">
        <v>1995</v>
      </c>
      <c r="B292" t="s">
        <v>1996</v>
      </c>
      <c r="C292" s="7" t="s">
        <v>1997</v>
      </c>
    </row>
    <row r="293" spans="1:3" x14ac:dyDescent="0.25">
      <c r="A293" t="s">
        <v>1998</v>
      </c>
      <c r="B293" t="s">
        <v>1999</v>
      </c>
      <c r="C293" s="7" t="s">
        <v>2000</v>
      </c>
    </row>
    <row r="294" spans="1:3" x14ac:dyDescent="0.25">
      <c r="A294" t="s">
        <v>2001</v>
      </c>
      <c r="B294" t="s">
        <v>2002</v>
      </c>
      <c r="C294" s="7" t="s">
        <v>2003</v>
      </c>
    </row>
    <row r="295" spans="1:3" x14ac:dyDescent="0.25">
      <c r="A295" t="s">
        <v>2004</v>
      </c>
      <c r="B295" t="s">
        <v>2005</v>
      </c>
      <c r="C295" s="7" t="s">
        <v>2006</v>
      </c>
    </row>
    <row r="296" spans="1:3" x14ac:dyDescent="0.25">
      <c r="A296" t="s">
        <v>2007</v>
      </c>
      <c r="B296" t="s">
        <v>2008</v>
      </c>
      <c r="C296" s="7" t="s">
        <v>2009</v>
      </c>
    </row>
    <row r="297" spans="1:3" x14ac:dyDescent="0.25">
      <c r="A297" t="s">
        <v>2010</v>
      </c>
      <c r="B297" t="s">
        <v>2011</v>
      </c>
      <c r="C297" s="7" t="s">
        <v>2012</v>
      </c>
    </row>
    <row r="298" spans="1:3" x14ac:dyDescent="0.25">
      <c r="A298" t="s">
        <v>2013</v>
      </c>
      <c r="B298" t="s">
        <v>316</v>
      </c>
      <c r="C298" s="7" t="s">
        <v>2014</v>
      </c>
    </row>
    <row r="299" spans="1:3" x14ac:dyDescent="0.25">
      <c r="A299" t="s">
        <v>2015</v>
      </c>
      <c r="B299" t="s">
        <v>2016</v>
      </c>
      <c r="C299" s="7" t="s">
        <v>2017</v>
      </c>
    </row>
    <row r="300" spans="1:3" x14ac:dyDescent="0.25">
      <c r="A300" t="s">
        <v>2018</v>
      </c>
      <c r="B300" t="s">
        <v>772</v>
      </c>
      <c r="C300" s="7" t="s">
        <v>2019</v>
      </c>
    </row>
    <row r="301" spans="1:3" x14ac:dyDescent="0.25">
      <c r="A301" t="s">
        <v>2020</v>
      </c>
      <c r="B301" t="s">
        <v>2021</v>
      </c>
      <c r="C301" s="7" t="s">
        <v>2022</v>
      </c>
    </row>
    <row r="302" spans="1:3" x14ac:dyDescent="0.25">
      <c r="A302" t="s">
        <v>2023</v>
      </c>
      <c r="B302" t="s">
        <v>2024</v>
      </c>
      <c r="C302" s="7" t="s">
        <v>2025</v>
      </c>
    </row>
    <row r="303" spans="1:3" x14ac:dyDescent="0.25">
      <c r="A303" t="s">
        <v>2026</v>
      </c>
      <c r="B303" t="s">
        <v>2027</v>
      </c>
      <c r="C303" s="7" t="s">
        <v>2028</v>
      </c>
    </row>
    <row r="304" spans="1:3" x14ac:dyDescent="0.25">
      <c r="A304" t="s">
        <v>2029</v>
      </c>
      <c r="B304" t="s">
        <v>2030</v>
      </c>
      <c r="C304" s="7" t="s">
        <v>2031</v>
      </c>
    </row>
    <row r="305" spans="1:3" x14ac:dyDescent="0.25">
      <c r="A305" t="s">
        <v>2032</v>
      </c>
      <c r="B305" t="s">
        <v>2033</v>
      </c>
      <c r="C305" s="7" t="s">
        <v>2034</v>
      </c>
    </row>
    <row r="306" spans="1:3" x14ac:dyDescent="0.25">
      <c r="A306" t="s">
        <v>2035</v>
      </c>
      <c r="B306" t="s">
        <v>2036</v>
      </c>
      <c r="C306" s="7" t="s">
        <v>2037</v>
      </c>
    </row>
    <row r="307" spans="1:3" x14ac:dyDescent="0.25">
      <c r="A307" t="s">
        <v>2038</v>
      </c>
      <c r="B307" t="s">
        <v>2039</v>
      </c>
      <c r="C307" s="7" t="s">
        <v>2040</v>
      </c>
    </row>
    <row r="308" spans="1:3" x14ac:dyDescent="0.25">
      <c r="A308" t="s">
        <v>2041</v>
      </c>
      <c r="B308" t="s">
        <v>2042</v>
      </c>
      <c r="C308" s="7" t="s">
        <v>2043</v>
      </c>
    </row>
    <row r="309" spans="1:3" x14ac:dyDescent="0.25">
      <c r="A309" t="s">
        <v>2044</v>
      </c>
      <c r="B309" t="s">
        <v>2045</v>
      </c>
      <c r="C309" s="7" t="s">
        <v>2046</v>
      </c>
    </row>
    <row r="310" spans="1:3" x14ac:dyDescent="0.25">
      <c r="A310" t="s">
        <v>2047</v>
      </c>
      <c r="B310" t="s">
        <v>2048</v>
      </c>
      <c r="C310" s="7" t="s">
        <v>2049</v>
      </c>
    </row>
    <row r="311" spans="1:3" x14ac:dyDescent="0.25">
      <c r="A311" t="s">
        <v>2050</v>
      </c>
      <c r="B311" t="s">
        <v>2051</v>
      </c>
      <c r="C311" s="7" t="s">
        <v>2052</v>
      </c>
    </row>
    <row r="312" spans="1:3" x14ac:dyDescent="0.25">
      <c r="A312" t="s">
        <v>2053</v>
      </c>
      <c r="B312" t="s">
        <v>2054</v>
      </c>
      <c r="C312" s="7" t="s">
        <v>2055</v>
      </c>
    </row>
    <row r="313" spans="1:3" x14ac:dyDescent="0.25">
      <c r="A313" t="s">
        <v>2056</v>
      </c>
      <c r="B313" t="s">
        <v>2057</v>
      </c>
      <c r="C313" s="7" t="s">
        <v>2058</v>
      </c>
    </row>
    <row r="314" spans="1:3" x14ac:dyDescent="0.25">
      <c r="A314" t="s">
        <v>2059</v>
      </c>
      <c r="B314" t="s">
        <v>2060</v>
      </c>
      <c r="C314" s="7" t="s">
        <v>2061</v>
      </c>
    </row>
    <row r="315" spans="1:3" x14ac:dyDescent="0.25">
      <c r="A315" t="s">
        <v>2062</v>
      </c>
      <c r="B315" t="s">
        <v>2063</v>
      </c>
      <c r="C315" s="7" t="s">
        <v>2064</v>
      </c>
    </row>
    <row r="316" spans="1:3" x14ac:dyDescent="0.25">
      <c r="A316" t="s">
        <v>594</v>
      </c>
      <c r="B316" t="s">
        <v>2065</v>
      </c>
      <c r="C316" s="7" t="s">
        <v>2066</v>
      </c>
    </row>
    <row r="317" spans="1:3" x14ac:dyDescent="0.25">
      <c r="A317" t="s">
        <v>2067</v>
      </c>
      <c r="B317" t="s">
        <v>2068</v>
      </c>
      <c r="C317" s="7" t="s">
        <v>2069</v>
      </c>
    </row>
    <row r="318" spans="1:3" x14ac:dyDescent="0.25">
      <c r="A318" t="s">
        <v>2070</v>
      </c>
      <c r="B318" t="s">
        <v>537</v>
      </c>
      <c r="C318" s="7" t="s">
        <v>2071</v>
      </c>
    </row>
    <row r="319" spans="1:3" x14ac:dyDescent="0.25">
      <c r="A319" t="s">
        <v>2072</v>
      </c>
      <c r="B319" t="s">
        <v>2073</v>
      </c>
      <c r="C319" s="7" t="s">
        <v>2074</v>
      </c>
    </row>
    <row r="320" spans="1:3" x14ac:dyDescent="0.25">
      <c r="A320" t="s">
        <v>2075</v>
      </c>
      <c r="B320" t="s">
        <v>2076</v>
      </c>
      <c r="C320" s="7" t="s">
        <v>2077</v>
      </c>
    </row>
    <row r="321" spans="1:3" x14ac:dyDescent="0.25">
      <c r="A321" t="s">
        <v>2078</v>
      </c>
      <c r="B321" t="s">
        <v>2079</v>
      </c>
      <c r="C321" s="7" t="s">
        <v>2080</v>
      </c>
    </row>
    <row r="322" spans="1:3" x14ac:dyDescent="0.25">
      <c r="A322" t="s">
        <v>2081</v>
      </c>
      <c r="B322" t="s">
        <v>2082</v>
      </c>
      <c r="C322" s="7" t="s">
        <v>2083</v>
      </c>
    </row>
    <row r="323" spans="1:3" x14ac:dyDescent="0.25">
      <c r="A323" t="s">
        <v>2084</v>
      </c>
      <c r="B323" t="s">
        <v>2085</v>
      </c>
      <c r="C323" s="7" t="s">
        <v>2086</v>
      </c>
    </row>
    <row r="324" spans="1:3" x14ac:dyDescent="0.25">
      <c r="A324" t="s">
        <v>2087</v>
      </c>
      <c r="B324" t="s">
        <v>2088</v>
      </c>
      <c r="C324" s="7" t="s">
        <v>1809</v>
      </c>
    </row>
    <row r="325" spans="1:3" x14ac:dyDescent="0.25">
      <c r="A325" t="s">
        <v>2089</v>
      </c>
      <c r="B325" t="s">
        <v>2090</v>
      </c>
      <c r="C325" s="7" t="s">
        <v>2091</v>
      </c>
    </row>
    <row r="326" spans="1:3" x14ac:dyDescent="0.25">
      <c r="A326" t="s">
        <v>2092</v>
      </c>
      <c r="B326" t="s">
        <v>226</v>
      </c>
      <c r="C326" s="7" t="s">
        <v>2093</v>
      </c>
    </row>
    <row r="327" spans="1:3" x14ac:dyDescent="0.25">
      <c r="A327" t="s">
        <v>2094</v>
      </c>
      <c r="B327" t="s">
        <v>154</v>
      </c>
      <c r="C327" s="7" t="s">
        <v>2095</v>
      </c>
    </row>
    <row r="328" spans="1:3" x14ac:dyDescent="0.25">
      <c r="A328" t="s">
        <v>773</v>
      </c>
      <c r="B328" t="s">
        <v>179</v>
      </c>
      <c r="C328" s="7" t="s">
        <v>684</v>
      </c>
    </row>
    <row r="329" spans="1:3" x14ac:dyDescent="0.25">
      <c r="A329" t="s">
        <v>2096</v>
      </c>
      <c r="B329" t="s">
        <v>2097</v>
      </c>
      <c r="C329" s="7" t="s">
        <v>2098</v>
      </c>
    </row>
    <row r="330" spans="1:3" x14ac:dyDescent="0.25">
      <c r="A330" t="s">
        <v>2099</v>
      </c>
      <c r="B330" t="s">
        <v>2100</v>
      </c>
      <c r="C330" s="7" t="s">
        <v>2101</v>
      </c>
    </row>
    <row r="331" spans="1:3" x14ac:dyDescent="0.25">
      <c r="A331" t="s">
        <v>2102</v>
      </c>
      <c r="B331" t="s">
        <v>2103</v>
      </c>
      <c r="C331" s="7" t="s">
        <v>2104</v>
      </c>
    </row>
    <row r="332" spans="1:3" x14ac:dyDescent="0.25">
      <c r="A332" t="s">
        <v>2105</v>
      </c>
      <c r="B332" t="s">
        <v>2106</v>
      </c>
      <c r="C332" s="7" t="s">
        <v>2107</v>
      </c>
    </row>
    <row r="333" spans="1:3" x14ac:dyDescent="0.25">
      <c r="A333" t="s">
        <v>2108</v>
      </c>
      <c r="B333" t="s">
        <v>2109</v>
      </c>
      <c r="C333" s="7" t="s">
        <v>2110</v>
      </c>
    </row>
    <row r="334" spans="1:3" x14ac:dyDescent="0.25">
      <c r="A334" t="s">
        <v>907</v>
      </c>
      <c r="B334" t="s">
        <v>297</v>
      </c>
      <c r="C334" s="7" t="s">
        <v>2111</v>
      </c>
    </row>
  </sheetData>
  <sheetProtection sheet="1" objects="1" scenarios="1"/>
  <mergeCells count="1">
    <mergeCell ref="A1:C1"/>
  </mergeCells>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4"/>
  <sheetViews>
    <sheetView workbookViewId="0">
      <selection activeCell="B10" sqref="B10"/>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x14ac:dyDescent="0.25">
      <c r="A1" t="s">
        <v>2112</v>
      </c>
      <c r="B1" s="1" t="s">
        <v>32</v>
      </c>
      <c r="C1" s="2" t="s">
        <v>2113</v>
      </c>
      <c r="D1" s="3">
        <v>1</v>
      </c>
      <c r="E1" s="4" t="s">
        <v>38</v>
      </c>
      <c r="F1" s="5" t="s">
        <v>2114</v>
      </c>
      <c r="G1" s="4">
        <v>1</v>
      </c>
      <c r="H1" s="4" t="s">
        <v>2115</v>
      </c>
    </row>
    <row r="2" spans="1:8" x14ac:dyDescent="0.25">
      <c r="A2" s="2" t="s">
        <v>2116</v>
      </c>
      <c r="B2" s="1" t="s">
        <v>2117</v>
      </c>
      <c r="C2" s="2" t="s">
        <v>2118</v>
      </c>
      <c r="D2" s="3">
        <v>2</v>
      </c>
      <c r="E2" s="4" t="s">
        <v>177</v>
      </c>
      <c r="F2" s="5" t="s">
        <v>2119</v>
      </c>
      <c r="G2" s="4">
        <v>2</v>
      </c>
      <c r="H2" s="4" t="s">
        <v>43</v>
      </c>
    </row>
    <row r="3" spans="1:8" x14ac:dyDescent="0.25">
      <c r="A3" s="2" t="s">
        <v>2120</v>
      </c>
      <c r="B3" s="2" t="s">
        <v>363</v>
      </c>
      <c r="C3" s="2" t="s">
        <v>2121</v>
      </c>
      <c r="D3" s="3">
        <v>3</v>
      </c>
      <c r="E3" s="4" t="s">
        <v>34</v>
      </c>
      <c r="F3" s="5" t="s">
        <v>2122</v>
      </c>
      <c r="G3" s="4">
        <v>3</v>
      </c>
      <c r="H3" s="4" t="s">
        <v>2123</v>
      </c>
    </row>
    <row r="4" spans="1:8" x14ac:dyDescent="0.25">
      <c r="A4" s="2" t="s">
        <v>1176</v>
      </c>
      <c r="B4" s="2" t="s">
        <v>963</v>
      </c>
      <c r="C4" s="2" t="s">
        <v>2124</v>
      </c>
      <c r="D4" s="3">
        <v>4</v>
      </c>
      <c r="E4" s="4"/>
      <c r="F4" s="5" t="s">
        <v>2125</v>
      </c>
      <c r="G4" s="4">
        <v>4</v>
      </c>
      <c r="H4" s="4" t="s">
        <v>340</v>
      </c>
    </row>
    <row r="5" spans="1:8" x14ac:dyDescent="0.25">
      <c r="A5" s="2" t="s">
        <v>434</v>
      </c>
      <c r="B5" s="2" t="s">
        <v>575</v>
      </c>
      <c r="C5" s="2" t="s">
        <v>33</v>
      </c>
      <c r="D5" s="3">
        <v>5</v>
      </c>
      <c r="E5" s="4"/>
      <c r="F5" s="5" t="s">
        <v>2126</v>
      </c>
      <c r="G5" s="4">
        <v>5</v>
      </c>
      <c r="H5" s="4" t="s">
        <v>2127</v>
      </c>
    </row>
    <row r="6" spans="1:8" x14ac:dyDescent="0.25">
      <c r="A6" s="2" t="s">
        <v>175</v>
      </c>
      <c r="B6" s="1" t="s">
        <v>368</v>
      </c>
      <c r="C6" s="2" t="s">
        <v>2128</v>
      </c>
      <c r="D6" s="3">
        <v>6</v>
      </c>
      <c r="E6" s="4"/>
      <c r="F6" s="5" t="s">
        <v>2129</v>
      </c>
      <c r="G6" s="4">
        <v>6</v>
      </c>
      <c r="H6" s="4"/>
    </row>
    <row r="7" spans="1:8" x14ac:dyDescent="0.25">
      <c r="A7" s="2" t="s">
        <v>2130</v>
      </c>
      <c r="B7" s="1" t="s">
        <v>2131</v>
      </c>
      <c r="C7" s="2" t="s">
        <v>2132</v>
      </c>
      <c r="D7" s="6" t="s">
        <v>2133</v>
      </c>
      <c r="E7" s="4"/>
      <c r="F7" s="5" t="s">
        <v>2134</v>
      </c>
      <c r="G7" s="4">
        <v>7</v>
      </c>
      <c r="H7" s="4"/>
    </row>
    <row r="8" spans="1:8" x14ac:dyDescent="0.25">
      <c r="A8" s="2" t="s">
        <v>67</v>
      </c>
      <c r="B8" s="1"/>
      <c r="C8" s="2" t="s">
        <v>2135</v>
      </c>
      <c r="D8" s="4"/>
      <c r="E8" s="4"/>
      <c r="F8" s="5" t="s">
        <v>2136</v>
      </c>
      <c r="G8" s="4">
        <v>8</v>
      </c>
      <c r="H8" s="4"/>
    </row>
    <row r="9" spans="1:8" x14ac:dyDescent="0.25">
      <c r="A9" s="2" t="s">
        <v>31</v>
      </c>
      <c r="C9" s="2"/>
      <c r="D9" s="4"/>
      <c r="E9" s="4"/>
      <c r="F9" s="5" t="s">
        <v>2137</v>
      </c>
      <c r="G9" s="4">
        <v>9</v>
      </c>
      <c r="H9" s="4"/>
    </row>
    <row r="10" spans="1:8" x14ac:dyDescent="0.25">
      <c r="A10" s="2" t="s">
        <v>83</v>
      </c>
      <c r="C10" s="2"/>
      <c r="D10" s="4"/>
      <c r="E10" s="4"/>
      <c r="F10" s="5" t="s">
        <v>2138</v>
      </c>
      <c r="G10" s="4">
        <v>10</v>
      </c>
      <c r="H10" s="4"/>
    </row>
    <row r="11" spans="1:8" x14ac:dyDescent="0.25">
      <c r="A11" s="2"/>
      <c r="B11" s="4"/>
      <c r="C11" s="4"/>
      <c r="D11" s="4"/>
      <c r="E11" s="4"/>
      <c r="F11" s="5" t="s">
        <v>2139</v>
      </c>
      <c r="G11" s="4">
        <v>11</v>
      </c>
      <c r="H11" s="4"/>
    </row>
    <row r="12" spans="1:8" x14ac:dyDescent="0.25">
      <c r="A12" s="2"/>
      <c r="B12" s="4"/>
      <c r="C12" s="4"/>
      <c r="D12" s="4"/>
      <c r="E12" s="4"/>
      <c r="F12" s="5" t="s">
        <v>2140</v>
      </c>
      <c r="G12" s="4">
        <v>12</v>
      </c>
      <c r="H12" s="4"/>
    </row>
    <row r="13" spans="1:8" x14ac:dyDescent="0.25">
      <c r="A13" s="4"/>
      <c r="B13" s="4"/>
      <c r="C13" s="4"/>
      <c r="D13" s="4"/>
      <c r="E13" s="4"/>
      <c r="F13" s="5" t="s">
        <v>2141</v>
      </c>
      <c r="G13" s="4">
        <v>13</v>
      </c>
      <c r="H13" s="4"/>
    </row>
    <row r="14" spans="1:8" x14ac:dyDescent="0.25">
      <c r="A14" s="4"/>
      <c r="B14" s="4"/>
      <c r="C14" s="4"/>
      <c r="D14" s="4"/>
      <c r="E14" s="4"/>
      <c r="F14" s="4"/>
      <c r="G14" s="4">
        <v>14</v>
      </c>
      <c r="H14" s="4"/>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5a27415-2a14-4757-8bb8-5765f45029e7" xsi:nil="true"/>
    <lcf76f155ced4ddcb4097134ff3c332f xmlns="4898c11a-2dff-4f3b-be30-bf5e6f7537e0">
      <Terms xmlns="http://schemas.microsoft.com/office/infopath/2007/PartnerControls"/>
    </lcf76f155ced4ddcb4097134ff3c332f>
    <Atribu_x00ed_do_x00e0_ xmlns="4898c11a-2dff-4f3b-be30-bf5e6f7537e0">
      <UserInfo>
        <DisplayName/>
        <AccountId xsi:nil="true"/>
        <AccountType/>
      </UserInfo>
    </Atribu_x00ed_do_x00e0_>
    <status xmlns="4898c11a-2dff-4f3b-be30-bf5e6f7537e0" xsi:nil="true"/>
    <Observa_x00e7__x00e3_o xmlns="4898c11a-2dff-4f3b-be30-bf5e6f7537e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7AE5FD4E922E14CAFE7AD42DA61D019" ma:contentTypeVersion="17" ma:contentTypeDescription="Crie um novo documento." ma:contentTypeScope="" ma:versionID="d612fddf1c75288bd96813a5e9d160a4">
  <xsd:schema xmlns:xsd="http://www.w3.org/2001/XMLSchema" xmlns:xs="http://www.w3.org/2001/XMLSchema" xmlns:p="http://schemas.microsoft.com/office/2006/metadata/properties" xmlns:ns2="4898c11a-2dff-4f3b-be30-bf5e6f7537e0" xmlns:ns3="c5a27415-2a14-4757-8bb8-5765f45029e7" targetNamespace="http://schemas.microsoft.com/office/2006/metadata/properties" ma:root="true" ma:fieldsID="2fa031e9a58b61315363df3570b75385" ns2:_="" ns3:_="">
    <xsd:import namespace="4898c11a-2dff-4f3b-be30-bf5e6f7537e0"/>
    <xsd:import namespace="c5a27415-2a14-4757-8bb8-5765f45029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status" minOccurs="0"/>
                <xsd:element ref="ns2:Atribu_x00ed_do_x00e0_"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98c11a-2dff-4f3b-be30-bf5e6f7537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status" ma:index="20" nillable="true" ma:displayName="status" ma:format="Dropdown" ma:internalName="status">
      <xsd:simpleType>
        <xsd:restriction base="dms:Choice">
          <xsd:enumeration value="Produzir"/>
          <xsd:enumeration value="Em produção"/>
          <xsd:enumeration value="Concluído"/>
          <xsd:enumeration value="Em uso"/>
          <xsd:enumeration value="Liberado para uso"/>
        </xsd:restriction>
      </xsd:simpleType>
    </xsd:element>
    <xsd:element name="Atribu_x00ed_do_x00e0_" ma:index="21" nillable="true" ma:displayName="Atribuído à" ma:format="Dropdown" ma:list="UserInfo" ma:SharePointGroup="0" ma:internalName="Atribu_x00ed_do_x00e0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bserva_x00e7__x00e3_o" ma:index="22" nillable="true" ma:displayName="Observação" ma:format="Dropdown" ma:internalName="Observa_x00e7__x00e3_o">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27415-2a14-4757-8bb8-5765f45029e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94c9e24-c3dc-4f2e-b29c-7e677ee7c878}" ma:internalName="TaxCatchAll" ma:showField="CatchAllData" ma:web="c5a27415-2a14-4757-8bb8-5765f45029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5A8A88-114F-4414-B78B-59A1E08F48D9}">
  <ds:schemaRefs>
    <ds:schemaRef ds:uri="http://purl.org/dc/dcmitype/"/>
    <ds:schemaRef ds:uri="c5a27415-2a14-4757-8bb8-5765f45029e7"/>
    <ds:schemaRef ds:uri="http://schemas.microsoft.com/office/2006/documentManagement/types"/>
    <ds:schemaRef ds:uri="http://schemas.openxmlformats.org/package/2006/metadata/core-properties"/>
    <ds:schemaRef ds:uri="http://purl.org/dc/terms/"/>
    <ds:schemaRef ds:uri="http://purl.org/dc/elements/1.1/"/>
    <ds:schemaRef ds:uri="http://www.w3.org/XML/1998/namespace"/>
    <ds:schemaRef ds:uri="http://schemas.microsoft.com/office/infopath/2007/PartnerControls"/>
    <ds:schemaRef ds:uri="4898c11a-2dff-4f3b-be30-bf5e6f7537e0"/>
    <ds:schemaRef ds:uri="http://schemas.microsoft.com/office/2006/metadata/properties"/>
  </ds:schemaRefs>
</ds:datastoreItem>
</file>

<file path=customXml/itemProps2.xml><?xml version="1.0" encoding="utf-8"?>
<ds:datastoreItem xmlns:ds="http://schemas.openxmlformats.org/officeDocument/2006/customXml" ds:itemID="{31174B60-CC96-4EE1-BFC6-09296D4BC1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98c11a-2dff-4f3b-be30-bf5e6f7537e0"/>
    <ds:schemaRef ds:uri="c5a27415-2a14-4757-8bb8-5765f45029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CC011B-0C57-45DA-AF49-4F980948F3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Lucia Moniz das Neves</cp:lastModifiedBy>
  <cp:revision/>
  <dcterms:created xsi:type="dcterms:W3CDTF">2024-11-11T13:23:41Z</dcterms:created>
  <dcterms:modified xsi:type="dcterms:W3CDTF">2025-10-22T12:21:57Z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0x01010057AE5FD4E922E14CAFE7AD42DA61D019</vt:lpwstr>
  </property>
  <property fmtid="{D5CDD505-2E9C-101B-9397-08002B2CF9AE}" pid="3" name="MediaServiceImageTags">
    <vt:lpwstr/>
  </property>
</Properties>
</file>