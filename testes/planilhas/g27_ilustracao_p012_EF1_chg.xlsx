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omments1.xml" ContentType="application/vnd.openxmlformats-officedocument.spreadsheetml.comments+xml"/>
  <Override PartName="/xl/drawings/drawing1.xml" ContentType="application/vnd.openxmlformats-officedocument.drawing+xml"/>
  <Override PartName="/xl/tables/table2.xml" ContentType="application/vnd.openxmlformats-officedocument.spreadsheetml.table+xml"/>
  <Override PartName="/xl/comments2.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mc:AlternateContent xmlns:mc="http://schemas.openxmlformats.org/markup-compatibility/2006">
    <mc:Choice Requires="x15">
      <x15ac:absPath xmlns:x15ac="http://schemas.microsoft.com/office/spreadsheetml/2010/11/ac" url="https://ensinolivre.sharepoint.com/sites/G27_E002_EF1/Documentos Compartilhados/G27_E002_EF1/zCONTROLES/ilustracao/"/>
    </mc:Choice>
  </mc:AlternateContent>
  <xr:revisionPtr revIDLastSave="4983" documentId="13_ncr:1_{3179511B-0856-429A-916C-669010FABE74}" xr6:coauthVersionLast="47" xr6:coauthVersionMax="47" xr10:uidLastSave="{8C502A0A-DE27-436D-BD25-BD7B79828E2B}"/>
  <bookViews>
    <workbookView minimized="1" xWindow="29535" yWindow="735" windowWidth="21600" windowHeight="11385" xr2:uid="{6B0CC131-DCB1-4859-96F0-F61121EDAE88}"/>
  </bookViews>
  <sheets>
    <sheet name="ilustração" sheetId="1" r:id="rId1"/>
    <sheet name="créditos_base" sheetId="3" r:id="rId2"/>
    <sheet name="metadados" sheetId="2"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A18" i="1" l="1"/>
  <c r="AE2" i="1"/>
  <c r="AE3" i="1"/>
  <c r="AE4" i="1"/>
  <c r="AE5" i="1"/>
  <c r="AE6" i="1"/>
  <c r="AE7" i="1"/>
  <c r="AE8" i="1"/>
  <c r="AE9" i="1"/>
  <c r="AE10" i="1"/>
  <c r="AE11" i="1"/>
  <c r="AE12" i="1"/>
  <c r="AE13" i="1"/>
  <c r="AE14" i="1"/>
  <c r="AE15" i="1"/>
  <c r="AE16" i="1"/>
  <c r="AE17" i="1"/>
  <c r="AE18" i="1"/>
  <c r="AE19" i="1"/>
  <c r="AE20" i="1"/>
  <c r="AE21" i="1"/>
  <c r="AE22" i="1"/>
  <c r="AE23" i="1"/>
  <c r="AE24" i="1"/>
  <c r="AE25" i="1"/>
  <c r="AE26" i="1"/>
  <c r="AE27" i="1"/>
  <c r="AE28" i="1"/>
  <c r="AE29" i="1"/>
  <c r="AE30" i="1"/>
  <c r="AE31" i="1"/>
  <c r="AE32" i="1"/>
  <c r="AE33" i="1"/>
  <c r="AE34" i="1"/>
  <c r="AE35" i="1"/>
  <c r="AE36" i="1"/>
  <c r="AE37" i="1"/>
  <c r="AE38" i="1"/>
  <c r="AE39" i="1"/>
  <c r="AE40" i="1"/>
  <c r="AE41" i="1"/>
  <c r="AE42" i="1"/>
  <c r="AE43" i="1"/>
  <c r="AE44" i="1"/>
  <c r="AE45" i="1"/>
  <c r="AE46" i="1"/>
  <c r="AE47" i="1"/>
  <c r="AE48" i="1"/>
  <c r="AE49" i="1"/>
  <c r="AE50" i="1"/>
  <c r="AE51" i="1"/>
  <c r="AE52" i="1"/>
  <c r="AE53" i="1"/>
  <c r="AE54" i="1"/>
  <c r="AE55" i="1"/>
  <c r="AE56" i="1"/>
  <c r="AE57" i="1"/>
  <c r="AE58" i="1"/>
  <c r="AE59" i="1"/>
  <c r="AE60" i="1"/>
  <c r="AE61" i="1"/>
  <c r="AE62" i="1"/>
  <c r="AE63" i="1"/>
  <c r="AE64" i="1"/>
  <c r="AE65" i="1"/>
  <c r="AE66" i="1"/>
  <c r="AE67" i="1"/>
  <c r="AE68" i="1"/>
  <c r="AE69" i="1"/>
  <c r="AE70" i="1"/>
  <c r="AE71" i="1"/>
  <c r="AE72" i="1"/>
  <c r="AE73" i="1"/>
  <c r="AE74" i="1"/>
  <c r="AE75" i="1"/>
  <c r="AE76" i="1"/>
  <c r="AE77" i="1"/>
  <c r="AE78" i="1"/>
  <c r="AE79" i="1"/>
  <c r="AE80" i="1"/>
  <c r="AE81" i="1"/>
  <c r="AE82" i="1"/>
  <c r="AE83" i="1"/>
  <c r="AE84" i="1"/>
  <c r="AE85" i="1"/>
  <c r="AE86" i="1"/>
  <c r="AE87" i="1"/>
  <c r="AE88" i="1"/>
  <c r="AE89" i="1"/>
  <c r="AE90" i="1"/>
  <c r="AE91" i="1"/>
  <c r="AE92" i="1"/>
  <c r="AE93" i="1"/>
  <c r="AE94" i="1"/>
  <c r="AE95" i="1"/>
  <c r="AE96" i="1"/>
  <c r="AE97" i="1"/>
  <c r="AE98" i="1"/>
  <c r="AE99" i="1"/>
  <c r="AE100" i="1"/>
  <c r="AE101" i="1"/>
  <c r="AE102" i="1"/>
  <c r="AE103" i="1"/>
  <c r="AE104" i="1"/>
  <c r="AE105" i="1"/>
  <c r="AE106" i="1"/>
  <c r="AE107" i="1"/>
  <c r="AE108" i="1"/>
  <c r="AE109" i="1"/>
  <c r="AE110" i="1"/>
  <c r="AE111" i="1"/>
  <c r="AE112" i="1"/>
  <c r="AE113" i="1"/>
  <c r="AE114" i="1"/>
  <c r="AE115" i="1"/>
  <c r="AE116" i="1"/>
  <c r="AE117" i="1"/>
  <c r="AE118" i="1"/>
  <c r="AE119" i="1"/>
  <c r="AE120" i="1"/>
  <c r="AE121" i="1"/>
  <c r="AE122" i="1"/>
  <c r="AE123" i="1"/>
  <c r="AE124" i="1"/>
  <c r="AE125" i="1"/>
  <c r="AE126" i="1"/>
  <c r="AE127" i="1"/>
  <c r="AE128" i="1"/>
  <c r="AE129" i="1"/>
  <c r="AE130" i="1"/>
  <c r="AE131" i="1"/>
  <c r="AE132" i="1"/>
  <c r="AE133" i="1"/>
  <c r="AE134" i="1"/>
  <c r="AE135" i="1"/>
  <c r="AE136" i="1"/>
  <c r="AE137" i="1"/>
  <c r="AE138" i="1"/>
  <c r="AE139" i="1"/>
  <c r="AE140" i="1"/>
  <c r="AE141" i="1"/>
  <c r="AE142" i="1"/>
  <c r="AE143" i="1"/>
  <c r="AE144" i="1"/>
  <c r="AE145" i="1"/>
  <c r="AE146" i="1"/>
  <c r="AE147" i="1"/>
  <c r="AE148" i="1"/>
  <c r="AE149" i="1"/>
  <c r="AE150" i="1"/>
  <c r="AE151" i="1"/>
  <c r="AE152" i="1"/>
  <c r="AE153" i="1"/>
  <c r="AE154" i="1"/>
  <c r="AE155" i="1"/>
  <c r="AE156" i="1"/>
  <c r="AE157" i="1"/>
  <c r="AE158" i="1"/>
  <c r="AE159" i="1"/>
  <c r="AE160" i="1"/>
  <c r="AE161" i="1"/>
  <c r="AE162" i="1"/>
  <c r="AE163" i="1"/>
  <c r="AE164" i="1"/>
  <c r="AE165" i="1"/>
  <c r="AE166" i="1"/>
  <c r="AE167" i="1"/>
  <c r="AE168" i="1"/>
  <c r="AE169" i="1"/>
  <c r="AE170" i="1"/>
  <c r="AE171" i="1"/>
  <c r="AE172" i="1"/>
  <c r="AE173" i="1"/>
  <c r="AE174" i="1"/>
  <c r="AE175" i="1"/>
  <c r="AE176" i="1"/>
  <c r="AE177" i="1"/>
  <c r="AE178" i="1"/>
  <c r="AE179" i="1"/>
  <c r="AE180" i="1"/>
  <c r="AE181" i="1"/>
  <c r="AE182" i="1"/>
  <c r="AE183" i="1"/>
  <c r="AE184" i="1"/>
  <c r="AE185" i="1"/>
  <c r="AE186" i="1"/>
  <c r="AE187" i="1"/>
  <c r="AE188" i="1"/>
  <c r="AE189" i="1"/>
  <c r="AE190" i="1"/>
  <c r="AE191" i="1"/>
  <c r="AE192" i="1"/>
  <c r="AE193" i="1"/>
  <c r="AE194" i="1"/>
  <c r="AE195" i="1"/>
  <c r="AE196" i="1"/>
  <c r="AE197" i="1"/>
  <c r="AE198" i="1"/>
  <c r="AE199" i="1"/>
  <c r="AE200" i="1"/>
  <c r="AE201" i="1"/>
  <c r="AE202" i="1"/>
  <c r="AE203" i="1"/>
  <c r="AE204" i="1"/>
  <c r="AE205" i="1"/>
  <c r="AE206" i="1"/>
  <c r="AE207" i="1"/>
  <c r="AE208" i="1"/>
  <c r="AE209" i="1"/>
  <c r="AE210" i="1"/>
  <c r="AE211" i="1"/>
  <c r="AE212" i="1"/>
  <c r="AE213" i="1"/>
  <c r="AE214" i="1"/>
  <c r="AE215" i="1"/>
  <c r="AE216" i="1"/>
  <c r="AE217" i="1"/>
  <c r="AE218" i="1"/>
  <c r="AE219" i="1"/>
  <c r="AE220" i="1"/>
  <c r="AE221" i="1"/>
  <c r="AE222" i="1"/>
  <c r="AE223" i="1"/>
  <c r="AE224" i="1"/>
  <c r="AE225" i="1"/>
  <c r="AE226" i="1"/>
  <c r="AE227" i="1"/>
  <c r="AE228" i="1"/>
  <c r="AE229" i="1"/>
  <c r="AE230" i="1"/>
  <c r="AE231" i="1"/>
  <c r="AE232" i="1"/>
  <c r="AE233" i="1"/>
  <c r="AE234" i="1"/>
  <c r="AE235" i="1"/>
  <c r="AE236" i="1"/>
  <c r="AE237" i="1"/>
  <c r="AE238" i="1"/>
  <c r="AE239" i="1"/>
  <c r="AE240" i="1"/>
  <c r="AE241" i="1"/>
  <c r="AE242" i="1"/>
  <c r="AE243" i="1"/>
  <c r="AE244" i="1"/>
  <c r="AE245" i="1"/>
  <c r="AE246" i="1"/>
  <c r="AE247" i="1"/>
  <c r="AE248" i="1"/>
  <c r="AE249" i="1"/>
  <c r="AE250" i="1"/>
  <c r="AE251" i="1"/>
  <c r="AE252" i="1"/>
  <c r="AE253" i="1"/>
  <c r="AE254" i="1"/>
  <c r="AE255" i="1"/>
  <c r="AE256" i="1"/>
  <c r="AE257" i="1"/>
  <c r="AE258" i="1"/>
  <c r="AE259" i="1"/>
  <c r="AE260" i="1"/>
  <c r="AE261" i="1"/>
  <c r="AE262" i="1"/>
  <c r="AE263" i="1"/>
  <c r="AE264" i="1"/>
  <c r="AE265" i="1"/>
  <c r="AE266" i="1"/>
  <c r="AE267" i="1"/>
  <c r="AE268" i="1"/>
  <c r="AE269" i="1"/>
  <c r="AE270" i="1"/>
  <c r="AE271" i="1"/>
  <c r="AE272" i="1"/>
  <c r="AE273" i="1"/>
  <c r="AE274" i="1"/>
  <c r="AE275" i="1"/>
  <c r="AE276" i="1"/>
  <c r="AE277" i="1"/>
  <c r="AE278" i="1"/>
  <c r="AE279" i="1"/>
  <c r="AE280" i="1"/>
  <c r="AE281" i="1"/>
  <c r="AE282" i="1"/>
  <c r="AE283" i="1"/>
  <c r="AE284" i="1"/>
  <c r="AE285" i="1"/>
  <c r="AE286" i="1"/>
  <c r="AE287" i="1"/>
  <c r="AE288" i="1"/>
  <c r="AE289" i="1"/>
  <c r="AE290" i="1"/>
  <c r="AE291" i="1"/>
  <c r="AE292" i="1"/>
  <c r="AE293" i="1"/>
  <c r="AE294" i="1"/>
  <c r="AE295" i="1"/>
  <c r="AE296" i="1"/>
  <c r="AE297" i="1"/>
  <c r="AE298" i="1"/>
  <c r="AE299" i="1"/>
  <c r="AE300" i="1"/>
  <c r="AE301" i="1"/>
  <c r="AE302" i="1"/>
  <c r="AE303" i="1"/>
  <c r="AE304" i="1"/>
  <c r="AE305" i="1"/>
  <c r="AE306" i="1"/>
  <c r="AE307" i="1"/>
  <c r="AE308" i="1"/>
  <c r="AE309" i="1"/>
  <c r="AE310" i="1"/>
  <c r="AE311" i="1"/>
  <c r="AE312" i="1"/>
  <c r="AE313" i="1"/>
  <c r="AE314" i="1"/>
  <c r="AE315" i="1"/>
  <c r="AE316" i="1"/>
  <c r="AE317" i="1"/>
  <c r="AE318" i="1"/>
  <c r="AE319" i="1"/>
  <c r="AE320" i="1"/>
  <c r="AE321" i="1"/>
  <c r="AE322" i="1"/>
  <c r="AE323" i="1"/>
  <c r="AE324" i="1"/>
  <c r="AE325" i="1"/>
  <c r="AE326" i="1"/>
  <c r="AE327" i="1"/>
  <c r="AE328" i="1"/>
  <c r="AE329" i="1"/>
  <c r="AE330" i="1"/>
  <c r="AE331" i="1"/>
  <c r="AE332" i="1"/>
  <c r="AE333" i="1"/>
  <c r="AE334" i="1"/>
  <c r="AE335" i="1"/>
  <c r="AE336" i="1"/>
  <c r="AE337" i="1"/>
  <c r="AE338" i="1"/>
  <c r="AE339" i="1"/>
  <c r="AE340" i="1"/>
  <c r="AE341" i="1"/>
  <c r="AE342" i="1"/>
  <c r="AE343" i="1"/>
  <c r="AE344" i="1"/>
  <c r="AE345" i="1"/>
  <c r="AE346" i="1"/>
  <c r="AE347" i="1"/>
  <c r="AE348" i="1"/>
  <c r="AE349" i="1"/>
  <c r="AE350" i="1"/>
  <c r="AE351" i="1"/>
  <c r="AE352" i="1"/>
  <c r="AE353" i="1"/>
  <c r="AE354" i="1"/>
  <c r="AE355" i="1"/>
  <c r="AE356" i="1"/>
  <c r="AE357" i="1"/>
  <c r="AE358" i="1"/>
  <c r="AE359" i="1"/>
  <c r="AE360" i="1"/>
  <c r="AE361" i="1"/>
  <c r="AE362" i="1"/>
  <c r="AE363" i="1"/>
  <c r="AE364" i="1"/>
  <c r="AE365" i="1"/>
  <c r="AE366" i="1"/>
  <c r="AE367" i="1"/>
  <c r="AE368" i="1"/>
  <c r="AE369" i="1"/>
  <c r="AE370" i="1"/>
  <c r="AE371" i="1"/>
  <c r="AE372" i="1"/>
  <c r="AE373" i="1"/>
  <c r="AE374" i="1"/>
  <c r="AE375" i="1"/>
  <c r="AE376" i="1"/>
  <c r="AE377" i="1"/>
  <c r="AE378" i="1"/>
  <c r="AE379" i="1"/>
  <c r="AE380" i="1"/>
  <c r="AE381" i="1"/>
  <c r="AE382" i="1"/>
  <c r="AE383" i="1"/>
  <c r="AE384" i="1"/>
  <c r="AE385" i="1"/>
  <c r="AE386" i="1"/>
  <c r="AE387" i="1"/>
  <c r="AE388" i="1"/>
  <c r="AE389" i="1"/>
  <c r="AE390" i="1"/>
  <c r="AE391" i="1"/>
  <c r="AE392" i="1"/>
  <c r="AE393" i="1"/>
  <c r="AE394" i="1"/>
  <c r="AE395" i="1"/>
  <c r="AE396" i="1"/>
  <c r="AE397" i="1"/>
  <c r="AE398" i="1"/>
  <c r="AE399" i="1"/>
  <c r="AE400" i="1"/>
  <c r="AE401" i="1"/>
  <c r="AE402" i="1"/>
  <c r="AE403" i="1"/>
  <c r="AE404" i="1"/>
  <c r="AE405" i="1"/>
  <c r="AE406" i="1"/>
  <c r="AE407" i="1"/>
  <c r="AE408" i="1"/>
  <c r="AE409" i="1"/>
  <c r="AE410" i="1"/>
  <c r="AE411" i="1"/>
  <c r="AE412" i="1"/>
  <c r="AE413" i="1"/>
  <c r="AE414" i="1"/>
  <c r="AE415" i="1"/>
  <c r="AE416" i="1"/>
  <c r="AE417" i="1"/>
  <c r="AE418" i="1"/>
  <c r="AE419" i="1"/>
  <c r="AE420" i="1"/>
  <c r="AE421" i="1"/>
  <c r="AE422" i="1"/>
  <c r="AE423" i="1"/>
  <c r="AE424" i="1"/>
  <c r="AE425" i="1"/>
  <c r="AE426" i="1"/>
  <c r="AE427" i="1"/>
  <c r="AE428" i="1"/>
  <c r="AE429" i="1"/>
  <c r="AE430" i="1"/>
  <c r="AE431" i="1"/>
  <c r="AE432" i="1"/>
  <c r="AE433" i="1"/>
  <c r="AE434" i="1"/>
  <c r="AE435" i="1"/>
  <c r="AE436" i="1"/>
  <c r="AE437" i="1"/>
  <c r="AE438" i="1"/>
  <c r="AE439" i="1"/>
  <c r="AE440" i="1"/>
  <c r="AE441" i="1"/>
  <c r="AE442" i="1"/>
  <c r="AE443" i="1"/>
  <c r="AE444" i="1"/>
  <c r="AE445" i="1"/>
  <c r="AE446" i="1"/>
  <c r="AE447" i="1"/>
  <c r="AE448" i="1"/>
  <c r="AE449" i="1"/>
  <c r="AE450" i="1"/>
  <c r="AE451" i="1"/>
  <c r="AE452" i="1"/>
  <c r="AE453" i="1"/>
  <c r="AE454" i="1"/>
  <c r="AE455" i="1"/>
  <c r="AE456" i="1"/>
  <c r="AE457" i="1"/>
  <c r="AE458" i="1"/>
  <c r="AE459" i="1"/>
  <c r="AE460" i="1"/>
  <c r="AE461" i="1"/>
  <c r="AE462" i="1"/>
  <c r="AE463" i="1"/>
  <c r="AE464" i="1"/>
  <c r="AE465" i="1"/>
  <c r="AE466" i="1"/>
  <c r="AE467" i="1"/>
  <c r="AE468" i="1"/>
  <c r="AE469" i="1"/>
  <c r="AE470" i="1"/>
  <c r="AE471" i="1"/>
  <c r="AE472" i="1"/>
  <c r="AE473" i="1"/>
  <c r="AE474" i="1"/>
  <c r="AE475" i="1"/>
  <c r="AE476" i="1"/>
  <c r="AE477" i="1"/>
  <c r="AE478" i="1"/>
  <c r="AE479" i="1"/>
  <c r="AE480" i="1"/>
  <c r="AE481" i="1"/>
  <c r="AE482" i="1"/>
  <c r="AE483" i="1"/>
  <c r="AE484" i="1"/>
  <c r="AE485" i="1"/>
  <c r="AE486" i="1"/>
  <c r="AE487" i="1"/>
  <c r="AE488" i="1"/>
  <c r="AE489" i="1"/>
  <c r="AE490" i="1"/>
  <c r="AE491" i="1"/>
  <c r="AE492" i="1"/>
  <c r="AE493" i="1"/>
  <c r="AE494" i="1"/>
  <c r="AE495" i="1"/>
  <c r="AE496" i="1"/>
  <c r="AE497" i="1"/>
  <c r="AE498" i="1"/>
  <c r="AE499" i="1"/>
  <c r="AE500" i="1"/>
  <c r="Y3" i="1"/>
  <c r="AA3" i="1" s="1"/>
  <c r="Y4" i="1"/>
  <c r="AA4" i="1" s="1"/>
  <c r="Y5" i="1"/>
  <c r="AA5" i="1" s="1"/>
  <c r="Y6" i="1"/>
  <c r="AA6" i="1" s="1"/>
  <c r="Y7" i="1"/>
  <c r="AA7" i="1" s="1"/>
  <c r="Y8" i="1"/>
  <c r="AA8" i="1" s="1"/>
  <c r="Y9" i="1"/>
  <c r="AA9" i="1" s="1"/>
  <c r="Y10" i="1"/>
  <c r="AA10" i="1" s="1"/>
  <c r="Y11" i="1"/>
  <c r="Y12" i="1"/>
  <c r="AA12" i="1" s="1"/>
  <c r="Y13" i="1"/>
  <c r="AA13" i="1" s="1"/>
  <c r="Y14" i="1"/>
  <c r="AA14" i="1" s="1"/>
  <c r="Y15" i="1"/>
  <c r="AA15" i="1" s="1"/>
  <c r="Y16" i="1"/>
  <c r="AA16" i="1" s="1"/>
  <c r="Y17" i="1"/>
  <c r="AA17" i="1" s="1"/>
  <c r="Y18" i="1"/>
  <c r="Y19" i="1"/>
  <c r="Y20" i="1"/>
  <c r="AA20" i="1" s="1"/>
  <c r="Y21" i="1"/>
  <c r="AA21" i="1" s="1"/>
  <c r="Y22" i="1"/>
  <c r="AA22" i="1" s="1"/>
  <c r="Y23" i="1"/>
  <c r="AA23" i="1" s="1"/>
  <c r="Y24" i="1"/>
  <c r="AA24" i="1" s="1"/>
  <c r="Y25" i="1"/>
  <c r="AA25" i="1" s="1"/>
  <c r="Y26" i="1"/>
  <c r="AA26" i="1" s="1"/>
  <c r="Y27" i="1"/>
  <c r="AA27" i="1" s="1"/>
  <c r="Y28" i="1"/>
  <c r="AA28" i="1" s="1"/>
  <c r="Y29" i="1"/>
  <c r="AA29" i="1" s="1"/>
  <c r="Y30" i="1"/>
  <c r="AA30" i="1" s="1"/>
  <c r="Y31" i="1"/>
  <c r="AA31" i="1" s="1"/>
  <c r="Y32" i="1"/>
  <c r="AA32" i="1" s="1"/>
  <c r="Y33" i="1"/>
  <c r="AA33" i="1" s="1"/>
  <c r="Y34" i="1"/>
  <c r="AA34" i="1" s="1"/>
  <c r="Y35" i="1"/>
  <c r="Y36" i="1"/>
  <c r="AA36" i="1" s="1"/>
  <c r="Y37" i="1"/>
  <c r="AA37" i="1" s="1"/>
  <c r="Y38" i="1"/>
  <c r="AA38" i="1" s="1"/>
  <c r="Y39" i="1"/>
  <c r="AA39" i="1" s="1"/>
  <c r="Y40" i="1"/>
  <c r="AA40" i="1" s="1"/>
  <c r="Y41" i="1"/>
  <c r="Y42" i="1"/>
  <c r="Y43" i="1"/>
  <c r="Y44" i="1"/>
  <c r="AA44" i="1" s="1"/>
  <c r="Y45" i="1"/>
  <c r="AA45" i="1" s="1"/>
  <c r="Y46" i="1"/>
  <c r="AA46" i="1" s="1"/>
  <c r="Y47" i="1"/>
  <c r="AA47" i="1" s="1"/>
  <c r="Y48" i="1"/>
  <c r="AA48" i="1" s="1"/>
  <c r="Y49" i="1"/>
  <c r="AA49" i="1" s="1"/>
  <c r="Y50" i="1"/>
  <c r="AA50" i="1" s="1"/>
  <c r="Y51" i="1"/>
  <c r="AA51" i="1" s="1"/>
  <c r="Y52" i="1"/>
  <c r="AA52" i="1" s="1"/>
  <c r="Y53" i="1"/>
  <c r="AA53" i="1" s="1"/>
  <c r="Y54" i="1"/>
  <c r="AA54" i="1" s="1"/>
  <c r="Y55" i="1"/>
  <c r="AA55" i="1" s="1"/>
  <c r="Y56" i="1"/>
  <c r="AA56" i="1" s="1"/>
  <c r="Y57" i="1"/>
  <c r="AA57" i="1" s="1"/>
  <c r="Y58" i="1"/>
  <c r="AA58" i="1" s="1"/>
  <c r="Y59" i="1"/>
  <c r="AA59" i="1" s="1"/>
  <c r="Y60" i="1"/>
  <c r="AA60" i="1" s="1"/>
  <c r="Y61" i="1"/>
  <c r="AA61" i="1" s="1"/>
  <c r="Y62" i="1"/>
  <c r="AA62" i="1" s="1"/>
  <c r="Y63" i="1"/>
  <c r="AA63" i="1" s="1"/>
  <c r="Y64" i="1"/>
  <c r="AA64" i="1" s="1"/>
  <c r="Y65" i="1"/>
  <c r="AA65" i="1" s="1"/>
  <c r="Y66" i="1"/>
  <c r="AA66" i="1" s="1"/>
  <c r="Y67" i="1"/>
  <c r="Y68" i="1"/>
  <c r="AA68" i="1" s="1"/>
  <c r="Y69" i="1"/>
  <c r="AA69" i="1" s="1"/>
  <c r="Y70" i="1"/>
  <c r="AA70" i="1" s="1"/>
  <c r="Y71" i="1"/>
  <c r="AA71" i="1" s="1"/>
  <c r="Y72" i="1"/>
  <c r="AA72" i="1" s="1"/>
  <c r="Y73" i="1"/>
  <c r="AA73" i="1" s="1"/>
  <c r="Y74" i="1"/>
  <c r="AA74" i="1" s="1"/>
  <c r="Y75" i="1"/>
  <c r="AA75" i="1" s="1"/>
  <c r="Y76" i="1"/>
  <c r="AA76" i="1" s="1"/>
  <c r="Y77" i="1"/>
  <c r="AA77" i="1" s="1"/>
  <c r="Y78" i="1"/>
  <c r="AA78" i="1" s="1"/>
  <c r="Y79" i="1"/>
  <c r="AA79" i="1" s="1"/>
  <c r="Y80" i="1"/>
  <c r="AA80" i="1" s="1"/>
  <c r="Y81" i="1"/>
  <c r="AA81" i="1" s="1"/>
  <c r="Y82" i="1"/>
  <c r="AA82" i="1" s="1"/>
  <c r="Y83" i="1"/>
  <c r="AA83" i="1" s="1"/>
  <c r="Y84" i="1"/>
  <c r="AA84" i="1" s="1"/>
  <c r="Y85" i="1"/>
  <c r="AA85" i="1" s="1"/>
  <c r="Y86" i="1"/>
  <c r="AA86" i="1" s="1"/>
  <c r="Y87" i="1"/>
  <c r="AA87" i="1" s="1"/>
  <c r="Y88" i="1"/>
  <c r="AA88" i="1" s="1"/>
  <c r="Y89" i="1"/>
  <c r="AA89" i="1" s="1"/>
  <c r="Y90" i="1"/>
  <c r="AA90" i="1" s="1"/>
  <c r="Y91" i="1"/>
  <c r="Y92" i="1"/>
  <c r="AA92" i="1" s="1"/>
  <c r="Y93" i="1"/>
  <c r="AA93" i="1" s="1"/>
  <c r="Y94" i="1"/>
  <c r="AA94" i="1" s="1"/>
  <c r="Y95" i="1"/>
  <c r="AA95" i="1" s="1"/>
  <c r="Y96" i="1"/>
  <c r="Y97" i="1"/>
  <c r="AA97" i="1" s="1"/>
  <c r="Y98" i="1"/>
  <c r="AA98" i="1" s="1"/>
  <c r="Y99" i="1"/>
  <c r="AA99" i="1" s="1"/>
  <c r="Y100" i="1"/>
  <c r="AA100" i="1" s="1"/>
  <c r="Y101" i="1"/>
  <c r="AA101" i="1" s="1"/>
  <c r="Y102" i="1"/>
  <c r="AA102" i="1" s="1"/>
  <c r="Y103" i="1"/>
  <c r="AA103" i="1" s="1"/>
  <c r="Y104" i="1"/>
  <c r="AA104" i="1" s="1"/>
  <c r="Y105" i="1"/>
  <c r="Y106" i="1"/>
  <c r="AA106" i="1" s="1"/>
  <c r="Y107" i="1"/>
  <c r="AA107" i="1" s="1"/>
  <c r="Y108" i="1"/>
  <c r="AA108" i="1" s="1"/>
  <c r="Y109" i="1"/>
  <c r="AA109" i="1" s="1"/>
  <c r="Y110" i="1"/>
  <c r="AA110" i="1" s="1"/>
  <c r="Y111" i="1"/>
  <c r="AA111" i="1" s="1"/>
  <c r="Y112" i="1"/>
  <c r="AA112" i="1" s="1"/>
  <c r="Y113" i="1"/>
  <c r="AA113" i="1" s="1"/>
  <c r="Y114" i="1"/>
  <c r="AA114" i="1" s="1"/>
  <c r="Y115" i="1"/>
  <c r="Y116" i="1"/>
  <c r="AA116" i="1" s="1"/>
  <c r="Y117" i="1"/>
  <c r="AA117" i="1" s="1"/>
  <c r="Y118" i="1"/>
  <c r="AA118" i="1" s="1"/>
  <c r="Y119" i="1"/>
  <c r="AA119" i="1" s="1"/>
  <c r="Y120" i="1"/>
  <c r="AA120" i="1" s="1"/>
  <c r="Y121" i="1"/>
  <c r="Y122" i="1"/>
  <c r="AA122" i="1" s="1"/>
  <c r="Y123" i="1"/>
  <c r="AA123" i="1" s="1"/>
  <c r="Y124" i="1"/>
  <c r="AA124" i="1" s="1"/>
  <c r="Y125" i="1"/>
  <c r="AA125" i="1" s="1"/>
  <c r="Y126" i="1"/>
  <c r="AA126" i="1" s="1"/>
  <c r="Y127" i="1"/>
  <c r="AA127" i="1" s="1"/>
  <c r="Y128" i="1"/>
  <c r="AA128" i="1" s="1"/>
  <c r="Y129" i="1"/>
  <c r="AA129" i="1" s="1"/>
  <c r="Y130" i="1"/>
  <c r="AA130" i="1" s="1"/>
  <c r="Y131" i="1"/>
  <c r="Y132" i="1"/>
  <c r="AA132" i="1" s="1"/>
  <c r="Y133" i="1"/>
  <c r="AA133" i="1" s="1"/>
  <c r="Y134" i="1"/>
  <c r="AA134" i="1" s="1"/>
  <c r="Y135" i="1"/>
  <c r="AA135" i="1" s="1"/>
  <c r="Y136" i="1"/>
  <c r="AA136" i="1" s="1"/>
  <c r="Y137" i="1"/>
  <c r="Y138" i="1"/>
  <c r="AA138" i="1" s="1"/>
  <c r="Y139" i="1"/>
  <c r="Y140" i="1"/>
  <c r="AA140" i="1" s="1"/>
  <c r="Y141" i="1"/>
  <c r="Y142" i="1"/>
  <c r="Y143" i="1"/>
  <c r="Y144" i="1"/>
  <c r="AA144" i="1" s="1"/>
  <c r="Y145" i="1"/>
  <c r="AA145" i="1" s="1"/>
  <c r="Y146" i="1"/>
  <c r="AA146" i="1" s="1"/>
  <c r="Y147" i="1"/>
  <c r="AA147" i="1" s="1"/>
  <c r="Y148" i="1"/>
  <c r="AA148" i="1" s="1"/>
  <c r="Y149" i="1"/>
  <c r="AA149" i="1" s="1"/>
  <c r="Y150" i="1"/>
  <c r="AA150" i="1" s="1"/>
  <c r="Y151" i="1"/>
  <c r="AA151" i="1" s="1"/>
  <c r="Y152" i="1"/>
  <c r="AA152" i="1" s="1"/>
  <c r="Y153" i="1"/>
  <c r="AA153" i="1" s="1"/>
  <c r="Y154" i="1"/>
  <c r="AA154" i="1" s="1"/>
  <c r="Y155" i="1"/>
  <c r="Y156" i="1"/>
  <c r="AA156" i="1" s="1"/>
  <c r="Y157" i="1"/>
  <c r="AA157" i="1" s="1"/>
  <c r="Y158" i="1"/>
  <c r="AA158" i="1" s="1"/>
  <c r="Y159" i="1"/>
  <c r="AA159" i="1" s="1"/>
  <c r="Y160" i="1"/>
  <c r="AA160" i="1" s="1"/>
  <c r="Y161" i="1"/>
  <c r="AA161" i="1" s="1"/>
  <c r="Y162" i="1"/>
  <c r="AA162" i="1" s="1"/>
  <c r="Y163" i="1"/>
  <c r="AA163" i="1" s="1"/>
  <c r="Y164" i="1"/>
  <c r="AA164" i="1" s="1"/>
  <c r="Y165" i="1"/>
  <c r="AA165" i="1" s="1"/>
  <c r="Y166" i="1"/>
  <c r="AA166" i="1" s="1"/>
  <c r="Y167" i="1"/>
  <c r="AA167" i="1" s="1"/>
  <c r="Y168" i="1"/>
  <c r="AA168" i="1" s="1"/>
  <c r="Y169" i="1"/>
  <c r="AA169" i="1" s="1"/>
  <c r="Y170" i="1"/>
  <c r="AA170" i="1" s="1"/>
  <c r="Y171" i="1"/>
  <c r="AA171" i="1" s="1"/>
  <c r="Y172" i="1"/>
  <c r="AA172" i="1" s="1"/>
  <c r="Y173" i="1"/>
  <c r="AA173" i="1" s="1"/>
  <c r="Y174" i="1"/>
  <c r="AA174" i="1" s="1"/>
  <c r="Y175" i="1"/>
  <c r="AA175" i="1" s="1"/>
  <c r="Y176" i="1"/>
  <c r="AA176" i="1" s="1"/>
  <c r="Y177" i="1"/>
  <c r="AA177" i="1" s="1"/>
  <c r="Y178" i="1"/>
  <c r="AA178" i="1" s="1"/>
  <c r="Y179" i="1"/>
  <c r="AA179" i="1" s="1"/>
  <c r="Y180" i="1"/>
  <c r="AA180" i="1" s="1"/>
  <c r="Y181" i="1"/>
  <c r="AA181" i="1" s="1"/>
  <c r="Y182" i="1"/>
  <c r="AA182" i="1" s="1"/>
  <c r="Y183" i="1"/>
  <c r="AA183" i="1" s="1"/>
  <c r="Y184" i="1"/>
  <c r="AA184" i="1" s="1"/>
  <c r="Y185" i="1"/>
  <c r="AA185" i="1" s="1"/>
  <c r="Y186" i="1"/>
  <c r="AA186" i="1" s="1"/>
  <c r="Y187" i="1"/>
  <c r="AA187" i="1" s="1"/>
  <c r="Y188" i="1"/>
  <c r="AA188" i="1" s="1"/>
  <c r="Y189" i="1"/>
  <c r="AA189" i="1" s="1"/>
  <c r="Y190" i="1"/>
  <c r="AA190" i="1" s="1"/>
  <c r="Y191" i="1"/>
  <c r="Y192" i="1"/>
  <c r="Y193" i="1"/>
  <c r="AA193" i="1" s="1"/>
  <c r="Y194" i="1"/>
  <c r="AA194" i="1" s="1"/>
  <c r="Y195" i="1"/>
  <c r="AA195" i="1" s="1"/>
  <c r="Y196" i="1"/>
  <c r="AA196" i="1" s="1"/>
  <c r="Y197" i="1"/>
  <c r="AA197" i="1" s="1"/>
  <c r="Y198" i="1"/>
  <c r="AA198" i="1" s="1"/>
  <c r="Y199" i="1"/>
  <c r="AA199" i="1" s="1"/>
  <c r="Y200" i="1"/>
  <c r="AA200" i="1" s="1"/>
  <c r="Y201" i="1"/>
  <c r="AA201" i="1" s="1"/>
  <c r="Y202" i="1"/>
  <c r="AA202" i="1" s="1"/>
  <c r="Y203" i="1"/>
  <c r="AA203" i="1" s="1"/>
  <c r="Y204" i="1"/>
  <c r="AA204" i="1" s="1"/>
  <c r="Y205" i="1"/>
  <c r="AA205" i="1" s="1"/>
  <c r="Y206" i="1"/>
  <c r="AA206" i="1" s="1"/>
  <c r="Y207" i="1"/>
  <c r="AA207" i="1" s="1"/>
  <c r="Y208" i="1"/>
  <c r="AA208" i="1" s="1"/>
  <c r="Y209" i="1"/>
  <c r="AA209" i="1" s="1"/>
  <c r="Y210" i="1"/>
  <c r="AA210" i="1" s="1"/>
  <c r="Y211" i="1"/>
  <c r="AA211" i="1" s="1"/>
  <c r="Y212" i="1"/>
  <c r="AA212" i="1" s="1"/>
  <c r="Y213" i="1"/>
  <c r="AA213" i="1" s="1"/>
  <c r="Y214" i="1"/>
  <c r="AA214" i="1" s="1"/>
  <c r="Y215" i="1"/>
  <c r="AA215" i="1" s="1"/>
  <c r="Y216" i="1"/>
  <c r="AA216" i="1" s="1"/>
  <c r="Y217" i="1"/>
  <c r="AA217" i="1" s="1"/>
  <c r="Y218" i="1"/>
  <c r="AA218" i="1" s="1"/>
  <c r="Y219" i="1"/>
  <c r="AA219" i="1" s="1"/>
  <c r="Y220" i="1"/>
  <c r="AA220" i="1" s="1"/>
  <c r="Y221" i="1"/>
  <c r="AA221" i="1" s="1"/>
  <c r="Y222" i="1"/>
  <c r="AA222" i="1" s="1"/>
  <c r="Y223" i="1"/>
  <c r="AA223" i="1" s="1"/>
  <c r="Y224" i="1"/>
  <c r="Y225" i="1"/>
  <c r="AA225" i="1" s="1"/>
  <c r="Y226" i="1"/>
  <c r="AA226" i="1" s="1"/>
  <c r="Y227" i="1"/>
  <c r="AA227" i="1" s="1"/>
  <c r="Y228" i="1"/>
  <c r="AA228" i="1" s="1"/>
  <c r="Y229" i="1"/>
  <c r="AA229" i="1" s="1"/>
  <c r="Y230" i="1"/>
  <c r="AA230" i="1" s="1"/>
  <c r="Y231" i="1"/>
  <c r="AA231" i="1" s="1"/>
  <c r="Y232" i="1"/>
  <c r="AA232" i="1" s="1"/>
  <c r="Y233" i="1"/>
  <c r="AA233" i="1" s="1"/>
  <c r="Y234" i="1"/>
  <c r="AA234" i="1" s="1"/>
  <c r="Y235" i="1"/>
  <c r="AA235" i="1" s="1"/>
  <c r="Y236" i="1"/>
  <c r="AA236" i="1" s="1"/>
  <c r="Y237" i="1"/>
  <c r="AA237" i="1" s="1"/>
  <c r="Y238" i="1"/>
  <c r="AA238" i="1" s="1"/>
  <c r="Y239" i="1"/>
  <c r="AA239" i="1" s="1"/>
  <c r="Y240" i="1"/>
  <c r="AA240" i="1" s="1"/>
  <c r="Y241" i="1"/>
  <c r="AA241" i="1" s="1"/>
  <c r="Y242" i="1"/>
  <c r="AA242" i="1" s="1"/>
  <c r="Y243" i="1"/>
  <c r="AA243" i="1" s="1"/>
  <c r="Y244" i="1"/>
  <c r="AA244" i="1" s="1"/>
  <c r="Y245" i="1"/>
  <c r="AA245" i="1" s="1"/>
  <c r="Y246" i="1"/>
  <c r="AA246" i="1" s="1"/>
  <c r="Y247" i="1"/>
  <c r="AA247" i="1" s="1"/>
  <c r="Y248" i="1"/>
  <c r="AA248" i="1" s="1"/>
  <c r="Y249" i="1"/>
  <c r="AA249" i="1" s="1"/>
  <c r="Y250" i="1"/>
  <c r="AA250" i="1" s="1"/>
  <c r="Y251" i="1"/>
  <c r="AA251" i="1" s="1"/>
  <c r="Y252" i="1"/>
  <c r="AA252" i="1" s="1"/>
  <c r="Y253" i="1"/>
  <c r="AA253" i="1" s="1"/>
  <c r="Y254" i="1"/>
  <c r="AA254" i="1" s="1"/>
  <c r="Y255" i="1"/>
  <c r="AA255" i="1" s="1"/>
  <c r="Y256" i="1"/>
  <c r="AA256" i="1" s="1"/>
  <c r="Y257" i="1"/>
  <c r="AA257" i="1" s="1"/>
  <c r="Y258" i="1"/>
  <c r="AA258" i="1" s="1"/>
  <c r="Y259" i="1"/>
  <c r="AA259" i="1" s="1"/>
  <c r="Y260" i="1"/>
  <c r="AA260" i="1" s="1"/>
  <c r="Y261" i="1"/>
  <c r="AA261" i="1" s="1"/>
  <c r="Y262" i="1"/>
  <c r="AA262" i="1" s="1"/>
  <c r="Y263" i="1"/>
  <c r="AA263" i="1" s="1"/>
  <c r="Y264" i="1"/>
  <c r="AA264" i="1" s="1"/>
  <c r="Y265" i="1"/>
  <c r="AA265" i="1" s="1"/>
  <c r="Y266" i="1"/>
  <c r="AA266" i="1" s="1"/>
  <c r="Y267" i="1"/>
  <c r="AA267" i="1" s="1"/>
  <c r="Y268" i="1"/>
  <c r="AA268" i="1" s="1"/>
  <c r="Y269" i="1"/>
  <c r="AA269" i="1" s="1"/>
  <c r="Y270" i="1"/>
  <c r="AA270" i="1" s="1"/>
  <c r="Y271" i="1"/>
  <c r="AA271" i="1" s="1"/>
  <c r="Y272" i="1"/>
  <c r="AA272" i="1" s="1"/>
  <c r="Y273" i="1"/>
  <c r="AA273" i="1" s="1"/>
  <c r="Y274" i="1"/>
  <c r="AA274" i="1" s="1"/>
  <c r="Y275" i="1"/>
  <c r="AA275" i="1" s="1"/>
  <c r="Y276" i="1"/>
  <c r="AA276" i="1" s="1"/>
  <c r="Y277" i="1"/>
  <c r="AA277" i="1" s="1"/>
  <c r="Y278" i="1"/>
  <c r="AA278" i="1" s="1"/>
  <c r="Y279" i="1"/>
  <c r="Y280" i="1"/>
  <c r="AA280" i="1" s="1"/>
  <c r="Y281" i="1"/>
  <c r="AA281" i="1" s="1"/>
  <c r="Y282" i="1"/>
  <c r="AA282" i="1" s="1"/>
  <c r="Y283" i="1"/>
  <c r="AA283" i="1" s="1"/>
  <c r="Y284" i="1"/>
  <c r="AA284" i="1" s="1"/>
  <c r="Y285" i="1"/>
  <c r="AA285" i="1" s="1"/>
  <c r="Y286" i="1"/>
  <c r="AA286" i="1" s="1"/>
  <c r="Y287" i="1"/>
  <c r="AA287" i="1" s="1"/>
  <c r="Y288" i="1"/>
  <c r="AA288" i="1" s="1"/>
  <c r="Y289" i="1"/>
  <c r="AA289" i="1" s="1"/>
  <c r="Y290" i="1"/>
  <c r="AA290" i="1" s="1"/>
  <c r="Y291" i="1"/>
  <c r="AA291" i="1" s="1"/>
  <c r="Y292" i="1"/>
  <c r="AA292" i="1" s="1"/>
  <c r="Y293" i="1"/>
  <c r="AA293" i="1" s="1"/>
  <c r="Y294" i="1"/>
  <c r="AA294" i="1" s="1"/>
  <c r="Y295" i="1"/>
  <c r="AA295" i="1" s="1"/>
  <c r="Y296" i="1"/>
  <c r="AA296" i="1" s="1"/>
  <c r="Y297" i="1"/>
  <c r="AA297" i="1" s="1"/>
  <c r="Y298" i="1"/>
  <c r="AA298" i="1" s="1"/>
  <c r="Y299" i="1"/>
  <c r="AA299" i="1" s="1"/>
  <c r="Y300" i="1"/>
  <c r="AA300" i="1" s="1"/>
  <c r="Y301" i="1"/>
  <c r="AA301" i="1" s="1"/>
  <c r="Y302" i="1"/>
  <c r="AA302" i="1" s="1"/>
  <c r="Y303" i="1"/>
  <c r="AA303" i="1" s="1"/>
  <c r="Y304" i="1"/>
  <c r="AA304" i="1" s="1"/>
  <c r="Y305" i="1"/>
  <c r="AA305" i="1" s="1"/>
  <c r="Y306" i="1"/>
  <c r="AA306" i="1" s="1"/>
  <c r="Y307" i="1"/>
  <c r="AA307" i="1" s="1"/>
  <c r="Y308" i="1"/>
  <c r="AA308" i="1" s="1"/>
  <c r="Y309" i="1"/>
  <c r="AA309" i="1" s="1"/>
  <c r="Y310" i="1"/>
  <c r="AA310" i="1" s="1"/>
  <c r="Y311" i="1"/>
  <c r="AA311" i="1" s="1"/>
  <c r="Y312" i="1"/>
  <c r="AA312" i="1" s="1"/>
  <c r="Y313" i="1"/>
  <c r="AA313" i="1" s="1"/>
  <c r="Y314" i="1"/>
  <c r="AA314" i="1" s="1"/>
  <c r="Y315" i="1"/>
  <c r="AA315" i="1" s="1"/>
  <c r="Y316" i="1"/>
  <c r="AA316" i="1" s="1"/>
  <c r="Y317" i="1"/>
  <c r="AA317" i="1" s="1"/>
  <c r="Y318" i="1"/>
  <c r="AA318" i="1" s="1"/>
  <c r="Y319" i="1"/>
  <c r="AA319" i="1" s="1"/>
  <c r="Y320" i="1"/>
  <c r="AA320" i="1" s="1"/>
  <c r="Y321" i="1"/>
  <c r="AA321" i="1" s="1"/>
  <c r="Y322" i="1"/>
  <c r="AA322" i="1" s="1"/>
  <c r="Y323" i="1"/>
  <c r="AA323" i="1" s="1"/>
  <c r="Y324" i="1"/>
  <c r="AA324" i="1" s="1"/>
  <c r="Y325" i="1"/>
  <c r="AA325" i="1" s="1"/>
  <c r="Y326" i="1"/>
  <c r="AA326" i="1" s="1"/>
  <c r="Y327" i="1"/>
  <c r="AA327" i="1" s="1"/>
  <c r="Y328" i="1"/>
  <c r="AA328" i="1" s="1"/>
  <c r="Y329" i="1"/>
  <c r="AA329" i="1" s="1"/>
  <c r="Y330" i="1"/>
  <c r="AA330" i="1" s="1"/>
  <c r="Y331" i="1"/>
  <c r="AA331" i="1" s="1"/>
  <c r="Y332" i="1"/>
  <c r="AA332" i="1" s="1"/>
  <c r="Y333" i="1"/>
  <c r="AA333" i="1" s="1"/>
  <c r="Y334" i="1"/>
  <c r="AA334" i="1" s="1"/>
  <c r="Y335" i="1"/>
  <c r="AA335" i="1" s="1"/>
  <c r="Y336" i="1"/>
  <c r="AA336" i="1" s="1"/>
  <c r="Y337" i="1"/>
  <c r="AA337" i="1" s="1"/>
  <c r="Y338" i="1"/>
  <c r="AA338" i="1" s="1"/>
  <c r="Y339" i="1"/>
  <c r="AA339" i="1" s="1"/>
  <c r="Y340" i="1"/>
  <c r="AA340" i="1" s="1"/>
  <c r="Y341" i="1"/>
  <c r="AA341" i="1" s="1"/>
  <c r="Y342" i="1"/>
  <c r="AA342" i="1" s="1"/>
  <c r="Y343" i="1"/>
  <c r="AA343" i="1" s="1"/>
  <c r="Y344" i="1"/>
  <c r="AA344" i="1" s="1"/>
  <c r="Y345" i="1"/>
  <c r="AA345" i="1" s="1"/>
  <c r="Y346" i="1"/>
  <c r="AA346" i="1" s="1"/>
  <c r="Y347" i="1"/>
  <c r="AA347" i="1" s="1"/>
  <c r="Y348" i="1"/>
  <c r="AA348" i="1" s="1"/>
  <c r="Y349" i="1"/>
  <c r="AA349" i="1" s="1"/>
  <c r="Y350" i="1"/>
  <c r="AA350" i="1" s="1"/>
  <c r="Y351" i="1"/>
  <c r="AA351" i="1" s="1"/>
  <c r="Y352" i="1"/>
  <c r="AA352" i="1" s="1"/>
  <c r="Y353" i="1"/>
  <c r="AA353" i="1" s="1"/>
  <c r="Y354" i="1"/>
  <c r="AA354" i="1" s="1"/>
  <c r="Y355" i="1"/>
  <c r="AA355" i="1" s="1"/>
  <c r="Y356" i="1"/>
  <c r="AA356" i="1" s="1"/>
  <c r="Y357" i="1"/>
  <c r="AA357" i="1" s="1"/>
  <c r="Y358" i="1"/>
  <c r="AA358" i="1" s="1"/>
  <c r="Y359" i="1"/>
  <c r="AA359" i="1" s="1"/>
  <c r="Y360" i="1"/>
  <c r="AA360" i="1" s="1"/>
  <c r="Y361" i="1"/>
  <c r="AA361" i="1" s="1"/>
  <c r="Y362" i="1"/>
  <c r="AA362" i="1" s="1"/>
  <c r="Y363" i="1"/>
  <c r="AA363" i="1" s="1"/>
  <c r="Y364" i="1"/>
  <c r="AA364" i="1" s="1"/>
  <c r="Y365" i="1"/>
  <c r="AA365" i="1" s="1"/>
  <c r="Y366" i="1"/>
  <c r="AA366" i="1" s="1"/>
  <c r="Y367" i="1"/>
  <c r="AA367" i="1" s="1"/>
  <c r="Y368" i="1"/>
  <c r="AA368" i="1" s="1"/>
  <c r="Y369" i="1"/>
  <c r="AA369" i="1" s="1"/>
  <c r="Y370" i="1"/>
  <c r="AA370" i="1" s="1"/>
  <c r="Y371" i="1"/>
  <c r="AA371" i="1" s="1"/>
  <c r="Y372" i="1"/>
  <c r="AA372" i="1" s="1"/>
  <c r="Y373" i="1"/>
  <c r="AA373" i="1" s="1"/>
  <c r="Y374" i="1"/>
  <c r="AA374" i="1" s="1"/>
  <c r="Y375" i="1"/>
  <c r="AA375" i="1" s="1"/>
  <c r="Y376" i="1"/>
  <c r="AA376" i="1" s="1"/>
  <c r="Y377" i="1"/>
  <c r="AA377" i="1" s="1"/>
  <c r="Y378" i="1"/>
  <c r="AA378" i="1" s="1"/>
  <c r="Y379" i="1"/>
  <c r="AA379" i="1" s="1"/>
  <c r="Y380" i="1"/>
  <c r="AA380" i="1" s="1"/>
  <c r="Y381" i="1"/>
  <c r="AA381" i="1" s="1"/>
  <c r="Y382" i="1"/>
  <c r="AA382" i="1" s="1"/>
  <c r="Y383" i="1"/>
  <c r="AA383" i="1" s="1"/>
  <c r="Y384" i="1"/>
  <c r="AA384" i="1" s="1"/>
  <c r="Y385" i="1"/>
  <c r="AA385" i="1" s="1"/>
  <c r="Y386" i="1"/>
  <c r="AA386" i="1" s="1"/>
  <c r="Y387" i="1"/>
  <c r="AA387" i="1" s="1"/>
  <c r="Y388" i="1"/>
  <c r="AA388" i="1" s="1"/>
  <c r="Y389" i="1"/>
  <c r="AA389" i="1" s="1"/>
  <c r="Y390" i="1"/>
  <c r="AA390" i="1" s="1"/>
  <c r="Y391" i="1"/>
  <c r="AA391" i="1" s="1"/>
  <c r="Y392" i="1"/>
  <c r="AA392" i="1" s="1"/>
  <c r="Y393" i="1"/>
  <c r="AA393" i="1" s="1"/>
  <c r="Y394" i="1"/>
  <c r="AA394" i="1" s="1"/>
  <c r="Y395" i="1"/>
  <c r="AA395" i="1" s="1"/>
  <c r="Y396" i="1"/>
  <c r="AA396" i="1" s="1"/>
  <c r="Y397" i="1"/>
  <c r="AA397" i="1" s="1"/>
  <c r="Y398" i="1"/>
  <c r="AA398" i="1" s="1"/>
  <c r="Y399" i="1"/>
  <c r="AA399" i="1" s="1"/>
  <c r="Y400" i="1"/>
  <c r="AA400" i="1" s="1"/>
  <c r="Y401" i="1"/>
  <c r="AA401" i="1" s="1"/>
  <c r="Y402" i="1"/>
  <c r="AA402" i="1" s="1"/>
  <c r="Y403" i="1"/>
  <c r="AA403" i="1" s="1"/>
  <c r="Y404" i="1"/>
  <c r="AA404" i="1" s="1"/>
  <c r="Y405" i="1"/>
  <c r="AA405" i="1" s="1"/>
  <c r="Y406" i="1"/>
  <c r="AA406" i="1" s="1"/>
  <c r="Y407" i="1"/>
  <c r="AA407" i="1" s="1"/>
  <c r="Y408" i="1"/>
  <c r="AA408" i="1" s="1"/>
  <c r="Y409" i="1"/>
  <c r="AA409" i="1" s="1"/>
  <c r="Y410" i="1"/>
  <c r="AA410" i="1" s="1"/>
  <c r="Y411" i="1"/>
  <c r="AA411" i="1" s="1"/>
  <c r="Y412" i="1"/>
  <c r="AA412" i="1" s="1"/>
  <c r="Y413" i="1"/>
  <c r="AA413" i="1" s="1"/>
  <c r="Y414" i="1"/>
  <c r="AA414" i="1" s="1"/>
  <c r="Y415" i="1"/>
  <c r="AA415" i="1" s="1"/>
  <c r="Y416" i="1"/>
  <c r="AA416" i="1" s="1"/>
  <c r="Y417" i="1"/>
  <c r="AA417" i="1" s="1"/>
  <c r="Y418" i="1"/>
  <c r="AA418" i="1" s="1"/>
  <c r="Y419" i="1"/>
  <c r="AA419" i="1" s="1"/>
  <c r="Y420" i="1"/>
  <c r="AA420" i="1" s="1"/>
  <c r="Y421" i="1"/>
  <c r="AA421" i="1" s="1"/>
  <c r="Y422" i="1"/>
  <c r="AA422" i="1" s="1"/>
  <c r="Y423" i="1"/>
  <c r="AA423" i="1" s="1"/>
  <c r="Y424" i="1"/>
  <c r="AA424" i="1" s="1"/>
  <c r="Y425" i="1"/>
  <c r="AA425" i="1" s="1"/>
  <c r="Y426" i="1"/>
  <c r="AA426" i="1" s="1"/>
  <c r="Y427" i="1"/>
  <c r="AA427" i="1" s="1"/>
  <c r="Y428" i="1"/>
  <c r="AA428" i="1" s="1"/>
  <c r="Y429" i="1"/>
  <c r="AA429" i="1" s="1"/>
  <c r="Y430" i="1"/>
  <c r="AA430" i="1" s="1"/>
  <c r="Y431" i="1"/>
  <c r="AA431" i="1" s="1"/>
  <c r="Y432" i="1"/>
  <c r="AA432" i="1" s="1"/>
  <c r="Y433" i="1"/>
  <c r="AA433" i="1" s="1"/>
  <c r="Y434" i="1"/>
  <c r="AA434" i="1" s="1"/>
  <c r="Y435" i="1"/>
  <c r="AA435" i="1" s="1"/>
  <c r="Y436" i="1"/>
  <c r="AA436" i="1" s="1"/>
  <c r="Y437" i="1"/>
  <c r="AA437" i="1" s="1"/>
  <c r="Y438" i="1"/>
  <c r="AA438" i="1" s="1"/>
  <c r="Y439" i="1"/>
  <c r="AA439" i="1" s="1"/>
  <c r="Y440" i="1"/>
  <c r="AA440" i="1" s="1"/>
  <c r="Y441" i="1"/>
  <c r="AA441" i="1" s="1"/>
  <c r="Y442" i="1"/>
  <c r="AA442" i="1" s="1"/>
  <c r="Y443" i="1"/>
  <c r="AA443" i="1" s="1"/>
  <c r="Y444" i="1"/>
  <c r="AA444" i="1" s="1"/>
  <c r="Y445" i="1"/>
  <c r="AA445" i="1" s="1"/>
  <c r="Y446" i="1"/>
  <c r="AA446" i="1" s="1"/>
  <c r="Y447" i="1"/>
  <c r="AA447" i="1" s="1"/>
  <c r="Y448" i="1"/>
  <c r="AA448" i="1" s="1"/>
  <c r="Y449" i="1"/>
  <c r="AA449" i="1" s="1"/>
  <c r="Y450" i="1"/>
  <c r="AA450" i="1" s="1"/>
  <c r="Y451" i="1"/>
  <c r="AA451" i="1" s="1"/>
  <c r="Y452" i="1"/>
  <c r="AA452" i="1" s="1"/>
  <c r="Y453" i="1"/>
  <c r="AA453" i="1" s="1"/>
  <c r="Y454" i="1"/>
  <c r="AA454" i="1" s="1"/>
  <c r="Y455" i="1"/>
  <c r="AA455" i="1" s="1"/>
  <c r="Y456" i="1"/>
  <c r="AA456" i="1" s="1"/>
  <c r="Y457" i="1"/>
  <c r="AA457" i="1" s="1"/>
  <c r="Y458" i="1"/>
  <c r="AA458" i="1" s="1"/>
  <c r="Y459" i="1"/>
  <c r="AA459" i="1" s="1"/>
  <c r="Y460" i="1"/>
  <c r="AA460" i="1" s="1"/>
  <c r="Y461" i="1"/>
  <c r="AA461" i="1" s="1"/>
  <c r="Y462" i="1"/>
  <c r="AA462" i="1" s="1"/>
  <c r="Y463" i="1"/>
  <c r="AA463" i="1" s="1"/>
  <c r="Y464" i="1"/>
  <c r="AA464" i="1" s="1"/>
  <c r="Y465" i="1"/>
  <c r="AA465" i="1" s="1"/>
  <c r="Y466" i="1"/>
  <c r="AA466" i="1" s="1"/>
  <c r="Y467" i="1"/>
  <c r="AA467" i="1" s="1"/>
  <c r="Y468" i="1"/>
  <c r="AA468" i="1" s="1"/>
  <c r="Y469" i="1"/>
  <c r="AA469" i="1" s="1"/>
  <c r="Y470" i="1"/>
  <c r="AA470" i="1" s="1"/>
  <c r="Y471" i="1"/>
  <c r="AA471" i="1" s="1"/>
  <c r="Y472" i="1"/>
  <c r="AA472" i="1" s="1"/>
  <c r="Y473" i="1"/>
  <c r="AA473" i="1" s="1"/>
  <c r="Y474" i="1"/>
  <c r="AA474" i="1" s="1"/>
  <c r="Y475" i="1"/>
  <c r="AA475" i="1" s="1"/>
  <c r="Y476" i="1"/>
  <c r="AA476" i="1" s="1"/>
  <c r="Y477" i="1"/>
  <c r="AA477" i="1" s="1"/>
  <c r="Y478" i="1"/>
  <c r="AA478" i="1" s="1"/>
  <c r="Y479" i="1"/>
  <c r="AA479" i="1" s="1"/>
  <c r="Y480" i="1"/>
  <c r="AA480" i="1" s="1"/>
  <c r="Y481" i="1"/>
  <c r="AA481" i="1" s="1"/>
  <c r="Y482" i="1"/>
  <c r="AA482" i="1" s="1"/>
  <c r="Y483" i="1"/>
  <c r="AA483" i="1" s="1"/>
  <c r="Y484" i="1"/>
  <c r="AA484" i="1" s="1"/>
  <c r="Y485" i="1"/>
  <c r="AA485" i="1" s="1"/>
  <c r="Y486" i="1"/>
  <c r="AA486" i="1" s="1"/>
  <c r="Y487" i="1"/>
  <c r="AA487" i="1" s="1"/>
  <c r="Y488" i="1"/>
  <c r="AA488" i="1" s="1"/>
  <c r="Y489" i="1"/>
  <c r="AA489" i="1" s="1"/>
  <c r="Y490" i="1"/>
  <c r="AA490" i="1" s="1"/>
  <c r="Y491" i="1"/>
  <c r="AA491" i="1" s="1"/>
  <c r="Y492" i="1"/>
  <c r="AA492" i="1" s="1"/>
  <c r="Y493" i="1"/>
  <c r="AA493" i="1" s="1"/>
  <c r="Y494" i="1"/>
  <c r="AA494" i="1" s="1"/>
  <c r="Y495" i="1"/>
  <c r="AA495" i="1" s="1"/>
  <c r="Y496" i="1"/>
  <c r="AA496" i="1" s="1"/>
  <c r="Y497" i="1"/>
  <c r="AA497" i="1" s="1"/>
  <c r="Y498" i="1"/>
  <c r="AA498" i="1" s="1"/>
  <c r="Y499" i="1"/>
  <c r="AA499" i="1" s="1"/>
  <c r="Y500" i="1"/>
  <c r="AA500" i="1" s="1"/>
  <c r="Y2" i="1"/>
  <c r="AA2" i="1" s="1"/>
  <c r="AA96" i="1"/>
  <c r="AA11" i="1"/>
  <c r="AA19" i="1"/>
  <c r="AA35" i="1"/>
  <c r="AA41" i="1"/>
  <c r="AA42" i="1"/>
  <c r="AA43" i="1"/>
  <c r="AA67" i="1"/>
  <c r="AA91" i="1"/>
  <c r="AA105" i="1"/>
  <c r="AA115" i="1"/>
  <c r="AA121" i="1"/>
  <c r="AA131" i="1"/>
  <c r="AA137" i="1"/>
  <c r="AA139" i="1"/>
  <c r="AA155" i="1"/>
  <c r="AA224"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Lucia Moniz das Neves</author>
  </authors>
  <commentList>
    <comment ref="A1" authorId="0" shapeId="0" xr:uid="{3D0CC899-D669-4233-8DBC-73F5177E8AFF}">
      <text>
        <r>
          <rPr>
            <sz val="9"/>
            <color indexed="81"/>
            <rFont val="Segoe UI"/>
            <family val="2"/>
          </rPr>
          <t xml:space="preserve">Sequência numérica acompanhada do código que identifica a obra.
</t>
        </r>
      </text>
    </comment>
    <comment ref="B1" authorId="0" shapeId="0" xr:uid="{B6335FCB-8332-4C3F-8526-73CA4B27A1C1}">
      <text>
        <r>
          <rPr>
            <sz val="9"/>
            <color indexed="81"/>
            <rFont val="Segoe UI"/>
            <family val="2"/>
          </rPr>
          <t>Selecione na lista suspensa em cada célula o status da ilustração.</t>
        </r>
      </text>
    </comment>
    <comment ref="C1" authorId="0" shapeId="0" xr:uid="{FAD14918-A50B-4457-82F3-CB9459ECF06F}">
      <text>
        <r>
          <rPr>
            <sz val="9"/>
            <color indexed="81"/>
            <rFont val="Segoe UI"/>
            <family val="2"/>
          </rPr>
          <t xml:space="preserve">Selecione na lista suspensa, a categoria da ilustração.
</t>
        </r>
      </text>
    </comment>
    <comment ref="D1" authorId="0" shapeId="0" xr:uid="{BA521218-ED46-4B88-88BC-4DAE435C6EEF}">
      <text>
        <r>
          <rPr>
            <sz val="9"/>
            <color indexed="81"/>
            <rFont val="Segoe UI"/>
            <family val="2"/>
          </rPr>
          <t xml:space="preserve">Selecione na lista suspensa em que parte do livro se encontra a imagem.
</t>
        </r>
      </text>
    </comment>
    <comment ref="E1" authorId="0" shapeId="0" xr:uid="{C3A8D5CC-14E2-4242-832A-55EE9A62D513}">
      <text>
        <r>
          <rPr>
            <sz val="9"/>
            <color indexed="81"/>
            <rFont val="Segoe UI"/>
            <family val="2"/>
          </rPr>
          <t>Preencher estes campos com números 
de páginas.</t>
        </r>
      </text>
    </comment>
    <comment ref="F1" authorId="0" shapeId="0" xr:uid="{77322721-7593-42F0-A138-176211D22CCC}">
      <text>
        <r>
          <rPr>
            <sz val="9"/>
            <color indexed="81"/>
            <rFont val="Segoe UI"/>
            <family val="2"/>
          </rPr>
          <t>Prencher com o número do volume da obra.</t>
        </r>
      </text>
    </comment>
    <comment ref="G1" authorId="0" shapeId="0" xr:uid="{C9C571BF-9693-4193-B70D-A743F5A0A3BC}">
      <text>
        <r>
          <rPr>
            <sz val="9"/>
            <color indexed="81"/>
            <rFont val="Segoe UI"/>
            <family val="2"/>
          </rPr>
          <t>Preencher este campo com o número do capítulo ou nome da seção.</t>
        </r>
      </text>
    </comment>
    <comment ref="H1" authorId="0" shapeId="0" xr:uid="{2AD45050-60B0-4A0D-998B-D528686848F8}">
      <text>
        <r>
          <rPr>
            <sz val="9"/>
            <color indexed="81"/>
            <rFont val="Segoe UI"/>
            <family val="2"/>
          </rPr>
          <t xml:space="preserve">Preencher estes campos com números do capítulos ou os nomes padronizados das seções.
</t>
        </r>
      </text>
    </comment>
    <comment ref="I1" authorId="0" shapeId="0" xr:uid="{E5C58997-9047-40FB-9E41-6042EA80051C}">
      <text>
        <r>
          <rPr>
            <sz val="9"/>
            <color indexed="81"/>
            <rFont val="Segoe UI"/>
            <family val="2"/>
          </rPr>
          <t>Selecione na lista suspensa em cada célula o tipo da ilustração.</t>
        </r>
      </text>
    </comment>
    <comment ref="J1" authorId="0" shapeId="0" xr:uid="{65B19E86-3441-46E9-8ED5-04BD67048482}">
      <text>
        <r>
          <rPr>
            <sz val="9"/>
            <color indexed="81"/>
            <rFont val="Segoe UI"/>
            <family val="2"/>
          </rPr>
          <t xml:space="preserve">Se o tipo de imagem escolhida for RESGATE ou AJUSTE, coloque aqui o nome da obra de origem.
</t>
        </r>
      </text>
    </comment>
    <comment ref="K1" authorId="0" shapeId="0" xr:uid="{C4B31C13-AB94-4B46-8D4F-2C22A8C152F3}">
      <text>
        <r>
          <rPr>
            <sz val="9"/>
            <color indexed="81"/>
            <rFont val="Segoe UI"/>
            <family val="2"/>
          </rPr>
          <t xml:space="preserve">Se o tipo de imagem escolhida for RESGATE ou AJUSTE, coloque aqui apenas o número da página da obra de origem.
</t>
        </r>
      </text>
    </comment>
    <comment ref="L1" authorId="0" shapeId="0" xr:uid="{13F95DE5-820E-4AFB-B19B-F67435299211}">
      <text>
        <r>
          <rPr>
            <sz val="9"/>
            <color indexed="81"/>
            <rFont val="Segoe UI"/>
            <family val="2"/>
          </rPr>
          <t>Se o tipo de imagem escolhida for RESGATE ou AJUSTE, coloque aqui apenas o número do volume da obra de origem.</t>
        </r>
      </text>
    </comment>
    <comment ref="M1" authorId="0" shapeId="0" xr:uid="{222EBAFF-E995-4F89-8D0C-64B3297D567A}">
      <text>
        <r>
          <rPr>
            <sz val="9"/>
            <color indexed="81"/>
            <rFont val="Segoe UI"/>
            <family val="2"/>
          </rPr>
          <t xml:space="preserve">
Se o tipo de imagem escolhida for RESGATE ou AJUSTE, coloque aqui apenas o número do volume da obra de origem.</t>
        </r>
      </text>
    </comment>
    <comment ref="N1" authorId="0" shapeId="0" xr:uid="{8CDAFBE6-4A6B-427F-AB80-AEC501642817}">
      <text>
        <r>
          <rPr>
            <sz val="9"/>
            <color indexed="81"/>
            <rFont val="Segoe UI"/>
            <family val="2"/>
          </rPr>
          <t>Qual editora possui o direito de uso da ilustração.</t>
        </r>
      </text>
    </comment>
    <comment ref="O1" authorId="0" shapeId="0" xr:uid="{17E5CCB4-FC1A-4EBA-8DA2-17775F93A903}">
      <text>
        <r>
          <rPr>
            <sz val="9"/>
            <color indexed="81"/>
            <rFont val="Segoe UI"/>
            <family val="2"/>
          </rPr>
          <t xml:space="preserve">Descrição da imagem detalhada de acordo com a edição.
</t>
        </r>
      </text>
    </comment>
    <comment ref="Q1" authorId="0" shapeId="0" xr:uid="{E94920A2-613D-4D8E-845D-9EA24DC69025}">
      <text>
        <r>
          <rPr>
            <sz val="9"/>
            <color indexed="81"/>
            <rFont val="Segoe UI"/>
            <family val="2"/>
          </rPr>
          <t>Anotações gerais/adicionais da equipe/núcleo sobre a produção da imagem.</t>
        </r>
      </text>
    </comment>
    <comment ref="R1" authorId="0" shapeId="0" xr:uid="{6989CC06-6230-488E-AF1D-D020B76B671B}">
      <text>
        <r>
          <rPr>
            <sz val="9"/>
            <color indexed="81"/>
            <rFont val="Segoe UI"/>
            <family val="2"/>
          </rPr>
          <t xml:space="preserve">Número do lote de acordo com a data de liberação para arte.
</t>
        </r>
      </text>
    </comment>
    <comment ref="S1" authorId="0" shapeId="0" xr:uid="{3C8056B6-6D56-4ABC-8D5E-133F73C05996}">
      <text>
        <r>
          <rPr>
            <sz val="9"/>
            <color indexed="81"/>
            <rFont val="Segoe UI"/>
            <family val="2"/>
          </rPr>
          <t xml:space="preserve">Data que o lote foi liberado para edição de arte.
</t>
        </r>
      </text>
    </comment>
    <comment ref="T1" authorId="0" shapeId="0" xr:uid="{3C167E04-A371-47C4-8717-D873AD4E9FC7}">
      <text>
        <r>
          <rPr>
            <sz val="9"/>
            <color indexed="81"/>
            <rFont val="Segoe UI"/>
            <family val="2"/>
          </rPr>
          <t>Data de envio da edição de arte para o ilustrador.</t>
        </r>
      </text>
    </comment>
    <comment ref="U1" authorId="0" shapeId="0" xr:uid="{69C14C76-27F2-41AF-852D-CB92E57EA4BB}">
      <text>
        <r>
          <rPr>
            <sz val="9"/>
            <color indexed="81"/>
            <rFont val="Segoe UI"/>
            <family val="2"/>
          </rPr>
          <t xml:space="preserve">Data de recebimento 
do rafe do ilustrador.
</t>
        </r>
      </text>
    </comment>
    <comment ref="V1" authorId="0" shapeId="0" xr:uid="{04B50519-2510-4909-864C-EB1E440194CF}">
      <text>
        <r>
          <rPr>
            <sz val="9"/>
            <color indexed="81"/>
            <rFont val="Segoe UI"/>
            <family val="2"/>
          </rPr>
          <t xml:space="preserve">Data de envio para finalizar a ilustração.
</t>
        </r>
      </text>
    </comment>
    <comment ref="W1" authorId="0" shapeId="0" xr:uid="{CEA43B39-7373-4A67-A7FA-E74EABB032A8}">
      <text>
        <r>
          <rPr>
            <sz val="9"/>
            <color indexed="81"/>
            <rFont val="Segoe UI"/>
            <family val="2"/>
          </rPr>
          <t>Data de retorno da ilustração finalizada pelo ilustrador.</t>
        </r>
      </text>
    </comment>
    <comment ref="X1" authorId="0" shapeId="0" xr:uid="{8894FE2D-830E-400E-8328-8CAE80D2CA61}">
      <text>
        <r>
          <rPr>
            <sz val="9"/>
            <color indexed="81"/>
            <rFont val="Segoe UI"/>
            <family val="2"/>
          </rPr>
          <t>Selecione na lista suspensa a sigla do nome do ilustrador que produziu ou produzirá a ilustração ou o nome do criador da ilustração do padrão.</t>
        </r>
        <r>
          <rPr>
            <b/>
            <sz val="9"/>
            <color indexed="81"/>
            <rFont val="Segoe UI"/>
            <family val="2"/>
          </rPr>
          <t xml:space="preserve">
</t>
        </r>
      </text>
    </comment>
    <comment ref="Y1" authorId="0" shapeId="0" xr:uid="{DCD8860F-16F3-4D41-BA80-F679A5727127}">
      <text>
        <r>
          <rPr>
            <sz val="9"/>
            <color indexed="81"/>
            <rFont val="Segoe UI"/>
            <family val="2"/>
          </rPr>
          <t>Nome do ilustrador que produziu ou produzirá a ilustração ou o nome do criador da ilustração do padrão.
Coluna bloqueada para edição manual.</t>
        </r>
      </text>
    </comment>
    <comment ref="Z1" authorId="0" shapeId="0" xr:uid="{58AED824-409A-41E8-BF67-1959D1B97CC0}">
      <text>
        <r>
          <rPr>
            <sz val="9"/>
            <color indexed="81"/>
            <rFont val="Segoe UI"/>
            <family val="2"/>
          </rPr>
          <t>Nome de quem ajustou ou coloriu a ilustração.</t>
        </r>
      </text>
    </comment>
    <comment ref="AA1" authorId="0" shapeId="0" xr:uid="{6ECC2883-E2DB-4A0F-A8E0-5F9C7F3E9932}">
      <text>
        <r>
          <rPr>
            <sz val="9"/>
            <color indexed="81"/>
            <rFont val="Segoe UI"/>
            <family val="2"/>
          </rPr>
          <t>O crédito deve ser de quem criou a ilustração e produziu-a pela primeira vez. Em casos de mais de um ilustrador, separar por /. Ex: Sergio Lima/Rogério Casagrande</t>
        </r>
      </text>
    </comment>
    <comment ref="AB1" authorId="0" shapeId="0" xr:uid="{A75A1E6C-CE82-4039-B5E4-8415AFD6F938}">
      <text>
        <r>
          <rPr>
            <sz val="9"/>
            <color indexed="81"/>
            <rFont val="Segoe UI"/>
            <family val="2"/>
          </rPr>
          <t xml:space="preserve">Selecione na lista suspensa em cada célula a classificação da ilustração.
</t>
        </r>
      </text>
    </comment>
    <comment ref="AC1" authorId="0" shapeId="0" xr:uid="{B96AFB6E-62C6-4112-AC4A-77C048F5CEC2}">
      <text>
        <r>
          <rPr>
            <sz val="9"/>
            <color indexed="81"/>
            <rFont val="Segoe UI"/>
            <family val="2"/>
          </rPr>
          <t>Anotações gerais/adicionais do designer sobre a produção da imagem.</t>
        </r>
      </text>
    </comment>
    <comment ref="AD1" authorId="0" shapeId="0" xr:uid="{71499792-448C-4233-8683-C2F2FA803FED}">
      <text>
        <r>
          <rPr>
            <sz val="9"/>
            <color indexed="81"/>
            <rFont val="Segoe UI"/>
            <family val="2"/>
          </rPr>
          <t>Anotações para fechamento dos pagamentos mensais das ilustrações.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tc={F99DBD06-1609-42E9-80B9-B8B03A34D5D7}</author>
  </authors>
  <commentList>
    <comment ref="B5" authorId="0" shapeId="0" xr:uid="{F99DBD06-1609-42E9-80B9-B8B03A34D5D7}">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Sempre confirmar no inicio do projeto esses créditos em verde com a Iconografia.
</t>
      </text>
    </comment>
  </commentList>
</comments>
</file>

<file path=xl/sharedStrings.xml><?xml version="1.0" encoding="utf-8"?>
<sst xmlns="http://schemas.openxmlformats.org/spreadsheetml/2006/main" count="4072" uniqueCount="1812">
  <si>
    <t>RETRANCA</t>
  </si>
  <si>
    <t>STATUS</t>
  </si>
  <si>
    <t>CATEGORIA</t>
  </si>
  <si>
    <t>LOCALIZAÇÃO</t>
  </si>
  <si>
    <t>PÁGINA</t>
  </si>
  <si>
    <t>VOLUME</t>
  </si>
  <si>
    <t>UNIDADE</t>
  </si>
  <si>
    <t>CAPÍTULO 
 ou
 SEÇÃO</t>
  </si>
  <si>
    <t>TIPO</t>
  </si>
  <si>
    <t>NOME DA OBRA
 PARA RESGATE</t>
  </si>
  <si>
    <t>PÁGINA PARA RESGATE</t>
  </si>
  <si>
    <t>VOLUME PARA RESGATE</t>
  </si>
  <si>
    <t>VERSÃO PARA RESGATE</t>
  </si>
  <si>
    <t>PROPRIEDADE</t>
  </si>
  <si>
    <t>DESCRIÇÃO DA IMAGEM</t>
  </si>
  <si>
    <t>ILUSTRADOR RESGATE</t>
  </si>
  <si>
    <t>OBSERVAÇÃO DO EDITORIAL/NÚCLEO</t>
  </si>
  <si>
    <t>LOTE</t>
  </si>
  <si>
    <t xml:space="preserve">DATA DE LIBERAÇÃO DO LOTE PARA ARTE </t>
  </si>
  <si>
    <t>DATA DE ENVIO 
DO PEDIDO</t>
  </si>
  <si>
    <t>DATA DO RECEBIMENTO 
DO RAFE</t>
  </si>
  <si>
    <t>DATA DE RETORNO DO RAFE PARA ILUSTRADOR</t>
  </si>
  <si>
    <t>DATA DE RECEBIMENTO
 DA FINALIZADA</t>
  </si>
  <si>
    <t>SIGLA</t>
  </si>
  <si>
    <t>ILUSTRADOR CRIAÇÃO</t>
  </si>
  <si>
    <t>ILUSTRADOR AJUSTES</t>
  </si>
  <si>
    <t>CRÉDITOS  (A e B)</t>
  </si>
  <si>
    <t>CLASSIFICAÇÃO</t>
  </si>
  <si>
    <t>OBSERVAÇÃO DA ARTE</t>
  </si>
  <si>
    <t>OBSERVAÇÃO DE PAGAMENTO</t>
  </si>
  <si>
    <t>PROJETO</t>
  </si>
  <si>
    <t>i0107_1p012chg_g27_e002</t>
  </si>
  <si>
    <t>APLICADA</t>
  </si>
  <si>
    <t>ILUSTRAÇÃO</t>
  </si>
  <si>
    <t>MIOLO</t>
  </si>
  <si>
    <t>RESGATE</t>
  </si>
  <si>
    <t>ilustração de caminhos para o menino levar presente para menina da página 46 do g23_ftd_lt_1bac. Código antigo: i0609dn_1bac_g23_ftd</t>
  </si>
  <si>
    <t>dn</t>
  </si>
  <si>
    <t>i0118_1p012chg_g27_e002</t>
  </si>
  <si>
    <t>AJUSTE</t>
  </si>
  <si>
    <t xml:space="preserve"> Ilustração de menina brincando de bola da página 52 do g23_ftd_lt_1bac. Código antigo: i0621cq_1bac_g23_ftd</t>
  </si>
  <si>
    <t>cq</t>
  </si>
  <si>
    <t>Bruna Campos</t>
  </si>
  <si>
    <t>Resgate com ajuste</t>
  </si>
  <si>
    <t>FINALIZADO</t>
  </si>
  <si>
    <t>i0119_1p012chg_g27_e002</t>
  </si>
  <si>
    <t>Ilustração de menina brincando com cachorro da página 53 do g23_ftd_lt_1bac. Código antigo: i0622cq_1bac_g23_ftd</t>
  </si>
  <si>
    <t>i0120_1p012chg_g27_e002</t>
  </si>
  <si>
    <t xml:space="preserve"> Ilustração de menina e menino conversando em libras da página 53 do g23_ftd_lt_1bac. Código antigo: i0623cq_1bac_g23_ftd_ef</t>
  </si>
  <si>
    <t>i0121_1p012chg_g27_e002</t>
  </si>
  <si>
    <t xml:space="preserve">. ilustração em espelho de crianças no pátio 
páginas 50 e 51 do g23_ftd_lt_1bac. 
Código antigo: i0619cq_1bac_g23_ftd
AJUSTE: separar a il em espelho em duas imagens isoladas, para que cada uma seja aplicada em uma página; remover parte do fundo da escola para que a imagem não fique atrás do texto. 
Ajustar cadeira e rodas: Adicionar aro de impulso e freio, além de ajustar rodinhas dianteiras e deixar o descanso do braço mais ergonômico. Por favor, seguir referência:
https://www.mobilitybrasil.com.br/cadeira-de-rodas-genesys-ultra-lite-x-infantil-ortobras
(Na referência, não há protetor na roda, como consta na ilustra. Podemos manter esse protetor e apenas ilustrar uma saída no centro dele, conforme ref.:
</t>
  </si>
  <si>
    <t>i0122_1p012chg_g27_e002</t>
  </si>
  <si>
    <t xml:space="preserve">Ajuste , continuação da ilustração i0121 - em espelho 
pedir ajuste para separar a il em espelho
</t>
  </si>
  <si>
    <t>i0126_1p012chg_g27_e002</t>
  </si>
  <si>
    <t>Resgatar ilustração de avó e neto conversando e comendo sopa na mesa da cozinha veio do g23_ftd_lt_1bag_p015 código antigo i0210cq_1bag_g23_ftd</t>
  </si>
  <si>
    <t>i0127_1p012chg_g27_e002</t>
  </si>
  <si>
    <t>Resgatar ilustração de crianças e uma professora lendo gibi sentado perto de uma árvore veio do g23_ftd_lt_1bag_p015 código antigo i0211cq_1bag_g23_ftd</t>
  </si>
  <si>
    <t>i0129_1p012chg_g27_e002</t>
  </si>
  <si>
    <t xml:space="preserve">ilustração de fundo em espelho da página 55 do g23_ftd_lt_1bac. Código antigo: i0625rq_1bac_g23_ftd_ly
Ajustar a il para que ela seja aplicada apenas na p. 41, removendo o ambiente de trás da tirinha na p. 40. Inserir dois adultos entre as crianças no parque (um adulto próximo das crianças no balanço; outro adulto próximo das crianças no gira-gira; eles devem estar olhando para as crianças nos brinquedos, como se estivessem atentos e cuidando delas; atentar para que os adultos não pareçam adolescentes, como o que está na gangorra com a cadeirante); incluir uma gangorra não acessível, sem pessoas nela, para dar ideia de que trata-se de um parque não feito especialmente para pessoas com deficiência, mas para todas as crianças. 
Ajuste nas cadeiras de rodas: 
Adicionar aro de impulso, freios e ajustar rodinhas dianteiras conforme referência:
https://www.mobilitybrasil.com.br/cadeira-de-rodas-genesys-ultra-lite-x-infantil-ortobras
Corrigir o assento da cadeira de rodas da criança que está na gangorra, pois está parecendo uma cadeira.
</t>
  </si>
  <si>
    <t>rq</t>
  </si>
  <si>
    <t>i0134_1p012chg_g27_e002</t>
  </si>
  <si>
    <t xml:space="preserve">i0134_1p012chg_g27_e002 
Ilustração em espelho de linha do tempo de lucas. veio de g23_ftd_lt_1bah_p020 código antigo i0213iv_1bah_g23_ftd até i0220iv_1bah_g23_ftd
Separar as retrancas das ils em A,B,C,D....
AJUSTAR -  a linha do tempo para que ela seja aplicada na vertical. Para isso, quebrar a linha do tempo em duas partes: na pag. 46 manter as imagens e textos do nascimento, 1 ano, 2 anos, 3 anos e 4 anos; na p. 47, aplicar o restante da linha do tempo na vertical com as fases de 5 anos, 6 anos e 7 </t>
  </si>
  <si>
    <t>iv</t>
  </si>
  <si>
    <t>g0135_1p012chg_g27_e002</t>
  </si>
  <si>
    <t>GRÁFICO</t>
  </si>
  <si>
    <t xml:space="preserve">
Il de linha do tempo, aplicar parte na página 46 e a outra na página 47. Separar as retrancas da linha do tempo em A e B.
</t>
  </si>
  <si>
    <t>vc</t>
  </si>
  <si>
    <t>Padrão</t>
  </si>
  <si>
    <t>i0136_1p012chg_g27_e002</t>
  </si>
  <si>
    <t xml:space="preserve"> il de mãe e filho conversando. veio de g23_ftd_lt_1bah_p024 código antigo i0225iv_1bah_g23_ftd</t>
  </si>
  <si>
    <t>i0137_1p012chg_g27_e002</t>
  </si>
  <si>
    <t>il de pai e filho conversando. veio de g23_ftd_lt_1bah_p024 código antigo i0226iv_1bah_g23_ftd</t>
  </si>
  <si>
    <t>i0138_1p012chg_g27_e002</t>
  </si>
  <si>
    <t>ilustração de pai e filha conversando e vendo fotos. veio de g23_ftd_lt_1bah_p025 código antigo i0227iv_1bah_g23_ftd
AJUSTE: deixar o pai mais velho</t>
  </si>
  <si>
    <t>Maryane Vioto Silva</t>
  </si>
  <si>
    <t>i0139_1p012chg_g27_e002</t>
  </si>
  <si>
    <t>ilustração de meninas conversando. veio de g23_ftd_lt_1bah_p025 código antigo i0228iv_1bah_g23_ftd</t>
  </si>
  <si>
    <t>i0140_1p012chg_g27_e002</t>
  </si>
  <si>
    <t xml:space="preserve">Ilustração com foto de meninas falando. veio de g23_ftd_lt_1bah_p026 código antigo i0247iv_1bah_g23_ftd. Ajustar a il, removendo os elementos que estão acima da cabeça da menina e ajustando o olhar para que ela pareça olhar para o estudante. Deixar a menina com vitiligo. </t>
  </si>
  <si>
    <t>i0301_1p012chg_g27_e002</t>
  </si>
  <si>
    <t>Tema 9 Saúde: Higiene do corpo</t>
  </si>
  <si>
    <t xml:space="preserve">Ilustração de menino escovando os dentes 
. Página 64 do g23_ftd_lt_1bac. Código antigo: i0815dn_1bac_g23_ftd 
Ajuste: separar todas as ilustras. </t>
  </si>
  <si>
    <t xml:space="preserve">Rafaela Panissa </t>
  </si>
  <si>
    <t>resgate com ajuste</t>
  </si>
  <si>
    <t>i0302_1p012chg_g27_e002</t>
  </si>
  <si>
    <t xml:space="preserve"> Ilustração de criança limpando a orelha com uma toalha.  
Página 65 do g23_ftd_lt_1bac. 
 Código antigo: i0816dn_1bac_g23_ftd 
Ajuste: separar todas as ilustras. </t>
  </si>
  <si>
    <t>i0303_1p012chg_g27_e002</t>
  </si>
  <si>
    <t xml:space="preserve"> Ilustração de criança lavando os olhos na pia.  
Página 65 do g23_ftd_lt_1bac. Código antigo: i0816dn_1bac_g23_ftd 
Ajuste: separar todas as ilustras. </t>
  </si>
  <si>
    <t>i0304_1p012chg_g27_e002</t>
  </si>
  <si>
    <t xml:space="preserve">Ilustração de uma criança assoando o nariz. 
 Página 65 do g23_ftd_lt_1bac. Código antigo: i0816dn_1bac_g23_ftd 
Ajuste: separar todas as ilustras. </t>
  </si>
  <si>
    <t>i0305_1p012chg_g27_e002</t>
  </si>
  <si>
    <t>NOVA</t>
  </si>
  <si>
    <t xml:space="preserve">Ilustração de criança tomando banho. A criança deve estar se ensaboando (as partes íntimas devem estar cobertas por espuma). Ilustrar criança ruiva com sardas. Separar ilustra das demais.  </t>
  </si>
  <si>
    <t>R:08/04 e F:10/04</t>
  </si>
  <si>
    <t>PAGO</t>
  </si>
  <si>
    <t>i0306_1p012chg_g27_e002</t>
  </si>
  <si>
    <t xml:space="preserve"> Ilustração de uma criança amarrando o cadarço do tênis. Página 64 do g23_ftd_lt_1bac. Código antigo: i0815dn_1bac_g23_ftd 
Ajuste: separar todas as ilustras. </t>
  </si>
  <si>
    <t>i0307_1p012chg_g27_e002</t>
  </si>
  <si>
    <t xml:space="preserve">Ilustração um adulto cortando as unhas de uma criança. Página 64 do g23_ftd_lt_1bac. Código antigo: i0815dn_1bac_g23_ftd 
AJUSTE 
Ajuste1: Separar todas as ilustras; 
Ajuste2: ilustrar aparelho auditivo na criança. Ref.: 
Aparelho auditivo infantil: os fatores de risco e os cuidados com a saúde auditiva desde cedo. </t>
  </si>
  <si>
    <t>i0308_1p012chg_g27_e002</t>
  </si>
  <si>
    <t xml:space="preserve">Ilustração de dentista examinando os dentes de uma criança.  
Página 68 do g23_ftd_lt_1bac. 
 Código antigo: i0821cq_1bac_g23_ftd </t>
  </si>
  <si>
    <t>i0316_1p012chg_g27_e002</t>
  </si>
  <si>
    <t xml:space="preserve">Ilustração de uma pessoa escovando a face frontal dos dentes da frente da boca. O movimento é de cima para baixo. 
Ajuste: Separar ilustras 
 Página 70 do g23_ftd_lt_1bac.  
Código antigo: i0826nc_1bac_g23_ftd </t>
  </si>
  <si>
    <t>nc</t>
  </si>
  <si>
    <t>i0317_1p012chg_g27_e002</t>
  </si>
  <si>
    <t xml:space="preserve">Ilustração de uma pessoa escovando atrás dos dentes da frente da boca. 
Ajuste: Separar ilustras 
 Página 70 do g23_ftd_lt_1bac.  
Código antigo: i0826Cnc_1bac_g23_ftd </t>
  </si>
  <si>
    <t>i0318_1p012chg_g27_e002</t>
  </si>
  <si>
    <t xml:space="preserve"> Ilustração de uma pessoa escovando os dentes de trás da boca. O movimento é de trás para frente. 
Ajuste: Separar ilustras 
 Página 70 do g23_ftd_lt_1bac. Código antigo: i0826Bnc_1bac_g23_ftd </t>
  </si>
  <si>
    <t>i0319_1p012chg_g27_e002</t>
  </si>
  <si>
    <t xml:space="preserve">Ilustração de uma pessoa escovando a língua. 
Ajuste: Separar ilustras 
 Página 70 do g23_ftd_lt_1bac.  
Código antigo: i0826ncD_1bac_g23_ftd </t>
  </si>
  <si>
    <t>i0320_1p012chg_g27_e002</t>
  </si>
  <si>
    <t xml:space="preserve">Ilustração de crianças brincando de pular corda. 
Ajuste: Na cadeira de rodas, ilustrar rodinhas dianteiras, freio e aro de impulso. O apoio dos pés deve ficar mais afastado das rodas. Por favor, seguir referência: 
https://www.mobilitybrasil.com.br/cadeira-de-rodas-genesys-ultra-lite-x-infantil-ortobras 
 Página 62 do g23_ftd_lt_1bac. 
 Código antigo: i0802ly_1bac_g23_ftd </t>
  </si>
  <si>
    <t>ly</t>
  </si>
  <si>
    <t>i0321_1p012chg_g27_e002</t>
  </si>
  <si>
    <t xml:space="preserve"> Ilustração de criança lavando as mãos.  
Página 62 do g23_ftd_lt_1bac. Código antigo: i0842ly_1bac_g23_ftd_ef </t>
  </si>
  <si>
    <t>i0322_1p012chg_g27_e002</t>
  </si>
  <si>
    <t xml:space="preserve"> Ilustração de criança lavando uma fruta. 
 Página 62 do g23_ftd_lt_1bac.  
Código antigo: i0843ly_1bac_g23_ftd_ef </t>
  </si>
  <si>
    <t>i0323_1p012chg_g27_e002</t>
  </si>
  <si>
    <t xml:space="preserve">Ilustração de criança escovando os dentes. Página 62 do g23_ftd_lt_1bac.  
Código antigo: i0844ly_1bac_g23_ftd </t>
  </si>
  <si>
    <t>i0324_1p012chg_g27_e002</t>
  </si>
  <si>
    <t xml:space="preserve">Ilustração de criança lendo um livro.  
Página 62 do g23_ftd_lt_1bac.  
Código antigo: i0845ly_1bac_g23_ftd_ef </t>
  </si>
  <si>
    <t>i0328_1p012chg_g27_e002</t>
  </si>
  <si>
    <t>Ilustração de criança comendo pão, frutas e tomando leite. 
 O relógio marca 7:00.  
Página 74 do g23_ftd_lt_1bac.  
Código antigo: i0833cq_1bac_g23_ftd_ef_ly 
Ajuste: separar todas as ilustras, ,  excluir relógio e inserir janela para ver ambiente
Ajuste2: Retirar bacia</t>
  </si>
  <si>
    <t>i0329_1p012chg_g27_e002</t>
  </si>
  <si>
    <t>Ilustração de criança comendo carne, arroz, feijão e salada. O relógio marca 12:00. 
 Página 74 do g23_ftd_lt_1bac.  
Código antigo: i0833cq_1bac_g23_ftd_ef_ly1 
Ajuste: separar todas as ilustras,  excluir relógio e inserir janela para ver ambiente</t>
  </si>
  <si>
    <t>i0330_1p012chg_g27_e002</t>
  </si>
  <si>
    <t>Ilustração de criança comendo frango, arroz, feijão e salada. O relógio marca 19:00. Página 74 do g23_ftd_lt_1bac.  
Código antigo: i0833cq_1bac_g23_ftd_ef_ly2 
Ajuste: separar todas as ilustras,  excluir relógio e inserir janela para ver ambiente</t>
  </si>
  <si>
    <t>i0702_1p012chg_g27_e002</t>
  </si>
  <si>
    <t>Tema 1 Seres vivos e componentes não vivos</t>
  </si>
  <si>
    <t>ilustração de etapas do experimento com feijão e rocha  
página 10 do g23_ftd_lt_1bac.  
Código antigo: i0202dn_1bac_g23_ftd 
Ajustar: separar ilustrações em retranca A, B, C, D</t>
  </si>
  <si>
    <t>i0703_1p012chg_g27_e002</t>
  </si>
  <si>
    <t>i0703a_1p012chg_g27_e002 
AJUSTE 
Arte: separar il em três partes (A, B e C) 
página 11 do g23_ftd_lt_1bac. 
Código antigo: i0205dn_1bac_g23_ftd
A: Ilustração de uma gata adulta e 3 filhotes 
B: ilustração de uma gata filhote
C:  ilustração de uma gata jovem</t>
  </si>
  <si>
    <t>Arte</t>
  </si>
  <si>
    <t>i0717_1p012chg_g27_e002</t>
  </si>
  <si>
    <t xml:space="preserve">Ilustração de parquinho infantil conservado da página 14 do g23_ftd_lt_1bac. Código antigo:i0209Biv_1bac_g23_ftd 
Ajuste1: Elevar a altura da gangorra e das barras de apoio para as crianças; 
Ajuste2: No escorregador, a superfície de deslizamento deve ter uma curvatura maior. 
Ajuste3: No balanço, ao invés de representar a estrutura com partes faltando, ilustrar ferrugens. </t>
  </si>
  <si>
    <t xml:space="preserve">i0714_1p012chg_g27_e002 </t>
  </si>
  <si>
    <t>EXCLUIDA</t>
  </si>
  <si>
    <t>Vamios avaliar</t>
  </si>
  <si>
    <t xml:space="preserve">Ilustração de polvo  
página 19 do g23_ftd_lt_1bac. Código antigo: i0225rm_1bac_g23_ftd </t>
  </si>
  <si>
    <t>rm</t>
  </si>
  <si>
    <t>i0704_1p012chg_g27_e002</t>
  </si>
  <si>
    <t xml:space="preserve">Ilustração de diversas situações sobre cuidado do meio ambiente  
 página 13 do g23_ftd_lt_1bac. Código antigo: i0207cq_1bac_g23_ftd 
Ajuste: excluir a palavra lixo em ambas as lixeiras (manter apenas “ORGÂNICO” e “RECICLÁVEL”. 
Ajuste 1: Ajustar a posição das pernas e pés do menino em cadeira de rodas. Os pés devem estar levemente a frente apoiados em um suporte para os pés; 
Ajuste 2: Na cadeira de rodas, o protetor da roda deve ter um furo no meio. Também é preciso ilustrar o aro de impulso, conforme referência: 
Ilustrar o freio da cadeira conforme referência: 
Cadeira de Rodas Genesys Ultra-lite "X" Infantil Ortobras - Mobility Brasil - Maior Especialista em Cadeira de Rodas do Brasil 
Ajuste 3: Em continuidade com a rampa, ilustrar um caminho asfaltado no gramado. Com esse ajuste, será preciso mover as lixeiras.  
Ajuste 4: Ilustrar o funcionário com vitiligo.  </t>
  </si>
  <si>
    <t>i0706_1p012chg_g27_e002</t>
  </si>
  <si>
    <t xml:space="preserve">Ilustração de parquinho infantil malconservado da página 14 do g23_ftd_lt_1bac. Código antigo: i0209Aiv_1bac_g23_ftd 
Ajuste1: Elevar a altura da gangorra e das barras de apoio para as crianças; 
Ajuste2: No escorregador, a superfície de deslizamento deve ter uma curvatura maior. 
Ajuste3: No balanço, ao invés de representar a estrutura com partes faltando, ilustrar ferrugens. </t>
  </si>
  <si>
    <t>i0707_1p012chg_g27_e002</t>
  </si>
  <si>
    <t xml:space="preserve">ilustração de uma menina e um senhor passeando em ambientes com diferentes plantas e animais página 16 do g23_ftd_lt_1bac. Código antigo: i0211cq_1bac_g23_ftd 
Ajustar para que o texto não entre sobre a imagem (cropar, retirando uma parte do céu) e retirar o zoom da minhoca. </t>
  </si>
  <si>
    <t xml:space="preserve">i0715_1p012chg_g27_e002  </t>
  </si>
  <si>
    <t xml:space="preserve">Ilustração de tamanduá  
página 19 do g23_ftd_lt_1bac. Código antigo: i0227rm_1bac_g23_ftd </t>
  </si>
  <si>
    <t xml:space="preserve">i0716_1p012chg_g27_e002  </t>
  </si>
  <si>
    <t xml:space="preserve">Ilustração de roseira  
 página 19 do g23_ftd_lt_1bac. Código antigo: i0228rm_1bac_g23_ftd </t>
  </si>
  <si>
    <t>i0142_1p012chg_g27_e002</t>
  </si>
  <si>
    <t>Ilustração de um menino e uma menina por volta de 6 anos de idade jogando futebol – o menino deve estar usando prótese e uma das pernas e estar com a bola próxima do pé, como se fosse chutar; a amiga deve estar próxima dele, como se estivessem jogando. Como essa il é sequência das demais, por favor, manter traços e padrão das ilustrações que foram resgate (da obra) – Fazer a garota pele preta e cabelo encaracolado, preso (rabo de cavalo) : o menino fazer de pele branca e cabelos castanhos encaracolados.
VER IMAGEM REF.</t>
  </si>
  <si>
    <t>F:28/04</t>
  </si>
  <si>
    <t>i0143_1p012chg_g27_e002</t>
  </si>
  <si>
    <t>Ilustração de duas crianças +/- 6 anos (menino e menina) na escola, sentados na carteira escolar, uma de frente para a outra. Sobre a mesa deve ter um tabuleiro com bolinhas coloridas. (ver foto referência). Fazer menina de pele branca com cabelos castanhos deve estar usando o cordão quebra-cabeça, e fazer o garoto japonês. (atenção, o olho do garoto não pode ser apenas um rico ou estar fechado, pois isso é estereótipo)
As crianças estarão no tabuleiro com bolinhas coloridas. As crianças devem estar de uniforme escolar. ver ref.</t>
  </si>
  <si>
    <t>i0152_1p012chg_g27_e002</t>
  </si>
  <si>
    <t>resgatar il de crianças brincando de roda com três quadros ao lado de cada criança para o aluno preencher. veio de g23_ftd_lt_1bah_p028 código antigo i0246iv_1bah_g23_ftd
indicar conforme imagem referência</t>
  </si>
  <si>
    <t>i0153_1p012chg_g27_e002</t>
  </si>
  <si>
    <t>Ilustração de pontilhado da palavra SIM</t>
  </si>
  <si>
    <t>Pedido de exclusão feito pela arte. A diag vai fazer</t>
  </si>
  <si>
    <t>i0154_1p012chg_g27_e002</t>
  </si>
  <si>
    <t>Ilustração de pontilhado da palavra NÃO</t>
  </si>
  <si>
    <t xml:space="preserve">i0156_1p012chg_g27_e002 </t>
  </si>
  <si>
    <t>il de melancia- Cód. Antigo - i0235dn_1bag_g23_ftd (Resgatar as 6 imagens da página 23 do 1bag_g23_ftd)</t>
  </si>
  <si>
    <t xml:space="preserve">i0157_1p012chg_g27_e002 </t>
  </si>
  <si>
    <t>il de garota- - Cód. Antigo - i0236dn_1bag_g23_ftd</t>
  </si>
  <si>
    <t xml:space="preserve">i0158_1p012chg_g27_e002 </t>
  </si>
  <si>
    <t>il de bicicleta- - Cód. Antigo - i0237dn_1bag_g23_ftd</t>
  </si>
  <si>
    <t xml:space="preserve">i0159_1p012chg_g27_e002 </t>
  </si>
  <si>
    <t>il de mão desenhando - - Cód. Antigo - i0238dn_1bag_g23_ftd</t>
  </si>
  <si>
    <t xml:space="preserve">i0160_1p012chg_g27_e002 </t>
  </si>
  <si>
    <t>il de – bola - - Cód. Antigo - i0239dn_1bag_g23_ftd</t>
  </si>
  <si>
    <t>i0161_1p012chg_g27_e002</t>
  </si>
  <si>
    <t>il de cenoura- - Cód. Antigo - i0240dn_1bag_g23_ftd</t>
  </si>
  <si>
    <t xml:space="preserve">i0162_1p012chg_g27_e002 </t>
  </si>
  <si>
    <t>il de mão esquerda- - Cód. Antigo - i0222rm_1bag_g23_ftd (resgatar sequências de mãos direitas e esquerdas da página 21 do g23_ftd_lt_1bag. )</t>
  </si>
  <si>
    <t xml:space="preserve">i0163_1p012chg_g27_e002 </t>
  </si>
  <si>
    <t>il de mão direita- - Cód. Antigo - i0223rm_1bag_g23_ftd</t>
  </si>
  <si>
    <t xml:space="preserve">i0164_1p012chg_g27_e002 </t>
  </si>
  <si>
    <t>il de mão esquerda- - Cód. Antigo - i0224rm_1bag_g23_ftd</t>
  </si>
  <si>
    <t xml:space="preserve">i0165_1p012chg_g27_e002 </t>
  </si>
  <si>
    <t>il de mão direita- - Cód. Antigo - i0225rm_1bag_g23_ftd</t>
  </si>
  <si>
    <t xml:space="preserve">i0166_1p012chg_g27_e002 </t>
  </si>
  <si>
    <t>PRONTA</t>
  </si>
  <si>
    <t>il de mão esquerda - ajuste flicar- Cód. Antigo - i0223rm_1bag_g23_ftd</t>
  </si>
  <si>
    <t>Rebecca Baniski</t>
  </si>
  <si>
    <t xml:space="preserve">i0167_1p012chg_g27_e002 </t>
  </si>
  <si>
    <t>il de mão direita- - Cód. Antigo - i0227rm_1bag_g23_ftd</t>
  </si>
  <si>
    <t>i0169_1p012chg_g27_e002</t>
  </si>
  <si>
    <t>Ilustração de criança andando. Fazer uma menina (6 anos) pele preta, cabelo blackpower, colocar uma presilha no cabelo e fazer de tênis. ver ref. shutter 2281097379</t>
  </si>
  <si>
    <t>i0170_1p012chg_g27_e002</t>
  </si>
  <si>
    <t>Ilustração de um menino (6 anos) mestiço japonês, tomando banho sozinho, ele deve estar com uma bucha se ensaboando e o chuveiro deve estar desligado. Ver ideia imagem de ref. shutter 1377765902</t>
  </si>
  <si>
    <t>i0171_1p012chg_g27_e002</t>
  </si>
  <si>
    <t>Ilustração de uma menina (6 anos) fazer de cabelos encaracolados castanhos com uma tiara e pele morena clara, escrevendo no caderno com um lápis. (ela usando o lápis para escrever é o foco da ilustração, cuidado para não inserir muita coisa ao redor e esconder a ação). Imagem ref. shutter 2492463565</t>
  </si>
  <si>
    <t>i0172_1p012chg_g27_e002</t>
  </si>
  <si>
    <t>Ilustração de um garoto (6 anos) pele moreno claro, de cabelos pretos enrolado e de óculos, fazer ele agachado amarrando o cadarço do tênis. Imagem ref. shutter 2364010379</t>
  </si>
  <si>
    <t xml:space="preserve">i0722_1p012chg_g27_e002 </t>
  </si>
  <si>
    <t xml:space="preserve">Resgatar ilustração de um labirinto veio do g23_ftd_lt_1bag_p044, código antigo: i0605dn_1bag_g23_ftd 
Ajuste: remover contorno. </t>
  </si>
  <si>
    <t xml:space="preserve">i0724_1p012chg_g27_e002 </t>
  </si>
  <si>
    <t xml:space="preserve">Resgatar ilustração de criança aprendendo a contar com diferentes materiais veio do g23_ftd_lt_1bag_p026, código antigo: i0402kt_1bag_g23_ftd </t>
  </si>
  <si>
    <t>kt</t>
  </si>
  <si>
    <t xml:space="preserve">i0725_1p012chg_g27_e002 </t>
  </si>
  <si>
    <t xml:space="preserve">Resgatar ilustração de crianças pintando papel com tintas e pinceis veio do g23_ftd_lt_1bag_p026, código antigo: i0403kt_1bag_g23_ftd </t>
  </si>
  <si>
    <t xml:space="preserve">i0726_1p012chg_g27_e002 </t>
  </si>
  <si>
    <t xml:space="preserve">Resgatar ilustração de menino escrevendo no papel com lápis veio do g23_ftd_lt_1bag_p026, código antigo: i0404kt_1bag_g23_ftd </t>
  </si>
  <si>
    <t xml:space="preserve">i0727_1p012chg_g27_e002 </t>
  </si>
  <si>
    <t xml:space="preserve">Resgatar il de duas crianças com um livro aberto lendo juntas veio do g23_ftd_lt_1bag_p027, código antigo: i0405kt_1bag_g23_ftd </t>
  </si>
  <si>
    <t xml:space="preserve">i0728_1p012chg_g27_e002 </t>
  </si>
  <si>
    <t xml:space="preserve">Resgatar il de sala de aula com professora e alunos sentados nas carteiras, veio do g23_ftd_lt_1bag_p028, código antigo: i0406kt_1bag_g23_ftd 
AJUSTE:
 No objeto perto da porta, trocar a escrita LIXO por LIXEIRA 
</t>
  </si>
  <si>
    <t xml:space="preserve">i0729_1p012chg_g27_e002 </t>
  </si>
  <si>
    <t xml:space="preserve">Resgatar il de lousa, veio do g23_ftd_lt_1bag_p032, código antigo: i0409km_1bag_g23_ftd </t>
  </si>
  <si>
    <t>km</t>
  </si>
  <si>
    <t xml:space="preserve">i0730_1p012chg_g27_e002 </t>
  </si>
  <si>
    <t xml:space="preserve">Resgatar il de armário com livros veio do g23_ftd_lt_1bag_p032, código antigo: i0412km_1bag_g23_ftd </t>
  </si>
  <si>
    <t xml:space="preserve">i0731_1p012chg_g27_e002 </t>
  </si>
  <si>
    <t xml:space="preserve">Resgatar il de carteira, veio do g23_ftd_lt_1bag_p032, código antigo: i0410km_1bag_g23_ftd </t>
  </si>
  <si>
    <t xml:space="preserve">i0732_1p012chg_g27_e002 </t>
  </si>
  <si>
    <t xml:space="preserve">Resgatar il de ventilador, veio do g23_ftd_lt_1bag_p032, código antigo: i0413km_1bag_g23_ftd </t>
  </si>
  <si>
    <t xml:space="preserve">i0785_1p012chg_g27_e002 </t>
  </si>
  <si>
    <t xml:space="preserve">Resgatar il de lixeira, veio do g23_ftd_lt_1bag_p032, código antigo: i0411km_1bag_g23_ftd </t>
  </si>
  <si>
    <t xml:space="preserve">i0733_1p012chg_g27_e002 </t>
  </si>
  <si>
    <t xml:space="preserve">Resgatar il de televisão, veio do g23_ftd_lt_1bag_p032, código antigo: i0414km_1bag_g23_ftd </t>
  </si>
  <si>
    <t xml:space="preserve">i0741_1p012chg_g27_e002 </t>
  </si>
  <si>
    <t xml:space="preserve">Resgatar il de contorno de caneca, veio do g23_ftd_lt_1bag_p035, código antigo: i0422ib_1bag_g23_ftd </t>
  </si>
  <si>
    <t>ib</t>
  </si>
  <si>
    <t xml:space="preserve">i0745_1p012chg_g27_e002 </t>
  </si>
  <si>
    <t xml:space="preserve">Resgatar il e panela desenhada em cor resposta visto de cima, veio do g23_ftd_lt_1bag_p035, código antigo: i0426ib_1bag_g23_ftd </t>
  </si>
  <si>
    <t xml:space="preserve">i0746_1p012chg_g27_e002 </t>
  </si>
  <si>
    <t xml:space="preserve">Resgatar il de armário desenhado em cor resposta, veio do g23_ftd_lt_1bag_p035, código antigo: i0427ib_1bag_g23_ftd </t>
  </si>
  <si>
    <t xml:space="preserve">i0748_1p012chg_g27_e002 </t>
  </si>
  <si>
    <t xml:space="preserve">esgatar il de armário em cor resposta visto de cima, veio do g23_ftd_lt_1bag_p035, código antigo: i0448ct_1bag_g23_ftd </t>
  </si>
  <si>
    <t>ct</t>
  </si>
  <si>
    <t xml:space="preserve">i0749_1p012chg_g27_e002 </t>
  </si>
  <si>
    <t xml:space="preserve">Resgatar il de carteira em cor resposta visto de frente, veio do g23_ftd_lt_1bag_p035, código antigo: i0430ib_1bag_g23_ftd </t>
  </si>
  <si>
    <t xml:space="preserve">i0751_1p012chg_g27_e002 </t>
  </si>
  <si>
    <t xml:space="preserve">Resgatar il de carteira em cor resposta vista de cima, veio do g23_ftd_lt_1bag_p035, código antigo: i0432ib_1bag_g23_ftd </t>
  </si>
  <si>
    <t xml:space="preserve">i0754_1p012chg_g27_e002 </t>
  </si>
  <si>
    <t xml:space="preserve">Resgatar il de sala de aula com professor em pé escrevendo no quadro veio do g23_ftd_lt_1bag_p049, código antigo: i0613cf_1bag_g23_ftd </t>
  </si>
  <si>
    <t>cf</t>
  </si>
  <si>
    <t xml:space="preserve">i0755_1p012chg_g27_e002 </t>
  </si>
  <si>
    <t xml:space="preserve">Resgatar il de professor negro escrevendo no quadro em escola, veio do g23_ftd_lt_1bag_p046, código antigo: i0607cq_1bag_g23_ftd_ly </t>
  </si>
  <si>
    <t xml:space="preserve">i0756_1p012chg_g27_e002 </t>
  </si>
  <si>
    <t>Resgatar il de criança com mochila cumprimentando o porteiro de uma escola, veio do g23_ftd_lt_1bag_p046, código antigo: i0606cq_1bag_g23_ftd_ly 
Ajustar a ilustração para uma mulher porteira.
AJUSTAR il de criança com mochila cumprimentando uma porteira de uma escola</t>
  </si>
  <si>
    <t xml:space="preserve">i0757_1p012chg_g27_e002 </t>
  </si>
  <si>
    <t xml:space="preserve">Resgatar il de uma zeladora limpando o pátio de uma escola, veio do g23_ftd_lt_1bag_p046, código antigo: i0608cq_1bag_g23_ftd_ly </t>
  </si>
  <si>
    <t xml:space="preserve">i0758_1p012chg_g27_e002 </t>
  </si>
  <si>
    <t xml:space="preserve">Resgatar il de um jardineiro com uma tesoura cortando galhos de uma árvore veio do g23_ftd_lt_1bag_p047, código antigo: i0609cq_1bag_g23_ftd_ly </t>
  </si>
  <si>
    <t xml:space="preserve">i0759_1p012chg_g27_e002 </t>
  </si>
  <si>
    <t xml:space="preserve">Resgatar il de uma mulher diretora de escola com um notebook trabalhando veio do g23_ftd_lt_1bag_p047, código antigo: i0610cq_1bag_g23_ftd_ly </t>
  </si>
  <si>
    <t xml:space="preserve">i0765_1p012chg_g27_e002 </t>
  </si>
  <si>
    <t xml:space="preserve">Resgatar il de crianças conversando na calçada com mochila nas costas e uma emprestando o lápis para outra veio do g23_ftd_lt_1bag_p030, código antigo: i0407cf_1bag_g23_ftd_ly 
AJUSTE: não usar ilustração com espelho falso, dividir e fazer recorte para fazer sentido (ver ilustração a seguir i0766_1p012chg_g27_e002) </t>
  </si>
  <si>
    <t xml:space="preserve">i0766_1p012chg_g27_e002 </t>
  </si>
  <si>
    <t xml:space="preserve">Resgatar il de pátio de escola com crianças veio do g23_ftd_lt_1bag_p031, código antigo: i0407cf_1bag_g23_ftd_ly 
AJUSTE: Separar a ilustração em duas cenas (ver ilustração anterior i0765_1p012chg_g27_e002) </t>
  </si>
  <si>
    <t xml:space="preserve">1ª liberação de ajuste foi o lote 5 dia 09/04.
2ª liberação de ajuste foi o lote 13 dia 26/05
Recortar apenas parte da ilustração que mostra crianças sentadas no bando entregando um livro. </t>
  </si>
  <si>
    <t xml:space="preserve">i0784_1p012chg_g27_e002 </t>
  </si>
  <si>
    <t>Resgatar il de crianças sentadas em volta de uma mesa dentro de uma sala de aula, veio do g23_ftd_lt_1bag_p037, código antigo: i0439kt_1bag_g23_ftd 
AJUSTAR-  Na cadeira de rodas, inserir aro de impulso e adequar rodinhas dianteiras para que rotacionem. Ref.:
https://www.hospicenter.com.br/ortopedia-e-reabilitacao/cadeira-de-rodas-dobravel</t>
  </si>
  <si>
    <t>i0934_1p012chg_g27_e002</t>
  </si>
  <si>
    <t>Ilustração da fachada de uma escola g23_ftd_lt_1bag_p092 
código antigo i1202cx_1bag_g23_ftd
Adicionar maçaneta nas portas, conforme referência:</t>
  </si>
  <si>
    <t>cx</t>
  </si>
  <si>
    <t>Resgate com Ajuste</t>
  </si>
  <si>
    <t>i0935_1p012chg_g27_e002</t>
  </si>
  <si>
    <t>Ilustração de uma pracinha com um banco 
g23_ftd_lt_1bag_p092 
código antigo i1203cx_1bag_g23_ftd</t>
  </si>
  <si>
    <t>i0936_1p012chg_g27_e002</t>
  </si>
  <si>
    <t>Ilustração de senhor idoso abrindo a porta da sua casa para sua netinha  - g23_ftd_lt_1bag_p093 
código antigo i1204cx_1bag_g23_ftd</t>
  </si>
  <si>
    <t>i0937_1p012chg_g27_e002</t>
  </si>
  <si>
    <t>Ilustração de mãe e filha em uma loja de roupas 
g23_ftd_lt_1bag_p093 -  código antigo i1205cx_1bag_g23_ftd</t>
  </si>
  <si>
    <t>i0948_1p012chg_g27_e002</t>
  </si>
  <si>
    <t>Ilustração de crianças brincando em uma praça, pulando amarelinha etc. Ajuste: deixar il mais contínua, sem os espaços em branco. (recado Arte) g23_ftd_lt_1bah_p076 código antigo i0803rk_1bah_g23_ftd_ly</t>
  </si>
  <si>
    <t>rk</t>
  </si>
  <si>
    <t>Ingridhi Borges</t>
  </si>
  <si>
    <t>i0949_1p012chg_g27_e002</t>
  </si>
  <si>
    <t>Ilustração de playground ao lado de ciclovia, representando convivência cidadã . Arte, representar um playground ao invés de academia ao ar livre. Incluir as seguintes cenas: No playground (Cena A, B ou C dependendo da disposição da nova ilustra) representar uma criança no escorregador, enquanto outras formam fila, aguardando a sua vez. É importante que a parte deslizante do brinquedo seja curvada, para que a criança não escorregue com muita velocidade e se machuque no chão. 
Representar crianças no balanço e na gangorra (não ilustrar caixa de areia). Incluir 1 adulto ou mais na cena.
 Ao lado do playground (Cena A,B ou C dependendo da disposição da nova ilustra) representar criança andando de patins (com acessórios de proteção) na ciclovia. Na calçada (Cena A, B ou C dependendo da disposição da nova ilustra) representar criança atravessando a rua na faixa e acompanhada de um adulto.
Variar tipos físicos dos personagens em cena. Uma das crianças deve ter sobrepeso.</t>
  </si>
  <si>
    <t>rv</t>
  </si>
  <si>
    <t>(AJUSTE DE RAFE )
FINAL:30/04</t>
  </si>
  <si>
    <t>i0956_1p012chg_g27_e002</t>
  </si>
  <si>
    <t>Ilustração de pai e filha na padaria 
g23_ftd_lt_1bag_p095 código antigo i1206hk_1bag_g23_ftd
Retirar o balão de fala da il</t>
  </si>
  <si>
    <t>hk</t>
  </si>
  <si>
    <t>Resgate ajuste</t>
  </si>
  <si>
    <t>i0957_1p012chg_g27_e003</t>
  </si>
  <si>
    <t xml:space="preserve">Ilustração de avó e neta conversando g23_ftd_lt_1bag_p095  código antigo i1207hk_1bag_g23_ftd
Retirar os balões de fala
</t>
  </si>
  <si>
    <t>i0912_1p012chg_g27_e002</t>
  </si>
  <si>
    <t>214-215</t>
  </si>
  <si>
    <t>Ilustração sobre impactos ao meio ambiente (área desmatada, indústrias, cidade, poluição).
AJUSTE – separar as ils em retrancas A, B, C, D e E.  (imagens página 214 e 215)</t>
  </si>
  <si>
    <t>i0919_1p012chg_g27_e002</t>
  </si>
  <si>
    <t>ilustração de uma criança e um adulto separando brinquedos para doação. Ajuste - ajustar a il para caber em uma página, e inserir um aparelho auditivo na menina. Página 95 do g23_ftd_lt_1bac.
Código antigo: i1242rq_1bac_g23_ftd_ef_ly</t>
  </si>
  <si>
    <t>i0930_1p012chg_g27_e002</t>
  </si>
  <si>
    <t>Ilustração de uma mulher negando uma sacola plástica no caixa do mercado, pois já tem uma reutilizável. Página 102 do g23_ftd_lt_1bac.  Código antigo: i1226dn_1bac_g23_ftd_ly</t>
  </si>
  <si>
    <t>i0931_1p012chg_g27_e002</t>
  </si>
  <si>
    <t xml:space="preserve"> Ilustração de um homem entregando um calçado para o sapateiro arrumar.  Página 102 do g23_ftd_lt_1bac. 
Código antigo: i1227dn_1bac_g23_ftd_ly</t>
  </si>
  <si>
    <t>if1109_1p012chg_g27_e002</t>
  </si>
  <si>
    <t xml:space="preserve">resgatar imagem de crianças brincando em parque
 g23_ftd_lt_1bah_p098
 código antigo if1009ct_1bah_g23_ftd
Ajuste1: Inserir um adulto (se possível, mais de um) para não deixar as crianças desacompanhadas; 
Ajuste2: O chão deve ser de concreto na área delimitada pela imagem a seguir (para justificar a menina desenhando e o menino skatista). Na área do escorregador e balanço, deixar como piso de borracha; 
Ajuste3: Deixar a base do escorregador mais encurvada (para amortecer a velocidade).
</t>
  </si>
  <si>
    <t>i1117_1p012chg_g27_e002</t>
  </si>
  <si>
    <t>Ilustração de jornal, fita crepe, barbante. veio de g23_ftd_lt_1bah_p100.
Código antigo i1010md_1bah_g23_ftd_ly</t>
  </si>
  <si>
    <t>md</t>
  </si>
  <si>
    <t>i1118_1p012chg_g27_e002</t>
  </si>
  <si>
    <t>Ilustração de pessoa amarrando uma bola de jornal veio de g23_ftd_lt_1bah_p100.
Código antigo i1011md_1bah_g23_ftd_ly</t>
  </si>
  <si>
    <t>i1119_1p012chg_g27_e002</t>
  </si>
  <si>
    <t>Ilustração de pessoa passando fita crepe em volta da bola de jornal. veio de g23_ftd_lt_1bah_p100. 
Código antigo i1012md_1bah_g23_ftd_ly</t>
  </si>
  <si>
    <t>i1120_1p012chg_g27_e002</t>
  </si>
  <si>
    <t>Ilustração de crianças brincando com a peteca de jornal. veio de g23_ftd_lt_1bah_p100. 
Código antigo i1013md_1bah_g23_ftd_ly</t>
  </si>
  <si>
    <t>i1121_1p012chg_g27_e002</t>
  </si>
  <si>
    <t>Ilustração de criança brincando de peteca. veio de g23_ftd_lt_1bah_p101. 
Código antigo i1014md_1bah_g23_ftd_ly
Ajuste: Arte completar a cena na parte inferior direita. Ilustrar o restante do corpo do menino.</t>
  </si>
  <si>
    <t>i1122_1p012chg_g27_e002</t>
  </si>
  <si>
    <t>Ilustração de crianças indígenas brincando de pião. veio de g23_ftd_lt_1bah_p102. 
Código antigo i1015md_1bah_g23_ftd_ly</t>
  </si>
  <si>
    <t>i1123_1p012chg_g27_e002</t>
  </si>
  <si>
    <t xml:space="preserve">Ilustração de crianças brincando de Jo-quem-pô. veio de g23_ftd_lt_1bah_p103. 
Código antigo i1016kt_1bah_g23_ftd
Ajuste 1: Ajustar o foco da imagem para as mãos das personagens.
Ajuste 2: reduzir o espaço de céu, ampliando o foco nas crianças.
Ajuste 3: Ajustar cor e contraste.
Ajuste 4: Inserir óculos em uma das crianças. </t>
  </si>
  <si>
    <t>i1124_1p012chg_g27_e002</t>
  </si>
  <si>
    <t>AVALIANDO</t>
  </si>
  <si>
    <t>Ilustração de crianças brincando de esconde-esconde. veio de g23_ftd_lt_1bah_p104. 
Código antigo i1017kt_1bah_g23_ftd
Ajuste: incluir uma pessoa adulta sentada em um banco, estilo banco de praça/parque.</t>
  </si>
  <si>
    <t>i1132_1p012chg_g27_e002</t>
  </si>
  <si>
    <t>Ilustração de menina sentada perto da janela vendo o dia ensolarado. Resgatar de g23_ftd_lt_1bag_p101
Código antigo i1219cd_1bag_g23_ftd</t>
  </si>
  <si>
    <t>cd</t>
  </si>
  <si>
    <t>i1133_1p012chg_g27_e002</t>
  </si>
  <si>
    <t>Ilustração de menina sentada perto da janela vendo o dia chuvoso.
Resgatar de g23_ftd_lt_1bag_p101 
Código antigo i1220cd_1bag_g23_ftd</t>
  </si>
  <si>
    <t>i1135_1p012chg_g27_e002</t>
  </si>
  <si>
    <t xml:space="preserve">Ilustração de um casaco com capuz veio do g23_ftd_lt_1bag_p103 
Código antigo i1249mq_1bag_g23_ftd
AJUSTE: Deixar só o capuz
</t>
  </si>
  <si>
    <t>mq</t>
  </si>
  <si>
    <t>i1136_1p012chg_g27_e002</t>
  </si>
  <si>
    <t xml:space="preserve">Ilustração de um óculos vermelho veio do g23_ftd_lt_1bag_p103 
Código antigo i1249mq_1bag_g23_ftd.
AJUSTE: Deixar só o óculos
</t>
  </si>
  <si>
    <t>i1137_1p012chg_g27_e002</t>
  </si>
  <si>
    <t xml:space="preserve">Ilustração de um boné verde veio do g23_ftd_lt_1bag_p103 
Código antigo i1249mq_1bag_g23_ftd
AJUSTE: Deixar só o boné
</t>
  </si>
  <si>
    <t>i1138_1p012chg_g27_e002</t>
  </si>
  <si>
    <t xml:space="preserve">i1138_1p012chg_g27_e002
AJUSTE
Ilustração de um guarda-chuva. veio do g23_ftd_lt_1bag_p103 
Código antigo i1249mq_1bag_g23_ftd
AJUSTE: Deixar só o guarda-chuva
</t>
  </si>
  <si>
    <t>i1139_1p012chg_g27_e002</t>
  </si>
  <si>
    <t xml:space="preserve">Ilustração de uma bota vermelha veio do g23_ftd_lt_1bag_p103 
Código antigo i1249mq_1bag_g23_ftd
AJUSTE: Deixar só o par de botas
</t>
  </si>
  <si>
    <t>i1140_1p012chg_g27_e002</t>
  </si>
  <si>
    <t xml:space="preserve">Ilustração de par de chinelo. veio do g23_ftd_lt_1bag_p103 
Código antigo i1249mq_1bag_g23_ftd
AJUSTE: Deixar só o par de chinelas
</t>
  </si>
  <si>
    <t>g0513_1p012chg_g27_e002</t>
  </si>
  <si>
    <t>resgatar il Ilustração um gráfico de colunas para o aluno pintar. Vem do g23_ftd_lt_1bag_p061 código antigo i0813dn_1bag_g23_ftd / i0843dn_1bag_g23_ftd / i0844dn_1bag_g23_ftd</t>
  </si>
  <si>
    <t>Keithy Mostachi</t>
  </si>
  <si>
    <t>i0520_1p012chg_g27_e002</t>
  </si>
  <si>
    <t>110-111</t>
  </si>
  <si>
    <t>Ilustração em espelho da história dos três porquinhos. Vem g23_ftd_lt_1bag_p064, código antigo: i0845ly_1bag_g23_ftd
Ajuste(leitura_prévia): Separar a ilustração em várias cenas, como imagens separadas (pode ser A, B, C). Retirar o que não faria sentido (como só o pedacinho de grama, por exemplo).Recado Arte.</t>
  </si>
  <si>
    <t>Tatiane Galheiro</t>
  </si>
  <si>
    <t>i0522_1p012chg_g27_e002</t>
  </si>
  <si>
    <t>ilustração de criança dormido em quarto a noite com a lua aparecendo na janela. Vem g23_ftd_lt_1bag_p076 código antigo i1007kt_1bag_g23_ftd</t>
  </si>
  <si>
    <t>i0523_1p012chg_g27_e002</t>
  </si>
  <si>
    <t>Ajustar il de crianças brincando om brinquedos de montar em um tapete em casa. Ajustar o menino para que seja negro. Inserir óculos na menina. Vem g23_ftd_lt_1bag_p076 código antigo i1008kt_1bag_g23_ftd</t>
  </si>
  <si>
    <t>i0524_1p012chg_g27_e002</t>
  </si>
  <si>
    <t>Ajustar il de família na cozinha, mãe cortando legumes, pai lavando louça e menina sentada a mesa comendo banana.
Ajuste: Vitiligo na criança da cena.
. Veio do g23_ftd_lt_1bag_p077 código antigo i1009kt_1bag_g23_ftd</t>
  </si>
  <si>
    <t>i0530_1p012chg_g27_e002</t>
  </si>
  <si>
    <t>Resgatar il de um banheiro veio do g23_ftd_lt_1bag_p080 código antigo i1015dn_1bag_g23_ftd</t>
  </si>
  <si>
    <t>i0531_1p012chg_g27_e002</t>
  </si>
  <si>
    <t>Resgatar il de um quarto veio do g23_ftd_lt_1bag_p080 código antigo i1016dn_1bag_g23_ftd</t>
  </si>
  <si>
    <t>i0532_1p012chg_g27_e002</t>
  </si>
  <si>
    <t>Resgatar il de uma cozinha veio do g23_ftd_lt_1bag_p080 código antigo i1017dn_1bag_g23_ftd</t>
  </si>
  <si>
    <t>i0533_1p012chg_g27_e002</t>
  </si>
  <si>
    <t xml:space="preserve">Ilustração de uma rede numerada para o aluno ligar e terminar o desenho veio do g23_ftd_lt_1bag_p081 código antigo i1018rm_1bag_g23_ftd - 
Ajuste(leitura_prévia): retirar contorno magenta da ilustra. </t>
  </si>
  <si>
    <t>i0571_1p012chg_g27_e002</t>
  </si>
  <si>
    <t xml:space="preserve">Ilustração de uma rua com comércio de dia da página 28 do g23_ftd_lt_1bac.   Código antigo: i0415cq_1bac_g23_ftd_ef_ly
Ajuste1: Inserir nos carros e moto da cena: retrovisores (no carro azul, inserir tbm retrovisor central/interno) e placas conforme ref.: No carro vermelho, inserir limpador de para-brisa.
Ajuste2: Alguma pessoa dessa cena deve ter albinismo. </t>
  </si>
  <si>
    <t>i0572_1p012chg_g27_e002</t>
  </si>
  <si>
    <t xml:space="preserve">Ilustração de uma rua com comércio de noite da página 28 do g23_ftd_lt_1bac. Código antigo: i0416cq_1bac_g23_ftd_ef_ly
Ajuste1: No carro, inserir retrovisor e placa conforme ref.: </t>
  </si>
  <si>
    <t>i0573_1p012chg_g27_e002</t>
  </si>
  <si>
    <t>Resgatar ilustração de filha e mãe saindo da casa da página 27 do g23_ftd_lt_1bac. Código antigo: i0414ly_1bac_g23_ftd_ef</t>
  </si>
  <si>
    <t>i0574_1p012chg_g27_e002</t>
  </si>
  <si>
    <t>Resgatar ilustração de meninas jogando futebol da página 27 do g23_ftd_lt_1bac. Código antigo: i0414ly_1bac_g23_ftd_ef</t>
  </si>
  <si>
    <t>i0575_1p012chg_g27_e002</t>
  </si>
  <si>
    <t>Resgatar ilustração de mãe lendo para filha da página 27 do g23_ftd_lt_1bac. Código antigo: i0414ly_1bac_g23_ftd_ef</t>
  </si>
  <si>
    <t>i0578_1p012chg_g27_e002</t>
  </si>
  <si>
    <t>Resgatar ilustração de bióloga em um ambiente durante o dia com plantas (dama-da-noite, onze-horas) e animais (macaco-barrigudo, japuaçu, cobra-coral, gavião-real) da página 30 do g23_ftd_lt_1bac. Código antigo: i0432cq_1bac_g23_ftd</t>
  </si>
  <si>
    <t>i0579_1p012chg_g27_e002</t>
  </si>
  <si>
    <t>Resgatar ilustração de bióloga em um ambiente durante a noite com plantas (dama-da-noite, onze-horas) e animais (preguiça-de bentinho, jupará, cutio, jaguatirica e anta) da página 31 do g23_ftd_lt_1bac. Código antigo: i0433cq_1bac_g23_ftd</t>
  </si>
  <si>
    <t>i0580_1p012chg_g27_e002</t>
  </si>
  <si>
    <t>Ilustração de animais na mata (cigarra, grilo, coruja, sapo) da página 37 do g23_ftd_lt_1bac. Código antigo: i0430cq_1bac_g23_ftd
Ajuste (leitura_prévia): retirar mancha branca da imagem (o texto será inserido em papeleta branca para que seja separado da imagem no digital).</t>
  </si>
  <si>
    <t>i0581_1p012chg_g27_e002</t>
  </si>
  <si>
    <t>Resgatar ilustração relógio de ponteiro da página 33 do g23_ftd_lt_1bac. Código antigo: i0424zz_1bac_g23_ftd</t>
  </si>
  <si>
    <t>zz</t>
  </si>
  <si>
    <t>JANAINA OLIVEIRA/ARQUIVO DA EDITORA</t>
  </si>
  <si>
    <t>i0582_1p012chg_g27_e002</t>
  </si>
  <si>
    <t>Resgatar ilustração relógio sem os ponteiros da página 34 do g23_ftd_lt_1bac. Código antigo: i0425zz_1bac_g23_ftd</t>
  </si>
  <si>
    <t>i0583_1p012chg_g27_e002</t>
  </si>
  <si>
    <t>ilustração de calendário da página 35 do g23_ftd_lt_1bac. Código antigo: i0426zz_1bac_g23_ftd
Ajuste: atualizar calendário para o ano de 2027. Obs: incluir o feriado do dia 20 de novembro.</t>
  </si>
  <si>
    <t>CARLOS BORIN/ARQUIVO DA EDITORA</t>
  </si>
  <si>
    <t>i0337_1p012chg_g27_e002</t>
  </si>
  <si>
    <t xml:space="preserve">Ilustração de onde uma criança conversa com sua avó. veio de g23_ftd_lt_1bah_p036. 
Código antigo i0409iv_1bah_g23_ftd
AJUSTE: A personagem que representa a avó nesta cena ficou com cara de uma pessoa muito nova. Enviar para arte ajustar. Cuidado na caracterização de idade, não deixar estereotipado.
</t>
  </si>
  <si>
    <t>i0341_1p012chg_g27_e002</t>
  </si>
  <si>
    <t>Il de garotinha assistindo a um casamento na TV. veio de g23_ftd_lt_1bah_p044. Código antigo i0420kl_1bah_g23_ftd</t>
  </si>
  <si>
    <t>kl</t>
  </si>
  <si>
    <t>i0342_1p012chg_g27_e002</t>
  </si>
  <si>
    <t>Ilustração de garoto em uma cadeira de rodas, lendo. veio de g23_ftd_lt_1bah_p044. Código antigo i0421kl_1bah_g23_ftd
AJUSTE: Na cadeira de rodas, inserir aro de impulso e freio, além de melhorar o acabamento das radinhas dianteiras e adequar as rodas maiores para modelo mais tradicional. Seguir referência: 
https://www.mobilitybrasil.com.br/cadeira-de-rodas-genesys-ultra-lite-x-infantil-ortobras</t>
  </si>
  <si>
    <t>i0343_1p012chg_g27_e002</t>
  </si>
  <si>
    <t>Il de garotinha vendo um álbum de fotos. veio de g23_ftd_lt_1bah_p045. Código antigo i0422kl_1bah_g23_ftd</t>
  </si>
  <si>
    <t>i0344_1p012chg_g27_e002</t>
  </si>
  <si>
    <t>Il de um garotinho conversando com uma idosa. veio de g23_ftd_lt_1bah_p045. Código antigo i0423kl_1bah_g23_ftd</t>
  </si>
  <si>
    <t>i0346_1p012chg_g27_e002</t>
  </si>
  <si>
    <t>ilustração de fotografias de retrato de família. veio de g23_ftd_lt_1bah_p039. Código antigo i0410a0413mq_1bah_g23_ftd
Ajuste: separar ils em duas retranca</t>
  </si>
  <si>
    <t>Nicolas Furtado</t>
  </si>
  <si>
    <t>i0347_1p012chg_g27_e002</t>
  </si>
  <si>
    <t>ilustração de fotografias de retrato de família. veio de g23_ftd_lt_1bah_p039. Código antigo i0410a0413mq_1bah_g23_ftd1
Ajuste: separar ils em duas retranca</t>
  </si>
  <si>
    <t>i0348_1p012chg_g27_e002</t>
  </si>
  <si>
    <t>Il de criança organizando brinquedos. veio de g23_ftd_lt_1bah_p040. Código antigo i0414kt_1bah_g23_ftd</t>
  </si>
  <si>
    <t>i0349_1p012chg_g27_e002</t>
  </si>
  <si>
    <t>Il de criança arrumando a cama. veio de g23_ftd_lt_1bah_p040. Código antigo i0416kt_1bah_g23_ftd</t>
  </si>
  <si>
    <t>i0350_1p012chg_g27_e002</t>
  </si>
  <si>
    <t>Il de criança alimentando cachorro. veio de g23_ftd_lt_1bah_p040. Código antigo i0415kt_1bah_g23_ftd</t>
  </si>
  <si>
    <t>i0351_1p012chg_g27_e002</t>
  </si>
  <si>
    <t>il de duas crianças dividindo o brinquedo. veio de g23_ftd_lt_1bah_p040. Código antigo i0417kt_1bah_g23_ftd</t>
  </si>
  <si>
    <t>i0352_1p012chg_g27_e002</t>
  </si>
  <si>
    <t xml:space="preserve">Ilustração de uma casa. Veio do g23_ftd_lt_1bag_p084. Código antigo: i0846kb_1bag_g23_ftd
AJUSTE ilustração de modo que na página par (74) fique parte da ilustração que aparece a casa com a mãe e os dois meninos. Na página ímpar (75) apareça a parte do quintal com o pai, as duas meninas e o cachorro. </t>
  </si>
  <si>
    <t>kb</t>
  </si>
  <si>
    <t>i0353_1p012chg_g27_e002</t>
  </si>
  <si>
    <t>Continuação do ajuste da ilustração anterior i0352 , nessa página ímpar (75) de estar a parte do quintal com o pai, as duas meninas e o cachorro. Colocar óculos no pai.</t>
  </si>
  <si>
    <t>Juntou com a i0352</t>
  </si>
  <si>
    <t>*excluir código, foi separado em "a" e "b" na i0352</t>
  </si>
  <si>
    <t>i0358_1p012chg_g27_e002</t>
  </si>
  <si>
    <t xml:space="preserve">Ilustração de um copo (plástico de café) com meio de cultura (deve estar com 1 cm de altura). O copo deve estar coberto com papel toalha.   O copo deve ser de 50ml e estar com a marcação de 1 cm indicada. Sobre o copo deve ter um pedaço de papel toalha. O copo pode ser transparente ou branco, desde que fique identificável a altura do meio de cultura em seu interior (1cm).
Referências (uma delas para a cor do meio de cultura, amarelado):
</t>
  </si>
  <si>
    <t>Excluída</t>
  </si>
  <si>
    <t>i0359_1p012chg_g27_e002</t>
  </si>
  <si>
    <t xml:space="preserve">Ilustração de vista superior do interior do copo plástico, contendo o meio de cultura. Uma mão deve estar passando no meio de cultura a porção de algodão da haste plástica, como se estivesse distribuindo a amostra nesse meio. </t>
  </si>
  <si>
    <t>i0361_1p012chg_g27_e002</t>
  </si>
  <si>
    <t xml:space="preserve">Ilustração de visão horizontal e frontal de uma sorveteria. Ilustração simples apenas da fachada do comércio com os escritos: SORVETES E AÇAÍ. Ilustrar na fachada um sorvete de casquinha com uma cereja. </t>
  </si>
  <si>
    <t>i0362_1p012chg_g27_e002</t>
  </si>
  <si>
    <t>Ilustração de visão horizontal e frontal de uma espetaria. Ilustração simples apenas da fachada do comércio, com a escrita: ESPETINHOS SABOROSOS” e um espetinho de carne ilustrado na fachada.</t>
  </si>
  <si>
    <t>F: 05/05</t>
  </si>
  <si>
    <t>i0363_1p012chg_g27_e002</t>
  </si>
  <si>
    <t>Ilustração de visão horizontal e frontal de uma farmácia. Ilustração simples apenas da fachada com a escrita: FARMÁCIA SAÚDE.</t>
  </si>
  <si>
    <t>i0364_1p012chg_g27_e002</t>
  </si>
  <si>
    <t>Ilustração de visão horizontal e frontal de uma escola. Ilustração simples apenas da fachada da escola com os escritos: ESCOLA SABER</t>
  </si>
  <si>
    <t>i0385_1p012chg_g27_e002</t>
  </si>
  <si>
    <t>Ilustração de uma criança querendo chegar na palavra saúde. Há três caminhos que levam a essa palavra, com atividades escritas em cada um deles: caminho A: 'Dormir bem', 'Ter uma alimentação variada e em quantidade suficiente' e 'Escovar os dentes após as refeições, ao se levantar e ao se deitar'. Caminho: B: 'Dormir tarde todas as noites', 'Alimentar-se apenas de doces e frituras' e 'Escovar os dentes após as refeições'. Caminho: C: 'Dormir bem', 'Ter uma alimentação saudável' e 'Escovar os dentes somente ao deitar'. Página 79 do g23_ftd_lt_1bac. Código antigo: i0840ly_1bac_g23_ftd</t>
  </si>
  <si>
    <t>i0591_1p012chg_g27_e002</t>
  </si>
  <si>
    <t>ilustração de caneca veio do g23_ftd_lt_1bag_p071 código antigo i0832dn_1bag_g23_ftd</t>
  </si>
  <si>
    <t>i0592_1p012chg_g27_e002</t>
  </si>
  <si>
    <t>ilustração de regata e boné veio do g23_ftd_lt_1bag_p071 código antigo i0833dn_1bag_g23_ftd</t>
  </si>
  <si>
    <t>i0593_1p012chg_g27_e002</t>
  </si>
  <si>
    <t>ilustração de casaco com capuz veio do g23_ftd_lt_1bag_p071 código antigo i0836dn_1bag_g23_ftd</t>
  </si>
  <si>
    <t>i0594_1p012chg_g27_e002</t>
  </si>
  <si>
    <t>ilustração de jarra de suco veio do g23_ftd_lt_1bag_p071 código antigo i0837dn_1bag_g23_ftd</t>
  </si>
  <si>
    <t>i0597_1p012chg_g27_e002</t>
  </si>
  <si>
    <t xml:space="preserve">ilustração de menino almoçando da página 37 do g23_ftd_lt_1bac. Código antigo: i0429Aly_1bac_g23_ftd_ef
AJUSTE 1: separar a il das outras ilustrações da página;
AJUSTE 2: Remover relógio.
</t>
  </si>
  <si>
    <t>i0598_1p012chg_g27_e002</t>
  </si>
  <si>
    <t xml:space="preserve">Resgatar ilustração de menino dormindo da página 37 do g23_ftd_lt_1bac. Código antigo: i0429Aly_1bac_g23_ftd_ef
AJUSTE 1: separar a il das outras ilustrações da página;
AJUSTE 2: Remover relógio.
</t>
  </si>
  <si>
    <t>i0599_1p012chg_g27_e002</t>
  </si>
  <si>
    <t xml:space="preserve">Resgatar ilustração de menino tomando café da tarde da página 37 do g23_ftd_lt_1bac. Código antigo: i0429Aly_1bac_g23_ftd_ef
AJUSTE 1: separar a il das outras ilustrações da página;
AJUSTE 2: Remover relógio.
</t>
  </si>
  <si>
    <t>i0600_1p012chg_g27_e002</t>
  </si>
  <si>
    <t xml:space="preserve">Resgatar ilustração de menino acordando da página 37 do g23_ftd_lt_1bac. Código antigo: i0429Bly_1bac_g23_ftd_ef
AJUSTE 1: separar a il das outras ilustrações da página;
AJUSTE 2: Remover relógio.
</t>
  </si>
  <si>
    <t>i0601_1p012chg_g27_e002</t>
  </si>
  <si>
    <t xml:space="preserve">Resgatar ilustração de menino tomando café da tarde da página 37 do g23_ftd_lt_1bac. Código antigo: i0429Bly_1bac_g23_ftd_ef
AJUSTE 1: separar a il das outras ilustrações da página. 
AJUSTE 2: Substituir os biscoitos no prato do café da manhã por uma fatia de pão integral com ovos mexidos sobre ela e uma porção de fruta (uma fatia de mamão ou uma banana picada em rodelas). Justificativa: o alimento da ilustração parece biscoito de chocolate ultraprocessado, o qual não é recomendado. 
AJUSTE 3: Remover relógio.
</t>
  </si>
  <si>
    <t>i0602_1p012chg_g27_e002</t>
  </si>
  <si>
    <t xml:space="preserve">Resgatar ilustração de menino jantando da página 37 do g23_ftd_lt_1bac. Código antigo: i0429Bly_1bac_g23_ftd_ef
AJUSTE 1: separar a il das outras ilustrações da página. 
AJUSTE 2: Remover relógio.
</t>
  </si>
  <si>
    <t xml:space="preserve">i0393_1p012chg_g27_e002   </t>
  </si>
  <si>
    <t>Inserir ilustração de uma criança mostrando um caminho com a casa em um extremo e mercado no final do trajeto.</t>
  </si>
  <si>
    <t>ez</t>
  </si>
  <si>
    <t>R: 23/05 ; F: 03/06</t>
  </si>
  <si>
    <t>i0102A_2p012chg_g27_e002</t>
  </si>
  <si>
    <t>EDICAO_ARTE</t>
  </si>
  <si>
    <t xml:space="preserve">Ilustração de esquema mostrando uma bola de isopor com um palito fixado. Há uma lanterna acesa apontada para a bola de isopor. O palito faz uma sombra na superfície da bola. 
Página 84 do g23_ftd_lt_2bac. Código antigo: i0612Adn_2bac_g23_ftd
</t>
  </si>
  <si>
    <t>i0102B_2p012chg_g27_e002</t>
  </si>
  <si>
    <t>Ilustração de esquema mostrando uma bola de isopor com um palito fixado e uma lanterna apontada para a bola. Esta é girada de maneira que sua superfície iluminada vá da esquerda para a direita. O palito está posicionado de forma que sua sombra seja projetada para a direita. Página 84 do g23_ftd_lt_2bac. Código antigo: i0612Bdn_2bac_g23_ftd</t>
  </si>
  <si>
    <t>i0102C_2p012chg_g27_e002</t>
  </si>
  <si>
    <t xml:space="preserve"> Ilustração de esquema mostrando uma bola de isopor com um palito fixado e uma lanterna apontada para a bola. Esta é girada de maneira que sua superfície iluminada vá da esquerda para a direita. Não há sombra do palito, pois ele não está na parte iluminada da bola. Página 84 do g23_ftd_lt_2bac. Código antigo: i0612Cdn_2bac_g23_ftd</t>
  </si>
  <si>
    <t>i0102D_2p012chg_g27_e002</t>
  </si>
  <si>
    <t xml:space="preserve"> Ilustração de esquema mostrando uma bola de isopor com um palito fixado e uma lanterna apontada para a bola. Esta é girada de maneira que sua superfície iluminada vá da esquerda para a direita. O palito está posicionado de forma que sua sombra seja projetada para a esquerda. Página 84 do g23_ftd_lt_2bac. Código antigo: i0612Ddn_2bac_g23_ftd</t>
  </si>
  <si>
    <t>i0103_2p012chg_g27_e002</t>
  </si>
  <si>
    <t xml:space="preserve">ilustração de esquema mostrando uma caixa de presente em um gramado no chão e três posições possíveis para o Sol: à esquerda (1), em cima (2) e à direita (3), cada uma associada a um espaço para resposta. A caixa não está fazendo sombra. Página 85 do g23_ftd_lt_2bac. Código antigo: i0613rm_2bac_g23_ftd_ly
AJUSTE: separar as ils cada uma com uma retranca, elas serão aplicadas separadas uma da outra.
</t>
  </si>
  <si>
    <t>i0103B_2p012chg_g27_e002</t>
  </si>
  <si>
    <t xml:space="preserve">ilustração de esquema mostrando uma caixa de presente em um gramado no chão e três posições possíveis para o Sol: à esquerda (1), em cima (2) e à direita (3), cada uma associada a um espaço para resposta.A sombra da caixa está à esquerda. Página 85 do g23_ftd_lt_2bac. Código antigo: i0613rm_2bac_g23_ftd_ly
AJUSTE: separar as ils cada uma com uma retranca, elas serão aplicadas separadas uma da outra.
</t>
  </si>
  <si>
    <t>Ficou apenas o código 0103 sem as letras na planilha!</t>
  </si>
  <si>
    <t>i0103C_2p012chg_g27_e002</t>
  </si>
  <si>
    <t xml:space="preserve">ilustração de esquema mostrando uma caixa de presente em um gramado no chão e três posições possíveis para o Sol: à esquerda (1), em cima (2) e à direita (3), cada uma associada a um espaço para resposta.. A sombra da caixa está à direita. Página 85 do g23_ftd_lt_2bac. Código antigo: i0613rm_2bac_g23_ftd_ly
AJUSTE: separar as ils cada uma com uma retranca, elas serão aplicadas separadas uma da outra
</t>
  </si>
  <si>
    <t>i0104_2p012chg_g27_e002</t>
  </si>
  <si>
    <t>Ilustração de esquema mostrando o Sol, a Terra e o Brasil na superfície do planeta. É mostrado o movimento de rotação da Terra. O Brasil está iluminado pela luz solar. Página 85 do g23_ftd_lt_2bac. Código antigo: i0614rm_2bac_g23_ftd</t>
  </si>
  <si>
    <t>i0107_2p012chg_g27_e002</t>
  </si>
  <si>
    <t>Ilustração de esquema mostrando o Sol, a Terra e o Brasil na superfície do planeta. É mostrado o movimento de rotação da Terra. O Brasil não está iluminado pela luz solar. Página 85 do g23_ftd_lt_2bac. Código antigo: i0615rm_2bac_g23_ftd</t>
  </si>
  <si>
    <t>i0113A_2p012chg_g27_e002</t>
  </si>
  <si>
    <t>Ilustração de duas crianças brincando de bola em uma piscina. Há um homem lendo jornal fora da piscina. Página 77 do g23_ftd_lt_2bac. Código antigo: i0604ly_2bac_g23_ftd_ly</t>
  </si>
  <si>
    <t>i0113B_2p012chg_g27_e002</t>
  </si>
  <si>
    <t>Ilustração de duas crianças com roupas de banho saindo de uma piscina e indo em direção a um homem com dois copos de suco. Uma criança fala: 'Nossa, como o chão está quente!'; e a outra fala: 'Onde será que deixamos nossos chinelos?'. Página 77 do g23_ftd_lt_2bac. Código antigo: i0604ly_2bac_g23_ftd</t>
  </si>
  <si>
    <t>i0116A_2p012chg_g27_e002</t>
  </si>
  <si>
    <t>ilustração de um bloco sem cor. Página 78 do g23_ftd_lt_2bac. Código antigo: i0607Act_2bac_g23_ftd</t>
  </si>
  <si>
    <t>i0116B_2p012chg_g27_e002</t>
  </si>
  <si>
    <t>i0117_2p012chg_g27_e002</t>
  </si>
  <si>
    <t xml:space="preserve">ilustração de pessoas na praia. Há uma mulher de chapéu e óculos escuros; uma mulher e um bebê debaixo do guarda-sol; e um homem passando protetor solar em uma menina. Página 80 do g23_ftd_lt_2bac. Código antigo: i0610cf_2bac_g23_ftd_ly
AJUSTE_1: aplicar a ilustração em uma única página. 
AJUSTE_2: No rótulo do protetor solar, indicar 50 ao invés de 30.
AJUSTE_3: Inserir colar de autismo na menina com o pai. Ref.:
</t>
  </si>
  <si>
    <t>i0118_2p012chg_g27_e002</t>
  </si>
  <si>
    <t xml:space="preserve">Ilustração de uma fazenda com vacas em um cercado, uma casa, lavouras e pessoas plantando mudas de árvores.
AJUSTE_1: Excluir as duas crianças da cena. 
AJUSTE_2: Inserir placa no carro
veio do g23_ftd_lt_2bag_p068 código antigo i0801kf_2bag_g23_ftd_ly
</t>
  </si>
  <si>
    <t>kf</t>
  </si>
  <si>
    <t>i0119_2p012chg_g27_e002</t>
  </si>
  <si>
    <t xml:space="preserve">resgatar ilustração de pessoas construindo casas na rua de uma cidade.  veio do g23_ftd_lt_2bag_p068 código antigo i0802kf_2bag_g23_ftd_ly
</t>
  </si>
  <si>
    <t>i0133_2p012chg_g27_e002</t>
  </si>
  <si>
    <t xml:space="preserve">ilustração da folha de um calendário mostrando os dias de Janeiro de 2023. Os dias 1 a 18 estão marcados com um X. Página 89 do g23_ftd_lt_2bac. Código antigo: i0625zz_2bac_g23_ftd
Ajuste: atualizar para Janeiro de 2027
</t>
  </si>
  <si>
    <t>i0109_2p012chg_g27_e002</t>
  </si>
  <si>
    <t xml:space="preserve">Ilustração do mês de fevereiro de ano bissexto (2028), contornando o dia 29. </t>
  </si>
  <si>
    <t>i0305_2p012chg_g27_e002</t>
  </si>
  <si>
    <t xml:space="preserve">Ilustração de um menino lendo um livro.
veio do g23_ftd_lt_2bag_p011 código antigo i0203kt_2bag_g23_ftd_ly
Ajuste: deixar os braços dele proporcionais, melhorar o acabamento das mãos, ilustrar as unhas e uniformizar o tom de pele dele nos cotovelos e em volta dos olhos. 
</t>
  </si>
  <si>
    <t>i0306_2p012chg_g27_e002</t>
  </si>
  <si>
    <t xml:space="preserve">Ilustração de uma menina comendo uma maçã no refeitório.
veio do g23_ftd_lt_2bag_p011 código antigo i0204kt_2bag_g23_ftd_ly
Ajuste: Melhorar o acabamento dos cotovelos e ilustrar unhas na personagem.
</t>
  </si>
  <si>
    <t>i0307_2p012chg_g27_e002</t>
  </si>
  <si>
    <t xml:space="preserve">Ilustração de um menino e uma menina jogando futebol.
veio do g23_ftd_lt_2bag_p011 código antigo i0205kt_2bag_g23_ftd_ly
Ajuste1: Melhorar o acabamento dos joelhos e cotovelos dos personagens;
Ajuste2: Deixar a trave reta
</t>
  </si>
  <si>
    <t>i0308_2p012chg_g27_e002</t>
  </si>
  <si>
    <t xml:space="preserve">ilustração de amigos pulando amarelinha.
veio do g23_ftd_lt_2bag_p011 código antigo i0206kt_2bag_g23_ftd_ly
</t>
  </si>
  <si>
    <t>i0309_2p012chg_g27_e002</t>
  </si>
  <si>
    <t xml:space="preserve">Ilustração de um menino desenhando.
veio do g23_ftd_lt_2bag_p011 código antigo i0207kt_2bag_g23_ftd_ly
Ajuste: Deixar mãos e cotovelos melhor delimitados, além de ilustrar as unhas do personagem. 
</t>
  </si>
  <si>
    <t>i0310_2p012chg_g27_e002</t>
  </si>
  <si>
    <t xml:space="preserve">Ajuste
Ilustração de um professor apontando para a lousa em uma sala de aula.
veio do g23_ftd_lt_2bag_p011 código antigo i0208kt_2bag_g23_ftd_ly
Ajuste1: Retirar barba do professor (ficou parecendo uma máscara abaixada);
Ajuste2: Melhorar anatomia do rosto da menina da cena (deixar menos animalesca). 
</t>
  </si>
  <si>
    <t>i0315_2p012chg_g27_e002</t>
  </si>
  <si>
    <t xml:space="preserve">Ilustração da frente de uma escola. Um menino brinca no balanço, à esquerda. Outro menino, à frente do balanço e sentado em uma cadeira de rodas, acena para duas meninas. Elas estão à direita, e uma acena para o menino. A outra, que está à sua esquerda, carrega uma mochila vermelha. veio do g23_ftd_lt_2bag_p015 código antigo i0221ly_2bag_g23_ftd_ly
Ajuste: Na cadeira de rodas, inserir rodinhas dianteiras, aro de impulso e freios laterais, além de ajustar a roda principal da cadeira e o apoio dos pés, conforme referência: 
https://www.mobilitybrasil.com.br/cadeira-de-rodas-genesys-ultra-lite-x-infantil-ortobras
</t>
  </si>
  <si>
    <t>i0401_2p012chg_g27_e002</t>
  </si>
  <si>
    <t xml:space="preserve">resgatar ilustração da fachada de uma escola. Ela tem dois andares e uma porta de entrada central. Nas laterais, há um jardim com árvores e bancos, além de um portão delimitando o terreno.
veio do g23_ftd_lt_2bag_p016 código antigo i0222kf_2bag_g23_ftd_ly
</t>
  </si>
  <si>
    <t xml:space="preserve">i0402_2p012chg_g27_e002 </t>
  </si>
  <si>
    <t xml:space="preserve">resgatar ilustração de uma escola. O telhado tem o formato da letra 'L'. No pátio atrás da escola, há um escorregador. Acima da entrada central, há um toldo. Nas laterais, há um jardim com árvores e bancos, além de um portão delimitando o terreno.
veio do g23_ftd_lt_2bag_p016 código antigo i0223kf_2bag_g23_ftd_ly
</t>
  </si>
  <si>
    <t>i0403_2p012chg_g27_e002</t>
  </si>
  <si>
    <t xml:space="preserve">resgatar ilustração de uma escola. Nesta imagem, é possível identificar o telhado em 'L', o toldo acima da entrada central, o escorregador e uma gangorra no pátio atrás da escola, a copa das árvores à esquerda e o arbusto entre os bancos, à direita.
veio do g23_ftd_lt_2bag_p017 código antigo i0224kf_2bag_g23_ftd_ly
</t>
  </si>
  <si>
    <t>i0404_2p012chg_g27_e002</t>
  </si>
  <si>
    <t xml:space="preserve">i0404_2p012chg_g27_e002
Ajuste
ilustração da planta de uma escola. Nesta imagem, o telhado do prédio foi representado com a cor vermelha, o parque atrás da escola foi identificado com a marrom, o calçamento com a cor cinza e a grama e as árvores com dois tons de verde. Há, ainda, o muro em amarelo.veio do g23_ftd_lt_2bag_p017 código antigo i0225kf_2bag_g23_ftd_ly
Ajuste: Inserir a legenda da planta, conforme o print da versão antiga. É importante seguir as mesmas cores da ilustra
</t>
  </si>
  <si>
    <t>Gabriella Imai</t>
  </si>
  <si>
    <t>i0141_2p012chg_g27_e002</t>
  </si>
  <si>
    <t>resgatar ilustração de crianças comemorando aniversario. veio de g23_ftd_lt_2bah_p033. código antigo i0401ec_2bah_g23_ftd</t>
  </si>
  <si>
    <t>ec</t>
  </si>
  <si>
    <t>i0145_2p012chg_g27_e002</t>
  </si>
  <si>
    <t>resgatar il de garotinha encenando uma flor em peça de teatro. veio de g23_ftd_lt_2bah_p035. código antigo i0406rk_2bah_g23_ftd</t>
  </si>
  <si>
    <t>i0146_2p012chg_g27_e002</t>
  </si>
  <si>
    <t>Ilustração de dois meninos (uniformizados) brincando no escorregador. Um menino espera a vez do outro na escada do brinquedo. Um deles deve ser pele branca ter sobrepeso e o outro pardo e usar aparelho odontológico.</t>
  </si>
  <si>
    <t>R: 03/06 F: 06/06</t>
  </si>
  <si>
    <t>i0147_2p012chg_g27_e002</t>
  </si>
  <si>
    <t>resgatar ilustração de nadadora na piscina. veio de g23_ftd_lt_2bah_p035. código antigo i0408rk_2bah_g23_ftd</t>
  </si>
  <si>
    <t>i0152_2p012chg_g27_e002</t>
  </si>
  <si>
    <t>resgatar ilustração de relógio de sol. veio de g23_ftd_lt_2bah_p038. código antigo i0437rm_2bah_g23_ftd</t>
  </si>
  <si>
    <t>i0153_2p012chg_g27_e002</t>
  </si>
  <si>
    <t>resgatar ilustração de clepsidra. veio de g23_ftd_lt_2bah_p038. código antigo i0414rm_2bah_g23_ftd</t>
  </si>
  <si>
    <t>i0154_2p012chg_g27_e002</t>
  </si>
  <si>
    <t>resgatar ilustração de ampulheta. veio de g23_ftd_lt_2bah_p038. código antigo i0438rm_2bah_g23_ftd_ef</t>
  </si>
  <si>
    <t>i0345_2p012chg_g27_e002</t>
  </si>
  <si>
    <t>resgatar il de garoto acordando. veio de g23_ftd_lt_2bah_p054. código antigo i0603kf_2bah_g23_ftd</t>
  </si>
  <si>
    <t>i0346_2p012chg_g27_e002</t>
  </si>
  <si>
    <t>resgatar il de família tomando café da manhã. veio de g23_ftd_lt_2bah_p054. código antigo i0604kf_2bah_g23_ftd</t>
  </si>
  <si>
    <t>i0347_2p012chg_g27_e002</t>
  </si>
  <si>
    <t>resgatar il de garoto e garota na sala de aula. veio de g23_ftd_lt_2bah_p054. código antigo i0605kf_2bah_g23_ftd</t>
  </si>
  <si>
    <t>i0348_2p012chg_g27_e002</t>
  </si>
  <si>
    <t>resgatar il do  mesmo garoto fazendo dever de casa. veio de g23_ftd_lt_2bah_p055. código antigo i0606kf_2bah_g23_ftd</t>
  </si>
  <si>
    <t>i0349_2p012chg_g27_e002</t>
  </si>
  <si>
    <t>resgatar il de dois garotos brincando de bola. veio de g23_ftd_lt_2bah_p055. código antigo i0607kf_2bah_g23_ftd</t>
  </si>
  <si>
    <t>i0350_2p012chg_g27_e002</t>
  </si>
  <si>
    <t>resgatar il de família assistindo TV a noite. veio de g23_ftd_lt_2bah_p055. código antigo i0608kf_2bah_g23_ftd</t>
  </si>
  <si>
    <t>i0355A_2p012chg_g27_e002</t>
  </si>
  <si>
    <t xml:space="preserve">il de agenda, mostrando mês, dia da semana, ano, horário, compromissos, etc. veio de g23_ftd_lt_2bah_p058. código antigo i0613rm_2bah_g23_ftd
AJUSTE: Retirar da ilustração as setas e os textos aos quais elas estão ligadas. Deixar apenas a página da agenda e os elementos ao redor, retirando o lápis / borracha e o livro / caderno (que aparecem juntos). Conforme print:
</t>
  </si>
  <si>
    <t>resgate ajuste</t>
  </si>
  <si>
    <t>i0355B_2p012chg_g27_e002</t>
  </si>
  <si>
    <t xml:space="preserve">iI de relógio, lápis, agenda, lápis... veio de g23_ftd_lt_2bah_p059. código antigo i0613rm_2bah_g23_ftd_ly
AJUSTE: Ajuste:Retirar o relógio, que já vai aparecer na página anterior. A ideia é que esses itens fiquem equilibrados com os da página anterior.
</t>
  </si>
  <si>
    <t>i0356_2p012chg_g27_e002</t>
  </si>
  <si>
    <t xml:space="preserve">Aplicar apenas parte da ilustra que mostra indígena com passarinho na cabeça.  veio de g23_ftd_lt_2bah_p060. código antigo i0632mq_2bah_g23_ftd
</t>
  </si>
  <si>
    <t>i0357_2p012chg_g27_e002</t>
  </si>
  <si>
    <t>resgatar il de adulto e crianças lendo livro, sentados no chão. veio de g23_ftd_lt_2bah_p061. código antigo i0615kf_2bah_g23_ftd</t>
  </si>
  <si>
    <t>i0358_2p012chg_g27_e002</t>
  </si>
  <si>
    <t xml:space="preserve">resgatar il de mulher trabalhando no computador. veio de g23_ftd_lt_2bah_p061. código antigo i0616kf_2bah_g23_ftd
</t>
  </si>
  <si>
    <t>i0359_2p012chg_g27_e002</t>
  </si>
  <si>
    <t xml:space="preserve">Ajustar il de criança nadando. veio de g23_ftd_lt_2bah_p061. código antigo i0617kf_2bah_g23_ftd
Inserir elementos que evidenciem melhor a ideia de uma aula de natação, como raias e cordas </t>
  </si>
  <si>
    <t>i0360_2p012chg_g27_e002</t>
  </si>
  <si>
    <t>resgatar il de adulto fazendo compras. veio de g23_ftd_lt_2bah_p061. código antigo i0618kf_2bah_g23_ftd</t>
  </si>
  <si>
    <t>i0361_2p012chg_g27_e002</t>
  </si>
  <si>
    <t>resgatar il de dois meninos jogando bola. veio de g23_ftd_lt_2bah_p062. código antigo i0619kf_2bah_g23_ftd</t>
  </si>
  <si>
    <t>i0362_2p012chg_g27_e002</t>
  </si>
  <si>
    <t xml:space="preserve">ajustar il de mulher mexendo no notebook. veio de g23_ftd_lt_2bah_p062. código antigo i0620kf_2bah_g23_ftd
A ilus deve estar de acordo com a ergonomia. Ajustar altura do notebook (tela próxima à altura dos olhos) e posição da mão/punho/braço
</t>
  </si>
  <si>
    <t>i0363_2p012chg_g27_e002</t>
  </si>
  <si>
    <t>resgatar il de garoto de óculos estudando. veio de g23_ftd_lt_2bah_p062. código antigo i0621kf_2bah_g23_ftd</t>
  </si>
  <si>
    <t>i0364_2p012chg_g27_e002</t>
  </si>
  <si>
    <t>resgatar il de professor mostrando mapa do brasil no quadro. veio de g23_ftd_lt_2bah_p062. código antigo i0622kf_2bah_g23_ftd</t>
  </si>
  <si>
    <t>i0365_2p012chg_g27_e002</t>
  </si>
  <si>
    <t xml:space="preserve">il de crianças comemorando aniversario.
 veio de g23_ftd_lt_2bah_p063. código antigo i0623kf_2bah_g23_ftd_LOcopy2
Ajuste 1: inserir chapéu de aniversário nas duas crianças que ficaram sem (à direita);
Ajuste2: na cadeira de rodas, inserir aro de impulso, freios laterais e rodinhas dianteiras que rotacionem. Seguir referência:
https://www.mobilitybrasil.com.br/cadeira-de-rodas-genesys-ultra-lite-x-infantil-ortobras
</t>
  </si>
  <si>
    <t>i0786_1p012chg_g27_e002</t>
  </si>
  <si>
    <t xml:space="preserve">Ilustração de propriedade agrícola com menino em destaque, veio de g23_ftd_lt_1bag_p066,  
Cód.antigo - i0818md_1bag_g23_ftd
AJUSTE: Deixar o nome “ESCOLA” mais visível na ilustração
</t>
  </si>
  <si>
    <t>i0787_1p012chg_g27_e002</t>
  </si>
  <si>
    <t xml:space="preserve">ilustração de área urbana com destaque para uma menina com expressão de fala., veio de g23_ftd_lt_1bag_p067.  Código antigo. i0819md_1bag_g23_ftd
AJUSTE_1:Deixar os nomes “ESCOLA”, “PADARIA” e “FARMÁCIA” mais visíveis na ilustração.
AJUSTE_2:conforme print, excluir faixa de pedestre sinalizada de vermelho e inserir faixa tracejada, faixa de pedestre e rampa sinalizadas de azul. 
</t>
  </si>
  <si>
    <t>i0801_1p012chg_g27_e002</t>
  </si>
  <si>
    <t>Ilustrações de árvore. Veio de g23_ftd_lt_1bag_p068.- Cód. antigo: i0820dn_1bag_g23_ftd</t>
  </si>
  <si>
    <t>i0802_1p012chg_g27_e002</t>
  </si>
  <si>
    <t>Ilustração de prédio- Cód. antigo: i0821dn_1bag_g23_ftd</t>
  </si>
  <si>
    <t>i0803_1p012chg_g27_e002</t>
  </si>
  <si>
    <t>Ilustrações de casa térrea- Cód. antigo: i0822dn_1bag_g23_ftd</t>
  </si>
  <si>
    <t>i0804_1p012chg_g27_e002</t>
  </si>
  <si>
    <t>Ilustrações de praia - Cód. antigo: i0823dn_1bag_g23_ftd</t>
  </si>
  <si>
    <t>i0805_1p012chg_g27_e002</t>
  </si>
  <si>
    <t>Ilustrações de rio- Cód. antigo: i0824dn_1bag_g23_ftd</t>
  </si>
  <si>
    <t>i0806_1p012chg_g27_e002</t>
  </si>
  <si>
    <t>Ilustrações de ponte sobre rio- Cód. antigo: i0825dn_1bag_g23_ftd</t>
  </si>
  <si>
    <t>i0807_1p012chg_g27_e002</t>
  </si>
  <si>
    <t>Ilustrações de semáforo - Cód. antigo: i0826dn_1bag_g23_ftd</t>
  </si>
  <si>
    <t>i0808_1p012chg_g27_e002</t>
  </si>
  <si>
    <t>i0809_1p012chg_g27_e002</t>
  </si>
  <si>
    <t>Ilustrações de faixa de pedestre- Cód. antigo: i0828dn_1bag_g23_ftd</t>
  </si>
  <si>
    <t>i0789_1p012chg_g27_e002</t>
  </si>
  <si>
    <t xml:space="preserve">il para o aluno pintar de duas pessoas jogando lixo no lixo, veio de g23_ftd_lt_1bah_p066, código antigo: i0637iv_1bah_g23_ftd_ef
AJUSTE: Trocar palavra “lixo” por “lixeira” e aproximar a lixeira da parede para que ela não fique no meio do caminho.
</t>
  </si>
  <si>
    <t>i0141_1p012chg_g27_e002</t>
  </si>
  <si>
    <t>Ilustração de menino recortando papel com seu desenho do corpo
 g23_ftd_lt_1bag_p013 
código antigo i0206dn_1bag_g23_ftd</t>
  </si>
  <si>
    <t>i0525_2p012chg_g27_e002</t>
  </si>
  <si>
    <t>resgatar il de certidão de nascimento. veio de g23_ftd_lt_2bah_p075. código antigo i0805rm_2bah_g23_ftd</t>
  </si>
  <si>
    <t>i0526_2p012chg_g27_e002</t>
  </si>
  <si>
    <t>resgatar il de carteirinha de vacinação. veio de g23_ftd_lt_2bah_p075. código antigo i0806rm_2bah_g23_ftd</t>
  </si>
  <si>
    <t>i0533_2p012chg_g27_e002</t>
  </si>
  <si>
    <t>Ilustração de camiseta escrita Família, a camisa presa no varal. veio de g23_ftd_lt_2bah_p078. código antigo i0849cx_2bah_g23_ftd_ly</t>
  </si>
  <si>
    <t>i0534_2p012chg_g27_e002</t>
  </si>
  <si>
    <t>Il de família tirando foto, pai revelando, família com as fotos personalizadas em vários objetos. veio de g23_ftd_lt_2bah_p079. código antigo i0850cx_2bah_g23_ftd
Ajuste: Retirar fios e zoom e usar remissivos. Ajustar contrastes e cores da ilustração (Leitura Arte)</t>
  </si>
  <si>
    <t>i0537_2p012chg_g27_e002</t>
  </si>
  <si>
    <t>Il de crianças brincando de ciranda. veio de g23_ftd_lt_2bah_p082. código antigo i0825cx_2bah_g23_ftd_ly</t>
  </si>
  <si>
    <t>i0541_2p012chg_g27_e002</t>
  </si>
  <si>
    <t>Ilustração de hq de um pai e uma filha olhando objetos guardados pelo pai, e o pai contando sobre suas recordações. veio de g23_ftd_lt_2bah_p084. código antigo i0829lp_2bah_g23_ftd</t>
  </si>
  <si>
    <t>lp</t>
  </si>
  <si>
    <t>i0542_2p012chg_g27_e002</t>
  </si>
  <si>
    <t>Ilustração de ticket de ingresso. veio de g23_ftd_lt_2bah_p085. código antigo i0830lp_2bah_g23_ftd_ly</t>
  </si>
  <si>
    <t>i0543_2p012chg_g27_e002</t>
  </si>
  <si>
    <t>Ilustração de pen drive. veio de g23_ftd_lt_2bah_p085. código antigo i0831lp_2bah_g23_ftd_ly</t>
  </si>
  <si>
    <t>i0544_2p012chg_g27_e002</t>
  </si>
  <si>
    <t>Ilustração de fotografias antigas. veio de g23_ftd_lt_2bah_p085. código antigo i0832lp_2bah_g23_ftd_ly</t>
  </si>
  <si>
    <t>i0545_2p012chg_g27_e002</t>
  </si>
  <si>
    <t>il de caixa vazia de recordações com espaço para aluno desenhar. veio de g23_ftd_lt_2bah_p086. código antigo i0852cm_2bah_g23_ftd</t>
  </si>
  <si>
    <t>cm</t>
  </si>
  <si>
    <t>i0558_2p012chg_g27_e002</t>
  </si>
  <si>
    <t>Il de família na cozinha, o pai lavando a louça. veio de g23_ftd_lt_2bah_p104. código antigo i1022iv_2bah_g23_ftd</t>
  </si>
  <si>
    <t>i0559_2p012chg_g27_e002</t>
  </si>
  <si>
    <t xml:space="preserve">il de família na biblioteca, a mulher no computador. veio de g23_ftd_lt_2bah_p104. código antigo i1023iv_2bah_g23_ftd
Ajuste: inserir o aro de impulso na roda da cadeira </t>
  </si>
  <si>
    <t>i0560_2p012chg_g27_e002</t>
  </si>
  <si>
    <t>il de homem segurando bebê e mulher arrumando a cama. veio de g23_ftd_lt_2bah_p104. código antigo i1024iv_2bah_g23_ftd</t>
  </si>
  <si>
    <t>i0561_2p012chg_g27_e002</t>
  </si>
  <si>
    <t>il de idosa estendendo roupa no varal e criança dando comida e água para gato. veio de g23_ftd_lt_2bah_p105. código antigo i1025iv_2bah_g23_ftd</t>
  </si>
  <si>
    <t>i0562_2p012chg_g27_e002</t>
  </si>
  <si>
    <t>il de mulher negra, homem branco, criança ruiva. veio de g23_ftd_lt_2bah_p106. código antigo i1026kb_2bah_g23_ftd</t>
  </si>
  <si>
    <t>i0510_2p012chg_g27_e002</t>
  </si>
  <si>
    <t>Resgatar ilustração do quarto de uma menina com duas caixas de brinquedos, indicadas pela letra A, e um tapete indicado pela letra B. Página 118 do g23_ftd_lt_2bac. Código antigo: i1202Acf_2bac_g23_ftd</t>
  </si>
  <si>
    <t>i0511_2p012chg_g27_e002</t>
  </si>
  <si>
    <t>Resgatar ilustração de um idoso em um banheiro com barras de apoio fixadas nas paredes. Elas estão sendo indicadas pela letra C. Já o tapete antiderrapante é indicado pela letra D. Página 118 do g23_ftd_lt_2bac. Código antigo: i1202Bcf_2bac_g23_ftd  - AJUSTE: separar il</t>
  </si>
  <si>
    <t>i0512_2p012chg_g27_e002</t>
  </si>
  <si>
    <t>ilustração de uma lavanderia com armário de produtos de limpeza indicado pela letra E, máquina de lavar roupas e tanque. Página 118 do g23_ftd_lt_2bac. Código antigo: i1202Ccf_2bac_g23_ftd  - AJUSTAE: separar il</t>
  </si>
  <si>
    <t>i0513_2p012chg_g27_e002</t>
  </si>
  <si>
    <t>Resgatar ilustração de uma sala de estar com duas tomadas plugadas com um aparelho cada, indicadas pela letra F, tela de proteção na janela, indicada pela letra G e uma tomada com protetor indicada pela letra H. Página 119 do g23_ftd_lt_2bac. Código antigo: i1202Dcf_2bac_g23_ftd</t>
  </si>
  <si>
    <t>Felipe Grigoli</t>
  </si>
  <si>
    <t>i0514_2p012chg_g27_e002</t>
  </si>
  <si>
    <t>Resgatar ilustração de uma cozinha com gavetas do armário com travas de segurança indicadas pela letra I e panela sobre o fogão com o cabo virado para a parte interna, indicada pela letra J. Página 119 do g23_ftd_lt_2bac. Código antigo: i1202Ecf_2bac_g23_ftd</t>
  </si>
  <si>
    <t>i0572_2p012chg_g27_e002</t>
  </si>
  <si>
    <t>Ilustração de pessoa tirando foto da família com o celular. veio de g23_ftd_lt_2bah_p111. código antigo i1029ec_2bah_g23_ftd</t>
  </si>
  <si>
    <t>i0979_1p012chg_g27_e002</t>
  </si>
  <si>
    <t>Ilustração de uma mulher colocando pedaços de fruta em um liquidificador com água. Uma criança sentada na cadeira ao lado faz anotações em um caderno. Página 104 do g23_ftd_lt_1bac. Código antigo: i1241cf_1bac_g23_ftd_ly
Ajustar para ficar em uma página e retirando um pouco do fundo verde. Ver print</t>
  </si>
  <si>
    <t>i0980_1p012chg_g27_e002</t>
  </si>
  <si>
    <t>Ilustração atividade de labirinto. Uma menina está no centro do labirinto e há quatro caminhos possíveis, cada um leva a uma pergunta diferente. Página 102 do g23_ftd_lt_1bac. Código antigo: i1228dn_1bac_g23_ftd</t>
  </si>
  <si>
    <t>i0990_1p012chg_g27_002</t>
  </si>
  <si>
    <t xml:space="preserve">Ilustração de ligar pontos. Os pontos estão numerados de 1 a 30, que ao serem ligados formam um apontador. Resposta do professor: apontador. Página 106 do g23_ftd_lt_1bac. Código antigo: i1233rm_1bac_g23_ftd_sub
Ajuste: retirar o contorno magenta do objeto
</t>
  </si>
  <si>
    <t>i1181_1p012chg_g27_e002</t>
  </si>
  <si>
    <t>Resgatar ilustração de três crianças segurando brinquedo e um labirinto - g23_ftd_lt_1bag_p22  - 
- Cód.. Antigo - i0229kt_1bag_g23_ftd</t>
  </si>
  <si>
    <t>i1194_1p012chg_g27_e002</t>
  </si>
  <si>
    <t>resgatar ilustração de formatura de alunos. veio de g23_ftd_lt_1bah_p134 código antigo i1243rq_1bah_g23_ftd</t>
  </si>
  <si>
    <t>i1195_1p012chg_g27_e002</t>
  </si>
  <si>
    <t>resgatar ilustração de festa de aniversário de crianças. veio de g23_ftd_lt_1bah_p134 código antigo i1244rq_1bah_g23_ftd</t>
  </si>
  <si>
    <t>i1196_1p012chg_g27_e002</t>
  </si>
  <si>
    <t>resgatar ilustração de comemoração ano novo. veio de g23_ftd_lt_1bah_p135 código antigo i1245rq_1bah_g23_ftd</t>
  </si>
  <si>
    <t>i1197_1p012chg_g27_e002</t>
  </si>
  <si>
    <t>resgatar ilustração de feira cultural escolar. veio de g23_ftd_lt_1bah_p135 código antigo i1246rq_1bah_g23_ftd</t>
  </si>
  <si>
    <t>i0332_1p012chg_g27_e002</t>
  </si>
  <si>
    <t xml:space="preserve">ilustração de quadro para resposta. Em volta há imagens de morangos, bananas e laranjas.   . Página 76 do g23_ftd_lt_1bac. 
Código antigo: i0846bm_1bac_g23_ftd_ef_ly
</t>
  </si>
  <si>
    <t>bm</t>
  </si>
  <si>
    <t>i1238_1p012chg_g27_e002</t>
  </si>
  <si>
    <t>Vamos iniciar</t>
  </si>
  <si>
    <t xml:space="preserve">Resgatar il de crianças brincando em um jardim com uma casa na árvore veio do g23_ftd_lt_1bag_p007 código antigo i0248md_1bag_g23_ftd
AJUSTE: Incluir um adulto em algum lugar na cena que pareça que esteja supervisionando as crianças da cena, poderia ser perto da criança 1 ou 5.
</t>
  </si>
  <si>
    <t>i1239_1p012chg_g27_e002</t>
  </si>
  <si>
    <t>Resgatar il de mão esquerda veio do g23_ftd_lt_1bag_p006 código antigo i0246rm_1bag_g23_ftd</t>
  </si>
  <si>
    <t>i1240_1p012chg_g27_e002</t>
  </si>
  <si>
    <t>Resgatar il de mão direita veio do g23_ftd_lt_1bag_p006 código antigo i0247rm_1bag_g23_ftd</t>
  </si>
  <si>
    <t>i1225_1p012chg_g27_e002</t>
  </si>
  <si>
    <t>Vamos concluir</t>
  </si>
  <si>
    <t>resgatar ilustração de fogão veio do g23_ftd_lt_1bag_p109 código antigo i1245rm_1bag_g23_ftd</t>
  </si>
  <si>
    <t>i1226_1p012chg_g27_e002</t>
  </si>
  <si>
    <t>resgatar ilustração de carteira veio do g23_ftd_lt_1bag_p109 código antigo i1246rm_1bag_g23_ftd</t>
  </si>
  <si>
    <t>i1227_1p012chg_g27_e002</t>
  </si>
  <si>
    <t>resgatar ilustração de chuveiro veio do g23_ftd_lt_1bag_p109 código antigo i1247rm_1bag_g23_ftd</t>
  </si>
  <si>
    <t>i1228_1p012chg_g27_e002</t>
  </si>
  <si>
    <t>resgatar ilustração de semáforo veio do g23_ftd_lt_1bag_p109 código antigo i1248rm_1bag_g23_ftd</t>
  </si>
  <si>
    <t>i0618_1p012chg_g27_e002</t>
  </si>
  <si>
    <t>IL TEC ARTE</t>
  </si>
  <si>
    <t>resgatar ilustração de calendario de setembro 2027 antigo i0531_1p012m_g27_e002</t>
  </si>
  <si>
    <t>i0725_2p012chg_g27_e002</t>
  </si>
  <si>
    <t>resgatar il de muro de escola. veio de g23_ftd_lt_2bah_p023. código antigo i0202kt_2bah_g23_ftd</t>
  </si>
  <si>
    <t>i0730_2p012chg_g27_e002</t>
  </si>
  <si>
    <t>Resgatar ilustração de rosto de menino negro falando. Resgatar de 2BAG p.28- Cód. Antigo - i0402ly_2bag_g23_ftd_ly</t>
  </si>
  <si>
    <t>i0732_2p012chg_g27_e002</t>
  </si>
  <si>
    <t>Resgatar ilustração de rosto de menina mestiça falando. Resgatar de 2BAG p.28 – Cód. Antigo - i0404ly_2bag_g23_ftd_ly</t>
  </si>
  <si>
    <t>i0734_2p012chg_g27_e002</t>
  </si>
  <si>
    <t>Resgatar ilustração de rosto de menino loiro falando. Resgatar de 2BAG p.29 – Cád. Antigo - i0406ly_2bag_g23_ftd_ly</t>
  </si>
  <si>
    <t>i0736_2p012chg_g27_e002</t>
  </si>
  <si>
    <t xml:space="preserve">Resgatar ilustração de rosto de menina indígena falando.
Resgatar de 2BAG p.29 – Cád. Antigo - i0408ly_2bag_g23_ftd_ly
</t>
  </si>
  <si>
    <t>i0755_2p012chg_g27_e002</t>
  </si>
  <si>
    <t xml:space="preserve">resgatar ilustração de uma placa de trânsito com seta apontada para cima.
veio do g23_ftd_lt_2bag_p052 código antigo i0620rm_2bag_g23_ftd
</t>
  </si>
  <si>
    <t>i0756_2p012chg_g27_e002</t>
  </si>
  <si>
    <t xml:space="preserve">resgatar ilustração de uma placa de trânsito indicando: 40 km/h.
veio do g23_ftd_lt_2bag_p052 código antigo i0651rm_2bag_g23_ftd
</t>
  </si>
  <si>
    <t>i0757_2p012chg_g27_e002</t>
  </si>
  <si>
    <t xml:space="preserve">resgatar ilustração de uma placa de trânsito com seta apontada para cima e à direita.
veio do g23_ftd_lt_2bag_p052 código antigo i0621rm_2bag_g23_ftd
</t>
  </si>
  <si>
    <t>i0758_2p012chg_g27_e002</t>
  </si>
  <si>
    <t xml:space="preserve">resgatar ilustração de uma placa de trânsito com adulto e criança levando mochila.
veio do g23_ftd_lt_2bag_p052 código antigo i0652rm_2bag_g23_ftd
</t>
  </si>
  <si>
    <t>i0759_2p012chg_g27_e002</t>
  </si>
  <si>
    <t xml:space="preserve">resgatar ilustração de uma placa de trânsito com seta apontada à esquerda.
veio do g23_ftd_lt_2bag_p052 código antigo i0622rm_2bag_g23_ftd
</t>
  </si>
  <si>
    <t>i0760_2p012chg_g27_e002</t>
  </si>
  <si>
    <t xml:space="preserve">resgatar ilustração de uma placa de trânsito com o desenho de uma lombada.
veio do g23_ftd_lt_2bag_p052 código antigo i0653rm_2bag_g23_ftd
</t>
  </si>
  <si>
    <t>i0761_2p012chg_g27_e002</t>
  </si>
  <si>
    <t xml:space="preserve">resgatar ilustração de uma placa de trânsito com a letra E e faixa vermelha por cima da letra.
veio do g23_ftd_lt_2bag_p052 código antigo i0654rm_2bag_g23_ftd
</t>
  </si>
  <si>
    <t>i0762_2p012chg_g27_e002</t>
  </si>
  <si>
    <t xml:space="preserve">resgatar ilustração de uma placa de trânsito com seta apontada para cima e faixa vermelha por cima da seta.
veio do g23_ftd_lt_2bag_p052 código antigo i0623rm_2bag_g23_ftd
</t>
  </si>
  <si>
    <t>i0766_2p012chg_g27_e002</t>
  </si>
  <si>
    <t xml:space="preserve">resgatar ilustração de uma mulher e uma menino, de mãos dadas, aguardando na calçada, porque o semáforo de pedestres marca a cor vermelha.
veio do g23_ftd_lt_2bag_p054 código antigo i0627Dkt_2bag_g23_ftd
</t>
  </si>
  <si>
    <t>i0767_2p012chg_g27_e002</t>
  </si>
  <si>
    <t xml:space="preserve">resgatar ilustração de uma mulher e uma menino, de mãos dadas, aguardando na calçada o semáforo de pedestres marcar a cor verde.
veio do g23_ftd_lt_2bag_p054 código antigo i0627Bkt_2bag_g23
</t>
  </si>
  <si>
    <t>i0768_2p012chg_g27_e002</t>
  </si>
  <si>
    <t xml:space="preserve">resgatar ilustração de uma mulher e uma menino, de mãos dadas, olhando para os lados para atravessar a rua na faixa de pedestres, com o semáforo de pedestres marcando a cor verde.
veio do g23_ftd_lt_2bag_p054 código antigo i0627Ckt_2bag_g23_ftd
</t>
  </si>
  <si>
    <t>i0769_2p012chg_g27_e002</t>
  </si>
  <si>
    <t xml:space="preserve">resgatar ilustração de uma mulher e uma menino, de mãos dadas, atravessando a rua na faixa de pedestre com o semáforo de pedestres marcando a cor verde.
veio do g23_ftd_lt_2bag_p054 código antigo i0627Akt_2bag_g23_ftd
</t>
  </si>
  <si>
    <t>i0911_2p012chg_g27_e002</t>
  </si>
  <si>
    <t xml:space="preserve">Ilustração de um peixe com as brânquias em destaque. Há um fluxo de água indicado pela letra A passando pela boca do peixe e saindo pelas fendas das brânquias.
 Página 57 do g23_ftd_lt_2bac. Código antigo: i0418nc_2bac_g23_ftd
AJUSTE: separar a ilustração do peixe e o zoom da cabeça
</t>
  </si>
  <si>
    <t>i0921_2p012chg_g27_e002</t>
  </si>
  <si>
    <t xml:space="preserve"> ilustração da silhueta de um corpo humano. Página 63 do g23_ftd_lt_2bac. Código antigo: i0428rm_2bac_g23_ftd</t>
  </si>
  <si>
    <t>i0922_2p012chg_g27_e002</t>
  </si>
  <si>
    <t>i0922A_ - ilustração de três copos numerados (1, 2 e 3) com terra e duas sementes. Uma criança despeja água no copo 1. Página 61 do g23_ftd_lt_2bac. Código antigo: i0425Acq_2bac_g23_ftd_ef_ly
AJUSTE: deixar a criança com vitiligo
i0922B - ilustração da menina e três copos numerados (1, 2 e 3) com terra. Os copos 1 e 2 têm brotos nascendo e o copo 3 está apenas com a terra.. Página 61 do g23_ftd_lt_2bac. Código antigo: i0425Bcq_2bac_g23_ftd
AJUSTE: deixar a criança com vitiligo
Atentar para que se a falta de pigmentação abranger área com pelos, como as sobrancelhas, estas deverão estar despigmentadas também. Deixar uma mecha de cabelo sem pigmentação (continuação de uma mancha do rosto).
Referências para as ilustras da sequência
i0922C - ilustração de três copos numerados (1, 2 e 3) com terra. O copo 1 tem uma planta crescendo, o copo 2 um broto seco e o copo 3 está apenas com a terra. A mesma  menina observando os copos e dizendo: 'Que pena! Somente a planta do copo 1 se desenvolveu'. Página 61 do g23_ftd_lt_2bac. Código antigo: i0425Ccq_2bac_g23_ftd
AJUSTE: lembrar de ajustar a criança com vitiligo do mesmo jeito da il anterior</t>
  </si>
  <si>
    <t>i0923_2p012chg_g27_e002</t>
  </si>
  <si>
    <t xml:space="preserve">ilustração de um menino com cactos, flores,Sol, nuvens e chuva. Página 65 do g23_ftd_lt_2bac. Código antigo: i0436se_2bac_g23_ftd_ly
AJUSTE: remover a moldura e as nuvens acima do texto, fazer como print.
</t>
  </si>
  <si>
    <t>se</t>
  </si>
  <si>
    <t>i0924_2p012chg_g27_e002</t>
  </si>
  <si>
    <t>ilustração de um menino e três vasos de planta sobre uma bancada ao lado da janela. Um dos vasos está em uma caixa fechada (sem luz), outro está em uma caixa com abertura lateral e outro está fora da caixa (com luz solar). Página 67 do g23_ftd_lt_2bac. Código antigo: i0437Ase_2bac_g23_ftd</t>
  </si>
  <si>
    <t>i0965_2p012chg_g27_e002</t>
  </si>
  <si>
    <t>Ajuste: Deixar caminhão estacionado, pois está no meio da rua e parece em movimento. E se é a personagem que faz as entregas, ficou estranho estar fora do caminhão nesse contexto. O caminhão não deve ficar no meio da rua</t>
  </si>
  <si>
    <t>i0966_2p012chg_g27_e002</t>
  </si>
  <si>
    <t>Ilustração de marceneiro. veio de g23_ftd_lt_2bah_p126. código antigo i1227kt_2bah_g23_ftd</t>
  </si>
  <si>
    <t>i0967_2p012chg_g27_e002</t>
  </si>
  <si>
    <t>Ilustração de agricultores. veio de g23_ftd_lt_2bah_p127. código antigo i1228kt_2bah_g23_ftd</t>
  </si>
  <si>
    <t>i1107_2p012chg_g27_e002</t>
  </si>
  <si>
    <t xml:space="preserve">Ilustração de esquema do ciclo de vida de uma gata Página 17 do g23_ftd_lt_2bac. Código antigo: i0223Acf_2bac_g23_ftd , as retrancas de cada etapa estão separadas em a, b, c, d.
Ajuste: inserir fundo cor orgânico em cada etapa. Deixar as ils separadas em retrancas a, b, c , d.
</t>
  </si>
  <si>
    <t>i1108_2p012chg_g27_e002</t>
  </si>
  <si>
    <t xml:space="preserve"> ilustração de esquema do ciclo de vida de um sapo: ovos de sapo em um lago; aponta para: girino apenas com uma cauda; aponta para: girino com uma cauda e um par de pernas; aponta para: sapo com uma cauda pequena; aponta para: sapo adulto. Página 17 do g23_ftd_lt_2bac. Código antigo: i0224cf_2bac_g23_ftd
AJUSTE- separa cada etapa com uma retranca A, B, C, D
</t>
  </si>
  <si>
    <t>i1122_2p012chg_g27_e002</t>
  </si>
  <si>
    <t>Ilustração de um pé de milho seco e murcho. Página 33 do g23_ftd_lt_2bac. Código antigo: i0251Anc_2bac_g23_ftd</t>
  </si>
  <si>
    <t>i1123_2p012chg_g27_e002</t>
  </si>
  <si>
    <t>Ilustração de um broto de milhos nascendo no solo. Página 33 do g23_ftd_lt_2bac. Código antigo: i0251Bnc_2bac_g23_ftd</t>
  </si>
  <si>
    <t>i1124_2p012chg_g27_e002</t>
  </si>
  <si>
    <t>Ilustração de um pé de milho florido e com espigas se formando. Página 33 do g23_ftd_lt_2bac. Código antigo: i0251Cnc_2bac_g23_ftd</t>
  </si>
  <si>
    <t>i1125_2p012chg_g27_e002</t>
  </si>
  <si>
    <t>Ilustração de um pé de milho com quatro folhas. Página 33 do g23_ftd_lt_2bac. Código antigo: i0251Dnc_2bac_g23_ftd</t>
  </si>
  <si>
    <t>i1126_2p012chg_g27_e002</t>
  </si>
  <si>
    <t xml:space="preserve">i1126a - ilustração de indígenas utilizando partes de plantas em seu cotidiano Página 36 do g23_ftd_lt_2bac. Código antigo: i0255cf_2bac_g23_ftd
AJUSTE cortar a il para que apenas a primeira parte dela (que mostra mulher e criança) seja aplicada na página par. Ajustar il para que ocupe melhor o espaço da página.  
i1126b - ilustração de indígenas utilizando partes de plantas em seu cotidiano Página 36 do g23_ftd_lt_2bac. Código antigo: i0255cf_2bac_g23_ftd
AJUSTE cortar a il para que apenas a segunda parte dela (que mostra pessoas mexendo farinha de mandioca, e comendo açaí) seja aplicada na página ímpar. Remover os coqueiros para que não dê ideia de continuação da il anterior; remover parte inferior da il porque está mostrando muito chão (centralizar mais nas pessoas) Ajustar il para que ocupe melhor o espaço da página. 
</t>
  </si>
  <si>
    <t>i1127_2p012chg_g27_e002</t>
  </si>
  <si>
    <t xml:space="preserve">Ilustração de uma árvore laranjeira com indicações: letra A: frutos; letra C: flores; letra D: folhas; letra E: caule; letra F: raízes abaixo do solo. Página 40 do g23_ftd_lt_2bac. 
Código antigo: i0259_2bac_g23_ftd
Ajustar il para que seja aplicada em uma única página (par). Separar o zoom da laranja em corte. 
</t>
  </si>
  <si>
    <t>i1128_2p012chg_g27_e002</t>
  </si>
  <si>
    <t xml:space="preserve">Ilustração de metade de laranja com os gomos e as sementes aparentes. As sementes estão indicadas pela letra B. Página 40 do g23_ftd_lt_2bac. Código antigo: i0259_2bac_g23_ftd
Ajuste: separar zoom da laranja da il principal.
</t>
  </si>
  <si>
    <t>i1136_2p012chg_g27_e002</t>
  </si>
  <si>
    <t xml:space="preserve">Ilustração de dois meninos olhando uma vitrine com calçados. Um deles fala: 'Olha, Pedro, que tênis legal! Quero um!'. O outro diz: 'Mas, João, você não ganhou um desses no seu aniversário?'.
veio do g23_ftd_lt_2bag_p112 código antigo i1209_2bag_g23_ftd
Ajuste: Transformar o menino de vermelho em um adulto. 
</t>
  </si>
  <si>
    <t>i1013_1p012chg_g27_e002</t>
  </si>
  <si>
    <t xml:space="preserve">Resgatar ilustração de contorno de Sol. Ver pág. 107, 1 bag_g23
Cód. Antigo - 1236rm_1bag_g23_ftd
</t>
  </si>
  <si>
    <t>i1014_1p012chg_g27_e002</t>
  </si>
  <si>
    <t xml:space="preserve">Resgatar ilustração de Sol e nuvens. Ver pág. 107, 1bag_g23
Cód. Antigo - 1237rm_1bag_g23_ftd
</t>
  </si>
  <si>
    <t>i1015_1p012chg_g27_e002</t>
  </si>
  <si>
    <t xml:space="preserve">Resgatar ilustração de nuvens. Ver pág. 107, 1bag_g23
Cód. Antigo - 1238rm_1bag_g23_ftd
</t>
  </si>
  <si>
    <t>i1016_1p012chg_g27_e002</t>
  </si>
  <si>
    <t xml:space="preserve">Resgatar ilustração de nuvem com chuva. Ver 1pág. 107, bag_g23
Cód. Antigo - 1239rm_1bag_g23_ftd
</t>
  </si>
  <si>
    <t>i0169_2p012chg_g27_e002</t>
  </si>
  <si>
    <t>il de cabide no estilo do alfabeto ilustrado.</t>
  </si>
  <si>
    <t>nf</t>
  </si>
  <si>
    <t>arte</t>
  </si>
  <si>
    <t>i0173_2p012chg_g27_e002</t>
  </si>
  <si>
    <t>ilustração de esquema mostrando o planeta Terra, a atmosfera e o Sol. Indicado pelo número 1 há raios solares incidindo sobre a superfície terrestre. Esses raios são refletidos em direção ao espaço. Indicado pelo número 2: parte dos raios refletidos retorna à Terra pela atmosfera e outra parte, indicada pelo número 3, segue para o espaço. Página 79 do g23_ftd_lt_2bac. Código antigo: i0608rm_2bac_g23_ftd</t>
  </si>
  <si>
    <t>i6101_1p012chg_g27_e002</t>
  </si>
  <si>
    <t>CAPA</t>
  </si>
  <si>
    <t>ilustração da capa</t>
  </si>
  <si>
    <t>kj</t>
  </si>
  <si>
    <t>Marcela Pialarissi</t>
  </si>
  <si>
    <t>Ajuste Arte</t>
  </si>
  <si>
    <t>i6102_2p012chg_g27_e002</t>
  </si>
  <si>
    <t>i0375_2p012chg_g27_e002</t>
  </si>
  <si>
    <t xml:space="preserve">ilustração de uma paisagem com morros e o Sol nascendo ao fundo.  veio do g23_ftd_lt_2bag_p012 código antigo i0209kt_2bag_g23_ftd_ly
</t>
  </si>
  <si>
    <t>i0376_2p012chg_g27_e002</t>
  </si>
  <si>
    <t xml:space="preserve">ilustração de uma paisagem com morros com o Sol alto no céu.
veio do g23_ftd_lt_2bag_p012 código antigo i0210kt_2bag_g23_ftd_ly.png
</t>
  </si>
  <si>
    <t>i0377_2p012chg_g27_e002</t>
  </si>
  <si>
    <t xml:space="preserve">ilustração de uma paisagem com morros e a Lua no céu.
veio do g23_ftd_lt_2bag_p012 código antigo i0211kt_2bag_g23_ftd_ly.png
</t>
  </si>
  <si>
    <t>i0582_2p012chg_g27_e002</t>
  </si>
  <si>
    <t xml:space="preserve"> ilustração de uma cozinha. Sobre o fogão há duas panelas, ambas com os cabos virados para a parte interna. Página 120 do g23_ftd_lt_2bac. Código antigo: i1203cf_2bac_g23_ftd_ly</t>
  </si>
  <si>
    <t>i0583_2p012chg_g27_e002</t>
  </si>
  <si>
    <t>ilustração de uma sala de estar. Há um cachorro olhando por uma janela coberta por uma tela de proteção. Página 120 do g23_ftd_lt_2bac. Código antigo: i1205cf_2bac_g23_ftd_ly</t>
  </si>
  <si>
    <t>i0584_2p012chg_g27_e002</t>
  </si>
  <si>
    <t xml:space="preserve">Recorte do armário da lavanderia da casa de jamile com os produtos químicos (focar nesse item da cena). 
Cortar da Página 118 do g23_ftd_lt_2bac, Código antigo: i1202Bcf_2bac_g23_ftd_ef_ly
conforme print
</t>
  </si>
  <si>
    <t>i0585_2p012chg_g27_e002</t>
  </si>
  <si>
    <t xml:space="preserve">Recorte do armário da cozinha da casa de jamile mostrando travas nas gavetas. (focar nesse item da cena). 
Cortar da Página 119 do g23_ftd_lt_2bac,
Código antigo: i1202Dcf_2bac_g23_ftd 
 conforme print. 
</t>
  </si>
  <si>
    <t>i0586_2p012chg_g27_e002</t>
  </si>
  <si>
    <t>Il de quadrado preto, triângulo preto, círculo preto e coração preto, separar cada imagem com retranca A, B, C,  D.</t>
  </si>
  <si>
    <t>mv</t>
  </si>
  <si>
    <t>i0590_2p012chg_g27_e002</t>
  </si>
  <si>
    <t>Resgatar ilustração de uma menina vendo televisão em uma sala de estar. Há um espaço para resposta com um armário, um espaço para resposta com uma janela e outro espaço para resposta com um tapete. Página 122 do g23_ftd_lt_2bac. Código antigo: i1233Aly_2bac_g23_ftd_ef_ly</t>
  </si>
  <si>
    <t xml:space="preserve">i0591_2p012chg_g27_e002
</t>
  </si>
  <si>
    <t>Resgatar ilustração de dois armários. No armário da esquerda há uma caixa de medicamentos sobre uma prateleira baixa. No armário da direita há uma caixa de medicamentos em uma prateleira alta. Página 123 do g23_ftd_lt_2bac. Código antigo: i1233Bly_2bac_g23_ftd</t>
  </si>
  <si>
    <t>i0592_2p012chg_g27_e002</t>
  </si>
  <si>
    <t>Resgatar ilustração de dois tapetes. O tapete da esquerda está esticado e sem objetos em cima. O tapete da direita está dobrado e com brinquedos jogados em cima. Página 123 do g23_ftd_lt_2bac. Código antigo: i1233Cly_2bac_g23_ftd</t>
  </si>
  <si>
    <t>i0593_2p012chg_g27_e002</t>
  </si>
  <si>
    <t>Resgatar ilustração de duas janelas. A janela da esquerda tem tela de proteção. A janela da direita não tem tela. Página 123 do g23_ftd_lt_2bac. Código antigo: i1233Dly_2bac_g23_ftd</t>
  </si>
  <si>
    <t>i0795_2p012chg_g27_e002</t>
  </si>
  <si>
    <t>ilustração de motociclista usando capacete com viseira fechada. Ver imagem referencia</t>
  </si>
  <si>
    <t>R:29/07 F:06/08</t>
  </si>
  <si>
    <t>i0796_2p012chg_g27_e002</t>
  </si>
  <si>
    <t xml:space="preserve">ilustração de dois  adultos no banco da frente e duas crianças no banco de trás, em um carro. Eles usam cinto de segurança.
veio do g23_ftd_lt_2bag_p051 código antigo i0616ly_2bag_g23_ftd_ly
</t>
  </si>
  <si>
    <t>i0797_2p012chg_g27_e002</t>
  </si>
  <si>
    <t xml:space="preserve">resgatar ilustração de uma menina atravessando uma rua de mãos dadas com um homem em cima da faixa de pedestre.
veio do g23_ftd_lt_2bag_p051 código antigo i0617ly_2bag_g23_ftd_ly
</t>
  </si>
  <si>
    <t>i0798_2p012chg_g27_e002</t>
  </si>
  <si>
    <t xml:space="preserve">resgatar ilustração de dois carros parados no semáforo vermelho, atrás da faixa de pedestre.
veio do g23_ftd_lt_2bag_p051 código antigo i0618ly_2bag_g23_ftd_ly
</t>
  </si>
  <si>
    <t>i1007_2p012chg_g27_e002</t>
  </si>
  <si>
    <t>196/197</t>
  </si>
  <si>
    <t xml:space="preserve">i1007A_ Resgatar il de garoto olhando vaso de planta e caixas perto da janela cód. Antigo. i0437Ase_2bac_g23_ftd_ly 
AJUSTES:
- Excluir o garoto da cena; 
- Tirar os dois vasos de dentro da caixa;
- Posicionar os três vasos um ao lado do outro sobre a bancada, inumerado, com etiquetas, 1, 2 e 3.
 - As duas caixas de sapato com tampa devem estar posicionadas uma ao lado da outra, aos lados dos três vasos. Ver esboço abaixo. 
i1007B_2p012chg_g27_e002
Resgatar il de garoto olhando vaso de planta e caixas perto da janela, Página 67 do g23_ftd_lt_2bac cód. Antigo. i0437Ase_2bac_g23_ftd_ly 
AJUSTES: 
Ajustar a roupa do garoto, colocar uniforme escolar.
 Inserir os vasos etiquetados da il anterior dentro das caixas, como mostra a referência abaixo
 -vaso 1 fica dentro da caixa sem a abertura lateral. 
- vaso 2 fica dentro da caixa com o abertura no canto lateral
-vaso 3, fica fora das caixas
</t>
  </si>
  <si>
    <t>RESGATE AJUSTE</t>
  </si>
  <si>
    <t>i1008_2p012chg_g27_e002</t>
  </si>
  <si>
    <t>ilustração de coleta de lixo</t>
  </si>
  <si>
    <t>i1009_2p012chg_g27_e002</t>
  </si>
  <si>
    <t xml:space="preserve">ilustração de agente de trânsito. </t>
  </si>
  <si>
    <t>i1010_2p012chg_g27_e002</t>
  </si>
  <si>
    <t>lustração de entregador de correspondências</t>
  </si>
  <si>
    <t>i1011_2p012chg_g27_e002</t>
  </si>
  <si>
    <t xml:space="preserve">il de rua de cidade, com ciclista, carros, pedestres. veio de g23_ftd_lt_2bah_p128. código antigo i1230ls_2bah_g23_ftd_ly
Ajustar a il para que ela seja aplicada em uma única página. 
</t>
  </si>
  <si>
    <t xml:space="preserve">ls </t>
  </si>
  <si>
    <t>i1191_2p012chg_g27_e002</t>
  </si>
  <si>
    <t>Ilustração de paisagem com plantas, água, sol, pedra e diversos animais. Página 16 do
g23_ftd_lt_2bac. Código antigo: i0222nc_2bac_g23_ftd
AJUSTE:
‐Cortar um pouco da parte superior e inferior da imagem para ocupar melhor o espaço e não reduzir
il. Encaixar il na página de forma que não fique textos sobre ela.
‐Remover o gafanhoto pequeno da árvore e manter apenas o zoom que mostra o gafanhoto
ampliado.</t>
  </si>
  <si>
    <t xml:space="preserve">i1192_2p012chg_g27_e002 </t>
  </si>
  <si>
    <t>Il de carne, maça, garrafa de leite e pacote de macarrão.
 Ajuste: separar em retranca A,B,C,D.</t>
  </si>
  <si>
    <t>i1196_2p012chg_g27_e002</t>
  </si>
  <si>
    <t>Ilustração de torneira
Ajuste: retirando a água saindo da torneira. A cena deve conter apenas duas gotas caindo e uma
mão fechando a torneira. veio do g23_ftd_lt_2bag_p114 código antigo i1220tc_2_2bag_g23_ftd_ly</t>
  </si>
  <si>
    <t>tc</t>
  </si>
  <si>
    <t>i1197_2p012chg_g27_e002</t>
  </si>
  <si>
    <t>Ilustração de três crianças conversando (balão com regador, chuveiro, torneira).
Resgate‐g23_ftd_lt_2bag_p115 código antigo i1220tc_2bag_g23_ftd_ly
AJUSTE – separar a il, somente ela será aplicada nessa página.</t>
  </si>
  <si>
    <t xml:space="preserve">i1198_2p012chg_g27_e002 </t>
  </si>
  <si>
    <t>il do ciclo de vida do abacateiro, retranca A,B, C,D</t>
  </si>
  <si>
    <t xml:space="preserve">i1202_2p012chg_g27_e002 </t>
  </si>
  <si>
    <t>ilustração de uma paisagem com um rio. No rio há palmeiras com parte do caule submerso e peixes comendo frutos caídos da palmeira. Página 47 do g23_ftd_lt_2bac. Código antigo: i0278rm_2bac_g23_ftd</t>
  </si>
  <si>
    <t>i1203_2p012chg_g27_e002</t>
  </si>
  <si>
    <t>il de sombras , alface, araucária, coqueiro
Ajuste: separar em retranca A,B,C</t>
  </si>
  <si>
    <t xml:space="preserve">i0407_2p012chg_g27_e002 </t>
  </si>
  <si>
    <t xml:space="preserve">duas crianças em uma gangorra </t>
  </si>
  <si>
    <t>i0179_1p012chg_g27_e002</t>
  </si>
  <si>
    <t>Ilustração de crianças sentadas em roda e passando uma bola entre elas. As mãos das crianças com a bola devem estar aparentes.</t>
  </si>
  <si>
    <t>g0815_2p012chg_g27_e002</t>
  </si>
  <si>
    <t xml:space="preserve">gráfico representando trânsito em frente a uma escola durante 1 hora </t>
  </si>
  <si>
    <t>gx</t>
  </si>
  <si>
    <t>g6203_1p012chg_g27_e002</t>
  </si>
  <si>
    <t>MP-E</t>
  </si>
  <si>
    <t xml:space="preserve">Ilustração de um gráfico como o indicado a seguir. Dividir o rodapé em duas colunas conforme print.
 Ajustar as demais linhas (em amarelo) conforme fonte de referência. 
ORIENTAÇÕES
Esse gráfico já foi testado pela Cynthia. 
Ela usou fonte 7,5pt (que é o tamanho da cota do MP) 
</t>
  </si>
  <si>
    <t>i0817_2p012chg_g27_e002</t>
  </si>
  <si>
    <t>ilustração de malha quadriculada</t>
  </si>
  <si>
    <t>i1207_2p012chg_g27_e002</t>
  </si>
  <si>
    <t xml:space="preserve">ilustração técnica: bolinha </t>
  </si>
  <si>
    <t>i1208_2p012chg_g27_e002</t>
  </si>
  <si>
    <t>ilustração técnica: quadrado</t>
  </si>
  <si>
    <t>i1209_2p012chg_g27_e002</t>
  </si>
  <si>
    <t>ilustração técnica: losango</t>
  </si>
  <si>
    <t xml:space="preserve">ilustração técnica: bolinha 
foi feito direto no indd </t>
  </si>
  <si>
    <t>Eram ils feitas direto no indd nao eram pra ser ilustrações na arte</t>
  </si>
  <si>
    <t>ck</t>
  </si>
  <si>
    <t xml:space="preserve">ilustração técnica: quadrado
foi feito direto no indd </t>
  </si>
  <si>
    <t xml:space="preserve">ilustração técnica: losango
foi feito direto no indd </t>
  </si>
  <si>
    <t xml:space="preserve">CRÉDITOS GERAIS DA FTD PARA REFERÊNCIA  - EF1
</t>
  </si>
  <si>
    <t>Nome do ilustrador</t>
  </si>
  <si>
    <t>Sigla Arte</t>
  </si>
  <si>
    <t>Crédito</t>
  </si>
  <si>
    <t>Acervo da editora</t>
  </si>
  <si>
    <t>xx</t>
  </si>
  <si>
    <t>ARQUIVO DA EDITORA</t>
  </si>
  <si>
    <t>Sigla ZZ (ver documento de ils. técnicas)</t>
  </si>
  <si>
    <t>VER DOCUMENTO DE ILS. TÉCNICAS</t>
  </si>
  <si>
    <t>ILUSTRAÇOES DE PROVAS OFICIAIS (somente se não houver crédito)</t>
  </si>
  <si>
    <t>yv</t>
  </si>
  <si>
    <t xml:space="preserve">NOME DO VESTIBULAR/DATA
</t>
  </si>
  <si>
    <t>ILUSTRAÇÕES DE PLACAS DE TRÂNSITO</t>
  </si>
  <si>
    <t>yy</t>
  </si>
  <si>
    <t>DENATRAN/ARQUIVO DA EDITORA</t>
  </si>
  <si>
    <t>ILUSTRAÇÕES DE BANDEIRAS DE PAÍS</t>
  </si>
  <si>
    <t>yp</t>
  </si>
  <si>
    <t xml:space="preserve">NOME DO PAÍS/ARQUIVO DA EDITORA
</t>
  </si>
  <si>
    <t>ILUSTRAÇÕES DE BANDEIRAS DE ESTADO</t>
  </si>
  <si>
    <t>ye</t>
  </si>
  <si>
    <t xml:space="preserve">NOME DO ESTADO/ARQUIVO DA EDITORA
</t>
  </si>
  <si>
    <t>ILUSTRAÇÕES GERADAS POR PROGRAMAS C/ IA</t>
  </si>
  <si>
    <t>ia</t>
  </si>
  <si>
    <t>a</t>
  </si>
  <si>
    <t>ARTE</t>
  </si>
  <si>
    <t>3 Pixel Studio</t>
  </si>
  <si>
    <t>px</t>
  </si>
  <si>
    <t>ROBSON OLIVIERI/ARQUIVO DA EDITORA</t>
  </si>
  <si>
    <t>A7 Estudio</t>
  </si>
  <si>
    <t>ao</t>
  </si>
  <si>
    <t>JORGE RIBEIRO/ARQUIVO DA EDITORA</t>
  </si>
  <si>
    <t xml:space="preserve">Adilson Farias </t>
  </si>
  <si>
    <t>af</t>
  </si>
  <si>
    <t>ADILSON FARIAS/ARQUIVO DA EDITORA</t>
  </si>
  <si>
    <t xml:space="preserve">Adilson Secco </t>
  </si>
  <si>
    <t>ac</t>
  </si>
  <si>
    <t>ADILSON SECCO/ARQUIVO DA EDITORA</t>
  </si>
  <si>
    <t>Adriano Cesar Moreno Pátaro</t>
  </si>
  <si>
    <t>ad</t>
  </si>
  <si>
    <t>ADRIANO PÁTARO/ARQUIVO DA EDITORA</t>
  </si>
  <si>
    <t>Adriel Contieri</t>
  </si>
  <si>
    <t>av</t>
  </si>
  <si>
    <t>ADRIEL CONTIERI/ARQUIVO DA EDITORA</t>
  </si>
  <si>
    <t>Águeda Horn</t>
  </si>
  <si>
    <t>ah</t>
  </si>
  <si>
    <t>ÁGUEDA HORN/ARQUIVO DA EDITORA</t>
  </si>
  <si>
    <t>Alessandra Tozi</t>
  </si>
  <si>
    <t>az</t>
  </si>
  <si>
    <t>ALESSANDRA TOZI/ARQUIVO DA EDITORA</t>
  </si>
  <si>
    <t>Alexandre Affonso</t>
  </si>
  <si>
    <t>ax</t>
  </si>
  <si>
    <t>ALEXANDRE AFFONSO/ARQUIVO DA EDITORA</t>
  </si>
  <si>
    <t>Alexandre de Lima Barvik</t>
  </si>
  <si>
    <t>ab</t>
  </si>
  <si>
    <t>ALEXANDRE DE LIMA BARVIK/ARQUIVO DA EDITORA</t>
  </si>
  <si>
    <t>Alexandre de Souza</t>
  </si>
  <si>
    <t>xe</t>
  </si>
  <si>
    <t>ALEXANDRE DE SOUZA/ARQUIVO DA EDITORA</t>
  </si>
  <si>
    <t>Alexandre Koyama</t>
  </si>
  <si>
    <t>ak</t>
  </si>
  <si>
    <t>ALEXANDRE KOYAMA/ARQUIVO DA EDITORA</t>
  </si>
  <si>
    <t>Alexandre Rampazo</t>
  </si>
  <si>
    <t>am</t>
  </si>
  <si>
    <t>ALEXANDRE RAMPAZO/ARQUIVO DA EDITORA</t>
  </si>
  <si>
    <t>Ana Elisa Carneiro</t>
  </si>
  <si>
    <t>ae</t>
  </si>
  <si>
    <t>ANA ELISA CARNEIRO/ARQUIVO DA EDITORA</t>
  </si>
  <si>
    <t>Ana Laura Alexius</t>
  </si>
  <si>
    <t>au</t>
  </si>
  <si>
    <t>ANA ALEXIUS/ARQUIVO DA EDITORA</t>
  </si>
  <si>
    <t>Ana Kozuki</t>
  </si>
  <si>
    <t>zk</t>
  </si>
  <si>
    <t>ANA KOZUKI/ARQUIVO DA EDITORA</t>
  </si>
  <si>
    <t>Andressa Meissner</t>
  </si>
  <si>
    <t>aq</t>
  </si>
  <si>
    <t>ANDRESSA MEISSNER/ARQUIVO DA EDITORA</t>
  </si>
  <si>
    <t>André Aguiar</t>
  </si>
  <si>
    <t>aa</t>
  </si>
  <si>
    <t>ANDRÉ AGUIAR/ARQUIVO DA EDITORA</t>
  </si>
  <si>
    <t>André Leandro Silva</t>
  </si>
  <si>
    <t>an</t>
  </si>
  <si>
    <t>ANDRÉ L. SILVA/ARQUIVO DA EDITORA</t>
  </si>
  <si>
    <t>André Rodrigues</t>
  </si>
  <si>
    <t>ag</t>
  </si>
  <si>
    <t>ANDRÉ RODRIGUES/ARQUIVO DA EDITORA</t>
  </si>
  <si>
    <t xml:space="preserve">Angelo Shuman </t>
  </si>
  <si>
    <t>as</t>
  </si>
  <si>
    <t>ANGELO SHUMAN/ARQUIVO DA EDITORA</t>
  </si>
  <si>
    <t>Anna Anjos</t>
  </si>
  <si>
    <t>nn</t>
  </si>
  <si>
    <t>ANNA ANJOS/ARQUIVO DA EDITORA</t>
  </si>
  <si>
    <t>Anna Simonin</t>
  </si>
  <si>
    <t>ai</t>
  </si>
  <si>
    <t>ANNA SIMONIN/ARQUIVO DA EDITORA</t>
  </si>
  <si>
    <t>Ariel Fajtlowicz</t>
  </si>
  <si>
    <t>aj</t>
  </si>
  <si>
    <t>ARIEL FAJTLOWICZ/ARQUIVO DA EDITORA</t>
  </si>
  <si>
    <t>Art Capri - Gustavo Machado</t>
  </si>
  <si>
    <t>gm</t>
  </si>
  <si>
    <t>GUSTAVO MACHADO/ARQUIVO DA EDITORA</t>
  </si>
  <si>
    <t>Arthur Moreno Milan Parreira</t>
  </si>
  <si>
    <t>at</t>
  </si>
  <si>
    <t>ARTHUR M. M. PARREIRA/ARQUIVO DA EDITORA</t>
  </si>
  <si>
    <t>Arthur Rosseto</t>
  </si>
  <si>
    <t>ar</t>
  </si>
  <si>
    <t>ARTHUR ROSSETO/ARQUIVO DA EDITORA</t>
  </si>
  <si>
    <t>Bárbara Lô Sarzi</t>
  </si>
  <si>
    <t>ba</t>
  </si>
  <si>
    <t>BÁRBARA SARZI/ARQUIVO DA EDITORA</t>
  </si>
  <si>
    <t>Beatriz Carvalho</t>
  </si>
  <si>
    <t>bt</t>
  </si>
  <si>
    <t>BEATRIZ CARVALHO/ARQUIVO DA EDITORA</t>
  </si>
  <si>
    <t>Beatriz Mayumi</t>
  </si>
  <si>
    <t>BEATRIZ MAYUMI/ARQUIVO DA EDITORA</t>
  </si>
  <si>
    <t>Belli Studio Design</t>
  </si>
  <si>
    <t>bl</t>
  </si>
  <si>
    <t/>
  </si>
  <si>
    <t>Bernardo França</t>
  </si>
  <si>
    <t>be</t>
  </si>
  <si>
    <t>BERNARDO FRANÇA/ARQUIVO DA EDITORA</t>
  </si>
  <si>
    <t>Bianca Nazari</t>
  </si>
  <si>
    <t>bi</t>
  </si>
  <si>
    <t>BIANCA NAZARI/ARQUIVO DA EDITORA</t>
  </si>
  <si>
    <t>Brenda Bossato</t>
  </si>
  <si>
    <t>bd</t>
  </si>
  <si>
    <t>BRENDA BOSSATO/ARQUIVO DA EDITORA</t>
  </si>
  <si>
    <t>Brenda Goes</t>
  </si>
  <si>
    <t>bg</t>
  </si>
  <si>
    <t>BRENDA GOES/ARQUIVO DA EDITORA</t>
  </si>
  <si>
    <t>bp</t>
  </si>
  <si>
    <t>BRUNA CAMPOS/ARQUIVO DA EDITORA</t>
  </si>
  <si>
    <t>Brunna Mancuso</t>
  </si>
  <si>
    <t>bs</t>
  </si>
  <si>
    <t>BRUNNA MANCUSO/ARQUIVO DA EDITORA</t>
  </si>
  <si>
    <t>Bruna Menezes</t>
  </si>
  <si>
    <t>bz</t>
  </si>
  <si>
    <t>BRUNA MENEZES/ARQUIVO DA EDITORA</t>
  </si>
  <si>
    <t>Bruno Badain</t>
  </si>
  <si>
    <t>bb</t>
  </si>
  <si>
    <t>BRUNO BADAIN/ARQUIVO DA EDITORA</t>
  </si>
  <si>
    <t>Bruno H. S. Cerkuenik</t>
  </si>
  <si>
    <t>bc</t>
  </si>
  <si>
    <t>BRUNO CERKUENIK/ARQUIVO DA EDITORA</t>
  </si>
  <si>
    <t>Bruno Nunes Coelho</t>
  </si>
  <si>
    <t>bn</t>
  </si>
  <si>
    <t>BRUNO NUNES/ARQUIVO DA EDITORA</t>
  </si>
  <si>
    <t>Bruno Oliveira Sampaio</t>
  </si>
  <si>
    <t>br</t>
  </si>
  <si>
    <t>BRUNO SAMPAIO/ARQUIVO DA EDITORA</t>
  </si>
  <si>
    <t>Bruno Rosal de Vasconcelos</t>
  </si>
  <si>
    <t>bu</t>
  </si>
  <si>
    <t>Caio Hideki Takaso Tanaka</t>
  </si>
  <si>
    <t>CAIO TANAKA/ARQUIVO DA EDITORA</t>
  </si>
  <si>
    <t>Cajila Barbosa</t>
  </si>
  <si>
    <t>CAJILA BARBOSA/ARQUIVO DA EDITORA</t>
  </si>
  <si>
    <t>Camila Ferreira Carmona</t>
  </si>
  <si>
    <t>ca</t>
  </si>
  <si>
    <t>CAMILA CARMONA/ARQUIVO DA EDITORA</t>
  </si>
  <si>
    <t>Carlitos Pinheiro</t>
  </si>
  <si>
    <t>CARLITOS PINHEIRO/ARQUIVO DA EDITORA</t>
  </si>
  <si>
    <t>Carlos Alberto Borin Junior</t>
  </si>
  <si>
    <t>cj</t>
  </si>
  <si>
    <t>Carlos Eduardo Nascimento</t>
  </si>
  <si>
    <t>cn</t>
  </si>
  <si>
    <t>CARLOS EDUARDO NASCIMENTO/ARQUIVO DA EDITORA</t>
  </si>
  <si>
    <t>Carmen Ferreira Martinez</t>
  </si>
  <si>
    <t>cc</t>
  </si>
  <si>
    <t>CARMEN MARTINEZ/ARQUIVO DA EDITORA</t>
  </si>
  <si>
    <t>Carol Rempto</t>
  </si>
  <si>
    <t>cw</t>
  </si>
  <si>
    <t>CAROL REMPTO/ARQUIVO DA EDITORA</t>
  </si>
  <si>
    <t>Carol Sartori</t>
  </si>
  <si>
    <t>CAROL SARTORI/ARQUIVO DA EDITORA</t>
  </si>
  <si>
    <t>Carolina Coroa</t>
  </si>
  <si>
    <t>kk</t>
  </si>
  <si>
    <t>CAROLINA COROA/ARQUIVO DA EDITORA</t>
  </si>
  <si>
    <t>Caroline Antunes e Silva</t>
  </si>
  <si>
    <t>CAROLINE ANTUNES E SILVA/ARQUIVO DA EDITORA</t>
  </si>
  <si>
    <t>Caroline Romão Bezerra</t>
  </si>
  <si>
    <t>co</t>
  </si>
  <si>
    <t>CAROLINE ROMÃO BEZERRA/ARQUIVO DA EDITORA</t>
  </si>
  <si>
    <t>Cartoon Pro</t>
  </si>
  <si>
    <t>cp</t>
  </si>
  <si>
    <t>Cássio Bittencourt</t>
  </si>
  <si>
    <t>cs</t>
  </si>
  <si>
    <t>CÁSSIO BITTENCOURT/ARQUIVO DA EDITORA</t>
  </si>
  <si>
    <t>Cássio Yoshiyaki Shibukawa</t>
  </si>
  <si>
    <t>cy</t>
  </si>
  <si>
    <t>CÁSSIO YOSHIYAKI SHIBUKAWA/ARQUIVO DA EDITORA</t>
  </si>
  <si>
    <t>Cátia Germani</t>
  </si>
  <si>
    <t>CÁTIA GERMANI/ARQUIVO DA EDITORA</t>
  </si>
  <si>
    <t>Cauê Zunchini</t>
  </si>
  <si>
    <t>ci</t>
  </si>
  <si>
    <t>CAUÊ ZUNCHINI/ARQUIVO DA EDITORA</t>
  </si>
  <si>
    <t>Cecilia Andrade</t>
  </si>
  <si>
    <t>cl</t>
  </si>
  <si>
    <t>CECILIA ANDRADE/ARQUIVO DA EDITORA</t>
  </si>
  <si>
    <t xml:space="preserve">Chanceler </t>
  </si>
  <si>
    <t>ch</t>
  </si>
  <si>
    <t>Chris Borges</t>
  </si>
  <si>
    <t>cg</t>
  </si>
  <si>
    <t>CHRIS BORGES/ARQUIVO DA EDITORA</t>
  </si>
  <si>
    <t>Clarrisa Cabral de Lemos</t>
  </si>
  <si>
    <t>cv</t>
  </si>
  <si>
    <t>CLARISSA CABRAL/ARQUIVO DA EDITORA</t>
  </si>
  <si>
    <t>Clarissa França</t>
  </si>
  <si>
    <t>CLARISSA FRANÇA/ARQUIVO DA EDITORA</t>
  </si>
  <si>
    <t>Claudia Brito</t>
  </si>
  <si>
    <t>cb</t>
  </si>
  <si>
    <t>CLAUDIA BRITO/ARQUIVO DA EDITORA</t>
  </si>
  <si>
    <t>Claudia Souza</t>
  </si>
  <si>
    <t>cz</t>
  </si>
  <si>
    <t>CLAUDIA SOUZA/ARQUIVO DA EDITORA</t>
  </si>
  <si>
    <t>Copa Studio</t>
  </si>
  <si>
    <t>ap</t>
  </si>
  <si>
    <t>Cria Ideias</t>
  </si>
  <si>
    <t>cr</t>
  </si>
  <si>
    <t>Cris Eich (Maria Cristina Pires de Carvalho)</t>
  </si>
  <si>
    <t>ce</t>
  </si>
  <si>
    <t>CRIS EICH/ARQUIVO DA EDITORA</t>
  </si>
  <si>
    <t>Cynthia Sekiguchi</t>
  </si>
  <si>
    <t>CYNTHIA SEKIGUCHI/ARQUIVO DA EDITORA</t>
  </si>
  <si>
    <t>Dani Mota</t>
  </si>
  <si>
    <t>dm</t>
  </si>
  <si>
    <t>DANI MOTA/ARQUIVO DA EDITORA</t>
  </si>
  <si>
    <t>Daniel Araujo</t>
  </si>
  <si>
    <t>da</t>
  </si>
  <si>
    <t>DANIEL ARAUJO/ARQUIVO DA EDITORA</t>
  </si>
  <si>
    <t>Daniel Carvalho</t>
  </si>
  <si>
    <t>dc</t>
  </si>
  <si>
    <t>DANIEL CARVALHO/ARQUIVO DA EDITORA</t>
  </si>
  <si>
    <t>Daniel Wu</t>
  </si>
  <si>
    <t>dw</t>
  </si>
  <si>
    <t>DANIEL WU/ARQUIVO DA EDITORA</t>
  </si>
  <si>
    <t>Daniel Zeppo</t>
  </si>
  <si>
    <t>dz</t>
  </si>
  <si>
    <t>DANIEL GUSTAVO SILVA GONÇALVES/ARQUIVO DA EDITORA</t>
  </si>
  <si>
    <t>Danielle Pioli</t>
  </si>
  <si>
    <t>dp</t>
  </si>
  <si>
    <t>DANIELLE PIOLI/ARQUIVO DA EDITORA</t>
  </si>
  <si>
    <t>Danillo Souza</t>
  </si>
  <si>
    <t>dl</t>
  </si>
  <si>
    <t>DANILLO SOUZA/ARQUIVO DA EDITORA</t>
  </si>
  <si>
    <t>Danilo Santos - Red Dragon</t>
  </si>
  <si>
    <t>dd</t>
  </si>
  <si>
    <t>DANILO SANTOS/ARQUIVO DA EDITORA</t>
  </si>
  <si>
    <t>Davi Augusto</t>
  </si>
  <si>
    <t>do</t>
  </si>
  <si>
    <t>DAVI AUGUSTO/ARQUIVO DA EDITORA</t>
  </si>
  <si>
    <t>David Renó</t>
  </si>
  <si>
    <t>dv</t>
  </si>
  <si>
    <t>DAVI RENÓ/ARQUIVO DA EDITORA</t>
  </si>
  <si>
    <t>Dayane Barbieri</t>
  </si>
  <si>
    <t>db</t>
  </si>
  <si>
    <t>DAYANE BARBIERI/ARQUIVO DA EDITORA</t>
  </si>
  <si>
    <t>Débora Ferreira</t>
  </si>
  <si>
    <t>df</t>
  </si>
  <si>
    <t>DÉBORA FERREIRA/ARQUIVO DA EDITORA</t>
  </si>
  <si>
    <t>Débora Kamogawa</t>
  </si>
  <si>
    <t>dk</t>
  </si>
  <si>
    <t>DÉBORA KAMOGAWA/ARQUIVO DA EDITORA</t>
  </si>
  <si>
    <t>Débora Mini</t>
  </si>
  <si>
    <t>di</t>
  </si>
  <si>
    <t>DÉBORA MINI/ARQUIVO DA EDITORA</t>
  </si>
  <si>
    <t>Desenhorama Estúdio</t>
  </si>
  <si>
    <t>ds</t>
  </si>
  <si>
    <t>DEIVY LIMA COSTA/ARQUIVO DA EDITORA</t>
  </si>
  <si>
    <t>Dogzilla Studio - Walkir Fernandes</t>
  </si>
  <si>
    <t>dg</t>
  </si>
  <si>
    <t>WALKIR FERNANDES/ARQUIVO DA EDITORA</t>
  </si>
  <si>
    <t>Dois de nós (Kime Rodrigues)</t>
  </si>
  <si>
    <t>GUILHERME RODRIGUES/ARQUIVO DA EDITORA</t>
  </si>
  <si>
    <t>Eber Evangelista</t>
  </si>
  <si>
    <t>ee</t>
  </si>
  <si>
    <t>EBER EVANGELISTA/ARQUIVO DA EDITORA</t>
  </si>
  <si>
    <t>Edde Wagner Aguiar</t>
  </si>
  <si>
    <t>ew</t>
  </si>
  <si>
    <t>EDDE AGUIAR/ARQUIVO DA EDITORA</t>
  </si>
  <si>
    <t>Edson Bellusci Cavalcante</t>
  </si>
  <si>
    <t>ed</t>
  </si>
  <si>
    <t>EDSON BELLUSCI/ARQUIVO DA EDITORA</t>
  </si>
  <si>
    <t>Edson Farias</t>
  </si>
  <si>
    <t>ef</t>
  </si>
  <si>
    <t>EDSON FARIAS/ARQUIVO DA EDITORA</t>
  </si>
  <si>
    <t>Eduardo A. Rosa Neto</t>
  </si>
  <si>
    <t>du</t>
  </si>
  <si>
    <t>EDUARDO ROSA/ARQUIVO DA EDITORA</t>
  </si>
  <si>
    <t>Eduardo Borges</t>
  </si>
  <si>
    <t>eb</t>
  </si>
  <si>
    <t>EDUARDO BORGES/ARQUIVO DA EDITORA</t>
  </si>
  <si>
    <t>Eduardo Carriça dos Santos</t>
  </si>
  <si>
    <t>es</t>
  </si>
  <si>
    <t>EDUARDO CARRIÇA/ARQUIVO DA EDITORA</t>
  </si>
  <si>
    <t>Ellen Jacob</t>
  </si>
  <si>
    <t>ej</t>
  </si>
  <si>
    <t>ELLEN JACOB/ARQUIVO DA EDITORA</t>
  </si>
  <si>
    <t>Enágio Coelho</t>
  </si>
  <si>
    <t>en</t>
  </si>
  <si>
    <t>ENÁGIO COELHO/ARQUIVO DA EDITORA</t>
  </si>
  <si>
    <t>Erica Maria Rocha Santos (Erica Maradona)</t>
  </si>
  <si>
    <t>er</t>
  </si>
  <si>
    <t>ERICA MARADONA/ARQUIVO DA EDITORA</t>
  </si>
  <si>
    <t>Erika Lourenço</t>
  </si>
  <si>
    <t>ek</t>
  </si>
  <si>
    <t>ERIKA LOURENÇO/ARQUIVO DA EDITORA</t>
  </si>
  <si>
    <t>Estúdio Amplarena</t>
  </si>
  <si>
    <t>al</t>
  </si>
  <si>
    <t>Estúdio Guerra</t>
  </si>
  <si>
    <t>eg</t>
  </si>
  <si>
    <t>Estúdio Ilustranet</t>
  </si>
  <si>
    <t>it</t>
  </si>
  <si>
    <t>RUBENS TAVARES LIMA FILHO/ARQUIVO DA EDITORA</t>
  </si>
  <si>
    <t>Estúdio Kiwi</t>
  </si>
  <si>
    <t>kw</t>
  </si>
  <si>
    <t>THIAGO LOPES/ARQUIVO DA EDITORA</t>
  </si>
  <si>
    <t>Estúdio Lab307</t>
  </si>
  <si>
    <t>lb</t>
  </si>
  <si>
    <t>ERIK MALAGRINO/ARQUIVO DA EDITORA</t>
  </si>
  <si>
    <t>Estúdio Meraki</t>
  </si>
  <si>
    <t>mk</t>
  </si>
  <si>
    <t>NATANAELE BILMAIA/ARQUIVO DA EDITORA</t>
  </si>
  <si>
    <t>Estúdio Mil</t>
  </si>
  <si>
    <t>em</t>
  </si>
  <si>
    <t>Estúdio Orangotango</t>
  </si>
  <si>
    <t>eo</t>
  </si>
  <si>
    <t>Estúdio Ornitorrinco</t>
  </si>
  <si>
    <t>MÁRCIO GUERRA/ARQUIVO DA EDITORA</t>
  </si>
  <si>
    <t>Estúdio Um mais Dois</t>
  </si>
  <si>
    <t>ud</t>
  </si>
  <si>
    <t>Ezequiel Silva (Monge Lua)</t>
  </si>
  <si>
    <t>EZEQUIEL SILVA/ARQUIVO DA EDITORA</t>
  </si>
  <si>
    <t>Ewerton Xavier</t>
  </si>
  <si>
    <t>ex</t>
  </si>
  <si>
    <t>EWERTON XAVIER/ARQUIVO DA EDITORA</t>
  </si>
  <si>
    <t>Fabio Eugenio</t>
  </si>
  <si>
    <t>fe</t>
  </si>
  <si>
    <t>FABIO EUGENIO/ARQUIVO DA EDITORA</t>
  </si>
  <si>
    <t>Fabíola Petri</t>
  </si>
  <si>
    <t>fp</t>
  </si>
  <si>
    <t>FABÍOLA PETRI/ARQUIVO DA EDITORA</t>
  </si>
  <si>
    <t>fg</t>
  </si>
  <si>
    <t>FELIPE GRIGOLI/ARQUIVO DA EDITORA</t>
  </si>
  <si>
    <t>Fernanda Monteiro</t>
  </si>
  <si>
    <t>fm</t>
  </si>
  <si>
    <t>FERNANDA MONTEIRO/ARQUIVO DA EDITORA</t>
  </si>
  <si>
    <t>Fernanda Pardini Biagio</t>
  </si>
  <si>
    <t>fb</t>
  </si>
  <si>
    <t>FERNANDA PARDINI BIAGIO/ARQUIVO DA EDITORA</t>
  </si>
  <si>
    <t>Flávia Nunes</t>
  </si>
  <si>
    <t>fn</t>
  </si>
  <si>
    <t>FLÁVIA NUNES/ARQUIVO DA EDITORA</t>
  </si>
  <si>
    <t>Flavio Roberto Pereira</t>
  </si>
  <si>
    <t>fl</t>
  </si>
  <si>
    <t>FLAVIO PEREIRA/ARQUIVO DA EDITORA</t>
  </si>
  <si>
    <t>Francine Matsumoto</t>
  </si>
  <si>
    <t>fr</t>
  </si>
  <si>
    <t>FRAN MATSUMOTO/ARQUIVO DA EDITORA</t>
  </si>
  <si>
    <t>Gabi Vasko</t>
  </si>
  <si>
    <t>gv</t>
  </si>
  <si>
    <t>GABI VASKO/ARQUIVO DA EDITORA</t>
  </si>
  <si>
    <t>Gabriel Kyu</t>
  </si>
  <si>
    <t>gk</t>
  </si>
  <si>
    <t>GABRIEL KYU/ARQUIVO DA EDITORA</t>
  </si>
  <si>
    <t>Gabriela Abreu de Souza</t>
  </si>
  <si>
    <t>gs</t>
  </si>
  <si>
    <t>GABRIELA ABREU/ARQUIVO DA EDITORA</t>
  </si>
  <si>
    <t>Gabriela Heberle</t>
  </si>
  <si>
    <t>gb</t>
  </si>
  <si>
    <t>GABRIELA HEBERLE/ARQUIVO DA EDITORA</t>
  </si>
  <si>
    <t>Gabriela Tozati</t>
  </si>
  <si>
    <t>gt</t>
  </si>
  <si>
    <t>GABRIELA TOZATI/ARQUIVO DA EDITORA</t>
  </si>
  <si>
    <t>GABRIELLA IMAI/ARQUIVO DA EDITORA</t>
  </si>
  <si>
    <t xml:space="preserve">Gilberto Audibert Alicio </t>
  </si>
  <si>
    <t>ga</t>
  </si>
  <si>
    <t>GILBERTO ALICIO/ARQUIVO DA EDITORA</t>
  </si>
  <si>
    <t>Giovana Medeiros</t>
  </si>
  <si>
    <t>gi</t>
  </si>
  <si>
    <t>GIOVANA MEDEIROS/ARQUIVO DA EDITORA</t>
  </si>
  <si>
    <t>Girafa Listrada</t>
  </si>
  <si>
    <t>gl</t>
  </si>
  <si>
    <t>BRUNA ASSIS BRASIL/ARQUIVO DA EDITORA</t>
  </si>
  <si>
    <t xml:space="preserve">Giully Leão </t>
  </si>
  <si>
    <t>gy</t>
  </si>
  <si>
    <t>GIULLY LEÃO/ARQUIVO DA EDITORA</t>
  </si>
  <si>
    <t xml:space="preserve">Giz de Cera Studio </t>
  </si>
  <si>
    <t>gz</t>
  </si>
  <si>
    <t>Graphorama</t>
  </si>
  <si>
    <t>gh</t>
  </si>
  <si>
    <t>Graziela Andrade</t>
  </si>
  <si>
    <t>ge</t>
  </si>
  <si>
    <t>GRAZIELA ANDRADE/ARQUIVO DA EDITORA</t>
  </si>
  <si>
    <t>Guilherme Aranega - Estudio Rufus</t>
  </si>
  <si>
    <t>gn</t>
  </si>
  <si>
    <t>GUILHERME ARANEGA/ARQUIVO DA EDITORA</t>
  </si>
  <si>
    <t>Guilherme Casagrandi</t>
  </si>
  <si>
    <t>gg</t>
  </si>
  <si>
    <t>GUILHERME CASAGRANDI/ARQUIVO DA EDITORA</t>
  </si>
  <si>
    <t>Guilherme Da Cas</t>
  </si>
  <si>
    <t>gc</t>
  </si>
  <si>
    <t>GUILHERME DA CAS/ARQUIVO DA EDITORA</t>
  </si>
  <si>
    <t>Gustavo Almeida</t>
  </si>
  <si>
    <t>gd</t>
  </si>
  <si>
    <t>GUSTAVO ALMEIDA/ARQUIVO DA EDITORA</t>
  </si>
  <si>
    <t>Gustavo Conti</t>
  </si>
  <si>
    <t>gu</t>
  </si>
  <si>
    <t>GUSTAVO CONTI/ARQUIVO DA EDITORA</t>
  </si>
  <si>
    <t>Gustavo Pedrosa</t>
  </si>
  <si>
    <t>gp</t>
  </si>
  <si>
    <t>GUSTAVO PEDROSA/ARQUIVO DA EDITORA</t>
  </si>
  <si>
    <t>Gustavo Ramos</t>
  </si>
  <si>
    <t>gr</t>
  </si>
  <si>
    <t>GUSTAVO RAMOS/ARQUIVO DA EDITORA</t>
  </si>
  <si>
    <t xml:space="preserve">Heloísa Pintarelli </t>
  </si>
  <si>
    <t>he</t>
  </si>
  <si>
    <t>HELOÍSA PINTARELLI/ARQUIVO DA EDITORA</t>
  </si>
  <si>
    <t>Henrique Dan Fuzitani</t>
  </si>
  <si>
    <t>hf</t>
  </si>
  <si>
    <t>HENRIQUE DAN FUZITANI/ARQUIVO DA EDITORA</t>
  </si>
  <si>
    <t>Henrique Jorge</t>
  </si>
  <si>
    <t>hj</t>
  </si>
  <si>
    <t>HENRIQUE JORGE G. M. SILVA/ARQUIVO DA EDITORA</t>
  </si>
  <si>
    <t>Hiro Kawahara</t>
  </si>
  <si>
    <t>HIRO KAWAHARA/ARQUIVO DA EDITORA</t>
  </si>
  <si>
    <t>Hugo Araújo</t>
  </si>
  <si>
    <t>ha</t>
  </si>
  <si>
    <t>HUGO ARAÚJO/ARQUIVO DA EDITORA</t>
  </si>
  <si>
    <t>Iberá Júnior</t>
  </si>
  <si>
    <t>ij</t>
  </si>
  <si>
    <t>IBERÁ JÚNIOR/ARQUIVO DA EDITORA</t>
  </si>
  <si>
    <t xml:space="preserve">Ideário Lab </t>
  </si>
  <si>
    <t>id</t>
  </si>
  <si>
    <t>REINALDO ROSA/ARQUIVO DA EDITORA</t>
  </si>
  <si>
    <t>Ilustra Cartoon</t>
  </si>
  <si>
    <t>ic</t>
  </si>
  <si>
    <t>Imaginario Studio - Fabio Eiji</t>
  </si>
  <si>
    <t>ig</t>
  </si>
  <si>
    <t>FABIO EIJI SIRASUMA/ARQUIVO DA EDITORA</t>
  </si>
  <si>
    <t>Ingrid Skare</t>
  </si>
  <si>
    <t>ik</t>
  </si>
  <si>
    <t>INGRID SKARE/ARQUIVO DA EDITORA</t>
  </si>
  <si>
    <t>INGRIDHI BORGES/ARQUIVO DA EDITORA</t>
  </si>
  <si>
    <t>Inkdrop Estudio</t>
  </si>
  <si>
    <t>ie</t>
  </si>
  <si>
    <t>Irena Freitas</t>
  </si>
  <si>
    <t>if</t>
  </si>
  <si>
    <t>IRENA FREITAS/ARQUIVO DA EDITORA</t>
  </si>
  <si>
    <t>Isabela Santos Ferreira do Vale</t>
  </si>
  <si>
    <t>ss</t>
  </si>
  <si>
    <t>ISABELA SANTOS/ARQUIVO DA EDITORA</t>
  </si>
  <si>
    <t>Isabella Medeiros</t>
  </si>
  <si>
    <t>im</t>
  </si>
  <si>
    <t>ISABELLA MEDEIROS/ARQUIVO DA EDITORA</t>
  </si>
  <si>
    <t>Isadora Zeferino</t>
  </si>
  <si>
    <t>is</t>
  </si>
  <si>
    <t>ISADORA ZEFERINO/ARQUIVO DA EDITORA</t>
  </si>
  <si>
    <t>Ísis Duarte</t>
  </si>
  <si>
    <t>iu</t>
  </si>
  <si>
    <t>ÍSIS DUARTE/ARQUIVO DA EDITORA</t>
  </si>
  <si>
    <t>Ivy Nunes</t>
  </si>
  <si>
    <t>IVY NUNES/ARQUIVO DA EDITORA</t>
  </si>
  <si>
    <t>Izaac Brito</t>
  </si>
  <si>
    <t>zb</t>
  </si>
  <si>
    <t>IZAAC BRITO/ARQUIVO DA EDITORA</t>
  </si>
  <si>
    <t>Jacqueline Amadio</t>
  </si>
  <si>
    <t>jc</t>
  </si>
  <si>
    <t>JACQUELINE AMADIO/ARQUIVO DA EDITORA</t>
  </si>
  <si>
    <t>Jacqueline Lima</t>
  </si>
  <si>
    <t>jl</t>
  </si>
  <si>
    <t>JACQUELINE LIMA/ARQUIVO DA EDITORA</t>
  </si>
  <si>
    <t>Janaina de Oliveira Castro</t>
  </si>
  <si>
    <t>ja</t>
  </si>
  <si>
    <t>Jessica Machado</t>
  </si>
  <si>
    <t>jg</t>
  </si>
  <si>
    <t>JESSICA MACHADO/ARQUIVO DA EDITORA</t>
  </si>
  <si>
    <t>Jéssica Sinnema</t>
  </si>
  <si>
    <t>jt</t>
  </si>
  <si>
    <t>JÉSSICA SINNEMA/ARQUIVO DA EDITORA</t>
  </si>
  <si>
    <t>Jéssyca Gomes</t>
  </si>
  <si>
    <t>je</t>
  </si>
  <si>
    <t>JÉSSYKA GOMES/ARQUIVO DA EDITORA</t>
  </si>
  <si>
    <t>João Ricardo Sampaio</t>
  </si>
  <si>
    <t>js</t>
  </si>
  <si>
    <t>JOÃO SAMPAIO/ARQUIVO DA EDITORA</t>
  </si>
  <si>
    <t>João Vitor Vanzela</t>
  </si>
  <si>
    <t>jv</t>
  </si>
  <si>
    <t>JOÃO VITOR VANZELA/ARQUIVO DA EDITORA</t>
  </si>
  <si>
    <t>Johannes de Paulo</t>
  </si>
  <si>
    <t>jp</t>
  </si>
  <si>
    <t>JOHANNES DE PAULO/ARQUIVO DA EDITORA</t>
  </si>
  <si>
    <t>Jorge Henrique Brazilio dos Santos</t>
  </si>
  <si>
    <t>jh</t>
  </si>
  <si>
    <t>JORGE BRAZÍLIO/ARQUIVO DA EDITORA</t>
  </si>
  <si>
    <t>Jorge Zaiba</t>
  </si>
  <si>
    <t>za</t>
  </si>
  <si>
    <t>JORGE ZAIBA/ARQUIVO DA EDITORA</t>
  </si>
  <si>
    <t>José Vitor Elorza Costa</t>
  </si>
  <si>
    <t>zv</t>
  </si>
  <si>
    <t>JOSÉ VITOR ELORZA/ARQUIVO DA EDITORA</t>
  </si>
  <si>
    <t>Jotabe Ilustração Infantil</t>
  </si>
  <si>
    <t>jb</t>
  </si>
  <si>
    <t>Julia Mello</t>
  </si>
  <si>
    <t>jm</t>
  </si>
  <si>
    <t>JULIA MELLO/ARQUIVO DA EDITORA</t>
  </si>
  <si>
    <t>Julia Ponnick</t>
  </si>
  <si>
    <t>jn</t>
  </si>
  <si>
    <t>JULIA PONNICK/ARQUIVO DA EDITORA</t>
  </si>
  <si>
    <t>Juliana Dacosta</t>
  </si>
  <si>
    <t>jx</t>
  </si>
  <si>
    <t>JULIANA DACOSTA/ARQUIVO DA EDITORA</t>
  </si>
  <si>
    <t>Juliana Del Anhol Azevedo</t>
  </si>
  <si>
    <t>jd</t>
  </si>
  <si>
    <t>JULIANA DEL ANHOL AZEVEDO/ARQUIVO DA EDITORA</t>
  </si>
  <si>
    <t>Juliana Oliveira</t>
  </si>
  <si>
    <t>ju</t>
  </si>
  <si>
    <t>JULIANA OLIVERIA/ARQUIVO DA EDITORA</t>
  </si>
  <si>
    <t>Júnior Caramez (Antonio Carlos Caramez Jr.)</t>
  </si>
  <si>
    <t>jr</t>
  </si>
  <si>
    <t>ANTONIO CARLOS CARAMEZ JÚNIOR/ARQUIVO DA EDITORA</t>
  </si>
  <si>
    <t>Karina Tamaki Kobayashi</t>
  </si>
  <si>
    <t>kr</t>
  </si>
  <si>
    <t>KARINA TAMAKI KOBAYASHI/ARQUIVO DA EDITORA</t>
  </si>
  <si>
    <t>Karyne Elise Teixeira</t>
  </si>
  <si>
    <t>ke</t>
  </si>
  <si>
    <t>Katharine Frota</t>
  </si>
  <si>
    <t>KATHARINE FROTA/ARQUIVO DA EDITORA</t>
  </si>
  <si>
    <t>KEITHY MOSTACHI/ARQUIVO DA EDITORA</t>
  </si>
  <si>
    <t>Kendra Rubio da Silva</t>
  </si>
  <si>
    <t>ks</t>
  </si>
  <si>
    <t>KENDRA RUBIO/ARQUIVO DA EDITORA</t>
  </si>
  <si>
    <t>Kézia Trentini</t>
  </si>
  <si>
    <t>KÉZIA TRENTINI/ARQUIVO DA EDITORA</t>
  </si>
  <si>
    <t>Kirlley Velôso</t>
  </si>
  <si>
    <t>kv</t>
  </si>
  <si>
    <t>KIRLLEY VELÔSO/ARQUIVO DA EDITORA</t>
  </si>
  <si>
    <t>Klayton Luz</t>
  </si>
  <si>
    <t>KLAYTON LUZ/ARQUIVO DA EDITORA</t>
  </si>
  <si>
    <t>Kleber Maurício Coelho - GIZ DE CERA</t>
  </si>
  <si>
    <t>KLEBER MAURÍCIO COELHO/ARQUIVO DA EDITORA</t>
  </si>
  <si>
    <t>Laís Bicudo</t>
  </si>
  <si>
    <t>lc</t>
  </si>
  <si>
    <t>LAÍS BICUDO/ARQUIVO DA EDITORA</t>
  </si>
  <si>
    <t xml:space="preserve">Laís Garbelini </t>
  </si>
  <si>
    <t>lg</t>
  </si>
  <si>
    <t>LAÍS GARBELINI/ARQUIVO DA EDITORA</t>
  </si>
  <si>
    <t>Leandro Júnior Pimenta</t>
  </si>
  <si>
    <t>lt</t>
  </si>
  <si>
    <t>LEANDRO PIMENTA/ARQUIVO DA EDITORA</t>
  </si>
  <si>
    <t>Leandro Lassmar</t>
  </si>
  <si>
    <t>LEANDRO LASSMAR/ARQUIVO DA EDITORA</t>
  </si>
  <si>
    <t>Leo Gibran</t>
  </si>
  <si>
    <t>le</t>
  </si>
  <si>
    <t>LEO GIBRAN/ARQUIVO DA EDITORA</t>
  </si>
  <si>
    <t>Leo Natsume</t>
  </si>
  <si>
    <t>ln</t>
  </si>
  <si>
    <t>LEO NATSUME/ARQUIVO DA EDITORA</t>
  </si>
  <si>
    <t>Leonardo de Moura Amaral - GIZ DE CERA</t>
  </si>
  <si>
    <t>la</t>
  </si>
  <si>
    <t>LEONARDO DE MOURA AMARAL/ARQUIVO DA EDITORA</t>
  </si>
  <si>
    <t>Leonardo Mari</t>
  </si>
  <si>
    <t>lm</t>
  </si>
  <si>
    <t>LEONARDO MARI/ARQUIVO DA EDITORA</t>
  </si>
  <si>
    <t>Letícia Ribeiro</t>
  </si>
  <si>
    <t>lr</t>
  </si>
  <si>
    <t>LETÍCIA RIBEIRO/ARQUIVO DA EDITORA</t>
  </si>
  <si>
    <t>Liberi</t>
  </si>
  <si>
    <t>l</t>
  </si>
  <si>
    <t>LIBERI/ARQUIVO DA EDITORA</t>
  </si>
  <si>
    <t>Lislley Velani</t>
  </si>
  <si>
    <t>LISLLEY GOMES FEIGE/ARQUIVO DA EDITORA</t>
  </si>
  <si>
    <t>Loquaz Design</t>
  </si>
  <si>
    <t>lq</t>
  </si>
  <si>
    <t>Lucas Kenzo Hamazaki</t>
  </si>
  <si>
    <t>kz</t>
  </si>
  <si>
    <t>KENZO HAMAZAKI/ARQUIVO DA EDITORA</t>
  </si>
  <si>
    <t>Lucas Palma</t>
  </si>
  <si>
    <t>LUCAS PALMA/ARQUIVO DA EDITORA</t>
  </si>
  <si>
    <t xml:space="preserve">Luciane Mori </t>
  </si>
  <si>
    <t>lu</t>
  </si>
  <si>
    <t>LUCIANE MORI/ARQUIVO DA EDITORA</t>
  </si>
  <si>
    <t>Luciano Veronezi</t>
  </si>
  <si>
    <t>lv</t>
  </si>
  <si>
    <t>LUCIANO VERONEZI/ARQUIVO DA EDITORA</t>
  </si>
  <si>
    <t>Luiz Fernando Fogaça</t>
  </si>
  <si>
    <t>lf</t>
  </si>
  <si>
    <t>LUIZ F. FOGAÇA/ARQUIVO DA EDITORA</t>
  </si>
  <si>
    <t>Luiz Lentini</t>
  </si>
  <si>
    <t>ll</t>
  </si>
  <si>
    <t>LUIZ PEREZ LENTINI/ARQUIVO DA EDITORA</t>
  </si>
  <si>
    <t>Luiz Roberto Lúcio Correa</t>
  </si>
  <si>
    <t>bo</t>
  </si>
  <si>
    <t>LUIZ ROBERTO/ARQUIVO DA EDITORA</t>
  </si>
  <si>
    <t>Malu Menezes</t>
  </si>
  <si>
    <t>mx</t>
  </si>
  <si>
    <t>MALU MENEZES/ARQUIVO DA EDITORA</t>
  </si>
  <si>
    <t>ma</t>
  </si>
  <si>
    <t>MARCELA PIALARISSI/ARQUIVO DA EDITORA</t>
  </si>
  <si>
    <t>Marcello Araújo</t>
  </si>
  <si>
    <t>mj</t>
  </si>
  <si>
    <t>MARCELLO ARAUJO/ARQUIVO DA EDITORA</t>
  </si>
  <si>
    <t>Marcelo Castro</t>
  </si>
  <si>
    <t>mc</t>
  </si>
  <si>
    <t>MARCELO CASTRO/ARQUIVO DA EDITORA</t>
  </si>
  <si>
    <t>Marciano Palácio</t>
  </si>
  <si>
    <t>mz</t>
  </si>
  <si>
    <t>MARCIANO PALÁCIO/ARQUIVO DA EDITORA</t>
  </si>
  <si>
    <t>Marcos Farrell</t>
  </si>
  <si>
    <t>mr</t>
  </si>
  <si>
    <t>MARCOS FARRELL/ARQUIVO DA EDITORA</t>
  </si>
  <si>
    <t>Marcos Machado</t>
  </si>
  <si>
    <t>mm</t>
  </si>
  <si>
    <t>MARCOS MACHADO/ARQUIVO DA EDITORA</t>
  </si>
  <si>
    <t>Marcos Mello</t>
  </si>
  <si>
    <t>me</t>
  </si>
  <si>
    <t>MARCO MELLO/ARQUIVO DA EDITORA</t>
  </si>
  <si>
    <t>Maria Gabriela Gama</t>
  </si>
  <si>
    <t>MARIA GABRIELA GAMA/ARQUIVO DA EDITORA</t>
  </si>
  <si>
    <t>Minna Miná</t>
  </si>
  <si>
    <t>MINNA MINÁ/ARQUIVO DA EDITORA</t>
  </si>
  <si>
    <t>Mariana Valente</t>
  </si>
  <si>
    <t>mn</t>
  </si>
  <si>
    <t>MARIANA VALENTE/ARQUIVO DA EDITORA</t>
  </si>
  <si>
    <t>Marília Bruno</t>
  </si>
  <si>
    <t>mb</t>
  </si>
  <si>
    <t>MARÍLIA BRUNO/ARQUIVO DA EDITORA</t>
  </si>
  <si>
    <t>Marilia Goldschmidt</t>
  </si>
  <si>
    <t>go</t>
  </si>
  <si>
    <t>MARILIA GOLDSCHMIDT/ARQUIVO DA EDITORA</t>
  </si>
  <si>
    <t>Marilia Pirilo</t>
  </si>
  <si>
    <t>mp</t>
  </si>
  <si>
    <t>MARILIA PIRILO/ARQUIVO DA EDITORA</t>
  </si>
  <si>
    <t>Mario Henrique Boaventura Nakano</t>
  </si>
  <si>
    <t>mh</t>
  </si>
  <si>
    <t>MARIO HENRIQUE/ARQUIVO DA EDITORA</t>
  </si>
  <si>
    <t>Marlowa</t>
  </si>
  <si>
    <t>mw</t>
  </si>
  <si>
    <t>MARLOWA/ARQUIVO DA EDITORA</t>
  </si>
  <si>
    <t>MARYANE VIOTO SILVA/ARQUIVO DA EDITORA</t>
  </si>
  <si>
    <t>Maurenilson Freire</t>
  </si>
  <si>
    <t>mu</t>
  </si>
  <si>
    <t>MAURENILSON FREIRE/ARQUIVO DA EDITORA</t>
  </si>
  <si>
    <t>Maurício Loyola</t>
  </si>
  <si>
    <t>ml</t>
  </si>
  <si>
    <t>MAURÍCIO LOYOLA/ARQUIVO DA EDITORA</t>
  </si>
  <si>
    <t>Maurício Planel</t>
  </si>
  <si>
    <t>mo</t>
  </si>
  <si>
    <t>MAURICIO PLANEL/ARQUIVO DA EDITORA</t>
  </si>
  <si>
    <t>Mauro Souza</t>
  </si>
  <si>
    <t>ms</t>
  </si>
  <si>
    <t>MAURO SOUZA/ARQUIVO DA EDITORA</t>
  </si>
  <si>
    <t>Melissa Garabeli</t>
  </si>
  <si>
    <t>mg</t>
  </si>
  <si>
    <t>MELISSA GARABELI/ARQUIVO DA EDITORA</t>
  </si>
  <si>
    <t>Michael Altomani</t>
  </si>
  <si>
    <t>MICHEL ALTOMANI/ARQUIVO DA EDITORA</t>
  </si>
  <si>
    <t>Michel Ramalho</t>
  </si>
  <si>
    <t>mi</t>
  </si>
  <si>
    <t>MICHEL RAMALHO/ARQUIVO DA EDITORA</t>
  </si>
  <si>
    <t>Milena Godoy</t>
  </si>
  <si>
    <t>oy</t>
  </si>
  <si>
    <t>GABRIELA MELLO/MILENA GODOY/ARQUIVO DA EDITORA</t>
  </si>
  <si>
    <t>Mosaico Fluído</t>
  </si>
  <si>
    <t>mf</t>
  </si>
  <si>
    <t>MOSAICO FLUÍDO/ARQUIVO DA EDITORA</t>
  </si>
  <si>
    <t>Motoca Design</t>
  </si>
  <si>
    <t>mt</t>
  </si>
  <si>
    <t>MOTOCA DESIGN/ARQUIVO DA EDITORA</t>
  </si>
  <si>
    <t>Murilo Moretti</t>
  </si>
  <si>
    <t>et</t>
  </si>
  <si>
    <t>MURILO MORETTI/ARQUIVO DA EDITORA</t>
  </si>
  <si>
    <t xml:space="preserve">Natanaele Bilmaia </t>
  </si>
  <si>
    <t>nb</t>
  </si>
  <si>
    <t>Nathalia Ichioka</t>
  </si>
  <si>
    <t>ni</t>
  </si>
  <si>
    <t>NATHALIA ICHIOKA/ARQUIVO DA EDITORA</t>
  </si>
  <si>
    <t xml:space="preserve">Nelson Akira Ishikawa </t>
  </si>
  <si>
    <t>ne</t>
  </si>
  <si>
    <t>NELSON ISHIKAWA/ARQUIVO DA EDITORA</t>
  </si>
  <si>
    <t>Nelson Cosentino</t>
  </si>
  <si>
    <t>NELSON COSENTINO/ARQUIVO DA EDITORA</t>
  </si>
  <si>
    <t>NICOLAS FURTADO/ARQUIVO DA EDITORA</t>
  </si>
  <si>
    <t>Nicole Santos</t>
  </si>
  <si>
    <t>ns</t>
  </si>
  <si>
    <t>NICOLE SANTOS/ARQUIVO DA EDITORA</t>
  </si>
  <si>
    <t>Nik Neves</t>
  </si>
  <si>
    <t>nk</t>
  </si>
  <si>
    <t>NIK NEVES/ARQUIVO DA EDITORA</t>
  </si>
  <si>
    <t xml:space="preserve">Ohanna Schmitt </t>
  </si>
  <si>
    <t>oh</t>
  </si>
  <si>
    <t>OHANNA SCHMITT/ARQUIVO DA EDITORA</t>
  </si>
  <si>
    <t>Patrícia Kelen Takahashi</t>
  </si>
  <si>
    <t>pk</t>
  </si>
  <si>
    <t>PATRÍCIA KELEN TAKAHASHI/ARQUIVO DA EDITORA</t>
  </si>
  <si>
    <t>Patricia Paulozi de Menezes</t>
  </si>
  <si>
    <t>pp</t>
  </si>
  <si>
    <t>PATRÍCIA PAULOZI/ARQUIVO DA EDITORA</t>
  </si>
  <si>
    <t>Patricia Pessoa</t>
  </si>
  <si>
    <t>pt</t>
  </si>
  <si>
    <t>PATRICIA PESSOA/ARQUIVO DA EDITORA</t>
  </si>
  <si>
    <t>Paula Diazzi Ferreira</t>
  </si>
  <si>
    <t>pa</t>
  </si>
  <si>
    <t>PAULA DIAZZI/ARQUIVO DA EDITORA</t>
  </si>
  <si>
    <t>Paula Kranz</t>
  </si>
  <si>
    <t>pz</t>
  </si>
  <si>
    <t>PAULA KRANZ/ARQUIVO DA EDITORA</t>
  </si>
  <si>
    <t>Paula Radi</t>
  </si>
  <si>
    <t>pr</t>
  </si>
  <si>
    <t>PAULA RADI/ARQUIVO DA EDITORA</t>
  </si>
  <si>
    <t>Pedro Guilherme Pauletti Lorenzo</t>
  </si>
  <si>
    <t>pl</t>
  </si>
  <si>
    <t>PEDRO LORENZO/ARQUIVO DA EDITORA</t>
  </si>
  <si>
    <t>Petra Mendes</t>
  </si>
  <si>
    <t>pm</t>
  </si>
  <si>
    <t>PETRA MENDES/ARQUIVO DA EDITORA</t>
  </si>
  <si>
    <t>Poliana de Fátima Garcia</t>
  </si>
  <si>
    <t>po</t>
  </si>
  <si>
    <t>POLIANA GARCIA/ARQUIVO DA EDITORA</t>
  </si>
  <si>
    <t>Pri Wi</t>
  </si>
  <si>
    <t>pw</t>
  </si>
  <si>
    <t>PRIWI/ARQUIVO DA EDITORA</t>
  </si>
  <si>
    <t xml:space="preserve">Priscilla Camacho </t>
  </si>
  <si>
    <t>ps</t>
  </si>
  <si>
    <t>PRISCILLA CAMACHO/ARQUIVO DA EDITORA</t>
  </si>
  <si>
    <t>Quanta Studio (2014 em diante)</t>
  </si>
  <si>
    <t>qs</t>
  </si>
  <si>
    <t>QUANTA STUDIO (2014 EM DIANTE)</t>
  </si>
  <si>
    <t>Quanta Studio (até 2013)</t>
  </si>
  <si>
    <t>qt</t>
  </si>
  <si>
    <t>QUANTA STUDIO (ATÉ 2013)</t>
  </si>
  <si>
    <t>Rafael da Silva (ARTE)</t>
  </si>
  <si>
    <t>rd</t>
  </si>
  <si>
    <t>RAFAEL SILVA/ARQUIVO DA EDITORA</t>
  </si>
  <si>
    <t>Rafael da Silva Hatadani</t>
  </si>
  <si>
    <t>rh</t>
  </si>
  <si>
    <t>RAFAEL HATADANI/ARQUIVO DA EDITORA</t>
  </si>
  <si>
    <t>Rafael Gallardo</t>
  </si>
  <si>
    <t>rf</t>
  </si>
  <si>
    <t>RAFAEL GALLARDO/ARQUIVO DA EDITORA</t>
  </si>
  <si>
    <t>Rafael Lam</t>
  </si>
  <si>
    <t>rl</t>
  </si>
  <si>
    <t>RAFAEL LAM/ARQUIVO DA EDITORA</t>
  </si>
  <si>
    <t>Rafael Luís Gaion</t>
  </si>
  <si>
    <t>rn</t>
  </si>
  <si>
    <t>RAFAEL L. GAION/ARQUIVO DA EDITORA</t>
  </si>
  <si>
    <t>Rafael Luzio Rodrigues</t>
  </si>
  <si>
    <t>lz</t>
  </si>
  <si>
    <t>RAFAEL LUZIO/ARQUIVO DA EDITORA</t>
  </si>
  <si>
    <t>Rafael Martins - Somma</t>
  </si>
  <si>
    <t>Rafaela Harger</t>
  </si>
  <si>
    <t xml:space="preserve">rx </t>
  </si>
  <si>
    <t>RAFAELA HARGER/ARQUIVO DA EDITORA</t>
  </si>
  <si>
    <t>Rafaela Hidalgo Pereira</t>
  </si>
  <si>
    <t>rp</t>
  </si>
  <si>
    <t>RAFAELA H. PEREIRA/ARQUIVO DA EDITORA</t>
  </si>
  <si>
    <t>pn</t>
  </si>
  <si>
    <t>RAFAELA PANISSA/ARQUIVO DA EDITORA</t>
  </si>
  <si>
    <t>Raíssa Bulhões</t>
  </si>
  <si>
    <t>rs</t>
  </si>
  <si>
    <t>RAÍSSA BULHÕES/ARQUIVO DA EDITORA</t>
  </si>
  <si>
    <t>Raitan Ohi</t>
  </si>
  <si>
    <t>rt</t>
  </si>
  <si>
    <t>RAITAN OHI/ARQUIVO DA EDITORA</t>
  </si>
  <si>
    <t>Raquel Silva</t>
  </si>
  <si>
    <t>RAQUEL SILVA/ARQUIVO DA EDITORA</t>
  </si>
  <si>
    <t>Raul Aguiar</t>
  </si>
  <si>
    <t>ra</t>
  </si>
  <si>
    <t>RAUL AGUIAR/ARQUIVO DA EDITORA</t>
  </si>
  <si>
    <t>Rayanne Cardoso</t>
  </si>
  <si>
    <t>ay</t>
  </si>
  <si>
    <t>RAYANNE CARDOSO/ARQUIVO DA EDITORA</t>
  </si>
  <si>
    <t>bk</t>
  </si>
  <si>
    <t>REBECCA BANISKI/ARQUIVO DA EDITORA</t>
  </si>
  <si>
    <t>Reinaldo Rosa - Ideario Lab</t>
  </si>
  <si>
    <t>il</t>
  </si>
  <si>
    <t>Renan de Oliveira Fonseca</t>
  </si>
  <si>
    <t>re</t>
  </si>
  <si>
    <t>RENAN FONSECA/ARQUIVO DA EDITORA</t>
  </si>
  <si>
    <t>Renan Nuche</t>
  </si>
  <si>
    <t>rz</t>
  </si>
  <si>
    <t>RENAN NUCHE/ARQUIVO DA EDITORA</t>
  </si>
  <si>
    <t>Renato Rodrigues</t>
  </si>
  <si>
    <t>xr</t>
  </si>
  <si>
    <t>RENATO RODRIGUES/ARQUIVO DA EDITORA</t>
  </si>
  <si>
    <t>Ricardo Gualberto</t>
  </si>
  <si>
    <t>ua</t>
  </si>
  <si>
    <t>RICARDO GUALBERTO/ARQUIVO DA EDITORA</t>
  </si>
  <si>
    <t>Rivaldo Ferreira Barboza Filho</t>
  </si>
  <si>
    <t>RIVALDO BARBOZA/ARQUIVO DA EDITORA</t>
  </si>
  <si>
    <t>Roberto Bigas</t>
  </si>
  <si>
    <t>rb</t>
  </si>
  <si>
    <t>ROBERTO BIGAS/ARQUIVO DA EDITORA</t>
  </si>
  <si>
    <t>Roberto Weigand</t>
  </si>
  <si>
    <t>rw</t>
  </si>
  <si>
    <t>ROBERTO WEIGAND/ARQUIVO DA EDITORA</t>
  </si>
  <si>
    <t>Robson Araújo</t>
  </si>
  <si>
    <t>rj</t>
  </si>
  <si>
    <t>ROBSON ARAÚJO/ARQUIVO DA EDITORA</t>
  </si>
  <si>
    <t>Rodrigo Arraya</t>
  </si>
  <si>
    <t>ry</t>
  </si>
  <si>
    <t>RODRIGO ARRAYA/ARQUIVO DA EDITORA</t>
  </si>
  <si>
    <t>Rodrigo Cordeiro</t>
  </si>
  <si>
    <t>RODRIGO CORDEIRO/ARQUIVO DA EDITORA</t>
  </si>
  <si>
    <t>Rodrigo Gafa</t>
  </si>
  <si>
    <t>ro</t>
  </si>
  <si>
    <t>RODRIGO GAFA/ARQUIVO DA EDITORA</t>
  </si>
  <si>
    <t>Roger Cartoon</t>
  </si>
  <si>
    <t>rg</t>
  </si>
  <si>
    <t>ROGER CARTOON/ARQUIVO DA EDITORA</t>
  </si>
  <si>
    <t>Rogério Casagrande</t>
  </si>
  <si>
    <t>rr</t>
  </si>
  <si>
    <t>ROGÉRIO CASAGRANDE/ARQUIVO DA EDITORA</t>
  </si>
  <si>
    <t>Rogério Coelho</t>
  </si>
  <si>
    <t>rc</t>
  </si>
  <si>
    <t>ROGÉRIO COELHO/ARQUIVO DA EDITORA</t>
  </si>
  <si>
    <t>Ronaldo Inácio De Lucena</t>
  </si>
  <si>
    <t>ri</t>
  </si>
  <si>
    <t>RONALDO LUCENA/ARQUIVO DA EDITORA</t>
  </si>
  <si>
    <t>Rosana Urbes</t>
  </si>
  <si>
    <t>ru</t>
  </si>
  <si>
    <t>ROSANA URBES/ARQUIVO DA EDITORA</t>
  </si>
  <si>
    <t>RS2 Comunicação</t>
  </si>
  <si>
    <t>sm</t>
  </si>
  <si>
    <t>RS2 COMUNICAÇÃO/ARQUIVO DA EDITORA</t>
  </si>
  <si>
    <t>Sabrina Eras</t>
  </si>
  <si>
    <t>SABRINA ERAS/ARQUIVO DA EDITORA</t>
  </si>
  <si>
    <t>Samanta Flôor</t>
  </si>
  <si>
    <t>sf</t>
  </si>
  <si>
    <t>SAMANDA FLÔOR/ARQUIVO DA EDITORA</t>
  </si>
  <si>
    <t xml:space="preserve">Samuel Silva Nascimento </t>
  </si>
  <si>
    <t>sa</t>
  </si>
  <si>
    <t>SAMUEL SILVA/ARQUIVO DA EDITORA</t>
  </si>
  <si>
    <t>Saulo Nunes Marques</t>
  </si>
  <si>
    <t>sq</t>
  </si>
  <si>
    <t>SAULO NUNES/ARQUIVO DA EDITORA</t>
  </si>
  <si>
    <t>Sergio Lima</t>
  </si>
  <si>
    <t>sl</t>
  </si>
  <si>
    <t>SERGIO LIMA/ARQUIVO DA EDITORA</t>
  </si>
  <si>
    <t>Sidney Siqueira Meireles</t>
  </si>
  <si>
    <t>sd</t>
  </si>
  <si>
    <t>SIDNEY SIQUEIRA MEIRELES/ARQUIVO DA EDITORA</t>
  </si>
  <si>
    <t>Silvia Otofuji</t>
  </si>
  <si>
    <t>so</t>
  </si>
  <si>
    <t>SILVIA OTOFUJI/ARQUIVO DA EDITORA</t>
  </si>
  <si>
    <t>Simone Bellusci Cavalcante</t>
  </si>
  <si>
    <t>si</t>
  </si>
  <si>
    <t>SIMONE/ARQUIVO DA EDITORA</t>
  </si>
  <si>
    <t>Sonia Horn</t>
  </si>
  <si>
    <t>sh</t>
  </si>
  <si>
    <t>SONIA HORN/ARQUIVO DA EDITORA</t>
  </si>
  <si>
    <t>Sonia Vaz</t>
  </si>
  <si>
    <t>VAZ</t>
  </si>
  <si>
    <t>SONIA VAZ/ARQUIVO DA EDITORA</t>
  </si>
  <si>
    <t xml:space="preserve">Sputinik Studio </t>
  </si>
  <si>
    <t>sk</t>
  </si>
  <si>
    <t>SPUTINIK STUDIO/ARQUIVO DA EDITORA</t>
  </si>
  <si>
    <t>Studio Caparroz (Selma)</t>
  </si>
  <si>
    <t>sc</t>
  </si>
  <si>
    <t>SELMA CAPARROZ/ARQUIVO DA EDITORA</t>
  </si>
  <si>
    <t>Studio Maya</t>
  </si>
  <si>
    <t>my</t>
  </si>
  <si>
    <t>STUDIO MAYA/ARQUIVO DA EDITORA</t>
  </si>
  <si>
    <t>Studio OPZ</t>
  </si>
  <si>
    <t>oz</t>
  </si>
  <si>
    <t>ANDERSON GABRIEL CAPELOTO MACOHIN/ARQUIVO DA EDITORA</t>
  </si>
  <si>
    <t>Studio Pack</t>
  </si>
  <si>
    <t>sp</t>
  </si>
  <si>
    <t>STUDIO PACK/ARQUIVO DA EDITORA</t>
  </si>
  <si>
    <t>Suppa</t>
  </si>
  <si>
    <t>su</t>
  </si>
  <si>
    <t>VIVIAN SUPPA/ARQUIVO DA EDITORA</t>
  </si>
  <si>
    <t>Sylvia Muniz</t>
  </si>
  <si>
    <t>sy</t>
  </si>
  <si>
    <t>SYLVIA MUNIZ/ARQUIVO DA EDITORA</t>
  </si>
  <si>
    <t>Sylvia S. Nakamura</t>
  </si>
  <si>
    <t>sn</t>
  </si>
  <si>
    <t>SYLVIA NAKAMURA/ARQUIVO DA EDITORA</t>
  </si>
  <si>
    <t>Tamires Azevedo</t>
  </si>
  <si>
    <t>tr</t>
  </si>
  <si>
    <t>TAMIRES AZEVEDO/ARQUIVO DA EDITORA</t>
  </si>
  <si>
    <t>Tânia Machado</t>
  </si>
  <si>
    <t>tm</t>
  </si>
  <si>
    <t>TÂNIA MACHADO/ARQUIVO DA EDITORA</t>
  </si>
  <si>
    <t xml:space="preserve">Tatiana Paiva </t>
  </si>
  <si>
    <t>tp</t>
  </si>
  <si>
    <t>TATIANA PAIVA/ARQUIVO DA EDITORA</t>
  </si>
  <si>
    <t>ti</t>
  </si>
  <si>
    <t>TATIANE GALHEIRO/ARQUIVO DA EDITORA</t>
  </si>
  <si>
    <t>Thais Castro</t>
  </si>
  <si>
    <t>THAIS CASTRO/ARQUIVO DA EDITORA</t>
  </si>
  <si>
    <t>Thamires Paredes - Universo Paralelo</t>
  </si>
  <si>
    <t>th</t>
  </si>
  <si>
    <t>THAMIRES PAREDES/ARQUIVO DA EDITORA</t>
  </si>
  <si>
    <t>Thiago Araujo Lima (Thiago Limon)</t>
  </si>
  <si>
    <t>tl</t>
  </si>
  <si>
    <t>THIAGO LIMA/ARQUIVO DA EDITORA</t>
  </si>
  <si>
    <t>Thiago Barbosa De Almeida</t>
  </si>
  <si>
    <t>ta</t>
  </si>
  <si>
    <t>THIAGO ALMEIDA/ARQUIVO DA EDITORA</t>
  </si>
  <si>
    <t xml:space="preserve">Thiago Moura Januário </t>
  </si>
  <si>
    <t>tj</t>
  </si>
  <si>
    <t>THIAGO MOURA JANUÁRIO/ARQUIVO DA EDITORA</t>
  </si>
  <si>
    <t>Thiago Neumann</t>
  </si>
  <si>
    <t>tn</t>
  </si>
  <si>
    <t>THIAGO NEUMANN/ARQUIVO DA EDITORA</t>
  </si>
  <si>
    <t>Thiago Soares</t>
  </si>
  <si>
    <t>tg</t>
  </si>
  <si>
    <t>THIAGO SOARES/ARQUIVO DA EDITORA</t>
  </si>
  <si>
    <t xml:space="preserve">TypoStudio </t>
  </si>
  <si>
    <t>ts</t>
  </si>
  <si>
    <t>Veridiana Pegoraro Camelo</t>
  </si>
  <si>
    <t>vo</t>
  </si>
  <si>
    <t>VERIDIANA PEGORARO CAMELO/ARQUIVO DA EDITORA</t>
  </si>
  <si>
    <t xml:space="preserve">Veridiana Scarpelli - IMAGERIA ESTUDIO </t>
  </si>
  <si>
    <t>vs</t>
  </si>
  <si>
    <t>VIRIDIANA SCARPELLI/ARQUIVO DA EDITORA</t>
  </si>
  <si>
    <t>Victor Ferreira Lemos</t>
  </si>
  <si>
    <t>vf</t>
  </si>
  <si>
    <t>VICTOR LEMOS/ARQUIVO DA EDITORA</t>
  </si>
  <si>
    <t>Vinícius Costa</t>
  </si>
  <si>
    <t>VINÍCIUS COSTA/ARQUIVO DA EDITORA</t>
  </si>
  <si>
    <t>Vitor Locatelli</t>
  </si>
  <si>
    <t>vl</t>
  </si>
  <si>
    <t>VITOR LOCATELLI/ARQUIVO DA EDITORA</t>
  </si>
  <si>
    <t>Volpe Studio</t>
  </si>
  <si>
    <t>vp</t>
  </si>
  <si>
    <t>VOLPE STUDIO/ARQUIVO DA EDITORA</t>
  </si>
  <si>
    <t xml:space="preserve">Waldomiro Neto </t>
  </si>
  <si>
    <t>wn</t>
  </si>
  <si>
    <t>WALDOMIRO NETO/ARQUIVO DA EDITORA</t>
  </si>
  <si>
    <t xml:space="preserve">Wandson Rocha </t>
  </si>
  <si>
    <t>wr</t>
  </si>
  <si>
    <t>WANDSON ROCHA/ARQUIVO DA EDITORA</t>
  </si>
  <si>
    <t>Wanick Correa Flores</t>
  </si>
  <si>
    <t>wk</t>
  </si>
  <si>
    <t>WANICK CORREA/ARQUIVO DA EDITORA</t>
  </si>
  <si>
    <t>Werllen Holanda</t>
  </si>
  <si>
    <t>wh</t>
  </si>
  <si>
    <t>WERLLEN HOLANDA/ARQUIVO DA EDITORA</t>
  </si>
  <si>
    <t>PRÉ-EDIÇÃO</t>
  </si>
  <si>
    <t>SCRIBA</t>
  </si>
  <si>
    <t>PREVISAO</t>
  </si>
  <si>
    <t>EDICAO_EQUIPE</t>
  </si>
  <si>
    <t>APRESENT.</t>
  </si>
  <si>
    <t>FTD</t>
  </si>
  <si>
    <t>IL + FOTO</t>
  </si>
  <si>
    <t>SUMÁRIO</t>
  </si>
  <si>
    <t>MDN</t>
  </si>
  <si>
    <t>FINALIZADO RAFE</t>
  </si>
  <si>
    <t>ILUSTRANDO</t>
  </si>
  <si>
    <t>MAPA</t>
  </si>
  <si>
    <t>ABERTURA</t>
  </si>
  <si>
    <t>SABER</t>
  </si>
  <si>
    <t>SM</t>
  </si>
  <si>
    <t>PAGO RAFE</t>
  </si>
  <si>
    <t>AJUSTANDO</t>
  </si>
  <si>
    <t>LINHA TEMPO</t>
  </si>
  <si>
    <t>PAG.ESPECIAL</t>
  </si>
  <si>
    <t>SCP</t>
  </si>
  <si>
    <t>FINALIZANDO</t>
  </si>
  <si>
    <t>INFOGRÁFICO</t>
  </si>
  <si>
    <t>MP-G</t>
  </si>
  <si>
    <t>ÚNICO</t>
  </si>
  <si>
    <t>ABR</t>
  </si>
  <si>
    <t>BASE</t>
  </si>
  <si>
    <t>IBEP</t>
  </si>
  <si>
    <t>LEYA</t>
  </si>
  <si>
    <t>SARAIVA</t>
  </si>
  <si>
    <t>SANTILLANA</t>
  </si>
  <si>
    <t>QUINTETO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</si>
</sst>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1"/>
      <color theme="1"/>
      <name val="Aptos Narrow"/>
      <family val="2"/>
      <scheme val="minor"/>
    </font>
    <font>
      <b/>
      <sz val="11"/>
      <color theme="0"/>
      <name val="Aptos Narrow"/>
      <family val="2"/>
      <scheme val="minor"/>
    </font>
    <font>
      <sz val="9"/>
      <color indexed="81"/>
      <name val="Segoe UI"/>
      <family val="2"/>
    </font>
    <font>
      <b/>
      <sz val="9"/>
      <color indexed="81"/>
      <name val="Segoe UI"/>
      <family val="2"/>
    </font>
    <font>
      <sz val="10"/>
      <color theme="1"/>
      <name val="Arial"/>
      <family val="2"/>
    </font>
    <font>
      <b/>
      <sz val="11"/>
      <color theme="0"/>
      <name val="Arial Narrow"/>
      <family val="2"/>
    </font>
    <font>
      <b/>
      <sz val="16"/>
      <color theme="0"/>
      <name val="Aptos Narrow"/>
      <family val="2"/>
    </font>
    <font>
      <sz val="11"/>
      <name val="Arial Narrow"/>
      <family val="2"/>
    </font>
    <font>
      <sz val="8"/>
      <name val="Aptos Narrow"/>
      <family val="2"/>
      <scheme val="minor"/>
    </font>
    <font>
      <sz val="11"/>
      <color rgb="FF242424"/>
      <name val="Aptos Narrow"/>
      <family val="2"/>
    </font>
    <font>
      <sz val="11"/>
      <name val="Arial Narrow"/>
    </font>
    <font>
      <sz val="11"/>
      <color rgb="FF242424"/>
      <name val="Aptos Narrow"/>
      <charset val="1"/>
    </font>
    <font>
      <sz val="11"/>
      <color rgb="FF000000"/>
      <name val="Aptos Narrow"/>
    </font>
    <font>
      <sz val="11"/>
      <color rgb="FF000000"/>
      <name val="Aptos Narrow"/>
      <charset val="1"/>
    </font>
  </fonts>
  <fills count="13">
    <fill>
      <patternFill patternType="none"/>
    </fill>
    <fill>
      <patternFill patternType="gray125"/>
    </fill>
    <fill>
      <patternFill patternType="solid">
        <fgColor rgb="FFFF0000"/>
        <bgColor indexed="64"/>
      </patternFill>
    </fill>
    <fill>
      <patternFill patternType="solid">
        <fgColor theme="9" tint="-0.249977111117893"/>
        <bgColor indexed="64"/>
      </patternFill>
    </fill>
    <fill>
      <patternFill patternType="solid">
        <fgColor theme="3" tint="0.249977111117893"/>
        <bgColor indexed="64"/>
      </patternFill>
    </fill>
    <fill>
      <patternFill patternType="solid">
        <fgColor rgb="FFCC9900"/>
        <bgColor indexed="64"/>
      </patternFill>
    </fill>
    <fill>
      <patternFill patternType="solid">
        <fgColor theme="9" tint="-0.249977111117893"/>
        <bgColor theme="1"/>
      </patternFill>
    </fill>
    <fill>
      <patternFill patternType="solid">
        <fgColor rgb="FFFFFFFF"/>
        <bgColor indexed="64"/>
      </patternFill>
    </fill>
    <fill>
      <patternFill patternType="solid">
        <fgColor rgb="FFFFFFFF"/>
        <bgColor rgb="FFFFFFFF"/>
      </patternFill>
    </fill>
    <fill>
      <patternFill patternType="solid">
        <fgColor theme="0"/>
        <bgColor indexed="64"/>
      </patternFill>
    </fill>
    <fill>
      <patternFill patternType="solid">
        <fgColor theme="4"/>
        <bgColor theme="9"/>
      </patternFill>
    </fill>
    <fill>
      <patternFill patternType="solid">
        <fgColor rgb="FF00B050"/>
        <bgColor indexed="64"/>
      </patternFill>
    </fill>
    <fill>
      <patternFill patternType="solid">
        <fgColor theme="0" tint="-0.14999847407452621"/>
        <bgColor theme="0" tint="-0.14999847407452621"/>
      </patternFill>
    </fill>
  </fills>
  <borders count="11">
    <border>
      <left/>
      <right/>
      <top/>
      <bottom/>
      <diagonal/>
    </border>
    <border>
      <left style="thin">
        <color theme="1"/>
      </left>
      <right/>
      <top style="thin">
        <color theme="1"/>
      </top>
      <bottom/>
      <diagonal/>
    </border>
    <border>
      <left/>
      <right/>
      <top style="thin">
        <color theme="1"/>
      </top>
      <bottom/>
      <diagonal/>
    </border>
    <border>
      <left style="thin">
        <color theme="4" tint="0.39997558519241921"/>
      </left>
      <right style="thin">
        <color theme="4" tint="0.39997558519241921"/>
      </right>
      <top style="thin">
        <color theme="4" tint="0.39997558519241921"/>
      </top>
      <bottom/>
      <diagonal/>
    </border>
    <border>
      <left/>
      <right style="thin">
        <color theme="1"/>
      </right>
      <top style="thin">
        <color theme="1"/>
      </top>
      <bottom/>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right style="thin">
        <color theme="9"/>
      </right>
      <top style="thin">
        <color theme="9"/>
      </top>
      <bottom/>
      <diagonal/>
    </border>
  </borders>
  <cellStyleXfs count="1">
    <xf numFmtId="0" fontId="0" fillId="0" borderId="0"/>
  </cellStyleXfs>
  <cellXfs count="58">
    <xf numFmtId="0" fontId="0" fillId="0" borderId="0" xfId="0"/>
    <xf numFmtId="0" fontId="4" fillId="7" borderId="0" xfId="0" applyFont="1" applyFill="1" applyAlignment="1">
      <alignment vertical="center"/>
    </xf>
    <xf numFmtId="0" fontId="4" fillId="7" borderId="0" xfId="0" applyFont="1" applyFill="1" applyAlignment="1">
      <alignment vertical="center" wrapText="1"/>
    </xf>
    <xf numFmtId="0" fontId="0" fillId="0" borderId="0" xfId="0" applyAlignment="1">
      <alignment horizontal="center" vertical="center"/>
    </xf>
    <xf numFmtId="0" fontId="0" fillId="0" borderId="0" xfId="0" applyAlignment="1">
      <alignment vertical="center"/>
    </xf>
    <xf numFmtId="0" fontId="4" fillId="8" borderId="0" xfId="0" applyFont="1" applyFill="1" applyAlignment="1">
      <alignment vertical="center"/>
    </xf>
    <xf numFmtId="0" fontId="4" fillId="7" borderId="0" xfId="0" applyFont="1" applyFill="1" applyAlignment="1">
      <alignment horizontal="center" vertical="center" wrapText="1"/>
    </xf>
    <xf numFmtId="0" fontId="1" fillId="4" borderId="1" xfId="0" applyFont="1" applyFill="1" applyBorder="1" applyAlignment="1">
      <alignment horizontal="center" vertical="center" wrapText="1"/>
    </xf>
    <xf numFmtId="0" fontId="1" fillId="4" borderId="2" xfId="0" applyFont="1" applyFill="1" applyBorder="1" applyAlignment="1">
      <alignment horizontal="center" vertical="center" wrapText="1"/>
    </xf>
    <xf numFmtId="0" fontId="1" fillId="5" borderId="3" xfId="0" applyFont="1" applyFill="1" applyBorder="1" applyAlignment="1">
      <alignment horizontal="center" vertical="center" wrapText="1"/>
    </xf>
    <xf numFmtId="0" fontId="0" fillId="0" borderId="0" xfId="0" applyAlignment="1">
      <alignment wrapText="1"/>
    </xf>
    <xf numFmtId="0" fontId="1" fillId="2" borderId="3" xfId="0" applyFont="1" applyFill="1" applyBorder="1" applyAlignment="1">
      <alignment horizontal="center" vertical="center" wrapText="1"/>
    </xf>
    <xf numFmtId="0" fontId="0" fillId="0" borderId="0" xfId="0" applyProtection="1">
      <protection locked="0"/>
    </xf>
    <xf numFmtId="14" fontId="1" fillId="5" borderId="2" xfId="0" applyNumberFormat="1" applyFont="1" applyFill="1" applyBorder="1" applyAlignment="1">
      <alignment horizontal="center" vertical="center" wrapText="1"/>
    </xf>
    <xf numFmtId="14" fontId="1" fillId="5" borderId="3" xfId="0" applyNumberFormat="1" applyFont="1" applyFill="1" applyBorder="1" applyAlignment="1">
      <alignment horizontal="center" vertical="center" wrapText="1"/>
    </xf>
    <xf numFmtId="0" fontId="1" fillId="6" borderId="4" xfId="0" applyFont="1" applyFill="1" applyBorder="1" applyAlignment="1">
      <alignment horizontal="center" vertical="center" wrapText="1"/>
    </xf>
    <xf numFmtId="14" fontId="1" fillId="4" borderId="2" xfId="0" applyNumberFormat="1" applyFont="1" applyFill="1" applyBorder="1" applyAlignment="1">
      <alignment horizontal="center" vertical="center" wrapText="1"/>
    </xf>
    <xf numFmtId="0" fontId="4" fillId="0" borderId="5" xfId="0" applyFont="1" applyBorder="1" applyAlignment="1" applyProtection="1">
      <alignment horizontal="left" vertical="center"/>
      <protection locked="0"/>
    </xf>
    <xf numFmtId="0" fontId="1" fillId="4" borderId="2" xfId="0" applyFont="1" applyFill="1" applyBorder="1" applyAlignment="1">
      <alignment horizontal="center" vertical="center"/>
    </xf>
    <xf numFmtId="0" fontId="1" fillId="3" borderId="2" xfId="0" applyFont="1" applyFill="1" applyBorder="1" applyAlignment="1" applyProtection="1">
      <alignment horizontal="center" vertical="center" wrapText="1"/>
      <protection locked="0"/>
    </xf>
    <xf numFmtId="0" fontId="0" fillId="0" borderId="0" xfId="0" applyAlignment="1" applyProtection="1">
      <alignment horizontal="left" vertical="center"/>
      <protection locked="0"/>
    </xf>
    <xf numFmtId="0" fontId="0" fillId="0" borderId="0" xfId="0" applyAlignment="1">
      <alignment horizontal="left" vertical="center"/>
    </xf>
    <xf numFmtId="0" fontId="0" fillId="0" borderId="0" xfId="0" applyAlignment="1" applyProtection="1">
      <alignment horizontal="center" vertical="center"/>
      <protection locked="0"/>
    </xf>
    <xf numFmtId="0" fontId="0" fillId="0" borderId="0" xfId="0" applyAlignment="1" applyProtection="1">
      <alignment vertical="center"/>
      <protection locked="0"/>
    </xf>
    <xf numFmtId="14" fontId="0" fillId="0" borderId="0" xfId="0" applyNumberFormat="1" applyAlignment="1" applyProtection="1">
      <alignment horizontal="center" vertical="center"/>
      <protection locked="0"/>
    </xf>
    <xf numFmtId="14" fontId="0" fillId="0" borderId="0" xfId="0" applyNumberFormat="1" applyAlignment="1">
      <alignment horizontal="center" vertical="center"/>
    </xf>
    <xf numFmtId="0" fontId="0" fillId="0" borderId="0" xfId="0" applyAlignment="1" applyProtection="1">
      <alignment horizontal="left" vertical="center" wrapText="1"/>
      <protection locked="0"/>
    </xf>
    <xf numFmtId="0" fontId="0" fillId="0" borderId="0" xfId="0" applyAlignment="1">
      <alignment horizontal="left"/>
    </xf>
    <xf numFmtId="0" fontId="5" fillId="10" borderId="6" xfId="0" applyFont="1" applyFill="1" applyBorder="1"/>
    <xf numFmtId="0" fontId="5" fillId="10" borderId="7" xfId="0" applyFont="1" applyFill="1" applyBorder="1"/>
    <xf numFmtId="0" fontId="5" fillId="10" borderId="8" xfId="0" applyFont="1" applyFill="1" applyBorder="1"/>
    <xf numFmtId="0" fontId="7" fillId="9" borderId="5" xfId="0" applyFont="1" applyFill="1" applyBorder="1" applyAlignment="1">
      <alignment horizontal="left"/>
    </xf>
    <xf numFmtId="0" fontId="7" fillId="9" borderId="5" xfId="0" applyFont="1" applyFill="1" applyBorder="1" applyAlignment="1">
      <alignment horizontal="center" vertical="center"/>
    </xf>
    <xf numFmtId="0" fontId="7" fillId="9" borderId="5" xfId="0" applyFont="1" applyFill="1" applyBorder="1" applyAlignment="1">
      <alignment horizontal="left" vertical="center" wrapText="1"/>
    </xf>
    <xf numFmtId="0" fontId="7" fillId="9" borderId="5" xfId="0" applyFont="1" applyFill="1" applyBorder="1" applyAlignment="1">
      <alignment horizontal="left" vertical="center"/>
    </xf>
    <xf numFmtId="0" fontId="7" fillId="9" borderId="5" xfId="0" applyFont="1" applyFill="1" applyBorder="1" applyAlignment="1">
      <alignment horizontal="left" wrapText="1"/>
    </xf>
    <xf numFmtId="0" fontId="7" fillId="9" borderId="5" xfId="0" applyFont="1" applyFill="1" applyBorder="1"/>
    <xf numFmtId="0" fontId="7" fillId="9" borderId="9" xfId="0" applyFont="1" applyFill="1" applyBorder="1" applyAlignment="1">
      <alignment horizontal="left"/>
    </xf>
    <xf numFmtId="0" fontId="7" fillId="9" borderId="9" xfId="0" applyFont="1" applyFill="1" applyBorder="1" applyAlignment="1">
      <alignment horizontal="center" vertical="center"/>
    </xf>
    <xf numFmtId="0" fontId="7" fillId="9" borderId="9" xfId="0" applyFont="1" applyFill="1" applyBorder="1" applyAlignment="1">
      <alignment horizontal="left" vertical="center"/>
    </xf>
    <xf numFmtId="0" fontId="0" fillId="0" borderId="0" xfId="0" applyAlignment="1" applyProtection="1">
      <alignment horizontal="center" vertical="center" wrapText="1"/>
      <protection locked="0"/>
    </xf>
    <xf numFmtId="0" fontId="9" fillId="0" borderId="0" xfId="0" applyFont="1" applyProtection="1">
      <protection locked="0"/>
    </xf>
    <xf numFmtId="0" fontId="10" fillId="9" borderId="5" xfId="0" applyFont="1" applyFill="1" applyBorder="1" applyAlignment="1">
      <alignment horizontal="left" vertical="center"/>
    </xf>
    <xf numFmtId="0" fontId="10" fillId="9" borderId="5" xfId="0" applyFont="1" applyFill="1" applyBorder="1" applyAlignment="1">
      <alignment horizontal="left"/>
    </xf>
    <xf numFmtId="0" fontId="10" fillId="9" borderId="5" xfId="0" applyFont="1" applyFill="1" applyBorder="1" applyAlignment="1">
      <alignment horizontal="left" vertical="center" wrapText="1"/>
    </xf>
    <xf numFmtId="0" fontId="10" fillId="9" borderId="5" xfId="0" applyFont="1" applyFill="1" applyBorder="1" applyAlignment="1">
      <alignment horizontal="center" vertical="center"/>
    </xf>
    <xf numFmtId="0" fontId="10" fillId="9" borderId="9" xfId="0" applyFont="1" applyFill="1" applyBorder="1" applyAlignment="1">
      <alignment horizontal="left"/>
    </xf>
    <xf numFmtId="0" fontId="10" fillId="9" borderId="9" xfId="0" applyFont="1" applyFill="1" applyBorder="1" applyAlignment="1">
      <alignment horizontal="center" vertical="center"/>
    </xf>
    <xf numFmtId="0" fontId="10" fillId="9" borderId="9" xfId="0" applyFont="1" applyFill="1" applyBorder="1" applyAlignment="1">
      <alignment horizontal="left" vertical="center"/>
    </xf>
    <xf numFmtId="0" fontId="11" fillId="0" borderId="0" xfId="0" applyFont="1"/>
    <xf numFmtId="0" fontId="0" fillId="0" borderId="0" xfId="0" applyAlignment="1" applyProtection="1">
      <alignment vertical="center" wrapText="1"/>
      <protection locked="0"/>
    </xf>
    <xf numFmtId="0" fontId="12" fillId="0" borderId="10" xfId="0" applyFont="1" applyBorder="1" applyAlignment="1">
      <alignment vertical="center"/>
    </xf>
    <xf numFmtId="0" fontId="13" fillId="0" borderId="0" xfId="0" applyFont="1" applyProtection="1">
      <protection locked="0"/>
    </xf>
    <xf numFmtId="0" fontId="0" fillId="12" borderId="0" xfId="0" applyFill="1" applyAlignment="1" applyProtection="1">
      <alignment vertical="center"/>
      <protection locked="0"/>
    </xf>
    <xf numFmtId="0" fontId="0" fillId="12" borderId="0" xfId="0" applyFill="1" applyAlignment="1" applyProtection="1">
      <alignment horizontal="left" vertical="center"/>
      <protection locked="0"/>
    </xf>
    <xf numFmtId="0" fontId="0" fillId="12" borderId="0" xfId="0" applyFill="1" applyAlignment="1" applyProtection="1">
      <alignment horizontal="center" vertical="center"/>
      <protection locked="0"/>
    </xf>
    <xf numFmtId="0" fontId="0" fillId="12" borderId="0" xfId="0" applyFill="1" applyAlignment="1" applyProtection="1">
      <alignment horizontal="left" vertical="center" wrapText="1"/>
      <protection locked="0"/>
    </xf>
    <xf numFmtId="0" fontId="6" fillId="11" borderId="0" xfId="0" applyFont="1" applyFill="1" applyAlignment="1">
      <alignment horizontal="center" wrapText="1"/>
    </xf>
  </cellXfs>
  <cellStyles count="1">
    <cellStyle name="Normal" xfId="0" builtinId="0"/>
  </cellStyles>
  <dxfs count="40">
    <dxf>
      <font>
        <b val="0"/>
        <i val="0"/>
        <strike val="0"/>
        <condense val="0"/>
        <extend val="0"/>
        <outline val="0"/>
        <shadow val="0"/>
        <u val="none"/>
        <vertAlign val="baseline"/>
        <sz val="11"/>
        <color auto="1"/>
        <name val="Arial Narrow"/>
        <family val="2"/>
        <scheme val="none"/>
      </font>
      <fill>
        <patternFill patternType="solid">
          <fgColor indexed="64"/>
          <bgColor theme="0"/>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Arial Narrow"/>
        <family val="2"/>
        <scheme val="none"/>
      </font>
      <fill>
        <patternFill patternType="solid">
          <fgColor indexed="64"/>
          <bgColor theme="0"/>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Arial Narrow"/>
        <family val="2"/>
        <scheme val="none"/>
      </font>
      <fill>
        <patternFill patternType="solid">
          <fgColor indexed="64"/>
          <bgColor theme="0"/>
        </patternFill>
      </fill>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1"/>
        <color theme="0"/>
        <name val="Arial Narrow"/>
        <family val="2"/>
        <scheme val="none"/>
      </font>
      <fill>
        <patternFill patternType="solid">
          <fgColor theme="9"/>
          <bgColor theme="4"/>
        </patternFill>
      </fill>
      <border diagonalUp="0" diagonalDown="0" outline="0">
        <left style="thin">
          <color indexed="64"/>
        </left>
        <right style="thin">
          <color indexed="64"/>
        </right>
        <top/>
        <bottom/>
      </border>
    </dxf>
    <dxf>
      <numFmt numFmtId="0" formatCode="General"/>
      <alignment horizontal="general" vertical="center" textRotation="0" indent="0" justifyLastLine="0" shrinkToFit="0" readingOrder="0"/>
      <protection locked="1" hidden="0"/>
    </dxf>
    <dxf>
      <alignment horizontal="left" vertical="center" textRotation="0" indent="0" justifyLastLine="0" shrinkToFit="0" readingOrder="0"/>
      <protection locked="0" hidden="0"/>
    </dxf>
    <dxf>
      <alignment horizontal="left" vertical="center" textRotation="0" indent="0" justifyLastLine="0" shrinkToFit="0" readingOrder="0"/>
      <protection locked="0" hidden="0"/>
    </dxf>
    <dxf>
      <alignment horizontal="center" vertical="center" textRotation="0" indent="0" justifyLastLine="0" shrinkToFit="0" readingOrder="0"/>
      <protection locked="0" hidden="0"/>
    </dxf>
    <dxf>
      <numFmt numFmtId="0" formatCode="General"/>
      <alignment horizontal="general" vertical="center" textRotation="0" indent="0" justifyLastLine="0" shrinkToFit="0" readingOrder="0"/>
      <protection locked="0" hidden="0"/>
    </dxf>
    <dxf>
      <alignment horizontal="general" vertical="center" textRotation="0" indent="0" justifyLastLine="0" shrinkToFit="0" readingOrder="0"/>
      <protection locked="0" hidden="0"/>
    </dxf>
    <dxf>
      <numFmt numFmtId="0" formatCode="General"/>
      <alignment horizontal="general" vertical="center" textRotation="0" indent="0" justifyLastLine="0" shrinkToFit="0" readingOrder="0"/>
      <protection locked="1" hidden="0"/>
    </dxf>
    <dxf>
      <alignment horizontal="center" vertical="center" textRotation="0" indent="0" justifyLastLine="0" shrinkToFit="0" readingOrder="0"/>
      <protection locked="0" hidden="0"/>
    </dxf>
    <dxf>
      <numFmt numFmtId="19" formatCode="dd/mm/yyyy"/>
      <alignment horizontal="center" vertical="center" textRotation="0" indent="0" justifyLastLine="0" shrinkToFit="0" readingOrder="0"/>
      <protection locked="0" hidden="0"/>
    </dxf>
    <dxf>
      <numFmt numFmtId="19" formatCode="dd/mm/yyyy"/>
      <alignment horizontal="center" vertical="center" textRotation="0" indent="0" justifyLastLine="0" shrinkToFit="0" readingOrder="0"/>
      <protection locked="0" hidden="0"/>
    </dxf>
    <dxf>
      <numFmt numFmtId="19" formatCode="dd/mm/yyyy"/>
      <alignment horizontal="center" vertical="center" textRotation="0" indent="0" justifyLastLine="0" shrinkToFit="0" readingOrder="0"/>
      <protection locked="0" hidden="0"/>
    </dxf>
    <dxf>
      <numFmt numFmtId="19" formatCode="dd/mm/yyyy"/>
      <alignment horizontal="center" vertical="center" textRotation="0" indent="0" justifyLastLine="0" shrinkToFit="0" readingOrder="0"/>
      <protection locked="0" hidden="0"/>
    </dxf>
    <dxf>
      <numFmt numFmtId="19" formatCode="dd/mm/yyyy"/>
      <alignment horizontal="center" vertical="center" textRotation="0" indent="0" justifyLastLine="0" shrinkToFit="0" readingOrder="0"/>
      <protection locked="0" hidden="0"/>
    </dxf>
    <dxf>
      <alignment horizontal="center" vertical="center" textRotation="0" indent="0" justifyLastLine="0" shrinkToFit="0" readingOrder="0"/>
      <protection locked="0" hidden="0"/>
    </dxf>
    <dxf>
      <alignment horizontal="left" vertical="center" textRotation="0" indent="0" justifyLastLine="0" shrinkToFit="0" readingOrder="0"/>
      <protection locked="0" hidden="0"/>
    </dxf>
    <dxf>
      <alignment horizontal="left" vertical="center" textRotation="0" wrapText="1" indent="0" justifyLastLine="0" shrinkToFit="0" readingOrder="0"/>
      <protection locked="0" hidden="0"/>
    </dxf>
    <dxf>
      <alignment horizontal="left" vertical="center" textRotation="0" wrapText="0" indent="0" justifyLastLine="0" shrinkToFit="0" readingOrder="0"/>
      <protection locked="0" hidden="0"/>
    </dxf>
    <dxf>
      <alignment horizontal="general" vertical="center" textRotation="0" indent="0" justifyLastLine="0" shrinkToFit="0" readingOrder="0"/>
      <protection locked="0" hidden="0"/>
    </dxf>
    <dxf>
      <alignment horizontal="general" vertical="center" textRotation="0" indent="0" justifyLastLine="0" shrinkToFit="0" readingOrder="0"/>
      <protection locked="0" hidden="0"/>
    </dxf>
    <dxf>
      <alignment horizontal="center" vertical="center" textRotation="0" indent="0" justifyLastLine="0" shrinkToFit="0" readingOrder="0"/>
      <protection locked="0" hidden="0"/>
    </dxf>
    <dxf>
      <alignment horizontal="center" vertical="center" textRotation="0" indent="0" justifyLastLine="0" shrinkToFit="0" readingOrder="0"/>
      <protection locked="0" hidden="0"/>
    </dxf>
    <dxf>
      <alignment horizontal="general" vertical="center" textRotation="0" indent="0" justifyLastLine="0" shrinkToFit="0" readingOrder="0"/>
      <protection locked="0" hidden="0"/>
    </dxf>
    <dxf>
      <alignment horizontal="general" vertical="center" textRotation="0" indent="0" justifyLastLine="0" shrinkToFit="0" readingOrder="0"/>
      <protection locked="0" hidden="0"/>
    </dxf>
    <dxf>
      <alignment horizontal="center" vertical="center" textRotation="0" indent="0" justifyLastLine="0" shrinkToFit="0" readingOrder="0"/>
      <protection locked="0" hidden="0"/>
    </dxf>
    <dxf>
      <alignment horizontal="center" vertical="center" textRotation="0" indent="0" justifyLastLine="0" shrinkToFit="0" readingOrder="0"/>
      <protection locked="0" hidden="0"/>
    </dxf>
    <dxf>
      <alignment horizontal="center" vertical="center" textRotation="0" indent="0" justifyLastLine="0" shrinkToFit="0" readingOrder="0"/>
      <protection locked="0" hidden="0"/>
    </dxf>
    <dxf>
      <alignment horizontal="center" vertical="center" textRotation="0" indent="0" justifyLastLine="0" shrinkToFit="0" readingOrder="0"/>
      <protection locked="0" hidden="0"/>
    </dxf>
    <dxf>
      <alignment horizontal="left" vertical="center" textRotation="0" indent="0" justifyLastLine="0" shrinkToFit="0" readingOrder="0"/>
      <protection locked="0" hidden="0"/>
    </dxf>
    <dxf>
      <alignment horizontal="left" vertical="center" textRotation="0" indent="0" justifyLastLine="0" shrinkToFit="0" readingOrder="0"/>
      <protection locked="0" hidden="0"/>
    </dxf>
    <dxf>
      <alignment horizontal="left" vertical="center" textRotation="0" indent="0" justifyLastLine="0" shrinkToFit="0" readingOrder="0"/>
      <protection locked="0" hidden="0"/>
    </dxf>
    <dxf>
      <alignment vertical="center"/>
      <protection locked="0" hidden="0"/>
    </dxf>
    <dxf>
      <protection locked="0" hidden="0"/>
    </dxf>
    <dxf>
      <alignment horizontal="center" vertical="center" textRotation="0" wrapText="1" indent="0" justifyLastLine="0" shrinkToFit="0" readingOrder="0"/>
    </dxf>
  </dxfs>
  <tableStyles count="0" defaultTableStyle="TableStyleMedium2" defaultPivotStyle="PivotStyleLight16"/>
  <colors>
    <mruColors>
      <color rgb="FFCC9900"/>
      <color rgb="FF8D8A00"/>
      <color rgb="FFCCCC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11" Type="http://schemas.openxmlformats.org/officeDocument/2006/relationships/customXml" Target="../customXml/item3.xml"/><Relationship Id="rId5" Type="http://schemas.openxmlformats.org/officeDocument/2006/relationships/styles" Target="styles.xml"/><Relationship Id="rId10" Type="http://schemas.openxmlformats.org/officeDocument/2006/relationships/customXml" Target="../customXml/item2.xml"/><Relationship Id="rId4" Type="http://schemas.openxmlformats.org/officeDocument/2006/relationships/theme" Target="theme/theme1.xml"/><Relationship Id="rId9" Type="http://schemas.openxmlformats.org/officeDocument/2006/relationships/customXml" Target="../customXml/item1.xml"/></Relationships>
</file>

<file path=xl/drawings/drawing1.xml><?xml version="1.0" encoding="utf-8"?>
<xdr:wsDr xmlns:xdr="http://schemas.openxmlformats.org/drawingml/2006/spreadsheetDrawing" xmlns:a="http://schemas.openxmlformats.org/drawingml/2006/main">
  <xdr:oneCellAnchor>
    <xdr:from>
      <xdr:col>0</xdr:col>
      <xdr:colOff>203200</xdr:colOff>
      <xdr:row>222</xdr:row>
      <xdr:rowOff>0</xdr:rowOff>
    </xdr:from>
    <xdr:ext cx="45719" cy="101600"/>
    <xdr:sp macro="" textlink="">
      <xdr:nvSpPr>
        <xdr:cNvPr id="2" name="CaixaDeTexto 1">
          <a:extLst>
            <a:ext uri="{FF2B5EF4-FFF2-40B4-BE49-F238E27FC236}">
              <a16:creationId xmlns:a16="http://schemas.microsoft.com/office/drawing/2014/main" id="{AB2150AF-6FA4-42CC-A227-E894AF472CFC}"/>
            </a:ext>
          </a:extLst>
        </xdr:cNvPr>
        <xdr:cNvSpPr txBox="1"/>
      </xdr:nvSpPr>
      <xdr:spPr>
        <a:xfrm flipH="1">
          <a:off x="203200" y="44405550"/>
          <a:ext cx="45719" cy="1016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pt-BR" sz="1100"/>
        </a:p>
      </xdr:txBody>
    </xdr:sp>
    <xdr:clientData/>
  </xdr:oneCellAnchor>
  <xdr:oneCellAnchor>
    <xdr:from>
      <xdr:col>0</xdr:col>
      <xdr:colOff>203200</xdr:colOff>
      <xdr:row>222</xdr:row>
      <xdr:rowOff>0</xdr:rowOff>
    </xdr:from>
    <xdr:ext cx="45719" cy="101600"/>
    <xdr:sp macro="" textlink="">
      <xdr:nvSpPr>
        <xdr:cNvPr id="3" name="CaixaDeTexto 2">
          <a:extLst>
            <a:ext uri="{FF2B5EF4-FFF2-40B4-BE49-F238E27FC236}">
              <a16:creationId xmlns:a16="http://schemas.microsoft.com/office/drawing/2014/main" id="{E7340486-1B91-4D46-97D2-D569CB8DE57D}"/>
            </a:ext>
          </a:extLst>
        </xdr:cNvPr>
        <xdr:cNvSpPr txBox="1"/>
      </xdr:nvSpPr>
      <xdr:spPr>
        <a:xfrm flipH="1">
          <a:off x="203200" y="47158275"/>
          <a:ext cx="45719" cy="1016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pt-BR" sz="1100"/>
        </a:p>
      </xdr:txBody>
    </xdr:sp>
    <xdr:clientData/>
  </xdr:oneCellAnchor>
  <xdr:oneCellAnchor>
    <xdr:from>
      <xdr:col>0</xdr:col>
      <xdr:colOff>203200</xdr:colOff>
      <xdr:row>222</xdr:row>
      <xdr:rowOff>0</xdr:rowOff>
    </xdr:from>
    <xdr:ext cx="45719" cy="101600"/>
    <xdr:sp macro="" textlink="">
      <xdr:nvSpPr>
        <xdr:cNvPr id="4" name="CaixaDeTexto 3">
          <a:extLst>
            <a:ext uri="{FF2B5EF4-FFF2-40B4-BE49-F238E27FC236}">
              <a16:creationId xmlns:a16="http://schemas.microsoft.com/office/drawing/2014/main" id="{D5384479-A53B-47E4-A30A-F065998F069B}"/>
            </a:ext>
          </a:extLst>
        </xdr:cNvPr>
        <xdr:cNvSpPr txBox="1"/>
      </xdr:nvSpPr>
      <xdr:spPr>
        <a:xfrm flipH="1">
          <a:off x="203200" y="47158275"/>
          <a:ext cx="45719" cy="1016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pt-BR" sz="1100"/>
        </a:p>
      </xdr:txBody>
    </xdr:sp>
    <xdr:clientData/>
  </xdr:oneCellAnchor>
  <xdr:oneCellAnchor>
    <xdr:from>
      <xdr:col>0</xdr:col>
      <xdr:colOff>203200</xdr:colOff>
      <xdr:row>222</xdr:row>
      <xdr:rowOff>0</xdr:rowOff>
    </xdr:from>
    <xdr:ext cx="45719" cy="101600"/>
    <xdr:sp macro="" textlink="">
      <xdr:nvSpPr>
        <xdr:cNvPr id="5" name="CaixaDeTexto 4">
          <a:extLst>
            <a:ext uri="{FF2B5EF4-FFF2-40B4-BE49-F238E27FC236}">
              <a16:creationId xmlns:a16="http://schemas.microsoft.com/office/drawing/2014/main" id="{2D4114DC-03CF-4DBE-8948-8743F034F0E6}"/>
            </a:ext>
          </a:extLst>
        </xdr:cNvPr>
        <xdr:cNvSpPr txBox="1"/>
      </xdr:nvSpPr>
      <xdr:spPr>
        <a:xfrm flipH="1">
          <a:off x="203200" y="47158275"/>
          <a:ext cx="45719" cy="1016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pt-BR" sz="1100"/>
        </a:p>
      </xdr:txBody>
    </xdr:sp>
    <xdr:clientData/>
  </xdr:oneCellAnchor>
  <xdr:oneCellAnchor>
    <xdr:from>
      <xdr:col>0</xdr:col>
      <xdr:colOff>203200</xdr:colOff>
      <xdr:row>222</xdr:row>
      <xdr:rowOff>0</xdr:rowOff>
    </xdr:from>
    <xdr:ext cx="45719" cy="101600"/>
    <xdr:sp macro="" textlink="">
      <xdr:nvSpPr>
        <xdr:cNvPr id="6" name="CaixaDeTexto 5">
          <a:extLst>
            <a:ext uri="{FF2B5EF4-FFF2-40B4-BE49-F238E27FC236}">
              <a16:creationId xmlns:a16="http://schemas.microsoft.com/office/drawing/2014/main" id="{C569E30D-9358-48F7-97E7-27B46D7161AD}"/>
            </a:ext>
          </a:extLst>
        </xdr:cNvPr>
        <xdr:cNvSpPr txBox="1"/>
      </xdr:nvSpPr>
      <xdr:spPr>
        <a:xfrm flipH="1">
          <a:off x="203200" y="47158275"/>
          <a:ext cx="45719" cy="1016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pt-BR" sz="1100"/>
        </a:p>
      </xdr:txBody>
    </xdr:sp>
    <xdr:clientData/>
  </xdr:oneCellAnchor>
  <xdr:oneCellAnchor>
    <xdr:from>
      <xdr:col>0</xdr:col>
      <xdr:colOff>203200</xdr:colOff>
      <xdr:row>224</xdr:row>
      <xdr:rowOff>0</xdr:rowOff>
    </xdr:from>
    <xdr:ext cx="45719" cy="101600"/>
    <xdr:sp macro="" textlink="">
      <xdr:nvSpPr>
        <xdr:cNvPr id="7" name="CaixaDeTexto 6">
          <a:extLst>
            <a:ext uri="{FF2B5EF4-FFF2-40B4-BE49-F238E27FC236}">
              <a16:creationId xmlns:a16="http://schemas.microsoft.com/office/drawing/2014/main" id="{5E5ED377-751B-43F5-B60B-0C08E3C240E6}"/>
            </a:ext>
          </a:extLst>
        </xdr:cNvPr>
        <xdr:cNvSpPr txBox="1"/>
      </xdr:nvSpPr>
      <xdr:spPr>
        <a:xfrm flipH="1">
          <a:off x="203200" y="47577375"/>
          <a:ext cx="45719" cy="1016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pt-BR" sz="1100"/>
        </a:p>
      </xdr:txBody>
    </xdr:sp>
    <xdr:clientData/>
  </xdr:oneCellAnchor>
  <xdr:oneCellAnchor>
    <xdr:from>
      <xdr:col>0</xdr:col>
      <xdr:colOff>203200</xdr:colOff>
      <xdr:row>225</xdr:row>
      <xdr:rowOff>0</xdr:rowOff>
    </xdr:from>
    <xdr:ext cx="45719" cy="101600"/>
    <xdr:sp macro="" textlink="">
      <xdr:nvSpPr>
        <xdr:cNvPr id="8" name="CaixaDeTexto 7">
          <a:extLst>
            <a:ext uri="{FF2B5EF4-FFF2-40B4-BE49-F238E27FC236}">
              <a16:creationId xmlns:a16="http://schemas.microsoft.com/office/drawing/2014/main" id="{16BBAF20-C326-4EB2-94D4-D67441A4C67F}"/>
            </a:ext>
          </a:extLst>
        </xdr:cNvPr>
        <xdr:cNvSpPr txBox="1"/>
      </xdr:nvSpPr>
      <xdr:spPr>
        <a:xfrm flipH="1">
          <a:off x="203200" y="47786925"/>
          <a:ext cx="45719" cy="1016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pt-BR" sz="1100"/>
        </a:p>
      </xdr:txBody>
    </xdr:sp>
    <xdr:clientData/>
  </xdr:oneCellAnchor>
  <xdr:oneCellAnchor>
    <xdr:from>
      <xdr:col>0</xdr:col>
      <xdr:colOff>203200</xdr:colOff>
      <xdr:row>225</xdr:row>
      <xdr:rowOff>0</xdr:rowOff>
    </xdr:from>
    <xdr:ext cx="45719" cy="101600"/>
    <xdr:sp macro="" textlink="">
      <xdr:nvSpPr>
        <xdr:cNvPr id="9" name="CaixaDeTexto 8">
          <a:extLst>
            <a:ext uri="{FF2B5EF4-FFF2-40B4-BE49-F238E27FC236}">
              <a16:creationId xmlns:a16="http://schemas.microsoft.com/office/drawing/2014/main" id="{C8513001-0030-41F7-A678-266EE5A569BF}"/>
            </a:ext>
          </a:extLst>
        </xdr:cNvPr>
        <xdr:cNvSpPr txBox="1"/>
      </xdr:nvSpPr>
      <xdr:spPr>
        <a:xfrm flipH="1">
          <a:off x="203200" y="47786925"/>
          <a:ext cx="45719" cy="1016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pt-BR" sz="1100"/>
        </a:p>
      </xdr:txBody>
    </xdr:sp>
    <xdr:clientData/>
  </xdr:oneCellAnchor>
  <xdr:oneCellAnchor>
    <xdr:from>
      <xdr:col>0</xdr:col>
      <xdr:colOff>203200</xdr:colOff>
      <xdr:row>227</xdr:row>
      <xdr:rowOff>0</xdr:rowOff>
    </xdr:from>
    <xdr:ext cx="45719" cy="101600"/>
    <xdr:sp macro="" textlink="">
      <xdr:nvSpPr>
        <xdr:cNvPr id="10" name="CaixaDeTexto 9">
          <a:extLst>
            <a:ext uri="{FF2B5EF4-FFF2-40B4-BE49-F238E27FC236}">
              <a16:creationId xmlns:a16="http://schemas.microsoft.com/office/drawing/2014/main" id="{9FAE861D-E78B-4B2B-85A5-22FEAF21E84A}"/>
            </a:ext>
          </a:extLst>
        </xdr:cNvPr>
        <xdr:cNvSpPr txBox="1"/>
      </xdr:nvSpPr>
      <xdr:spPr>
        <a:xfrm flipH="1">
          <a:off x="203200" y="48015525"/>
          <a:ext cx="45719" cy="1016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pt-BR" sz="1100"/>
        </a:p>
      </xdr:txBody>
    </xdr:sp>
    <xdr:clientData/>
  </xdr:oneCellAnchor>
  <xdr:oneCellAnchor>
    <xdr:from>
      <xdr:col>0</xdr:col>
      <xdr:colOff>203200</xdr:colOff>
      <xdr:row>227</xdr:row>
      <xdr:rowOff>0</xdr:rowOff>
    </xdr:from>
    <xdr:ext cx="45719" cy="101600"/>
    <xdr:sp macro="" textlink="">
      <xdr:nvSpPr>
        <xdr:cNvPr id="11" name="CaixaDeTexto 10">
          <a:extLst>
            <a:ext uri="{FF2B5EF4-FFF2-40B4-BE49-F238E27FC236}">
              <a16:creationId xmlns:a16="http://schemas.microsoft.com/office/drawing/2014/main" id="{C9582B3F-4EE3-4165-B464-04864E135350}"/>
            </a:ext>
          </a:extLst>
        </xdr:cNvPr>
        <xdr:cNvSpPr txBox="1"/>
      </xdr:nvSpPr>
      <xdr:spPr>
        <a:xfrm flipH="1">
          <a:off x="203200" y="48015525"/>
          <a:ext cx="45719" cy="1016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pt-BR" sz="1100"/>
        </a:p>
      </xdr:txBody>
    </xdr:sp>
    <xdr:clientData/>
  </xdr:oneCellAnchor>
  <xdr:oneCellAnchor>
    <xdr:from>
      <xdr:col>0</xdr:col>
      <xdr:colOff>203200</xdr:colOff>
      <xdr:row>227</xdr:row>
      <xdr:rowOff>0</xdr:rowOff>
    </xdr:from>
    <xdr:ext cx="45719" cy="101600"/>
    <xdr:sp macro="" textlink="">
      <xdr:nvSpPr>
        <xdr:cNvPr id="12" name="CaixaDeTexto 11">
          <a:extLst>
            <a:ext uri="{FF2B5EF4-FFF2-40B4-BE49-F238E27FC236}">
              <a16:creationId xmlns:a16="http://schemas.microsoft.com/office/drawing/2014/main" id="{BCC5B6D0-C683-4F91-84E1-64D12421DB7C}"/>
            </a:ext>
          </a:extLst>
        </xdr:cNvPr>
        <xdr:cNvSpPr txBox="1"/>
      </xdr:nvSpPr>
      <xdr:spPr>
        <a:xfrm flipH="1">
          <a:off x="203200" y="48225075"/>
          <a:ext cx="45719" cy="1016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pt-BR" sz="1100"/>
        </a:p>
      </xdr:txBody>
    </xdr:sp>
    <xdr:clientData/>
  </xdr:oneCellAnchor>
  <xdr:oneCellAnchor>
    <xdr:from>
      <xdr:col>0</xdr:col>
      <xdr:colOff>203200</xdr:colOff>
      <xdr:row>227</xdr:row>
      <xdr:rowOff>0</xdr:rowOff>
    </xdr:from>
    <xdr:ext cx="45719" cy="101600"/>
    <xdr:sp macro="" textlink="">
      <xdr:nvSpPr>
        <xdr:cNvPr id="13" name="CaixaDeTexto 12">
          <a:extLst>
            <a:ext uri="{FF2B5EF4-FFF2-40B4-BE49-F238E27FC236}">
              <a16:creationId xmlns:a16="http://schemas.microsoft.com/office/drawing/2014/main" id="{2184DB8E-1B3E-4C88-A4E5-FF66600B7160}"/>
            </a:ext>
          </a:extLst>
        </xdr:cNvPr>
        <xdr:cNvSpPr txBox="1"/>
      </xdr:nvSpPr>
      <xdr:spPr>
        <a:xfrm flipH="1">
          <a:off x="203200" y="48225075"/>
          <a:ext cx="45719" cy="1016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pt-BR" sz="1100"/>
        </a:p>
      </xdr:txBody>
    </xdr:sp>
    <xdr:clientData/>
  </xdr:oneCellAnchor>
  <xdr:oneCellAnchor>
    <xdr:from>
      <xdr:col>0</xdr:col>
      <xdr:colOff>203200</xdr:colOff>
      <xdr:row>228</xdr:row>
      <xdr:rowOff>0</xdr:rowOff>
    </xdr:from>
    <xdr:ext cx="45719" cy="101600"/>
    <xdr:sp macro="" textlink="">
      <xdr:nvSpPr>
        <xdr:cNvPr id="14" name="CaixaDeTexto 13">
          <a:extLst>
            <a:ext uri="{FF2B5EF4-FFF2-40B4-BE49-F238E27FC236}">
              <a16:creationId xmlns:a16="http://schemas.microsoft.com/office/drawing/2014/main" id="{C09EFCB5-93FB-4604-BA2A-D53E4A932441}"/>
            </a:ext>
          </a:extLst>
        </xdr:cNvPr>
        <xdr:cNvSpPr txBox="1"/>
      </xdr:nvSpPr>
      <xdr:spPr>
        <a:xfrm flipH="1">
          <a:off x="203200" y="48434625"/>
          <a:ext cx="45719" cy="1016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pt-BR" sz="1100"/>
        </a:p>
      </xdr:txBody>
    </xdr:sp>
    <xdr:clientData/>
  </xdr:oneCellAnchor>
  <xdr:oneCellAnchor>
    <xdr:from>
      <xdr:col>0</xdr:col>
      <xdr:colOff>203200</xdr:colOff>
      <xdr:row>228</xdr:row>
      <xdr:rowOff>0</xdr:rowOff>
    </xdr:from>
    <xdr:ext cx="45719" cy="101600"/>
    <xdr:sp macro="" textlink="">
      <xdr:nvSpPr>
        <xdr:cNvPr id="15" name="CaixaDeTexto 14">
          <a:extLst>
            <a:ext uri="{FF2B5EF4-FFF2-40B4-BE49-F238E27FC236}">
              <a16:creationId xmlns:a16="http://schemas.microsoft.com/office/drawing/2014/main" id="{3F73D657-AC9E-4DD0-862B-5C1000084395}"/>
            </a:ext>
          </a:extLst>
        </xdr:cNvPr>
        <xdr:cNvSpPr txBox="1"/>
      </xdr:nvSpPr>
      <xdr:spPr>
        <a:xfrm flipH="1">
          <a:off x="203200" y="48434625"/>
          <a:ext cx="45719" cy="1016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pt-BR" sz="1100"/>
        </a:p>
      </xdr:txBody>
    </xdr:sp>
    <xdr:clientData/>
  </xdr:oneCellAnchor>
  <xdr:oneCellAnchor>
    <xdr:from>
      <xdr:col>0</xdr:col>
      <xdr:colOff>203200</xdr:colOff>
      <xdr:row>228</xdr:row>
      <xdr:rowOff>0</xdr:rowOff>
    </xdr:from>
    <xdr:ext cx="45719" cy="101600"/>
    <xdr:sp macro="" textlink="">
      <xdr:nvSpPr>
        <xdr:cNvPr id="16" name="CaixaDeTexto 15">
          <a:extLst>
            <a:ext uri="{FF2B5EF4-FFF2-40B4-BE49-F238E27FC236}">
              <a16:creationId xmlns:a16="http://schemas.microsoft.com/office/drawing/2014/main" id="{D9B2787E-DA96-4DA7-8286-E186586CD01C}"/>
            </a:ext>
          </a:extLst>
        </xdr:cNvPr>
        <xdr:cNvSpPr txBox="1"/>
      </xdr:nvSpPr>
      <xdr:spPr>
        <a:xfrm flipH="1">
          <a:off x="203200" y="48434625"/>
          <a:ext cx="45719" cy="1016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pt-BR" sz="1100"/>
        </a:p>
      </xdr:txBody>
    </xdr:sp>
    <xdr:clientData/>
  </xdr:oneCellAnchor>
  <xdr:oneCellAnchor>
    <xdr:from>
      <xdr:col>0</xdr:col>
      <xdr:colOff>203200</xdr:colOff>
      <xdr:row>228</xdr:row>
      <xdr:rowOff>0</xdr:rowOff>
    </xdr:from>
    <xdr:ext cx="45719" cy="101600"/>
    <xdr:sp macro="" textlink="">
      <xdr:nvSpPr>
        <xdr:cNvPr id="17" name="CaixaDeTexto 16">
          <a:extLst>
            <a:ext uri="{FF2B5EF4-FFF2-40B4-BE49-F238E27FC236}">
              <a16:creationId xmlns:a16="http://schemas.microsoft.com/office/drawing/2014/main" id="{8615045B-E1D2-486D-932E-BC41DEFDA1D0}"/>
            </a:ext>
          </a:extLst>
        </xdr:cNvPr>
        <xdr:cNvSpPr txBox="1"/>
      </xdr:nvSpPr>
      <xdr:spPr>
        <a:xfrm flipH="1">
          <a:off x="203200" y="48434625"/>
          <a:ext cx="45719" cy="1016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pt-BR" sz="1100"/>
        </a:p>
      </xdr:txBody>
    </xdr:sp>
    <xdr:clientData/>
  </xdr:oneCellAnchor>
  <xdr:oneCellAnchor>
    <xdr:from>
      <xdr:col>0</xdr:col>
      <xdr:colOff>203200</xdr:colOff>
      <xdr:row>230</xdr:row>
      <xdr:rowOff>0</xdr:rowOff>
    </xdr:from>
    <xdr:ext cx="45719" cy="101600"/>
    <xdr:sp macro="" textlink="">
      <xdr:nvSpPr>
        <xdr:cNvPr id="18" name="CaixaDeTexto 17">
          <a:extLst>
            <a:ext uri="{FF2B5EF4-FFF2-40B4-BE49-F238E27FC236}">
              <a16:creationId xmlns:a16="http://schemas.microsoft.com/office/drawing/2014/main" id="{63DB54CE-AC3A-4F2F-A6A1-43BB21C2D19F}"/>
            </a:ext>
          </a:extLst>
        </xdr:cNvPr>
        <xdr:cNvSpPr txBox="1"/>
      </xdr:nvSpPr>
      <xdr:spPr>
        <a:xfrm flipH="1">
          <a:off x="203200" y="48853725"/>
          <a:ext cx="45719" cy="1016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pt-BR" sz="1100"/>
        </a:p>
      </xdr:txBody>
    </xdr:sp>
    <xdr:clientData/>
  </xdr:oneCellAnchor>
  <xdr:oneCellAnchor>
    <xdr:from>
      <xdr:col>0</xdr:col>
      <xdr:colOff>203200</xdr:colOff>
      <xdr:row>230</xdr:row>
      <xdr:rowOff>0</xdr:rowOff>
    </xdr:from>
    <xdr:ext cx="45719" cy="101600"/>
    <xdr:sp macro="" textlink="">
      <xdr:nvSpPr>
        <xdr:cNvPr id="19" name="CaixaDeTexto 18">
          <a:extLst>
            <a:ext uri="{FF2B5EF4-FFF2-40B4-BE49-F238E27FC236}">
              <a16:creationId xmlns:a16="http://schemas.microsoft.com/office/drawing/2014/main" id="{6A54BB22-4E1B-48FB-BABB-46D1EEAFE151}"/>
            </a:ext>
          </a:extLst>
        </xdr:cNvPr>
        <xdr:cNvSpPr txBox="1"/>
      </xdr:nvSpPr>
      <xdr:spPr>
        <a:xfrm flipH="1">
          <a:off x="203200" y="48853725"/>
          <a:ext cx="45719" cy="1016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pt-BR" sz="1100"/>
        </a:p>
      </xdr:txBody>
    </xdr:sp>
    <xdr:clientData/>
  </xdr:oneCellAnchor>
  <xdr:oneCellAnchor>
    <xdr:from>
      <xdr:col>0</xdr:col>
      <xdr:colOff>203200</xdr:colOff>
      <xdr:row>231</xdr:row>
      <xdr:rowOff>0</xdr:rowOff>
    </xdr:from>
    <xdr:ext cx="45719" cy="101600"/>
    <xdr:sp macro="" textlink="">
      <xdr:nvSpPr>
        <xdr:cNvPr id="20" name="CaixaDeTexto 19">
          <a:extLst>
            <a:ext uri="{FF2B5EF4-FFF2-40B4-BE49-F238E27FC236}">
              <a16:creationId xmlns:a16="http://schemas.microsoft.com/office/drawing/2014/main" id="{94414547-0257-4BB1-8E9D-D3BD131BB2BE}"/>
            </a:ext>
          </a:extLst>
        </xdr:cNvPr>
        <xdr:cNvSpPr txBox="1"/>
      </xdr:nvSpPr>
      <xdr:spPr>
        <a:xfrm flipH="1">
          <a:off x="203200" y="49063275"/>
          <a:ext cx="45719" cy="1016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pt-BR" sz="1100"/>
        </a:p>
      </xdr:txBody>
    </xdr:sp>
    <xdr:clientData/>
  </xdr:oneCellAnchor>
  <xdr:oneCellAnchor>
    <xdr:from>
      <xdr:col>0</xdr:col>
      <xdr:colOff>203200</xdr:colOff>
      <xdr:row>231</xdr:row>
      <xdr:rowOff>0</xdr:rowOff>
    </xdr:from>
    <xdr:ext cx="45719" cy="101600"/>
    <xdr:sp macro="" textlink="">
      <xdr:nvSpPr>
        <xdr:cNvPr id="21" name="CaixaDeTexto 20">
          <a:extLst>
            <a:ext uri="{FF2B5EF4-FFF2-40B4-BE49-F238E27FC236}">
              <a16:creationId xmlns:a16="http://schemas.microsoft.com/office/drawing/2014/main" id="{FFEECDE0-F30C-4E8D-8058-3B5A63E2B4C0}"/>
            </a:ext>
          </a:extLst>
        </xdr:cNvPr>
        <xdr:cNvSpPr txBox="1"/>
      </xdr:nvSpPr>
      <xdr:spPr>
        <a:xfrm flipH="1">
          <a:off x="203200" y="49063275"/>
          <a:ext cx="45719" cy="1016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pt-BR" sz="1100"/>
        </a:p>
      </xdr:txBody>
    </xdr:sp>
    <xdr:clientData/>
  </xdr:oneCellAnchor>
</xdr:wsDr>
</file>

<file path=xl/persons/person.xml><?xml version="1.0" encoding="utf-8"?>
<personList xmlns="http://schemas.microsoft.com/office/spreadsheetml/2018/threadedcomments" xmlns:x="http://schemas.openxmlformats.org/spreadsheetml/2006/main">
  <person displayName="Lucia Moniz das Neves" id="{95DCFAD4-C509-4C74-A2E0-3800DE24F017}" userId="S::lucia.neves@scriba.com.br::a9d26947-3c27-4f77-a88c-9e71eb2137cf"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6F14978-443C-43BF-BBAB-3AC6D5A7AEE7}" name="Tabela2" displayName="Tabela2" ref="A1:AE500" totalsRowShown="0" headerRowDxfId="39" dataDxfId="38">
  <autoFilter ref="A1:AE500" xr:uid="{26F14978-443C-43BF-BBAB-3AC6D5A7AEE7}"/>
  <tableColumns count="31">
    <tableColumn id="1" xr3:uid="{47B2C718-3485-46B9-AADB-7CD6614C956B}" name="RETRANCA" dataDxfId="37"/>
    <tableColumn id="2" xr3:uid="{6F20D1A7-51B1-4A53-83CF-50614FC1E87E}" name="STATUS" dataDxfId="36"/>
    <tableColumn id="3" xr3:uid="{E8572E99-0AB2-49AE-9897-F535E78DC59B}" name="CATEGORIA" dataDxfId="35"/>
    <tableColumn id="4" xr3:uid="{3BAA2E23-8D96-41DB-870E-717EF9F01497}" name="LOCALIZAÇÃO" dataDxfId="34"/>
    <tableColumn id="5" xr3:uid="{1B97AF7C-996A-498F-8E4F-F5114662DCAE}" name="PÁGINA" dataDxfId="33"/>
    <tableColumn id="6" xr3:uid="{701EC8BF-5D46-4F01-9E72-37F5C84C6204}" name="VOLUME" dataDxfId="32"/>
    <tableColumn id="7" xr3:uid="{42115F63-2A60-4768-BBD4-D907E57CB424}" name="UNIDADE" dataDxfId="31"/>
    <tableColumn id="8" xr3:uid="{8E407FD3-50F6-4CC1-A2B4-EDA18ADCE3EB}" name="CAPÍTULO _x000a_ ou_x000a_ SEÇÃO" dataDxfId="30"/>
    <tableColumn id="9" xr3:uid="{F6258D69-7676-4635-B739-B385D000AE2F}" name="TIPO" dataDxfId="29"/>
    <tableColumn id="10" xr3:uid="{4DD8887C-979F-4883-A85F-C815DE05EFC4}" name="NOME DA OBRA_x000a_ PARA RESGATE" dataDxfId="28"/>
    <tableColumn id="11" xr3:uid="{6AE351D3-5B1B-4747-80E2-2C6E7096156C}" name="PÁGINA PARA RESGATE" dataDxfId="27"/>
    <tableColumn id="12" xr3:uid="{952EC93C-92B5-4133-9AEA-04AF281045BE}" name="VOLUME PARA RESGATE" dataDxfId="26"/>
    <tableColumn id="13" xr3:uid="{57087D3E-8F9F-4743-8F04-3C6E29F5FEF7}" name="VERSÃO PARA RESGATE" dataDxfId="25"/>
    <tableColumn id="14" xr3:uid="{C9E5A9B8-DDE9-4844-B5BF-DF220C1DD168}" name="PROPRIEDADE" dataDxfId="24"/>
    <tableColumn id="15" xr3:uid="{562820C1-46A0-42B2-950F-AED0FB5E62E7}" name="DESCRIÇÃO DA IMAGEM" dataDxfId="23"/>
    <tableColumn id="16" xr3:uid="{C1FEADE5-978E-42A0-A72B-4B75CDF0847D}" name="ILUSTRADOR RESGATE" dataDxfId="22"/>
    <tableColumn id="17" xr3:uid="{9EC1C14E-FE8F-416B-8F0B-F1829EFD032D}" name="OBSERVAÇÃO DO EDITORIAL/NÚCLEO" dataDxfId="21"/>
    <tableColumn id="18" xr3:uid="{1445C9B1-3AFA-4B92-985F-63C0113E7064}" name="LOTE" dataDxfId="20"/>
    <tableColumn id="19" xr3:uid="{DC238784-0E4D-4DC4-B1E6-1E19ACD2AA8D}" name="DATA DE LIBERAÇÃO DO LOTE PARA ARTE " dataDxfId="19"/>
    <tableColumn id="20" xr3:uid="{0C20AC60-0820-4D59-B1C1-6D84A4B9FA66}" name="DATA DE ENVIO _x000a_DO PEDIDO" dataDxfId="18"/>
    <tableColumn id="21" xr3:uid="{DDDDF8E2-4440-46FA-8A2E-11BFA188E1C2}" name="DATA DO RECEBIMENTO _x000a_DO RAFE" dataDxfId="17"/>
    <tableColumn id="22" xr3:uid="{FE78F000-3E98-407F-A684-34560ED2CEE0}" name="DATA DE RETORNO DO RAFE PARA ILUSTRADOR" dataDxfId="16"/>
    <tableColumn id="23" xr3:uid="{2847C90F-EB07-4DB4-B575-0FC03C222849}" name="DATA DE RECEBIMENTO_x000a_ DA FINALIZADA" dataDxfId="15"/>
    <tableColumn id="24" xr3:uid="{14797CE0-E66E-45A5-8181-5A2482F775E9}" name="SIGLA" dataDxfId="14"/>
    <tableColumn id="25" xr3:uid="{A1C665BD-8ED6-4CD6-88D0-C67BAF49562F}" name="ILUSTRADOR CRIAÇÃO" dataDxfId="13">
      <calculatedColumnFormula>IF(Tabela2[[#This Row],[SIGLA]]="","",VLOOKUP(Tabela2[[#This Row],[SIGLA]],Tabela1[[#All],[Sigla Arte]:[Crédito]],2,0))</calculatedColumnFormula>
    </tableColumn>
    <tableColumn id="26" xr3:uid="{12E00CAD-6FD2-4BBD-B590-5DBCF5457DD0}" name="ILUSTRADOR AJUSTES" dataDxfId="12"/>
    <tableColumn id="27" xr3:uid="{DB4DAD23-FDE3-4C38-AFEF-6E9484181939}" name="CRÉDITOS  (A e B)" dataDxfId="11">
      <calculatedColumnFormula>Tabela2[[#This Row],[ILUSTRADOR CRIAÇÃO]]</calculatedColumnFormula>
    </tableColumn>
    <tableColumn id="28" xr3:uid="{A2773F6F-7648-4C4E-A050-6FF08F4C6FD3}" name="CLASSIFICAÇÃO" dataDxfId="10"/>
    <tableColumn id="29" xr3:uid="{5A4B66D0-8557-4F1B-921F-35C87DD256F5}" name="OBSERVAÇÃO DA ARTE" dataDxfId="9"/>
    <tableColumn id="30" xr3:uid="{EB5C8D02-71DF-417B-98C8-2041FFF8D781}" name="OBSERVAÇÃO DE PAGAMENTO" dataDxfId="8"/>
    <tableColumn id="31" xr3:uid="{81BC28F8-346B-49BF-9B96-5CACD15820DD}" name="PROJETO" dataDxfId="7">
      <calculatedColumnFormula>"EF1 E002 HGC"</calculatedColumnFormula>
    </tableColumn>
  </tableColumns>
  <tableStyleInfo name="TableStyleLight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9F026F2-9932-409C-9FE9-EC5391CE8A18}" name="Tabela1" displayName="Tabela1" ref="A2:C338" totalsRowShown="0" headerRowDxfId="6" headerRowBorderDxfId="5" tableBorderDxfId="4" totalsRowBorderDxfId="3">
  <autoFilter ref="A2:C338" xr:uid="{09F026F2-9932-409C-9FE9-EC5391CE8A18}"/>
  <tableColumns count="3">
    <tableColumn id="1" xr3:uid="{363767C7-6246-43A4-AACC-4DBB0F2D86F4}" name="Nome do ilustrador" dataDxfId="2"/>
    <tableColumn id="2" xr3:uid="{D1995D49-219F-4977-B47E-DB55FC8A2AD1}" name="Sigla Arte" dataDxfId="1"/>
    <tableColumn id="3" xr3:uid="{184D441D-FFA7-4EB0-A6E4-483B3A50DDD4}" name="Crédito" dataDxfId="0"/>
  </tableColumns>
  <tableStyleInfo name="TableStyleLight1" showFirstColumn="0" showLastColumn="0" showRowStripes="1" showColumnStripes="0"/>
</table>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B5" dT="2024-03-04T13:14:27.82" personId="{95DCFAD4-C509-4C74-A2E0-3800DE24F017}" id="{F99DBD06-1609-42E9-80B9-B8B03A34D5D7}">
    <text xml:space="preserve">Sempre confirmar no inicio do projeto esses créditos em verde com a Iconografia.
</text>
  </threadedComment>
</ThreadedComments>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vmlDrawing" Target="../drawings/vmlDrawing2.vml"/><Relationship Id="rId1" Type="http://schemas.openxmlformats.org/officeDocument/2006/relationships/drawing" Target="../drawings/drawing1.xml"/><Relationship Id="rId5" Type="http://schemas.microsoft.com/office/2017/10/relationships/threadedComment" Target="../threadedComments/threadedComment1.xml"/><Relationship Id="rId4"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30BF5A-5CAC-45B3-A283-F5407C43288F}">
  <dimension ref="A1:AE500"/>
  <sheetViews>
    <sheetView tabSelected="1" workbookViewId="0">
      <pane xSplit="2" ySplit="1" topLeftCell="W13" activePane="bottomRight" state="frozen"/>
      <selection pane="topRight" activeCell="C1" sqref="C1"/>
      <selection pane="bottomLeft" activeCell="A2" sqref="A2"/>
      <selection pane="bottomRight" activeCell="AA18" sqref="AA18"/>
    </sheetView>
  </sheetViews>
  <sheetFormatPr defaultColWidth="9.140625" defaultRowHeight="15" x14ac:dyDescent="0.25"/>
  <cols>
    <col min="1" max="1" width="26.28515625" style="4" customWidth="1"/>
    <col min="2" max="2" width="15" style="21" bestFit="1" customWidth="1"/>
    <col min="3" max="3" width="16.140625" style="21" bestFit="1" customWidth="1"/>
    <col min="4" max="4" width="8" style="21" customWidth="1"/>
    <col min="5" max="5" width="12.42578125" style="3" bestFit="1" customWidth="1"/>
    <col min="6" max="6" width="10.5703125" style="3" customWidth="1"/>
    <col min="7" max="7" width="11.140625" style="3" customWidth="1"/>
    <col min="8" max="8" width="17" style="3" customWidth="1"/>
    <col min="9" max="9" width="9.7109375" style="4" bestFit="1" customWidth="1"/>
    <col min="10" max="10" width="21.28515625" style="4" hidden="1" customWidth="1"/>
    <col min="11" max="11" width="12.85546875" style="3" hidden="1" customWidth="1"/>
    <col min="12" max="12" width="14" style="3" hidden="1" customWidth="1"/>
    <col min="13" max="13" width="15.28515625" style="4" hidden="1" customWidth="1"/>
    <col min="14" max="14" width="7.5703125" style="4" customWidth="1"/>
    <col min="15" max="15" width="54.42578125" style="21" customWidth="1"/>
    <col min="16" max="16" width="54.42578125" style="21" hidden="1" customWidth="1"/>
    <col min="17" max="17" width="21.85546875" style="21" customWidth="1"/>
    <col min="18" max="18" width="8.7109375" style="3" customWidth="1"/>
    <col min="19" max="23" width="18.7109375" style="25" customWidth="1"/>
    <col min="24" max="24" width="8.85546875" style="3" customWidth="1"/>
    <col min="25" max="25" width="56.42578125" style="4" customWidth="1"/>
    <col min="26" max="26" width="27.140625" style="4" customWidth="1"/>
    <col min="27" max="27" width="54.7109375" style="4" customWidth="1"/>
    <col min="28" max="28" width="16.5703125" style="3" customWidth="1"/>
    <col min="29" max="29" width="35.5703125" style="21" customWidth="1"/>
    <col min="30" max="30" width="19.42578125" style="20" customWidth="1"/>
    <col min="31" max="31" width="13.7109375" style="4" bestFit="1" customWidth="1"/>
  </cols>
  <sheetData>
    <row r="1" spans="1:31" s="10" customFormat="1" ht="66" customHeight="1" x14ac:dyDescent="0.25">
      <c r="A1" s="7" t="s">
        <v>0</v>
      </c>
      <c r="B1" s="8" t="s">
        <v>1</v>
      </c>
      <c r="C1" s="8" t="s">
        <v>2</v>
      </c>
      <c r="D1" s="8" t="s">
        <v>3</v>
      </c>
      <c r="E1" s="8" t="s">
        <v>4</v>
      </c>
      <c r="F1" s="8" t="s">
        <v>5</v>
      </c>
      <c r="G1" s="8" t="s">
        <v>6</v>
      </c>
      <c r="H1" s="8" t="s">
        <v>7</v>
      </c>
      <c r="I1" s="8" t="s">
        <v>8</v>
      </c>
      <c r="J1" s="8" t="s">
        <v>9</v>
      </c>
      <c r="K1" s="8" t="s">
        <v>10</v>
      </c>
      <c r="L1" s="8" t="s">
        <v>11</v>
      </c>
      <c r="M1" s="8" t="s">
        <v>12</v>
      </c>
      <c r="N1" s="8" t="s">
        <v>13</v>
      </c>
      <c r="O1" s="18" t="s">
        <v>14</v>
      </c>
      <c r="P1" s="18" t="s">
        <v>15</v>
      </c>
      <c r="Q1" s="8" t="s">
        <v>16</v>
      </c>
      <c r="R1" s="8" t="s">
        <v>17</v>
      </c>
      <c r="S1" s="16" t="s">
        <v>18</v>
      </c>
      <c r="T1" s="13" t="s">
        <v>19</v>
      </c>
      <c r="U1" s="13" t="s">
        <v>20</v>
      </c>
      <c r="V1" s="13" t="s">
        <v>21</v>
      </c>
      <c r="W1" s="14" t="s">
        <v>22</v>
      </c>
      <c r="X1" s="9" t="s">
        <v>23</v>
      </c>
      <c r="Y1" s="11" t="s">
        <v>24</v>
      </c>
      <c r="Z1" s="9" t="s">
        <v>25</v>
      </c>
      <c r="AA1" s="11" t="s">
        <v>26</v>
      </c>
      <c r="AB1" s="9" t="s">
        <v>27</v>
      </c>
      <c r="AC1" s="9" t="s">
        <v>28</v>
      </c>
      <c r="AD1" s="19" t="s">
        <v>29</v>
      </c>
      <c r="AE1" s="15" t="s">
        <v>30</v>
      </c>
    </row>
    <row r="2" spans="1:31" s="12" customFormat="1" ht="45" x14ac:dyDescent="0.25">
      <c r="A2" s="23" t="s">
        <v>31</v>
      </c>
      <c r="B2" s="20" t="s">
        <v>32</v>
      </c>
      <c r="C2" s="20" t="s">
        <v>33</v>
      </c>
      <c r="D2" s="20" t="s">
        <v>34</v>
      </c>
      <c r="E2" s="22">
        <v>25</v>
      </c>
      <c r="F2" s="22">
        <v>1</v>
      </c>
      <c r="G2" s="22">
        <v>1</v>
      </c>
      <c r="H2" s="22"/>
      <c r="I2" s="23" t="s">
        <v>35</v>
      </c>
      <c r="J2" s="23"/>
      <c r="K2" s="22"/>
      <c r="L2" s="22"/>
      <c r="M2" s="23"/>
      <c r="N2" s="23"/>
      <c r="O2" s="26" t="s">
        <v>36</v>
      </c>
      <c r="P2" s="26"/>
      <c r="Q2" s="26"/>
      <c r="R2" s="22"/>
      <c r="S2" s="24"/>
      <c r="T2" s="24"/>
      <c r="U2" s="24"/>
      <c r="V2" s="24"/>
      <c r="W2" s="24"/>
      <c r="X2" s="22" t="s">
        <v>37</v>
      </c>
      <c r="Y2" s="4" t="str">
        <f>IF(Tabela2[[#This Row],[SIGLA]]="","",VLOOKUP(Tabela2[[#This Row],[SIGLA]],Tabela1[[#All],[Sigla Arte]:[Crédito]],2,0))</f>
        <v>GUILHERME RODRIGUES/ARQUIVO DA EDITORA</v>
      </c>
      <c r="Z2" s="23"/>
      <c r="AA2" s="23" t="str">
        <f>Tabela2[[#This Row],[ILUSTRADOR CRIAÇÃO]]</f>
        <v>GUILHERME RODRIGUES/ARQUIVO DA EDITORA</v>
      </c>
      <c r="AB2" s="22"/>
      <c r="AC2" s="20"/>
      <c r="AD2" s="20"/>
      <c r="AE2" s="4" t="str">
        <f t="shared" ref="AE2:AE65" si="0">"EF1 E002 HGC"</f>
        <v>EF1 E002 HGC</v>
      </c>
    </row>
    <row r="3" spans="1:31" s="12" customFormat="1" ht="30" x14ac:dyDescent="0.25">
      <c r="A3" s="23" t="s">
        <v>38</v>
      </c>
      <c r="B3" s="20" t="s">
        <v>32</v>
      </c>
      <c r="C3" s="20" t="s">
        <v>33</v>
      </c>
      <c r="D3" s="20" t="s">
        <v>34</v>
      </c>
      <c r="E3" s="22">
        <v>32</v>
      </c>
      <c r="F3" s="22">
        <v>1</v>
      </c>
      <c r="G3" s="22">
        <v>1</v>
      </c>
      <c r="H3" s="22"/>
      <c r="I3" s="23" t="s">
        <v>39</v>
      </c>
      <c r="J3" s="23"/>
      <c r="K3" s="22"/>
      <c r="L3" s="22"/>
      <c r="M3" s="23"/>
      <c r="N3" s="23"/>
      <c r="O3" s="26" t="s">
        <v>40</v>
      </c>
      <c r="P3" s="26"/>
      <c r="Q3" s="26"/>
      <c r="R3" s="22">
        <v>1</v>
      </c>
      <c r="S3" s="24">
        <v>45742</v>
      </c>
      <c r="T3" s="24">
        <v>45742</v>
      </c>
      <c r="U3" s="24"/>
      <c r="V3" s="24"/>
      <c r="W3" s="24">
        <v>45756</v>
      </c>
      <c r="X3" s="22" t="s">
        <v>41</v>
      </c>
      <c r="Y3" s="4" t="str">
        <f>IF(Tabela2[[#This Row],[SIGLA]]="","",VLOOKUP(Tabela2[[#This Row],[SIGLA]],Tabela1[[#All],[Sigla Arte]:[Crédito]],2,0))</f>
        <v>CARLITOS PINHEIRO/ARQUIVO DA EDITORA</v>
      </c>
      <c r="Z3" s="23" t="s">
        <v>42</v>
      </c>
      <c r="AA3" s="23" t="str">
        <f>Tabela2[[#This Row],[ILUSTRADOR CRIAÇÃO]]</f>
        <v>CARLITOS PINHEIRO/ARQUIVO DA EDITORA</v>
      </c>
      <c r="AB3" s="22">
        <v>13</v>
      </c>
      <c r="AC3" s="20" t="s">
        <v>43</v>
      </c>
      <c r="AD3" s="20" t="s">
        <v>44</v>
      </c>
      <c r="AE3" s="4" t="str">
        <f t="shared" si="0"/>
        <v>EF1 E002 HGC</v>
      </c>
    </row>
    <row r="4" spans="1:31" s="12" customFormat="1" ht="30" x14ac:dyDescent="0.25">
      <c r="A4" s="23" t="s">
        <v>45</v>
      </c>
      <c r="B4" s="20" t="s">
        <v>32</v>
      </c>
      <c r="C4" s="20" t="s">
        <v>33</v>
      </c>
      <c r="D4" s="20" t="s">
        <v>34</v>
      </c>
      <c r="E4" s="22">
        <v>32</v>
      </c>
      <c r="F4" s="22">
        <v>1</v>
      </c>
      <c r="G4" s="22">
        <v>1</v>
      </c>
      <c r="H4" s="22"/>
      <c r="I4" s="23" t="s">
        <v>35</v>
      </c>
      <c r="J4" s="23"/>
      <c r="K4" s="22"/>
      <c r="L4" s="22"/>
      <c r="M4" s="23"/>
      <c r="N4" s="23"/>
      <c r="O4" s="26" t="s">
        <v>46</v>
      </c>
      <c r="P4" s="26"/>
      <c r="Q4" s="26"/>
      <c r="R4" s="22"/>
      <c r="S4" s="24"/>
      <c r="T4" s="24"/>
      <c r="U4" s="24"/>
      <c r="V4" s="24"/>
      <c r="W4" s="24"/>
      <c r="X4" s="22" t="s">
        <v>41</v>
      </c>
      <c r="Y4" s="4" t="str">
        <f>IF(Tabela2[[#This Row],[SIGLA]]="","",VLOOKUP(Tabela2[[#This Row],[SIGLA]],Tabela1[[#All],[Sigla Arte]:[Crédito]],2,0))</f>
        <v>CARLITOS PINHEIRO/ARQUIVO DA EDITORA</v>
      </c>
      <c r="Z4" s="23"/>
      <c r="AA4" s="23" t="str">
        <f>Tabela2[[#This Row],[ILUSTRADOR CRIAÇÃO]]</f>
        <v>CARLITOS PINHEIRO/ARQUIVO DA EDITORA</v>
      </c>
      <c r="AB4" s="22"/>
      <c r="AC4" s="20"/>
      <c r="AD4" s="20"/>
      <c r="AE4" s="4" t="str">
        <f t="shared" si="0"/>
        <v>EF1 E002 HGC</v>
      </c>
    </row>
    <row r="5" spans="1:31" s="12" customFormat="1" ht="45" x14ac:dyDescent="0.25">
      <c r="A5" s="23" t="s">
        <v>47</v>
      </c>
      <c r="B5" s="20" t="s">
        <v>32</v>
      </c>
      <c r="C5" s="20" t="s">
        <v>33</v>
      </c>
      <c r="D5" s="20" t="s">
        <v>34</v>
      </c>
      <c r="E5" s="22">
        <v>33</v>
      </c>
      <c r="F5" s="22">
        <v>1</v>
      </c>
      <c r="G5" s="22">
        <v>1</v>
      </c>
      <c r="H5" s="22"/>
      <c r="I5" s="23" t="s">
        <v>35</v>
      </c>
      <c r="J5" s="23"/>
      <c r="K5" s="22"/>
      <c r="L5" s="22"/>
      <c r="M5" s="23"/>
      <c r="N5" s="23"/>
      <c r="O5" s="26" t="s">
        <v>48</v>
      </c>
      <c r="P5" s="26"/>
      <c r="Q5" s="26"/>
      <c r="R5" s="22"/>
      <c r="S5" s="24"/>
      <c r="T5" s="24"/>
      <c r="U5" s="24"/>
      <c r="V5" s="24"/>
      <c r="W5" s="24"/>
      <c r="X5" s="22" t="s">
        <v>41</v>
      </c>
      <c r="Y5" s="4" t="str">
        <f>IF(Tabela2[[#This Row],[SIGLA]]="","",VLOOKUP(Tabela2[[#This Row],[SIGLA]],Tabela1[[#All],[Sigla Arte]:[Crédito]],2,0))</f>
        <v>CARLITOS PINHEIRO/ARQUIVO DA EDITORA</v>
      </c>
      <c r="Z5" s="23"/>
      <c r="AA5" s="23" t="str">
        <f>Tabela2[[#This Row],[ILUSTRADOR CRIAÇÃO]]</f>
        <v>CARLITOS PINHEIRO/ARQUIVO DA EDITORA</v>
      </c>
      <c r="AB5" s="22"/>
      <c r="AC5" s="20"/>
      <c r="AD5" s="20"/>
      <c r="AE5" s="4" t="str">
        <f t="shared" si="0"/>
        <v>EF1 E002 HGC</v>
      </c>
    </row>
    <row r="6" spans="1:31" s="12" customFormat="1" ht="255" x14ac:dyDescent="0.25">
      <c r="A6" s="23" t="s">
        <v>49</v>
      </c>
      <c r="B6" s="20" t="s">
        <v>32</v>
      </c>
      <c r="C6" s="20" t="s">
        <v>33</v>
      </c>
      <c r="D6" s="20" t="s">
        <v>34</v>
      </c>
      <c r="E6" s="22">
        <v>34</v>
      </c>
      <c r="F6" s="22">
        <v>1</v>
      </c>
      <c r="G6" s="22">
        <v>1</v>
      </c>
      <c r="H6" s="22"/>
      <c r="I6" s="23" t="s">
        <v>39</v>
      </c>
      <c r="J6" s="23"/>
      <c r="K6" s="22"/>
      <c r="L6" s="22"/>
      <c r="M6" s="23"/>
      <c r="N6" s="23"/>
      <c r="O6" s="26" t="s">
        <v>50</v>
      </c>
      <c r="P6" s="26"/>
      <c r="Q6" s="26"/>
      <c r="R6" s="22">
        <v>1</v>
      </c>
      <c r="S6" s="24">
        <v>45742</v>
      </c>
      <c r="T6" s="24">
        <v>45742</v>
      </c>
      <c r="U6" s="24"/>
      <c r="V6" s="24"/>
      <c r="W6" s="24">
        <v>45756</v>
      </c>
      <c r="X6" s="22" t="s">
        <v>41</v>
      </c>
      <c r="Y6" s="4" t="str">
        <f>IF(Tabela2[[#This Row],[SIGLA]]="","",VLOOKUP(Tabela2[[#This Row],[SIGLA]],Tabela1[[#All],[Sigla Arte]:[Crédito]],2,0))</f>
        <v>CARLITOS PINHEIRO/ARQUIVO DA EDITORA</v>
      </c>
      <c r="Z6" s="23" t="s">
        <v>42</v>
      </c>
      <c r="AA6" s="23" t="str">
        <f>Tabela2[[#This Row],[ILUSTRADOR CRIAÇÃO]]</f>
        <v>CARLITOS PINHEIRO/ARQUIVO DA EDITORA</v>
      </c>
      <c r="AB6" s="22">
        <v>13</v>
      </c>
      <c r="AC6" s="20" t="s">
        <v>43</v>
      </c>
      <c r="AD6" s="20" t="s">
        <v>44</v>
      </c>
      <c r="AE6" s="4" t="str">
        <f t="shared" si="0"/>
        <v>EF1 E002 HGC</v>
      </c>
    </row>
    <row r="7" spans="1:31" s="12" customFormat="1" ht="45" x14ac:dyDescent="0.25">
      <c r="A7" s="17" t="s">
        <v>51</v>
      </c>
      <c r="B7" s="20" t="s">
        <v>32</v>
      </c>
      <c r="C7" s="20" t="s">
        <v>33</v>
      </c>
      <c r="D7" s="20" t="s">
        <v>34</v>
      </c>
      <c r="E7" s="22">
        <v>35</v>
      </c>
      <c r="F7" s="22">
        <v>1</v>
      </c>
      <c r="G7" s="22">
        <v>1</v>
      </c>
      <c r="H7" s="22"/>
      <c r="I7" s="23" t="s">
        <v>39</v>
      </c>
      <c r="J7" s="23"/>
      <c r="K7" s="22"/>
      <c r="L7" s="22"/>
      <c r="M7" s="23"/>
      <c r="N7" s="23"/>
      <c r="O7" s="26" t="s">
        <v>52</v>
      </c>
      <c r="P7" s="26"/>
      <c r="Q7" s="26"/>
      <c r="R7" s="22">
        <v>1</v>
      </c>
      <c r="S7" s="24">
        <v>45742</v>
      </c>
      <c r="T7" s="24">
        <v>45742</v>
      </c>
      <c r="U7" s="24"/>
      <c r="V7" s="24"/>
      <c r="W7" s="24">
        <v>45756</v>
      </c>
      <c r="X7" s="22" t="s">
        <v>41</v>
      </c>
      <c r="Y7" s="4" t="str">
        <f>IF(Tabela2[[#This Row],[SIGLA]]="","",VLOOKUP(Tabela2[[#This Row],[SIGLA]],Tabela1[[#All],[Sigla Arte]:[Crédito]],2,0))</f>
        <v>CARLITOS PINHEIRO/ARQUIVO DA EDITORA</v>
      </c>
      <c r="Z7" s="23" t="s">
        <v>42</v>
      </c>
      <c r="AA7" s="23" t="str">
        <f>Tabela2[[#This Row],[ILUSTRADOR CRIAÇÃO]]</f>
        <v>CARLITOS PINHEIRO/ARQUIVO DA EDITORA</v>
      </c>
      <c r="AB7" s="22">
        <v>14</v>
      </c>
      <c r="AC7" s="20" t="s">
        <v>43</v>
      </c>
      <c r="AD7" s="20" t="s">
        <v>44</v>
      </c>
      <c r="AE7" s="4" t="str">
        <f t="shared" si="0"/>
        <v>EF1 E002 HGC</v>
      </c>
    </row>
    <row r="8" spans="1:31" s="12" customFormat="1" ht="45" x14ac:dyDescent="0.25">
      <c r="A8" s="23" t="s">
        <v>53</v>
      </c>
      <c r="B8" s="20" t="s">
        <v>32</v>
      </c>
      <c r="C8" s="20" t="s">
        <v>33</v>
      </c>
      <c r="D8" s="20" t="s">
        <v>34</v>
      </c>
      <c r="E8" s="22">
        <v>37</v>
      </c>
      <c r="F8" s="22">
        <v>1</v>
      </c>
      <c r="G8" s="22">
        <v>1</v>
      </c>
      <c r="H8" s="22"/>
      <c r="I8" s="23" t="s">
        <v>35</v>
      </c>
      <c r="J8" s="23"/>
      <c r="K8" s="22"/>
      <c r="L8" s="22"/>
      <c r="M8" s="23"/>
      <c r="N8" s="23"/>
      <c r="O8" s="26" t="s">
        <v>54</v>
      </c>
      <c r="P8" s="26"/>
      <c r="Q8" s="26"/>
      <c r="R8" s="22"/>
      <c r="S8" s="24"/>
      <c r="T8" s="24"/>
      <c r="U8" s="24"/>
      <c r="V8" s="24"/>
      <c r="W8" s="24"/>
      <c r="X8" s="22" t="s">
        <v>41</v>
      </c>
      <c r="Y8" s="4" t="str">
        <f>IF(Tabela2[[#This Row],[SIGLA]]="","",VLOOKUP(Tabela2[[#This Row],[SIGLA]],Tabela1[[#All],[Sigla Arte]:[Crédito]],2,0))</f>
        <v>CARLITOS PINHEIRO/ARQUIVO DA EDITORA</v>
      </c>
      <c r="Z8" s="23"/>
      <c r="AA8" s="23" t="str">
        <f>Tabela2[[#This Row],[ILUSTRADOR CRIAÇÃO]]</f>
        <v>CARLITOS PINHEIRO/ARQUIVO DA EDITORA</v>
      </c>
      <c r="AB8" s="22"/>
      <c r="AC8" s="20"/>
      <c r="AD8" s="20"/>
      <c r="AE8" s="4" t="str">
        <f t="shared" si="0"/>
        <v>EF1 E002 HGC</v>
      </c>
    </row>
    <row r="9" spans="1:31" s="12" customFormat="1" ht="45" x14ac:dyDescent="0.25">
      <c r="A9" s="23" t="s">
        <v>55</v>
      </c>
      <c r="B9" s="20" t="s">
        <v>32</v>
      </c>
      <c r="C9" s="20" t="s">
        <v>33</v>
      </c>
      <c r="D9" s="20" t="s">
        <v>34</v>
      </c>
      <c r="E9" s="22">
        <v>37</v>
      </c>
      <c r="F9" s="22">
        <v>1</v>
      </c>
      <c r="G9" s="22">
        <v>1</v>
      </c>
      <c r="H9" s="22"/>
      <c r="I9" s="23" t="s">
        <v>35</v>
      </c>
      <c r="J9" s="23"/>
      <c r="K9" s="22"/>
      <c r="L9" s="22"/>
      <c r="M9" s="23"/>
      <c r="N9" s="23"/>
      <c r="O9" s="26" t="s">
        <v>56</v>
      </c>
      <c r="P9" s="26"/>
      <c r="Q9" s="26"/>
      <c r="R9" s="22"/>
      <c r="S9" s="24"/>
      <c r="T9" s="24"/>
      <c r="U9" s="24"/>
      <c r="V9" s="24"/>
      <c r="W9" s="24"/>
      <c r="X9" s="22" t="s">
        <v>41</v>
      </c>
      <c r="Y9" s="4" t="str">
        <f>IF(Tabela2[[#This Row],[SIGLA]]="","",VLOOKUP(Tabela2[[#This Row],[SIGLA]],Tabela1[[#All],[Sigla Arte]:[Crédito]],2,0))</f>
        <v>CARLITOS PINHEIRO/ARQUIVO DA EDITORA</v>
      </c>
      <c r="Z9" s="23"/>
      <c r="AA9" s="23" t="str">
        <f>Tabela2[[#This Row],[ILUSTRADOR CRIAÇÃO]]</f>
        <v>CARLITOS PINHEIRO/ARQUIVO DA EDITORA</v>
      </c>
      <c r="AB9" s="22"/>
      <c r="AC9" s="20"/>
      <c r="AD9" s="20"/>
      <c r="AE9" s="4" t="str">
        <f t="shared" si="0"/>
        <v>EF1 E002 HGC</v>
      </c>
    </row>
    <row r="10" spans="1:31" s="12" customFormat="1" ht="330" x14ac:dyDescent="0.25">
      <c r="A10" s="23" t="s">
        <v>57</v>
      </c>
      <c r="B10" s="20" t="s">
        <v>32</v>
      </c>
      <c r="C10" s="20" t="s">
        <v>33</v>
      </c>
      <c r="D10" s="20" t="s">
        <v>34</v>
      </c>
      <c r="E10" s="22">
        <v>41</v>
      </c>
      <c r="F10" s="22">
        <v>1</v>
      </c>
      <c r="G10" s="22">
        <v>1</v>
      </c>
      <c r="H10" s="22"/>
      <c r="I10" s="23" t="s">
        <v>39</v>
      </c>
      <c r="J10" s="23"/>
      <c r="K10" s="22"/>
      <c r="L10" s="22"/>
      <c r="M10" s="23"/>
      <c r="N10" s="23"/>
      <c r="O10" s="26" t="s">
        <v>58</v>
      </c>
      <c r="P10" s="26"/>
      <c r="Q10" s="26"/>
      <c r="R10" s="22">
        <v>1</v>
      </c>
      <c r="S10" s="24">
        <v>45742</v>
      </c>
      <c r="T10" s="24">
        <v>45742</v>
      </c>
      <c r="U10" s="24"/>
      <c r="V10" s="24"/>
      <c r="W10" s="24">
        <v>45756</v>
      </c>
      <c r="X10" s="22" t="s">
        <v>59</v>
      </c>
      <c r="Y10" s="4" t="str">
        <f>IF(Tabela2[[#This Row],[SIGLA]]="","",VLOOKUP(Tabela2[[#This Row],[SIGLA]],Tabela1[[#All],[Sigla Arte]:[Crédito]],2,0))</f>
        <v>RAQUEL SILVA/ARQUIVO DA EDITORA</v>
      </c>
      <c r="Z10" s="23" t="s">
        <v>42</v>
      </c>
      <c r="AA10" s="23" t="str">
        <f>Tabela2[[#This Row],[ILUSTRADOR CRIAÇÃO]]</f>
        <v>RAQUEL SILVA/ARQUIVO DA EDITORA</v>
      </c>
      <c r="AB10" s="22">
        <v>13</v>
      </c>
      <c r="AC10" s="20" t="s">
        <v>43</v>
      </c>
      <c r="AD10" s="20" t="s">
        <v>44</v>
      </c>
      <c r="AE10" s="4" t="str">
        <f t="shared" si="0"/>
        <v>EF1 E002 HGC</v>
      </c>
    </row>
    <row r="11" spans="1:31" s="12" customFormat="1" ht="165" x14ac:dyDescent="0.25">
      <c r="A11" s="23" t="s">
        <v>60</v>
      </c>
      <c r="B11" s="20" t="s">
        <v>32</v>
      </c>
      <c r="C11" s="20" t="s">
        <v>33</v>
      </c>
      <c r="D11" s="20" t="s">
        <v>34</v>
      </c>
      <c r="E11" s="22">
        <v>46</v>
      </c>
      <c r="F11" s="22">
        <v>1</v>
      </c>
      <c r="G11" s="22">
        <v>1</v>
      </c>
      <c r="H11" s="22"/>
      <c r="I11" s="23" t="s">
        <v>39</v>
      </c>
      <c r="J11" s="23"/>
      <c r="K11" s="22"/>
      <c r="L11" s="22"/>
      <c r="M11" s="23"/>
      <c r="N11" s="23"/>
      <c r="O11" s="26" t="s">
        <v>61</v>
      </c>
      <c r="P11" s="26"/>
      <c r="Q11" s="26"/>
      <c r="R11" s="22">
        <v>1</v>
      </c>
      <c r="S11" s="24">
        <v>45742</v>
      </c>
      <c r="T11" s="24">
        <v>45742</v>
      </c>
      <c r="U11" s="24"/>
      <c r="V11" s="24"/>
      <c r="W11" s="24">
        <v>45756</v>
      </c>
      <c r="X11" s="22" t="s">
        <v>62</v>
      </c>
      <c r="Y11" s="4" t="str">
        <f>IF(Tabela2[[#This Row],[SIGLA]]="","",VLOOKUP(Tabela2[[#This Row],[SIGLA]],Tabela1[[#All],[Sigla Arte]:[Crédito]],2,0))</f>
        <v>IVY NUNES/ARQUIVO DA EDITORA</v>
      </c>
      <c r="Z11" s="23" t="s">
        <v>42</v>
      </c>
      <c r="AA11" s="23" t="str">
        <f>Tabela2[[#This Row],[ILUSTRADOR CRIAÇÃO]]</f>
        <v>IVY NUNES/ARQUIVO DA EDITORA</v>
      </c>
      <c r="AB11" s="22">
        <v>14</v>
      </c>
      <c r="AC11" s="20" t="s">
        <v>43</v>
      </c>
      <c r="AD11" s="20" t="s">
        <v>44</v>
      </c>
      <c r="AE11" s="4" t="str">
        <f t="shared" si="0"/>
        <v>EF1 E002 HGC</v>
      </c>
    </row>
    <row r="12" spans="1:31" s="12" customFormat="1" ht="75" x14ac:dyDescent="0.25">
      <c r="A12" s="23" t="s">
        <v>63</v>
      </c>
      <c r="B12" s="20" t="s">
        <v>32</v>
      </c>
      <c r="C12" s="20" t="s">
        <v>64</v>
      </c>
      <c r="D12" s="20" t="s">
        <v>34</v>
      </c>
      <c r="E12" s="22">
        <v>47</v>
      </c>
      <c r="F12" s="22">
        <v>1</v>
      </c>
      <c r="G12" s="22">
        <v>1</v>
      </c>
      <c r="H12" s="22"/>
      <c r="I12" s="23" t="s">
        <v>39</v>
      </c>
      <c r="J12" s="23"/>
      <c r="K12" s="22"/>
      <c r="L12" s="22"/>
      <c r="M12" s="23"/>
      <c r="N12" s="23"/>
      <c r="O12" s="26" t="s">
        <v>65</v>
      </c>
      <c r="P12" s="26"/>
      <c r="Q12" s="26"/>
      <c r="R12" s="22">
        <v>1</v>
      </c>
      <c r="S12" s="24">
        <v>45742</v>
      </c>
      <c r="T12" s="24">
        <v>45742</v>
      </c>
      <c r="U12" s="24"/>
      <c r="V12" s="24"/>
      <c r="W12" s="24">
        <v>45756</v>
      </c>
      <c r="X12" s="22" t="s">
        <v>66</v>
      </c>
      <c r="Y12" s="4" t="str">
        <f>IF(Tabela2[[#This Row],[SIGLA]]="","",VLOOKUP(Tabela2[[#This Row],[SIGLA]],Tabela1[[#All],[Sigla Arte]:[Crédito]],2,0))</f>
        <v>VINÍCIUS COSTA/ARQUIVO DA EDITORA</v>
      </c>
      <c r="Z12" s="23"/>
      <c r="AA12" s="23" t="str">
        <f>Tabela2[[#This Row],[ILUSTRADOR CRIAÇÃO]]</f>
        <v>VINÍCIUS COSTA/ARQUIVO DA EDITORA</v>
      </c>
      <c r="AB12" s="22">
        <v>11</v>
      </c>
      <c r="AC12" s="20" t="s">
        <v>67</v>
      </c>
      <c r="AD12" s="20" t="s">
        <v>44</v>
      </c>
      <c r="AE12" s="4" t="str">
        <f t="shared" si="0"/>
        <v>EF1 E002 HGC</v>
      </c>
    </row>
    <row r="13" spans="1:31" s="12" customFormat="1" ht="30" x14ac:dyDescent="0.25">
      <c r="A13" s="23" t="s">
        <v>68</v>
      </c>
      <c r="B13" s="20" t="s">
        <v>32</v>
      </c>
      <c r="C13" s="20" t="s">
        <v>33</v>
      </c>
      <c r="D13" s="20" t="s">
        <v>34</v>
      </c>
      <c r="E13" s="22">
        <v>50</v>
      </c>
      <c r="F13" s="22">
        <v>1</v>
      </c>
      <c r="G13" s="22">
        <v>1</v>
      </c>
      <c r="H13" s="22"/>
      <c r="I13" s="23" t="s">
        <v>35</v>
      </c>
      <c r="J13" s="23"/>
      <c r="K13" s="22"/>
      <c r="L13" s="22"/>
      <c r="M13" s="23"/>
      <c r="N13" s="23"/>
      <c r="O13" s="26" t="s">
        <v>69</v>
      </c>
      <c r="P13" s="26"/>
      <c r="Q13" s="26"/>
      <c r="R13" s="22"/>
      <c r="S13" s="24"/>
      <c r="T13" s="24"/>
      <c r="U13" s="24"/>
      <c r="V13" s="24"/>
      <c r="W13" s="24"/>
      <c r="X13" s="22" t="s">
        <v>62</v>
      </c>
      <c r="Y13" s="4" t="str">
        <f>IF(Tabela2[[#This Row],[SIGLA]]="","",VLOOKUP(Tabela2[[#This Row],[SIGLA]],Tabela1[[#All],[Sigla Arte]:[Crédito]],2,0))</f>
        <v>IVY NUNES/ARQUIVO DA EDITORA</v>
      </c>
      <c r="Z13" s="23"/>
      <c r="AA13" s="23" t="str">
        <f>Tabela2[[#This Row],[ILUSTRADOR CRIAÇÃO]]</f>
        <v>IVY NUNES/ARQUIVO DA EDITORA</v>
      </c>
      <c r="AB13" s="22"/>
      <c r="AC13" s="20"/>
      <c r="AD13" s="20"/>
      <c r="AE13" s="4" t="str">
        <f t="shared" si="0"/>
        <v>EF1 E002 HGC</v>
      </c>
    </row>
    <row r="14" spans="1:31" s="12" customFormat="1" ht="30" x14ac:dyDescent="0.25">
      <c r="A14" s="23" t="s">
        <v>70</v>
      </c>
      <c r="B14" s="20" t="s">
        <v>32</v>
      </c>
      <c r="C14" s="20" t="s">
        <v>33</v>
      </c>
      <c r="D14" s="20" t="s">
        <v>34</v>
      </c>
      <c r="E14" s="22">
        <v>50</v>
      </c>
      <c r="F14" s="22">
        <v>1</v>
      </c>
      <c r="G14" s="22">
        <v>1</v>
      </c>
      <c r="H14" s="22"/>
      <c r="I14" s="23" t="s">
        <v>35</v>
      </c>
      <c r="J14" s="23"/>
      <c r="K14" s="22"/>
      <c r="L14" s="22"/>
      <c r="M14" s="23"/>
      <c r="N14" s="23"/>
      <c r="O14" s="26" t="s">
        <v>71</v>
      </c>
      <c r="P14" s="26"/>
      <c r="Q14" s="26"/>
      <c r="R14" s="22"/>
      <c r="S14" s="24"/>
      <c r="T14" s="24"/>
      <c r="U14" s="24"/>
      <c r="V14" s="24"/>
      <c r="W14" s="24"/>
      <c r="X14" s="22" t="s">
        <v>62</v>
      </c>
      <c r="Y14" s="4" t="str">
        <f>IF(Tabela2[[#This Row],[SIGLA]]="","",VLOOKUP(Tabela2[[#This Row],[SIGLA]],Tabela1[[#All],[Sigla Arte]:[Crédito]],2,0))</f>
        <v>IVY NUNES/ARQUIVO DA EDITORA</v>
      </c>
      <c r="Z14" s="23"/>
      <c r="AA14" s="23" t="str">
        <f>Tabela2[[#This Row],[ILUSTRADOR CRIAÇÃO]]</f>
        <v>IVY NUNES/ARQUIVO DA EDITORA</v>
      </c>
      <c r="AB14" s="22"/>
      <c r="AC14" s="20"/>
      <c r="AD14" s="20"/>
      <c r="AE14" s="4" t="str">
        <f t="shared" si="0"/>
        <v>EF1 E002 HGC</v>
      </c>
    </row>
    <row r="15" spans="1:31" s="12" customFormat="1" ht="45" x14ac:dyDescent="0.25">
      <c r="A15" s="23" t="s">
        <v>72</v>
      </c>
      <c r="B15" s="20" t="s">
        <v>32</v>
      </c>
      <c r="C15" s="20" t="s">
        <v>33</v>
      </c>
      <c r="D15" s="20" t="s">
        <v>34</v>
      </c>
      <c r="E15" s="22">
        <v>51</v>
      </c>
      <c r="F15" s="22">
        <v>1</v>
      </c>
      <c r="G15" s="22">
        <v>1</v>
      </c>
      <c r="H15" s="22"/>
      <c r="I15" s="23" t="s">
        <v>39</v>
      </c>
      <c r="J15" s="23"/>
      <c r="K15" s="22"/>
      <c r="L15" s="22"/>
      <c r="M15" s="23"/>
      <c r="N15" s="23"/>
      <c r="O15" s="26" t="s">
        <v>73</v>
      </c>
      <c r="P15" s="26"/>
      <c r="Q15" s="26"/>
      <c r="R15" s="22">
        <v>12</v>
      </c>
      <c r="S15" s="24">
        <v>45800</v>
      </c>
      <c r="T15" s="24">
        <v>45803</v>
      </c>
      <c r="U15" s="24"/>
      <c r="V15" s="24"/>
      <c r="W15" s="24">
        <v>45803</v>
      </c>
      <c r="X15" s="22" t="s">
        <v>62</v>
      </c>
      <c r="Y15" s="4" t="str">
        <f>IF(Tabela2[[#This Row],[SIGLA]]="","",VLOOKUP(Tabela2[[#This Row],[SIGLA]],Tabela1[[#All],[Sigla Arte]:[Crédito]],2,0))</f>
        <v>IVY NUNES/ARQUIVO DA EDITORA</v>
      </c>
      <c r="Z15" s="23" t="s">
        <v>74</v>
      </c>
      <c r="AA15" s="23" t="str">
        <f>Tabela2[[#This Row],[ILUSTRADOR CRIAÇÃO]]</f>
        <v>IVY NUNES/ARQUIVO DA EDITORA</v>
      </c>
      <c r="AB15" s="22">
        <v>13</v>
      </c>
      <c r="AC15" s="20" t="s">
        <v>43</v>
      </c>
      <c r="AD15" s="20" t="s">
        <v>44</v>
      </c>
      <c r="AE15" s="4" t="str">
        <f t="shared" si="0"/>
        <v>EF1 E002 HGC</v>
      </c>
    </row>
    <row r="16" spans="1:31" s="12" customFormat="1" ht="30" x14ac:dyDescent="0.25">
      <c r="A16" s="23" t="s">
        <v>75</v>
      </c>
      <c r="B16" s="20" t="s">
        <v>32</v>
      </c>
      <c r="C16" s="20" t="s">
        <v>33</v>
      </c>
      <c r="D16" s="20" t="s">
        <v>34</v>
      </c>
      <c r="E16" s="22">
        <v>51</v>
      </c>
      <c r="F16" s="22">
        <v>1</v>
      </c>
      <c r="G16" s="22">
        <v>1</v>
      </c>
      <c r="H16" s="22"/>
      <c r="I16" s="23" t="s">
        <v>35</v>
      </c>
      <c r="J16" s="23"/>
      <c r="K16" s="22"/>
      <c r="L16" s="22"/>
      <c r="M16" s="23"/>
      <c r="N16" s="23"/>
      <c r="O16" s="26" t="s">
        <v>76</v>
      </c>
      <c r="P16" s="26"/>
      <c r="Q16" s="26"/>
      <c r="R16" s="22"/>
      <c r="S16" s="24"/>
      <c r="T16" s="24"/>
      <c r="U16" s="24"/>
      <c r="V16" s="24"/>
      <c r="W16" s="24"/>
      <c r="X16" s="22" t="s">
        <v>62</v>
      </c>
      <c r="Y16" s="4" t="str">
        <f>IF(Tabela2[[#This Row],[SIGLA]]="","",VLOOKUP(Tabela2[[#This Row],[SIGLA]],Tabela1[[#All],[Sigla Arte]:[Crédito]],2,0))</f>
        <v>IVY NUNES/ARQUIVO DA EDITORA</v>
      </c>
      <c r="Z16" s="23"/>
      <c r="AA16" s="23" t="str">
        <f>Tabela2[[#This Row],[ILUSTRADOR CRIAÇÃO]]</f>
        <v>IVY NUNES/ARQUIVO DA EDITORA</v>
      </c>
      <c r="AB16" s="22"/>
      <c r="AC16" s="20"/>
      <c r="AD16" s="20"/>
      <c r="AE16" s="4" t="str">
        <f t="shared" si="0"/>
        <v>EF1 E002 HGC</v>
      </c>
    </row>
    <row r="17" spans="1:31" s="12" customFormat="1" ht="75" x14ac:dyDescent="0.25">
      <c r="A17" s="23" t="s">
        <v>77</v>
      </c>
      <c r="B17" s="20" t="s">
        <v>32</v>
      </c>
      <c r="C17" s="20" t="s">
        <v>33</v>
      </c>
      <c r="D17" s="20" t="s">
        <v>34</v>
      </c>
      <c r="E17" s="22">
        <v>52</v>
      </c>
      <c r="F17" s="22">
        <v>1</v>
      </c>
      <c r="G17" s="22">
        <v>1</v>
      </c>
      <c r="H17" s="22"/>
      <c r="I17" s="23" t="s">
        <v>39</v>
      </c>
      <c r="J17" s="23"/>
      <c r="K17" s="22"/>
      <c r="L17" s="22"/>
      <c r="M17" s="23"/>
      <c r="N17" s="23"/>
      <c r="O17" s="26" t="s">
        <v>78</v>
      </c>
      <c r="P17" s="26"/>
      <c r="Q17" s="26"/>
      <c r="R17" s="22">
        <v>1</v>
      </c>
      <c r="S17" s="24">
        <v>45742</v>
      </c>
      <c r="T17" s="24">
        <v>45742</v>
      </c>
      <c r="U17" s="24"/>
      <c r="V17" s="24"/>
      <c r="W17" s="24">
        <v>45756</v>
      </c>
      <c r="X17" s="22" t="s">
        <v>62</v>
      </c>
      <c r="Y17" s="4" t="str">
        <f>IF(Tabela2[[#This Row],[SIGLA]]="","",VLOOKUP(Tabela2[[#This Row],[SIGLA]],Tabela1[[#All],[Sigla Arte]:[Crédito]],2,0))</f>
        <v>IVY NUNES/ARQUIVO DA EDITORA</v>
      </c>
      <c r="Z17" s="23" t="s">
        <v>42</v>
      </c>
      <c r="AA17" s="23" t="str">
        <f>Tabela2[[#This Row],[ILUSTRADOR CRIAÇÃO]]</f>
        <v>IVY NUNES/ARQUIVO DA EDITORA</v>
      </c>
      <c r="AB17" s="22">
        <v>13</v>
      </c>
      <c r="AC17" s="20" t="s">
        <v>43</v>
      </c>
      <c r="AD17" s="20" t="s">
        <v>44</v>
      </c>
      <c r="AE17" s="4" t="str">
        <f t="shared" si="0"/>
        <v>EF1 E002 HGC</v>
      </c>
    </row>
    <row r="18" spans="1:31" s="12" customFormat="1" ht="60" x14ac:dyDescent="0.25">
      <c r="A18" s="23" t="s">
        <v>79</v>
      </c>
      <c r="B18" s="20" t="s">
        <v>32</v>
      </c>
      <c r="C18" s="20" t="s">
        <v>33</v>
      </c>
      <c r="D18" s="20" t="s">
        <v>34</v>
      </c>
      <c r="E18" s="22">
        <v>80</v>
      </c>
      <c r="F18" s="22">
        <v>1</v>
      </c>
      <c r="G18" s="22">
        <v>2</v>
      </c>
      <c r="H18" s="40" t="s">
        <v>80</v>
      </c>
      <c r="I18" s="23" t="s">
        <v>39</v>
      </c>
      <c r="J18" s="23"/>
      <c r="K18" s="22"/>
      <c r="L18" s="22"/>
      <c r="M18" s="23"/>
      <c r="N18" s="23"/>
      <c r="O18" s="26" t="s">
        <v>81</v>
      </c>
      <c r="P18" s="26"/>
      <c r="Q18" s="26"/>
      <c r="R18" s="22">
        <v>2</v>
      </c>
      <c r="S18" s="24">
        <v>45747</v>
      </c>
      <c r="T18" s="24">
        <v>45747</v>
      </c>
      <c r="U18" s="24"/>
      <c r="V18" s="24"/>
      <c r="W18" s="24">
        <v>45751</v>
      </c>
      <c r="X18" s="22" t="s">
        <v>37</v>
      </c>
      <c r="Y18" s="4" t="str">
        <f>IF(Tabela2[[#This Row],[SIGLA]]="","",VLOOKUP(Tabela2[[#This Row],[SIGLA]],Tabela1[[#All],[Sigla Arte]:[Crédito]],2,0))</f>
        <v>GUILHERME RODRIGUES/ARQUIVO DA EDITORA</v>
      </c>
      <c r="Z18" s="23" t="s">
        <v>82</v>
      </c>
      <c r="AA18" s="23" t="str">
        <f>Tabela2[[#This Row],[ILUSTRADOR CRIAÇÃO]]</f>
        <v>GUILHERME RODRIGUES/ARQUIVO DA EDITORA</v>
      </c>
      <c r="AB18" s="22">
        <v>14</v>
      </c>
      <c r="AC18" s="12" t="s">
        <v>83</v>
      </c>
      <c r="AD18" s="20" t="s">
        <v>44</v>
      </c>
      <c r="AE18" s="4" t="str">
        <f t="shared" si="0"/>
        <v>EF1 E002 HGC</v>
      </c>
    </row>
    <row r="19" spans="1:31" s="12" customFormat="1" ht="60" x14ac:dyDescent="0.25">
      <c r="A19" s="23" t="s">
        <v>84</v>
      </c>
      <c r="B19" s="20" t="s">
        <v>32</v>
      </c>
      <c r="C19" s="20" t="s">
        <v>33</v>
      </c>
      <c r="D19" s="20" t="s">
        <v>34</v>
      </c>
      <c r="E19" s="22">
        <v>80</v>
      </c>
      <c r="F19" s="22">
        <v>1</v>
      </c>
      <c r="G19" s="22">
        <v>2</v>
      </c>
      <c r="H19" s="40" t="s">
        <v>80</v>
      </c>
      <c r="I19" s="23" t="s">
        <v>39</v>
      </c>
      <c r="J19" s="23"/>
      <c r="K19" s="22"/>
      <c r="L19" s="22"/>
      <c r="M19" s="23"/>
      <c r="N19" s="23"/>
      <c r="O19" s="26" t="s">
        <v>85</v>
      </c>
      <c r="P19" s="26"/>
      <c r="Q19" s="26"/>
      <c r="R19" s="22">
        <v>2</v>
      </c>
      <c r="S19" s="24">
        <v>45747</v>
      </c>
      <c r="T19" s="24">
        <v>45747</v>
      </c>
      <c r="U19" s="24"/>
      <c r="V19" s="24"/>
      <c r="W19" s="24">
        <v>45751</v>
      </c>
      <c r="X19" s="22" t="s">
        <v>37</v>
      </c>
      <c r="Y19" s="4" t="str">
        <f>IF(Tabela2[[#This Row],[SIGLA]]="","",VLOOKUP(Tabela2[[#This Row],[SIGLA]],Tabela1[[#All],[Sigla Arte]:[Crédito]],2,0))</f>
        <v>GUILHERME RODRIGUES/ARQUIVO DA EDITORA</v>
      </c>
      <c r="Z19" s="23" t="s">
        <v>82</v>
      </c>
      <c r="AA19" s="23" t="str">
        <f>Tabela2[[#This Row],[ILUSTRADOR CRIAÇÃO]]</f>
        <v>GUILHERME RODRIGUES/ARQUIVO DA EDITORA</v>
      </c>
      <c r="AB19" s="22">
        <v>14</v>
      </c>
      <c r="AC19" s="12" t="s">
        <v>83</v>
      </c>
      <c r="AD19" s="20" t="s">
        <v>44</v>
      </c>
      <c r="AE19" s="4" t="str">
        <f t="shared" si="0"/>
        <v>EF1 E002 HGC</v>
      </c>
    </row>
    <row r="20" spans="1:31" s="12" customFormat="1" ht="60" x14ac:dyDescent="0.25">
      <c r="A20" s="23" t="s">
        <v>86</v>
      </c>
      <c r="B20" s="20" t="s">
        <v>32</v>
      </c>
      <c r="C20" s="20" t="s">
        <v>33</v>
      </c>
      <c r="D20" s="20" t="s">
        <v>34</v>
      </c>
      <c r="E20" s="22">
        <v>80</v>
      </c>
      <c r="F20" s="22">
        <v>1</v>
      </c>
      <c r="G20" s="22">
        <v>2</v>
      </c>
      <c r="H20" s="40" t="s">
        <v>80</v>
      </c>
      <c r="I20" s="23" t="s">
        <v>39</v>
      </c>
      <c r="J20" s="23"/>
      <c r="K20" s="22"/>
      <c r="L20" s="22"/>
      <c r="M20" s="23"/>
      <c r="N20" s="23"/>
      <c r="O20" s="26" t="s">
        <v>87</v>
      </c>
      <c r="P20" s="26"/>
      <c r="Q20" s="26"/>
      <c r="R20" s="22">
        <v>2</v>
      </c>
      <c r="S20" s="24">
        <v>45747</v>
      </c>
      <c r="T20" s="24">
        <v>45747</v>
      </c>
      <c r="U20" s="24"/>
      <c r="V20" s="24"/>
      <c r="W20" s="24">
        <v>45751</v>
      </c>
      <c r="X20" s="22" t="s">
        <v>37</v>
      </c>
      <c r="Y20" s="4" t="str">
        <f>IF(Tabela2[[#This Row],[SIGLA]]="","",VLOOKUP(Tabela2[[#This Row],[SIGLA]],Tabela1[[#All],[Sigla Arte]:[Crédito]],2,0))</f>
        <v>GUILHERME RODRIGUES/ARQUIVO DA EDITORA</v>
      </c>
      <c r="Z20" s="23" t="s">
        <v>82</v>
      </c>
      <c r="AA20" s="23" t="str">
        <f>Tabela2[[#This Row],[ILUSTRADOR CRIAÇÃO]]</f>
        <v>GUILHERME RODRIGUES/ARQUIVO DA EDITORA</v>
      </c>
      <c r="AB20" s="22">
        <v>14</v>
      </c>
      <c r="AC20" s="12" t="s">
        <v>83</v>
      </c>
      <c r="AD20" s="20" t="s">
        <v>44</v>
      </c>
      <c r="AE20" s="4" t="str">
        <f t="shared" si="0"/>
        <v>EF1 E002 HGC</v>
      </c>
    </row>
    <row r="21" spans="1:31" s="12" customFormat="1" ht="60" x14ac:dyDescent="0.25">
      <c r="A21" s="23" t="s">
        <v>88</v>
      </c>
      <c r="B21" s="20" t="s">
        <v>32</v>
      </c>
      <c r="C21" s="20" t="s">
        <v>33</v>
      </c>
      <c r="D21" s="20" t="s">
        <v>34</v>
      </c>
      <c r="E21" s="22">
        <v>81</v>
      </c>
      <c r="F21" s="22">
        <v>1</v>
      </c>
      <c r="G21" s="22">
        <v>2</v>
      </c>
      <c r="H21" s="40" t="s">
        <v>80</v>
      </c>
      <c r="I21" s="23" t="s">
        <v>39</v>
      </c>
      <c r="J21" s="23"/>
      <c r="K21" s="22"/>
      <c r="L21" s="22"/>
      <c r="M21" s="23"/>
      <c r="N21" s="23"/>
      <c r="O21" s="26" t="s">
        <v>89</v>
      </c>
      <c r="P21" s="26"/>
      <c r="Q21" s="26"/>
      <c r="R21" s="22">
        <v>2</v>
      </c>
      <c r="S21" s="24">
        <v>45747</v>
      </c>
      <c r="T21" s="24">
        <v>45747</v>
      </c>
      <c r="U21" s="24"/>
      <c r="V21" s="24"/>
      <c r="W21" s="24">
        <v>45751</v>
      </c>
      <c r="X21" s="22" t="s">
        <v>37</v>
      </c>
      <c r="Y21" s="4" t="str">
        <f>IF(Tabela2[[#This Row],[SIGLA]]="","",VLOOKUP(Tabela2[[#This Row],[SIGLA]],Tabela1[[#All],[Sigla Arte]:[Crédito]],2,0))</f>
        <v>GUILHERME RODRIGUES/ARQUIVO DA EDITORA</v>
      </c>
      <c r="Z21" s="23" t="s">
        <v>82</v>
      </c>
      <c r="AA21" s="23" t="str">
        <f>Tabela2[[#This Row],[ILUSTRADOR CRIAÇÃO]]</f>
        <v>GUILHERME RODRIGUES/ARQUIVO DA EDITORA</v>
      </c>
      <c r="AB21" s="22">
        <v>14</v>
      </c>
      <c r="AC21" s="12" t="s">
        <v>83</v>
      </c>
      <c r="AD21" s="20" t="s">
        <v>44</v>
      </c>
      <c r="AE21" s="4" t="str">
        <f t="shared" si="0"/>
        <v>EF1 E002 HGC</v>
      </c>
    </row>
    <row r="22" spans="1:31" s="12" customFormat="1" ht="60" x14ac:dyDescent="0.25">
      <c r="A22" s="23" t="s">
        <v>90</v>
      </c>
      <c r="B22" s="20" t="s">
        <v>32</v>
      </c>
      <c r="C22" s="20" t="s">
        <v>33</v>
      </c>
      <c r="D22" s="20" t="s">
        <v>34</v>
      </c>
      <c r="E22" s="22">
        <v>81</v>
      </c>
      <c r="F22" s="22">
        <v>1</v>
      </c>
      <c r="G22" s="22">
        <v>2</v>
      </c>
      <c r="H22" s="40" t="s">
        <v>80</v>
      </c>
      <c r="I22" s="23" t="s">
        <v>91</v>
      </c>
      <c r="J22" s="23"/>
      <c r="K22" s="22"/>
      <c r="L22" s="22"/>
      <c r="M22" s="23"/>
      <c r="N22" s="23"/>
      <c r="O22" s="26" t="s">
        <v>92</v>
      </c>
      <c r="P22" s="26"/>
      <c r="Q22" s="26"/>
      <c r="R22" s="22">
        <v>2</v>
      </c>
      <c r="S22" s="24">
        <v>45747</v>
      </c>
      <c r="T22" s="24">
        <v>45751</v>
      </c>
      <c r="U22" s="24">
        <v>45755</v>
      </c>
      <c r="V22" s="24">
        <v>45755</v>
      </c>
      <c r="W22" s="24">
        <v>45756</v>
      </c>
      <c r="X22" s="22" t="s">
        <v>37</v>
      </c>
      <c r="Y22" s="4" t="str">
        <f>IF(Tabela2[[#This Row],[SIGLA]]="","",VLOOKUP(Tabela2[[#This Row],[SIGLA]],Tabela1[[#All],[Sigla Arte]:[Crédito]],2,0))</f>
        <v>GUILHERME RODRIGUES/ARQUIVO DA EDITORA</v>
      </c>
      <c r="Z22" s="23"/>
      <c r="AA22" s="23" t="str">
        <f>Tabela2[[#This Row],[ILUSTRADOR CRIAÇÃO]]</f>
        <v>GUILHERME RODRIGUES/ARQUIVO DA EDITORA</v>
      </c>
      <c r="AB22" s="22">
        <v>6</v>
      </c>
      <c r="AC22" s="12" t="s">
        <v>93</v>
      </c>
      <c r="AD22" s="20" t="s">
        <v>94</v>
      </c>
      <c r="AE22" s="4" t="str">
        <f t="shared" si="0"/>
        <v>EF1 E002 HGC</v>
      </c>
    </row>
    <row r="23" spans="1:31" s="12" customFormat="1" ht="60" x14ac:dyDescent="0.25">
      <c r="A23" s="23" t="s">
        <v>95</v>
      </c>
      <c r="B23" s="20" t="s">
        <v>32</v>
      </c>
      <c r="C23" s="20" t="s">
        <v>33</v>
      </c>
      <c r="D23" s="20" t="s">
        <v>34</v>
      </c>
      <c r="E23" s="22">
        <v>81</v>
      </c>
      <c r="F23" s="22">
        <v>1</v>
      </c>
      <c r="G23" s="22">
        <v>2</v>
      </c>
      <c r="H23" s="40" t="s">
        <v>80</v>
      </c>
      <c r="I23" s="23" t="s">
        <v>39</v>
      </c>
      <c r="J23" s="23"/>
      <c r="K23" s="22"/>
      <c r="L23" s="22"/>
      <c r="M23" s="23"/>
      <c r="N23" s="23"/>
      <c r="O23" s="26" t="s">
        <v>96</v>
      </c>
      <c r="P23" s="26"/>
      <c r="Q23" s="26"/>
      <c r="R23" s="22">
        <v>2</v>
      </c>
      <c r="S23" s="24">
        <v>45747</v>
      </c>
      <c r="T23" s="24">
        <v>45747</v>
      </c>
      <c r="U23" s="24"/>
      <c r="V23" s="24"/>
      <c r="W23" s="24">
        <v>45751</v>
      </c>
      <c r="X23" s="22" t="s">
        <v>37</v>
      </c>
      <c r="Y23" s="4" t="str">
        <f>IF(Tabela2[[#This Row],[SIGLA]]="","",VLOOKUP(Tabela2[[#This Row],[SIGLA]],Tabela1[[#All],[Sigla Arte]:[Crédito]],2,0))</f>
        <v>GUILHERME RODRIGUES/ARQUIVO DA EDITORA</v>
      </c>
      <c r="Z23" s="23" t="s">
        <v>82</v>
      </c>
      <c r="AA23" s="23" t="str">
        <f>Tabela2[[#This Row],[ILUSTRADOR CRIAÇÃO]]</f>
        <v>GUILHERME RODRIGUES/ARQUIVO DA EDITORA</v>
      </c>
      <c r="AB23" s="22">
        <v>14</v>
      </c>
      <c r="AC23" s="12" t="s">
        <v>83</v>
      </c>
      <c r="AD23" s="20" t="s">
        <v>44</v>
      </c>
      <c r="AE23" s="4" t="str">
        <f t="shared" si="0"/>
        <v>EF1 E002 HGC</v>
      </c>
    </row>
    <row r="24" spans="1:31" s="12" customFormat="1" ht="120" x14ac:dyDescent="0.25">
      <c r="A24" s="23" t="s">
        <v>97</v>
      </c>
      <c r="B24" s="20" t="s">
        <v>32</v>
      </c>
      <c r="C24" s="20" t="s">
        <v>33</v>
      </c>
      <c r="D24" s="20" t="s">
        <v>34</v>
      </c>
      <c r="E24" s="22">
        <v>81</v>
      </c>
      <c r="F24" s="22">
        <v>1</v>
      </c>
      <c r="G24" s="22">
        <v>2</v>
      </c>
      <c r="H24" s="40" t="s">
        <v>80</v>
      </c>
      <c r="I24" s="23" t="s">
        <v>39</v>
      </c>
      <c r="J24" s="23"/>
      <c r="K24" s="22"/>
      <c r="L24" s="22"/>
      <c r="M24" s="23"/>
      <c r="N24" s="23"/>
      <c r="O24" s="26" t="s">
        <v>98</v>
      </c>
      <c r="P24" s="26"/>
      <c r="Q24" s="26"/>
      <c r="R24" s="22">
        <v>2</v>
      </c>
      <c r="S24" s="24">
        <v>45747</v>
      </c>
      <c r="T24" s="24">
        <v>45747</v>
      </c>
      <c r="U24" s="24"/>
      <c r="V24" s="24"/>
      <c r="W24" s="24">
        <v>45751</v>
      </c>
      <c r="X24" s="22" t="s">
        <v>37</v>
      </c>
      <c r="Y24" s="4" t="str">
        <f>IF(Tabela2[[#This Row],[SIGLA]]="","",VLOOKUP(Tabela2[[#This Row],[SIGLA]],Tabela1[[#All],[Sigla Arte]:[Crédito]],2,0))</f>
        <v>GUILHERME RODRIGUES/ARQUIVO DA EDITORA</v>
      </c>
      <c r="Z24" s="23" t="s">
        <v>82</v>
      </c>
      <c r="AA24" s="23" t="str">
        <f>Tabela2[[#This Row],[ILUSTRADOR CRIAÇÃO]]</f>
        <v>GUILHERME RODRIGUES/ARQUIVO DA EDITORA</v>
      </c>
      <c r="AB24" s="22">
        <v>13</v>
      </c>
      <c r="AC24" s="12" t="s">
        <v>83</v>
      </c>
      <c r="AD24" s="20" t="s">
        <v>44</v>
      </c>
      <c r="AE24" s="4" t="str">
        <f t="shared" si="0"/>
        <v>EF1 E002 HGC</v>
      </c>
    </row>
    <row r="25" spans="1:31" s="12" customFormat="1" ht="60" x14ac:dyDescent="0.25">
      <c r="A25" s="23" t="s">
        <v>99</v>
      </c>
      <c r="B25" s="20" t="s">
        <v>32</v>
      </c>
      <c r="C25" s="20" t="s">
        <v>33</v>
      </c>
      <c r="D25" s="20" t="s">
        <v>34</v>
      </c>
      <c r="E25" s="22">
        <v>82</v>
      </c>
      <c r="F25" s="22">
        <v>1</v>
      </c>
      <c r="G25" s="22">
        <v>2</v>
      </c>
      <c r="H25" s="40" t="s">
        <v>80</v>
      </c>
      <c r="I25" s="23" t="s">
        <v>35</v>
      </c>
      <c r="J25" s="23"/>
      <c r="K25" s="22"/>
      <c r="L25" s="22"/>
      <c r="M25" s="23"/>
      <c r="N25" s="23"/>
      <c r="O25" s="26" t="s">
        <v>100</v>
      </c>
      <c r="P25" s="26"/>
      <c r="Q25" s="26"/>
      <c r="R25" s="22"/>
      <c r="S25" s="24"/>
      <c r="T25" s="24"/>
      <c r="U25" s="24"/>
      <c r="V25" s="24"/>
      <c r="W25" s="24"/>
      <c r="X25" s="22" t="s">
        <v>41</v>
      </c>
      <c r="Y25" s="4" t="str">
        <f>IF(Tabela2[[#This Row],[SIGLA]]="","",VLOOKUP(Tabela2[[#This Row],[SIGLA]],Tabela1[[#All],[Sigla Arte]:[Crédito]],2,0))</f>
        <v>CARLITOS PINHEIRO/ARQUIVO DA EDITORA</v>
      </c>
      <c r="Z25" s="23"/>
      <c r="AA25" s="23" t="str">
        <f>Tabela2[[#This Row],[ILUSTRADOR CRIAÇÃO]]</f>
        <v>CARLITOS PINHEIRO/ARQUIVO DA EDITORA</v>
      </c>
      <c r="AB25" s="22"/>
      <c r="AC25" s="20"/>
      <c r="AD25" s="20"/>
      <c r="AE25" s="4" t="str">
        <f t="shared" si="0"/>
        <v>EF1 E002 HGC</v>
      </c>
    </row>
    <row r="26" spans="1:31" s="12" customFormat="1" ht="90" x14ac:dyDescent="0.25">
      <c r="A26" s="23" t="s">
        <v>101</v>
      </c>
      <c r="B26" s="20" t="s">
        <v>32</v>
      </c>
      <c r="C26" s="20" t="s">
        <v>33</v>
      </c>
      <c r="D26" s="20" t="s">
        <v>34</v>
      </c>
      <c r="E26" s="22">
        <v>84</v>
      </c>
      <c r="F26" s="22">
        <v>1</v>
      </c>
      <c r="G26" s="22">
        <v>2</v>
      </c>
      <c r="H26" s="40" t="s">
        <v>80</v>
      </c>
      <c r="I26" s="23" t="s">
        <v>39</v>
      </c>
      <c r="J26" s="23"/>
      <c r="K26" s="22"/>
      <c r="L26" s="22"/>
      <c r="M26" s="23"/>
      <c r="N26" s="23"/>
      <c r="O26" s="26" t="s">
        <v>102</v>
      </c>
      <c r="P26" s="26"/>
      <c r="Q26" s="26"/>
      <c r="R26" s="22">
        <v>2</v>
      </c>
      <c r="S26" s="24">
        <v>45747</v>
      </c>
      <c r="T26" s="24">
        <v>45747</v>
      </c>
      <c r="U26" s="24"/>
      <c r="V26" s="24"/>
      <c r="W26" s="24">
        <v>45751</v>
      </c>
      <c r="X26" s="22" t="s">
        <v>103</v>
      </c>
      <c r="Y26" s="4" t="str">
        <f>IF(Tabela2[[#This Row],[SIGLA]]="","",VLOOKUP(Tabela2[[#This Row],[SIGLA]],Tabela1[[#All],[Sigla Arte]:[Crédito]],2,0))</f>
        <v>NELSON COSENTINO/ARQUIVO DA EDITORA</v>
      </c>
      <c r="Z26" s="23" t="s">
        <v>82</v>
      </c>
      <c r="AA26" s="23" t="str">
        <f>Tabela2[[#This Row],[ILUSTRADOR CRIAÇÃO]]</f>
        <v>NELSON COSENTINO/ARQUIVO DA EDITORA</v>
      </c>
      <c r="AB26" s="22">
        <v>14</v>
      </c>
      <c r="AC26" s="12" t="s">
        <v>83</v>
      </c>
      <c r="AD26" s="20" t="s">
        <v>44</v>
      </c>
      <c r="AE26" s="4" t="str">
        <f t="shared" si="0"/>
        <v>EF1 E002 HGC</v>
      </c>
    </row>
    <row r="27" spans="1:31" s="12" customFormat="1" ht="75" x14ac:dyDescent="0.25">
      <c r="A27" s="23" t="s">
        <v>104</v>
      </c>
      <c r="B27" s="20" t="s">
        <v>32</v>
      </c>
      <c r="C27" s="20" t="s">
        <v>33</v>
      </c>
      <c r="D27" s="20" t="s">
        <v>34</v>
      </c>
      <c r="E27" s="22">
        <v>84</v>
      </c>
      <c r="F27" s="22">
        <v>1</v>
      </c>
      <c r="G27" s="22">
        <v>2</v>
      </c>
      <c r="H27" s="40" t="s">
        <v>80</v>
      </c>
      <c r="I27" s="23" t="s">
        <v>39</v>
      </c>
      <c r="J27" s="23"/>
      <c r="K27" s="22"/>
      <c r="L27" s="22"/>
      <c r="M27" s="23"/>
      <c r="N27" s="23"/>
      <c r="O27" s="26" t="s">
        <v>105</v>
      </c>
      <c r="P27" s="26"/>
      <c r="Q27" s="26"/>
      <c r="R27" s="22">
        <v>2</v>
      </c>
      <c r="S27" s="24">
        <v>45747</v>
      </c>
      <c r="T27" s="24">
        <v>45747</v>
      </c>
      <c r="U27" s="24"/>
      <c r="V27" s="24"/>
      <c r="W27" s="24">
        <v>45751</v>
      </c>
      <c r="X27" s="22" t="s">
        <v>103</v>
      </c>
      <c r="Y27" s="4" t="str">
        <f>IF(Tabela2[[#This Row],[SIGLA]]="","",VLOOKUP(Tabela2[[#This Row],[SIGLA]],Tabela1[[#All],[Sigla Arte]:[Crédito]],2,0))</f>
        <v>NELSON COSENTINO/ARQUIVO DA EDITORA</v>
      </c>
      <c r="Z27" s="23" t="s">
        <v>82</v>
      </c>
      <c r="AA27" s="23" t="str">
        <f>Tabela2[[#This Row],[ILUSTRADOR CRIAÇÃO]]</f>
        <v>NELSON COSENTINO/ARQUIVO DA EDITORA</v>
      </c>
      <c r="AB27" s="22">
        <v>14</v>
      </c>
      <c r="AC27" s="12" t="s">
        <v>83</v>
      </c>
      <c r="AD27" s="20" t="s">
        <v>44</v>
      </c>
      <c r="AE27" s="4" t="str">
        <f t="shared" si="0"/>
        <v>EF1 E002 HGC</v>
      </c>
    </row>
    <row r="28" spans="1:31" s="12" customFormat="1" ht="75" x14ac:dyDescent="0.25">
      <c r="A28" s="23" t="s">
        <v>106</v>
      </c>
      <c r="B28" s="20" t="s">
        <v>32</v>
      </c>
      <c r="C28" s="20" t="s">
        <v>33</v>
      </c>
      <c r="D28" s="20" t="s">
        <v>34</v>
      </c>
      <c r="E28" s="22">
        <v>84</v>
      </c>
      <c r="F28" s="22">
        <v>1</v>
      </c>
      <c r="G28" s="22">
        <v>2</v>
      </c>
      <c r="H28" s="40" t="s">
        <v>80</v>
      </c>
      <c r="I28" s="23" t="s">
        <v>39</v>
      </c>
      <c r="J28" s="23"/>
      <c r="K28" s="22"/>
      <c r="L28" s="22"/>
      <c r="M28" s="23"/>
      <c r="N28" s="23"/>
      <c r="O28" s="26" t="s">
        <v>107</v>
      </c>
      <c r="P28" s="26"/>
      <c r="Q28" s="26"/>
      <c r="R28" s="22">
        <v>2</v>
      </c>
      <c r="S28" s="24">
        <v>45747</v>
      </c>
      <c r="T28" s="24">
        <v>45747</v>
      </c>
      <c r="U28" s="24"/>
      <c r="V28" s="24"/>
      <c r="W28" s="24">
        <v>45751</v>
      </c>
      <c r="X28" s="22" t="s">
        <v>103</v>
      </c>
      <c r="Y28" s="4" t="str">
        <f>IF(Tabela2[[#This Row],[SIGLA]]="","",VLOOKUP(Tabela2[[#This Row],[SIGLA]],Tabela1[[#All],[Sigla Arte]:[Crédito]],2,0))</f>
        <v>NELSON COSENTINO/ARQUIVO DA EDITORA</v>
      </c>
      <c r="Z28" s="23" t="s">
        <v>82</v>
      </c>
      <c r="AA28" s="23" t="str">
        <f>Tabela2[[#This Row],[ILUSTRADOR CRIAÇÃO]]</f>
        <v>NELSON COSENTINO/ARQUIVO DA EDITORA</v>
      </c>
      <c r="AB28" s="22">
        <v>14</v>
      </c>
      <c r="AC28" s="12" t="s">
        <v>83</v>
      </c>
      <c r="AD28" s="20" t="s">
        <v>44</v>
      </c>
      <c r="AE28" s="4" t="str">
        <f t="shared" si="0"/>
        <v>EF1 E002 HGC</v>
      </c>
    </row>
    <row r="29" spans="1:31" s="12" customFormat="1" ht="60" x14ac:dyDescent="0.25">
      <c r="A29" s="23" t="s">
        <v>108</v>
      </c>
      <c r="B29" s="20" t="s">
        <v>32</v>
      </c>
      <c r="C29" s="20" t="s">
        <v>33</v>
      </c>
      <c r="D29" s="20" t="s">
        <v>34</v>
      </c>
      <c r="E29" s="22">
        <v>84</v>
      </c>
      <c r="F29" s="22">
        <v>1</v>
      </c>
      <c r="G29" s="22">
        <v>2</v>
      </c>
      <c r="H29" s="40" t="s">
        <v>80</v>
      </c>
      <c r="I29" s="23" t="s">
        <v>39</v>
      </c>
      <c r="J29" s="23"/>
      <c r="K29" s="22"/>
      <c r="L29" s="22"/>
      <c r="M29" s="23"/>
      <c r="N29" s="23"/>
      <c r="O29" s="26" t="s">
        <v>109</v>
      </c>
      <c r="P29" s="26"/>
      <c r="Q29" s="26"/>
      <c r="R29" s="22">
        <v>2</v>
      </c>
      <c r="S29" s="24">
        <v>45747</v>
      </c>
      <c r="T29" s="24">
        <v>45747</v>
      </c>
      <c r="U29" s="24"/>
      <c r="V29" s="24"/>
      <c r="W29" s="24">
        <v>45751</v>
      </c>
      <c r="X29" s="22" t="s">
        <v>103</v>
      </c>
      <c r="Y29" s="4" t="str">
        <f>IF(Tabela2[[#This Row],[SIGLA]]="","",VLOOKUP(Tabela2[[#This Row],[SIGLA]],Tabela1[[#All],[Sigla Arte]:[Crédito]],2,0))</f>
        <v>NELSON COSENTINO/ARQUIVO DA EDITORA</v>
      </c>
      <c r="Z29" s="23" t="s">
        <v>82</v>
      </c>
      <c r="AA29" s="23" t="str">
        <f>Tabela2[[#This Row],[ILUSTRADOR CRIAÇÃO]]</f>
        <v>NELSON COSENTINO/ARQUIVO DA EDITORA</v>
      </c>
      <c r="AB29" s="22">
        <v>14</v>
      </c>
      <c r="AC29" s="12" t="s">
        <v>83</v>
      </c>
      <c r="AD29" s="20" t="s">
        <v>44</v>
      </c>
      <c r="AE29" s="4" t="str">
        <f t="shared" si="0"/>
        <v>EF1 E002 HGC</v>
      </c>
    </row>
    <row r="30" spans="1:31" s="12" customFormat="1" ht="120" x14ac:dyDescent="0.25">
      <c r="A30" s="23" t="s">
        <v>110</v>
      </c>
      <c r="B30" s="20" t="s">
        <v>32</v>
      </c>
      <c r="C30" s="20" t="s">
        <v>33</v>
      </c>
      <c r="D30" s="20" t="s">
        <v>34</v>
      </c>
      <c r="E30" s="22">
        <v>85</v>
      </c>
      <c r="F30" s="22">
        <v>1</v>
      </c>
      <c r="G30" s="22">
        <v>2</v>
      </c>
      <c r="H30" s="40" t="s">
        <v>80</v>
      </c>
      <c r="I30" s="23" t="s">
        <v>39</v>
      </c>
      <c r="J30" s="23"/>
      <c r="K30" s="22"/>
      <c r="L30" s="22"/>
      <c r="M30" s="23"/>
      <c r="N30" s="23"/>
      <c r="O30" s="26" t="s">
        <v>111</v>
      </c>
      <c r="P30" s="26"/>
      <c r="Q30" s="26"/>
      <c r="R30" s="22">
        <v>2</v>
      </c>
      <c r="S30" s="24">
        <v>45747</v>
      </c>
      <c r="T30" s="24">
        <v>45747</v>
      </c>
      <c r="U30" s="24"/>
      <c r="V30" s="24"/>
      <c r="W30" s="24">
        <v>45751</v>
      </c>
      <c r="X30" s="22" t="s">
        <v>112</v>
      </c>
      <c r="Y30" s="4" t="str">
        <f>IF(Tabela2[[#This Row],[SIGLA]]="","",VLOOKUP(Tabela2[[#This Row],[SIGLA]],Tabela1[[#All],[Sigla Arte]:[Crédito]],2,0))</f>
        <v>LISLLEY GOMES FEIGE/ARQUIVO DA EDITORA</v>
      </c>
      <c r="Z30" s="23" t="s">
        <v>82</v>
      </c>
      <c r="AA30" s="23" t="str">
        <f>Tabela2[[#This Row],[ILUSTRADOR CRIAÇÃO]]</f>
        <v>LISLLEY GOMES FEIGE/ARQUIVO DA EDITORA</v>
      </c>
      <c r="AB30" s="22">
        <v>13</v>
      </c>
      <c r="AC30" s="12" t="s">
        <v>83</v>
      </c>
      <c r="AD30" s="20" t="s">
        <v>44</v>
      </c>
      <c r="AE30" s="4" t="str">
        <f t="shared" si="0"/>
        <v>EF1 E002 HGC</v>
      </c>
    </row>
    <row r="31" spans="1:31" s="12" customFormat="1" ht="45" x14ac:dyDescent="0.25">
      <c r="A31" s="23" t="s">
        <v>113</v>
      </c>
      <c r="B31" s="20" t="s">
        <v>32</v>
      </c>
      <c r="C31" s="20" t="s">
        <v>33</v>
      </c>
      <c r="D31" s="20" t="s">
        <v>34</v>
      </c>
      <c r="E31" s="22">
        <v>85</v>
      </c>
      <c r="F31" s="22">
        <v>1</v>
      </c>
      <c r="G31" s="22">
        <v>2</v>
      </c>
      <c r="H31" s="40" t="s">
        <v>80</v>
      </c>
      <c r="I31" s="23" t="s">
        <v>35</v>
      </c>
      <c r="J31" s="23"/>
      <c r="K31" s="22"/>
      <c r="L31" s="22"/>
      <c r="M31" s="23"/>
      <c r="N31" s="23"/>
      <c r="O31" s="26" t="s">
        <v>114</v>
      </c>
      <c r="P31" s="26"/>
      <c r="Q31" s="26"/>
      <c r="R31" s="22"/>
      <c r="S31" s="24"/>
      <c r="T31" s="24"/>
      <c r="U31" s="24"/>
      <c r="V31" s="24"/>
      <c r="W31" s="24"/>
      <c r="X31" s="22" t="s">
        <v>112</v>
      </c>
      <c r="Y31" s="4" t="str">
        <f>IF(Tabela2[[#This Row],[SIGLA]]="","",VLOOKUP(Tabela2[[#This Row],[SIGLA]],Tabela1[[#All],[Sigla Arte]:[Crédito]],2,0))</f>
        <v>LISLLEY GOMES FEIGE/ARQUIVO DA EDITORA</v>
      </c>
      <c r="Z31" s="23"/>
      <c r="AA31" s="23" t="str">
        <f>Tabela2[[#This Row],[ILUSTRADOR CRIAÇÃO]]</f>
        <v>LISLLEY GOMES FEIGE/ARQUIVO DA EDITORA</v>
      </c>
      <c r="AB31" s="22"/>
      <c r="AC31" s="20"/>
      <c r="AD31" s="20"/>
      <c r="AE31" s="4" t="str">
        <f t="shared" si="0"/>
        <v>EF1 E002 HGC</v>
      </c>
    </row>
    <row r="32" spans="1:31" s="12" customFormat="1" ht="45" x14ac:dyDescent="0.25">
      <c r="A32" s="23" t="s">
        <v>115</v>
      </c>
      <c r="B32" s="20" t="s">
        <v>32</v>
      </c>
      <c r="C32" s="20" t="s">
        <v>33</v>
      </c>
      <c r="D32" s="20" t="s">
        <v>34</v>
      </c>
      <c r="E32" s="22">
        <v>85</v>
      </c>
      <c r="F32" s="22">
        <v>1</v>
      </c>
      <c r="G32" s="22">
        <v>2</v>
      </c>
      <c r="H32" s="40" t="s">
        <v>80</v>
      </c>
      <c r="I32" s="23" t="s">
        <v>35</v>
      </c>
      <c r="J32" s="23"/>
      <c r="K32" s="22"/>
      <c r="L32" s="22"/>
      <c r="M32" s="23"/>
      <c r="N32" s="23"/>
      <c r="O32" s="26" t="s">
        <v>116</v>
      </c>
      <c r="P32" s="26"/>
      <c r="Q32" s="26"/>
      <c r="R32" s="22"/>
      <c r="S32" s="24"/>
      <c r="T32" s="24"/>
      <c r="U32" s="24"/>
      <c r="V32" s="24"/>
      <c r="W32" s="24"/>
      <c r="X32" s="22" t="s">
        <v>112</v>
      </c>
      <c r="Y32" s="4" t="str">
        <f>IF(Tabela2[[#This Row],[SIGLA]]="","",VLOOKUP(Tabela2[[#This Row],[SIGLA]],Tabela1[[#All],[Sigla Arte]:[Crédito]],2,0))</f>
        <v>LISLLEY GOMES FEIGE/ARQUIVO DA EDITORA</v>
      </c>
      <c r="Z32" s="23"/>
      <c r="AA32" s="23" t="str">
        <f>Tabela2[[#This Row],[ILUSTRADOR CRIAÇÃO]]</f>
        <v>LISLLEY GOMES FEIGE/ARQUIVO DA EDITORA</v>
      </c>
      <c r="AB32" s="22"/>
      <c r="AC32" s="20"/>
      <c r="AD32" s="20"/>
      <c r="AE32" s="4" t="str">
        <f t="shared" si="0"/>
        <v>EF1 E002 HGC</v>
      </c>
    </row>
    <row r="33" spans="1:31" s="12" customFormat="1" ht="45" x14ac:dyDescent="0.25">
      <c r="A33" s="23" t="s">
        <v>117</v>
      </c>
      <c r="B33" s="20" t="s">
        <v>32</v>
      </c>
      <c r="C33" s="20" t="s">
        <v>33</v>
      </c>
      <c r="D33" s="20" t="s">
        <v>34</v>
      </c>
      <c r="E33" s="22">
        <v>85</v>
      </c>
      <c r="F33" s="22">
        <v>1</v>
      </c>
      <c r="G33" s="22">
        <v>2</v>
      </c>
      <c r="H33" s="40" t="s">
        <v>80</v>
      </c>
      <c r="I33" s="23" t="s">
        <v>35</v>
      </c>
      <c r="J33" s="23"/>
      <c r="K33" s="22"/>
      <c r="L33" s="22"/>
      <c r="M33" s="23"/>
      <c r="N33" s="23"/>
      <c r="O33" s="26" t="s">
        <v>118</v>
      </c>
      <c r="P33" s="26"/>
      <c r="Q33" s="26"/>
      <c r="R33" s="22"/>
      <c r="S33" s="24"/>
      <c r="T33" s="24"/>
      <c r="U33" s="24"/>
      <c r="V33" s="24"/>
      <c r="W33" s="24"/>
      <c r="X33" s="22" t="s">
        <v>112</v>
      </c>
      <c r="Y33" s="4" t="str">
        <f>IF(Tabela2[[#This Row],[SIGLA]]="","",VLOOKUP(Tabela2[[#This Row],[SIGLA]],Tabela1[[#All],[Sigla Arte]:[Crédito]],2,0))</f>
        <v>LISLLEY GOMES FEIGE/ARQUIVO DA EDITORA</v>
      </c>
      <c r="Z33" s="23"/>
      <c r="AA33" s="23" t="str">
        <f>Tabela2[[#This Row],[ILUSTRADOR CRIAÇÃO]]</f>
        <v>LISLLEY GOMES FEIGE/ARQUIVO DA EDITORA</v>
      </c>
      <c r="AB33" s="22"/>
      <c r="AC33" s="20"/>
      <c r="AD33" s="20"/>
      <c r="AE33" s="4" t="str">
        <f t="shared" si="0"/>
        <v>EF1 E002 HGC</v>
      </c>
    </row>
    <row r="34" spans="1:31" s="12" customFormat="1" ht="45" x14ac:dyDescent="0.25">
      <c r="A34" s="23" t="s">
        <v>119</v>
      </c>
      <c r="B34" s="20" t="s">
        <v>32</v>
      </c>
      <c r="C34" s="20" t="s">
        <v>33</v>
      </c>
      <c r="D34" s="20" t="s">
        <v>34</v>
      </c>
      <c r="E34" s="22">
        <v>85</v>
      </c>
      <c r="F34" s="22">
        <v>1</v>
      </c>
      <c r="G34" s="22">
        <v>2</v>
      </c>
      <c r="H34" s="40" t="s">
        <v>80</v>
      </c>
      <c r="I34" s="23" t="s">
        <v>35</v>
      </c>
      <c r="J34" s="23"/>
      <c r="K34" s="22"/>
      <c r="L34" s="22"/>
      <c r="M34" s="23"/>
      <c r="N34" s="23"/>
      <c r="O34" s="26" t="s">
        <v>120</v>
      </c>
      <c r="P34" s="26"/>
      <c r="Q34" s="26"/>
      <c r="R34" s="22"/>
      <c r="S34" s="24"/>
      <c r="T34" s="24"/>
      <c r="U34" s="24"/>
      <c r="V34" s="24"/>
      <c r="W34" s="24"/>
      <c r="X34" s="22" t="s">
        <v>112</v>
      </c>
      <c r="Y34" s="4" t="str">
        <f>IF(Tabela2[[#This Row],[SIGLA]]="","",VLOOKUP(Tabela2[[#This Row],[SIGLA]],Tabela1[[#All],[Sigla Arte]:[Crédito]],2,0))</f>
        <v>LISLLEY GOMES FEIGE/ARQUIVO DA EDITORA</v>
      </c>
      <c r="Z34" s="23"/>
      <c r="AA34" s="23" t="str">
        <f>Tabela2[[#This Row],[ILUSTRADOR CRIAÇÃO]]</f>
        <v>LISLLEY GOMES FEIGE/ARQUIVO DA EDITORA</v>
      </c>
      <c r="AB34" s="22"/>
      <c r="AC34" s="20"/>
      <c r="AD34" s="20"/>
      <c r="AE34" s="4" t="str">
        <f t="shared" si="0"/>
        <v>EF1 E002 HGC</v>
      </c>
    </row>
    <row r="35" spans="1:31" s="12" customFormat="1" ht="105" x14ac:dyDescent="0.25">
      <c r="A35" s="23" t="s">
        <v>121</v>
      </c>
      <c r="B35" s="20" t="s">
        <v>32</v>
      </c>
      <c r="C35" s="20" t="s">
        <v>33</v>
      </c>
      <c r="D35" s="20" t="s">
        <v>34</v>
      </c>
      <c r="E35" s="22">
        <v>93</v>
      </c>
      <c r="F35" s="22">
        <v>1</v>
      </c>
      <c r="G35" s="22">
        <v>2</v>
      </c>
      <c r="H35" s="40" t="s">
        <v>80</v>
      </c>
      <c r="I35" s="23" t="s">
        <v>39</v>
      </c>
      <c r="J35" s="23"/>
      <c r="K35" s="22"/>
      <c r="L35" s="22"/>
      <c r="M35" s="23"/>
      <c r="N35" s="23"/>
      <c r="O35" s="26" t="s">
        <v>122</v>
      </c>
      <c r="P35" s="26"/>
      <c r="Q35" s="26"/>
      <c r="R35" s="22">
        <v>2</v>
      </c>
      <c r="S35" s="24">
        <v>45747</v>
      </c>
      <c r="T35" s="24">
        <v>45747</v>
      </c>
      <c r="U35" s="24"/>
      <c r="V35" s="24"/>
      <c r="W35" s="24">
        <v>45751</v>
      </c>
      <c r="X35" s="22" t="s">
        <v>41</v>
      </c>
      <c r="Y35" s="4" t="str">
        <f>IF(Tabela2[[#This Row],[SIGLA]]="","",VLOOKUP(Tabela2[[#This Row],[SIGLA]],Tabela1[[#All],[Sigla Arte]:[Crédito]],2,0))</f>
        <v>CARLITOS PINHEIRO/ARQUIVO DA EDITORA</v>
      </c>
      <c r="Z35" s="23" t="s">
        <v>82</v>
      </c>
      <c r="AA35" s="23" t="str">
        <f>Tabela2[[#This Row],[ILUSTRADOR CRIAÇÃO]]</f>
        <v>CARLITOS PINHEIRO/ARQUIVO DA EDITORA</v>
      </c>
      <c r="AB35" s="22">
        <v>14</v>
      </c>
      <c r="AC35" s="12" t="s">
        <v>83</v>
      </c>
      <c r="AD35" s="20" t="s">
        <v>44</v>
      </c>
      <c r="AE35" s="4" t="str">
        <f t="shared" si="0"/>
        <v>EF1 E002 HGC</v>
      </c>
    </row>
    <row r="36" spans="1:31" s="12" customFormat="1" ht="90" x14ac:dyDescent="0.25">
      <c r="A36" s="23" t="s">
        <v>123</v>
      </c>
      <c r="B36" s="20" t="s">
        <v>32</v>
      </c>
      <c r="C36" s="20" t="s">
        <v>33</v>
      </c>
      <c r="D36" s="20" t="s">
        <v>34</v>
      </c>
      <c r="E36" s="22">
        <v>93</v>
      </c>
      <c r="F36" s="22">
        <v>1</v>
      </c>
      <c r="G36" s="22">
        <v>2</v>
      </c>
      <c r="H36" s="40" t="s">
        <v>80</v>
      </c>
      <c r="I36" s="23" t="s">
        <v>39</v>
      </c>
      <c r="J36" s="23"/>
      <c r="K36" s="22"/>
      <c r="L36" s="22"/>
      <c r="M36" s="23"/>
      <c r="N36" s="23"/>
      <c r="O36" s="26" t="s">
        <v>124</v>
      </c>
      <c r="P36" s="26"/>
      <c r="Q36" s="26"/>
      <c r="R36" s="22">
        <v>2</v>
      </c>
      <c r="S36" s="24">
        <v>45747</v>
      </c>
      <c r="T36" s="24">
        <v>45747</v>
      </c>
      <c r="U36" s="24"/>
      <c r="V36" s="24"/>
      <c r="W36" s="24">
        <v>45751</v>
      </c>
      <c r="X36" s="22" t="s">
        <v>41</v>
      </c>
      <c r="Y36" s="4" t="str">
        <f>IF(Tabela2[[#This Row],[SIGLA]]="","",VLOOKUP(Tabela2[[#This Row],[SIGLA]],Tabela1[[#All],[Sigla Arte]:[Crédito]],2,0))</f>
        <v>CARLITOS PINHEIRO/ARQUIVO DA EDITORA</v>
      </c>
      <c r="Z36" s="23" t="s">
        <v>82</v>
      </c>
      <c r="AA36" s="23" t="str">
        <f>Tabela2[[#This Row],[ILUSTRADOR CRIAÇÃO]]</f>
        <v>CARLITOS PINHEIRO/ARQUIVO DA EDITORA</v>
      </c>
      <c r="AB36" s="22">
        <v>14</v>
      </c>
      <c r="AC36" s="12" t="s">
        <v>83</v>
      </c>
      <c r="AD36" s="20" t="s">
        <v>44</v>
      </c>
      <c r="AE36" s="4" t="str">
        <f t="shared" si="0"/>
        <v>EF1 E002 HGC</v>
      </c>
    </row>
    <row r="37" spans="1:31" s="12" customFormat="1" ht="90" x14ac:dyDescent="0.25">
      <c r="A37" s="23" t="s">
        <v>125</v>
      </c>
      <c r="B37" s="20" t="s">
        <v>32</v>
      </c>
      <c r="C37" s="20" t="s">
        <v>33</v>
      </c>
      <c r="D37" s="20" t="s">
        <v>34</v>
      </c>
      <c r="E37" s="22">
        <v>93</v>
      </c>
      <c r="F37" s="22">
        <v>1</v>
      </c>
      <c r="G37" s="22">
        <v>2</v>
      </c>
      <c r="H37" s="40" t="s">
        <v>80</v>
      </c>
      <c r="I37" s="23" t="s">
        <v>39</v>
      </c>
      <c r="J37" s="23"/>
      <c r="K37" s="22"/>
      <c r="L37" s="22"/>
      <c r="M37" s="23"/>
      <c r="N37" s="23"/>
      <c r="O37" s="26" t="s">
        <v>126</v>
      </c>
      <c r="P37" s="26"/>
      <c r="Q37" s="26"/>
      <c r="R37" s="22">
        <v>2</v>
      </c>
      <c r="S37" s="24">
        <v>45747</v>
      </c>
      <c r="T37" s="24">
        <v>45747</v>
      </c>
      <c r="U37" s="24"/>
      <c r="V37" s="24"/>
      <c r="W37" s="24">
        <v>45751</v>
      </c>
      <c r="X37" s="22" t="s">
        <v>41</v>
      </c>
      <c r="Y37" s="4" t="str">
        <f>IF(Tabela2[[#This Row],[SIGLA]]="","",VLOOKUP(Tabela2[[#This Row],[SIGLA]],Tabela1[[#All],[Sigla Arte]:[Crédito]],2,0))</f>
        <v>CARLITOS PINHEIRO/ARQUIVO DA EDITORA</v>
      </c>
      <c r="Z37" s="23" t="s">
        <v>82</v>
      </c>
      <c r="AA37" s="23" t="str">
        <f>Tabela2[[#This Row],[ILUSTRADOR CRIAÇÃO]]</f>
        <v>CARLITOS PINHEIRO/ARQUIVO DA EDITORA</v>
      </c>
      <c r="AB37" s="22">
        <v>14</v>
      </c>
      <c r="AC37" s="12" t="s">
        <v>83</v>
      </c>
      <c r="AD37" s="20" t="s">
        <v>44</v>
      </c>
      <c r="AE37" s="4" t="str">
        <f t="shared" si="0"/>
        <v>EF1 E002 HGC</v>
      </c>
    </row>
    <row r="38" spans="1:31" s="12" customFormat="1" ht="60" x14ac:dyDescent="0.25">
      <c r="A38" s="23" t="s">
        <v>127</v>
      </c>
      <c r="B38" s="20" t="s">
        <v>32</v>
      </c>
      <c r="C38" s="20" t="s">
        <v>33</v>
      </c>
      <c r="D38" s="20" t="s">
        <v>34</v>
      </c>
      <c r="E38" s="22">
        <v>151</v>
      </c>
      <c r="F38" s="22">
        <v>1</v>
      </c>
      <c r="G38" s="22">
        <v>4</v>
      </c>
      <c r="H38" s="40" t="s">
        <v>128</v>
      </c>
      <c r="I38" s="23" t="s">
        <v>39</v>
      </c>
      <c r="J38" s="23"/>
      <c r="K38" s="22"/>
      <c r="L38" s="22"/>
      <c r="M38" s="23"/>
      <c r="N38" s="23"/>
      <c r="O38" s="26" t="s">
        <v>129</v>
      </c>
      <c r="P38" s="26"/>
      <c r="Q38" s="26"/>
      <c r="R38" s="22">
        <v>13</v>
      </c>
      <c r="S38" s="24">
        <v>45803</v>
      </c>
      <c r="T38" s="24"/>
      <c r="U38" s="24"/>
      <c r="V38" s="24"/>
      <c r="W38" s="24">
        <v>45805</v>
      </c>
      <c r="X38" s="22" t="s">
        <v>37</v>
      </c>
      <c r="Y38" s="4" t="str">
        <f>IF(Tabela2[[#This Row],[SIGLA]]="","",VLOOKUP(Tabela2[[#This Row],[SIGLA]],Tabela1[[#All],[Sigla Arte]:[Crédito]],2,0))</f>
        <v>GUILHERME RODRIGUES/ARQUIVO DA EDITORA</v>
      </c>
      <c r="Z38" s="23" t="s">
        <v>74</v>
      </c>
      <c r="AA38" s="23" t="str">
        <f>Tabela2[[#This Row],[ILUSTRADOR CRIAÇÃO]]</f>
        <v>GUILHERME RODRIGUES/ARQUIVO DA EDITORA</v>
      </c>
      <c r="AB38" s="22">
        <v>13</v>
      </c>
      <c r="AC38" s="20" t="s">
        <v>43</v>
      </c>
      <c r="AD38" s="20" t="s">
        <v>44</v>
      </c>
      <c r="AE38" s="4" t="str">
        <f t="shared" si="0"/>
        <v>EF1 E002 HGC</v>
      </c>
    </row>
    <row r="39" spans="1:31" s="12" customFormat="1" ht="120" x14ac:dyDescent="0.25">
      <c r="A39" s="23" t="s">
        <v>130</v>
      </c>
      <c r="B39" s="20" t="s">
        <v>32</v>
      </c>
      <c r="C39" s="20" t="s">
        <v>33</v>
      </c>
      <c r="D39" s="20" t="s">
        <v>34</v>
      </c>
      <c r="E39" s="22">
        <v>152</v>
      </c>
      <c r="F39" s="22">
        <v>1</v>
      </c>
      <c r="G39" s="22">
        <v>4</v>
      </c>
      <c r="H39" s="40" t="s">
        <v>128</v>
      </c>
      <c r="I39" s="23" t="s">
        <v>39</v>
      </c>
      <c r="J39" s="23"/>
      <c r="K39" s="22"/>
      <c r="L39" s="22"/>
      <c r="M39" s="23"/>
      <c r="N39" s="23"/>
      <c r="O39" s="26" t="s">
        <v>131</v>
      </c>
      <c r="P39" s="26"/>
      <c r="Q39" s="26"/>
      <c r="R39" s="22">
        <v>3</v>
      </c>
      <c r="S39" s="24">
        <v>45747</v>
      </c>
      <c r="T39" s="24"/>
      <c r="U39" s="24"/>
      <c r="V39" s="24"/>
      <c r="W39" s="24">
        <v>45755</v>
      </c>
      <c r="X39" s="22" t="s">
        <v>37</v>
      </c>
      <c r="Y39" s="4" t="str">
        <f>IF(Tabela2[[#This Row],[SIGLA]]="","",VLOOKUP(Tabela2[[#This Row],[SIGLA]],Tabela1[[#All],[Sigla Arte]:[Crédito]],2,0))</f>
        <v>GUILHERME RODRIGUES/ARQUIVO DA EDITORA</v>
      </c>
      <c r="Z39" s="23" t="s">
        <v>132</v>
      </c>
      <c r="AA39" s="23" t="str">
        <f>Tabela2[[#This Row],[ILUSTRADOR CRIAÇÃO]]</f>
        <v>GUILHERME RODRIGUES/ARQUIVO DA EDITORA</v>
      </c>
      <c r="AB39" s="22">
        <v>13</v>
      </c>
      <c r="AC39" s="20" t="s">
        <v>43</v>
      </c>
      <c r="AD39" s="20" t="s">
        <v>44</v>
      </c>
      <c r="AE39" s="4" t="str">
        <f t="shared" si="0"/>
        <v>EF1 E002 HGC</v>
      </c>
    </row>
    <row r="40" spans="1:31" s="12" customFormat="1" ht="120" x14ac:dyDescent="0.25">
      <c r="A40" s="23" t="s">
        <v>133</v>
      </c>
      <c r="B40" s="20" t="s">
        <v>32</v>
      </c>
      <c r="C40" s="20" t="s">
        <v>33</v>
      </c>
      <c r="D40" s="20" t="s">
        <v>34</v>
      </c>
      <c r="E40" s="22">
        <v>154</v>
      </c>
      <c r="F40" s="22">
        <v>1</v>
      </c>
      <c r="G40" s="22">
        <v>4</v>
      </c>
      <c r="H40" s="40" t="s">
        <v>128</v>
      </c>
      <c r="I40" s="23" t="s">
        <v>39</v>
      </c>
      <c r="J40" s="23"/>
      <c r="K40" s="22"/>
      <c r="L40" s="22"/>
      <c r="M40" s="23"/>
      <c r="N40" s="23"/>
      <c r="O40" s="26" t="s">
        <v>134</v>
      </c>
      <c r="P40" s="26"/>
      <c r="Q40" s="26"/>
      <c r="R40" s="22">
        <v>3</v>
      </c>
      <c r="S40" s="24">
        <v>45747</v>
      </c>
      <c r="T40" s="24">
        <v>45761</v>
      </c>
      <c r="U40" s="24"/>
      <c r="V40" s="24"/>
      <c r="W40" s="24">
        <v>45763</v>
      </c>
      <c r="X40" s="22" t="s">
        <v>62</v>
      </c>
      <c r="Y40" s="4" t="str">
        <f>IF(Tabela2[[#This Row],[SIGLA]]="","",VLOOKUP(Tabela2[[#This Row],[SIGLA]],Tabela1[[#All],[Sigla Arte]:[Crédito]],2,0))</f>
        <v>IVY NUNES/ARQUIVO DA EDITORA</v>
      </c>
      <c r="Z40" s="23" t="s">
        <v>74</v>
      </c>
      <c r="AA40" s="23" t="str">
        <f>Tabela2[[#This Row],[ILUSTRADOR CRIAÇÃO]]</f>
        <v>IVY NUNES/ARQUIVO DA EDITORA</v>
      </c>
      <c r="AB40" s="22">
        <v>13</v>
      </c>
      <c r="AC40" s="20" t="s">
        <v>43</v>
      </c>
      <c r="AD40" s="20" t="s">
        <v>44</v>
      </c>
      <c r="AE40" s="4" t="str">
        <f t="shared" si="0"/>
        <v>EF1 E002 HGC</v>
      </c>
    </row>
    <row r="41" spans="1:31" s="12" customFormat="1" ht="45" x14ac:dyDescent="0.25">
      <c r="A41" s="23" t="s">
        <v>135</v>
      </c>
      <c r="B41" s="20" t="s">
        <v>136</v>
      </c>
      <c r="C41" s="20" t="s">
        <v>33</v>
      </c>
      <c r="D41" s="20" t="s">
        <v>34</v>
      </c>
      <c r="E41" s="22">
        <v>186</v>
      </c>
      <c r="F41" s="22">
        <v>1</v>
      </c>
      <c r="G41" s="22">
        <v>4</v>
      </c>
      <c r="H41" s="22" t="s">
        <v>137</v>
      </c>
      <c r="I41" s="23" t="s">
        <v>35</v>
      </c>
      <c r="J41" s="23"/>
      <c r="K41" s="22"/>
      <c r="L41" s="22"/>
      <c r="M41" s="23"/>
      <c r="N41" s="23"/>
      <c r="O41" s="26" t="s">
        <v>138</v>
      </c>
      <c r="P41" s="26"/>
      <c r="Q41" s="26"/>
      <c r="R41" s="22"/>
      <c r="S41" s="24"/>
      <c r="T41" s="24"/>
      <c r="U41" s="24"/>
      <c r="V41" s="24"/>
      <c r="W41" s="24"/>
      <c r="X41" s="22" t="s">
        <v>139</v>
      </c>
      <c r="Y41" s="4" t="str">
        <f>IF(Tabela2[[#This Row],[SIGLA]]="","",VLOOKUP(Tabela2[[#This Row],[SIGLA]],Tabela1[[#All],[Sigla Arte]:[Crédito]],2,0))</f>
        <v>HELOÍSA PINTARELLI/ARQUIVO DA EDITORA</v>
      </c>
      <c r="Z41" s="23"/>
      <c r="AA41" s="23" t="str">
        <f>Tabela2[[#This Row],[ILUSTRADOR CRIAÇÃO]]</f>
        <v>HELOÍSA PINTARELLI/ARQUIVO DA EDITORA</v>
      </c>
      <c r="AB41" s="22"/>
      <c r="AC41" s="20"/>
      <c r="AD41" s="20"/>
      <c r="AE41" s="4" t="str">
        <f t="shared" si="0"/>
        <v>EF1 E002 HGC</v>
      </c>
    </row>
    <row r="42" spans="1:31" s="12" customFormat="1" ht="300" x14ac:dyDescent="0.25">
      <c r="A42" s="23" t="s">
        <v>140</v>
      </c>
      <c r="B42" s="20" t="s">
        <v>32</v>
      </c>
      <c r="C42" s="20" t="s">
        <v>33</v>
      </c>
      <c r="D42" s="20" t="s">
        <v>34</v>
      </c>
      <c r="E42" s="22">
        <v>153</v>
      </c>
      <c r="F42" s="22">
        <v>1</v>
      </c>
      <c r="G42" s="22">
        <v>4</v>
      </c>
      <c r="H42" s="40" t="s">
        <v>128</v>
      </c>
      <c r="I42" s="23" t="s">
        <v>39</v>
      </c>
      <c r="J42" s="23"/>
      <c r="K42" s="22"/>
      <c r="L42" s="22"/>
      <c r="M42" s="23"/>
      <c r="N42" s="23"/>
      <c r="O42" s="26" t="s">
        <v>141</v>
      </c>
      <c r="P42" s="26"/>
      <c r="Q42" s="26"/>
      <c r="R42" s="22">
        <v>3</v>
      </c>
      <c r="S42" s="24">
        <v>45747</v>
      </c>
      <c r="T42" s="24">
        <v>45761</v>
      </c>
      <c r="U42" s="24"/>
      <c r="V42" s="24"/>
      <c r="W42" s="24">
        <v>45763</v>
      </c>
      <c r="X42" s="22" t="s">
        <v>41</v>
      </c>
      <c r="Y42" s="4" t="str">
        <f>IF(Tabela2[[#This Row],[SIGLA]]="","",VLOOKUP(Tabela2[[#This Row],[SIGLA]],Tabela1[[#All],[Sigla Arte]:[Crédito]],2,0))</f>
        <v>CARLITOS PINHEIRO/ARQUIVO DA EDITORA</v>
      </c>
      <c r="Z42" s="23" t="s">
        <v>74</v>
      </c>
      <c r="AA42" s="23" t="str">
        <f>Tabela2[[#This Row],[ILUSTRADOR CRIAÇÃO]]</f>
        <v>CARLITOS PINHEIRO/ARQUIVO DA EDITORA</v>
      </c>
      <c r="AB42" s="22">
        <v>13</v>
      </c>
      <c r="AC42" s="20" t="s">
        <v>43</v>
      </c>
      <c r="AD42" s="20" t="s">
        <v>44</v>
      </c>
      <c r="AE42" s="4" t="str">
        <f t="shared" si="0"/>
        <v>EF1 E002 HGC</v>
      </c>
    </row>
    <row r="43" spans="1:31" s="12" customFormat="1" ht="120" x14ac:dyDescent="0.25">
      <c r="A43" s="23" t="s">
        <v>142</v>
      </c>
      <c r="B43" s="20" t="s">
        <v>32</v>
      </c>
      <c r="C43" s="20" t="s">
        <v>33</v>
      </c>
      <c r="D43" s="20" t="s">
        <v>34</v>
      </c>
      <c r="E43" s="22">
        <v>154</v>
      </c>
      <c r="F43" s="22">
        <v>1</v>
      </c>
      <c r="G43" s="22">
        <v>4</v>
      </c>
      <c r="H43" s="40" t="s">
        <v>128</v>
      </c>
      <c r="I43" s="23" t="s">
        <v>39</v>
      </c>
      <c r="J43" s="23"/>
      <c r="K43" s="22"/>
      <c r="L43" s="22"/>
      <c r="M43" s="23"/>
      <c r="N43" s="23"/>
      <c r="O43" s="26" t="s">
        <v>143</v>
      </c>
      <c r="P43" s="26"/>
      <c r="Q43" s="26"/>
      <c r="R43" s="22">
        <v>3</v>
      </c>
      <c r="S43" s="24">
        <v>45747</v>
      </c>
      <c r="T43" s="24">
        <v>45761</v>
      </c>
      <c r="U43" s="24"/>
      <c r="V43" s="24"/>
      <c r="W43" s="24">
        <v>45763</v>
      </c>
      <c r="X43" s="22" t="s">
        <v>62</v>
      </c>
      <c r="Y43" s="4" t="str">
        <f>IF(Tabela2[[#This Row],[SIGLA]]="","",VLOOKUP(Tabela2[[#This Row],[SIGLA]],Tabela1[[#All],[Sigla Arte]:[Crédito]],2,0))</f>
        <v>IVY NUNES/ARQUIVO DA EDITORA</v>
      </c>
      <c r="Z43" s="23" t="s">
        <v>74</v>
      </c>
      <c r="AA43" s="23" t="str">
        <f>Tabela2[[#This Row],[ILUSTRADOR CRIAÇÃO]]</f>
        <v>IVY NUNES/ARQUIVO DA EDITORA</v>
      </c>
      <c r="AB43" s="22">
        <v>13</v>
      </c>
      <c r="AC43" s="20" t="s">
        <v>43</v>
      </c>
      <c r="AD43" s="20" t="s">
        <v>44</v>
      </c>
      <c r="AE43" s="4" t="str">
        <f t="shared" si="0"/>
        <v>EF1 E002 HGC</v>
      </c>
    </row>
    <row r="44" spans="1:31" s="12" customFormat="1" ht="75" x14ac:dyDescent="0.25">
      <c r="A44" s="23" t="s">
        <v>144</v>
      </c>
      <c r="B44" s="20" t="s">
        <v>136</v>
      </c>
      <c r="C44" s="20" t="s">
        <v>33</v>
      </c>
      <c r="D44" s="20" t="s">
        <v>34</v>
      </c>
      <c r="E44" s="22">
        <v>157</v>
      </c>
      <c r="F44" s="22">
        <v>1</v>
      </c>
      <c r="G44" s="22">
        <v>4</v>
      </c>
      <c r="H44" s="40" t="s">
        <v>128</v>
      </c>
      <c r="I44" s="23" t="s">
        <v>39</v>
      </c>
      <c r="J44" s="23"/>
      <c r="K44" s="22"/>
      <c r="L44" s="22"/>
      <c r="M44" s="23"/>
      <c r="N44" s="23"/>
      <c r="O44" s="26" t="s">
        <v>145</v>
      </c>
      <c r="P44" s="26"/>
      <c r="Q44" s="26"/>
      <c r="R44" s="22">
        <v>3</v>
      </c>
      <c r="S44" s="24">
        <v>45747</v>
      </c>
      <c r="T44" s="24"/>
      <c r="U44" s="24"/>
      <c r="V44" s="24"/>
      <c r="W44" s="24">
        <v>45755</v>
      </c>
      <c r="X44" s="22" t="s">
        <v>41</v>
      </c>
      <c r="Y44" s="4" t="str">
        <f>IF(Tabela2[[#This Row],[SIGLA]]="","",VLOOKUP(Tabela2[[#This Row],[SIGLA]],Tabela1[[#All],[Sigla Arte]:[Crédito]],2,0))</f>
        <v>CARLITOS PINHEIRO/ARQUIVO DA EDITORA</v>
      </c>
      <c r="Z44" s="23" t="s">
        <v>132</v>
      </c>
      <c r="AA44" s="23" t="str">
        <f>Tabela2[[#This Row],[ILUSTRADOR CRIAÇÃO]]</f>
        <v>CARLITOS PINHEIRO/ARQUIVO DA EDITORA</v>
      </c>
      <c r="AB44" s="22">
        <v>13</v>
      </c>
      <c r="AC44" s="20" t="s">
        <v>43</v>
      </c>
      <c r="AD44" s="20" t="s">
        <v>44</v>
      </c>
      <c r="AE44" s="4" t="str">
        <f t="shared" si="0"/>
        <v>EF1 E002 HGC</v>
      </c>
    </row>
    <row r="45" spans="1:31" s="12" customFormat="1" ht="45" x14ac:dyDescent="0.25">
      <c r="A45" s="23" t="s">
        <v>146</v>
      </c>
      <c r="B45" s="20" t="s">
        <v>136</v>
      </c>
      <c r="C45" s="20" t="s">
        <v>33</v>
      </c>
      <c r="D45" s="20" t="s">
        <v>34</v>
      </c>
      <c r="E45" s="22">
        <v>186</v>
      </c>
      <c r="F45" s="22">
        <v>1</v>
      </c>
      <c r="G45" s="22">
        <v>4</v>
      </c>
      <c r="H45" s="22" t="s">
        <v>137</v>
      </c>
      <c r="I45" s="23" t="s">
        <v>35</v>
      </c>
      <c r="J45" s="23"/>
      <c r="K45" s="22"/>
      <c r="L45" s="22"/>
      <c r="M45" s="23"/>
      <c r="N45" s="23"/>
      <c r="O45" s="26" t="s">
        <v>147</v>
      </c>
      <c r="P45" s="26"/>
      <c r="Q45" s="26"/>
      <c r="R45" s="22"/>
      <c r="S45" s="24"/>
      <c r="T45" s="24"/>
      <c r="U45" s="24"/>
      <c r="V45" s="24"/>
      <c r="W45" s="24"/>
      <c r="X45" s="22" t="s">
        <v>139</v>
      </c>
      <c r="Y45" s="4" t="str">
        <f>IF(Tabela2[[#This Row],[SIGLA]]="","",VLOOKUP(Tabela2[[#This Row],[SIGLA]],Tabela1[[#All],[Sigla Arte]:[Crédito]],2,0))</f>
        <v>HELOÍSA PINTARELLI/ARQUIVO DA EDITORA</v>
      </c>
      <c r="Z45" s="23"/>
      <c r="AA45" s="23" t="str">
        <f>Tabela2[[#This Row],[ILUSTRADOR CRIAÇÃO]]</f>
        <v>HELOÍSA PINTARELLI/ARQUIVO DA EDITORA</v>
      </c>
      <c r="AB45" s="22"/>
      <c r="AC45" s="20"/>
      <c r="AD45" s="20"/>
      <c r="AE45" s="4" t="str">
        <f t="shared" si="0"/>
        <v>EF1 E002 HGC</v>
      </c>
    </row>
    <row r="46" spans="1:31" s="12" customFormat="1" ht="45" x14ac:dyDescent="0.25">
      <c r="A46" s="23" t="s">
        <v>148</v>
      </c>
      <c r="B46" s="20" t="s">
        <v>136</v>
      </c>
      <c r="C46" s="20" t="s">
        <v>33</v>
      </c>
      <c r="D46" s="20" t="s">
        <v>34</v>
      </c>
      <c r="E46" s="22">
        <v>186</v>
      </c>
      <c r="F46" s="22">
        <v>1</v>
      </c>
      <c r="G46" s="22">
        <v>4</v>
      </c>
      <c r="H46" s="22" t="s">
        <v>137</v>
      </c>
      <c r="I46" s="23" t="s">
        <v>35</v>
      </c>
      <c r="J46" s="23"/>
      <c r="K46" s="22"/>
      <c r="L46" s="22"/>
      <c r="M46" s="23"/>
      <c r="N46" s="23"/>
      <c r="O46" s="26" t="s">
        <v>149</v>
      </c>
      <c r="P46" s="26"/>
      <c r="Q46" s="26"/>
      <c r="R46" s="22"/>
      <c r="S46" s="24"/>
      <c r="T46" s="24"/>
      <c r="U46" s="24"/>
      <c r="V46" s="24"/>
      <c r="W46" s="24"/>
      <c r="X46" s="22" t="s">
        <v>139</v>
      </c>
      <c r="Y46" s="4" t="str">
        <f>IF(Tabela2[[#This Row],[SIGLA]]="","",VLOOKUP(Tabela2[[#This Row],[SIGLA]],Tabela1[[#All],[Sigla Arte]:[Crédito]],2,0))</f>
        <v>HELOÍSA PINTARELLI/ARQUIVO DA EDITORA</v>
      </c>
      <c r="Z46" s="23"/>
      <c r="AA46" s="23" t="str">
        <f>Tabela2[[#This Row],[ILUSTRADOR CRIAÇÃO]]</f>
        <v>HELOÍSA PINTARELLI/ARQUIVO DA EDITORA</v>
      </c>
      <c r="AB46" s="22"/>
      <c r="AC46" s="20"/>
      <c r="AD46" s="20"/>
      <c r="AE46" s="4" t="str">
        <f t="shared" si="0"/>
        <v>EF1 E002 HGC</v>
      </c>
    </row>
    <row r="47" spans="1:31" s="12" customFormat="1" ht="165" x14ac:dyDescent="0.25">
      <c r="A47" s="23" t="s">
        <v>150</v>
      </c>
      <c r="B47" s="20" t="s">
        <v>32</v>
      </c>
      <c r="C47" s="20" t="s">
        <v>33</v>
      </c>
      <c r="D47" s="20" t="s">
        <v>34</v>
      </c>
      <c r="E47" s="22">
        <v>32</v>
      </c>
      <c r="F47" s="22">
        <v>1</v>
      </c>
      <c r="G47" s="22">
        <v>1</v>
      </c>
      <c r="H47" s="22"/>
      <c r="I47" s="23" t="s">
        <v>91</v>
      </c>
      <c r="J47" s="23"/>
      <c r="K47" s="22"/>
      <c r="L47" s="22"/>
      <c r="M47" s="23"/>
      <c r="N47" s="23"/>
      <c r="O47" s="26" t="s">
        <v>151</v>
      </c>
      <c r="P47" s="26"/>
      <c r="Q47" s="26"/>
      <c r="R47" s="22">
        <v>4</v>
      </c>
      <c r="S47" s="24">
        <v>45755</v>
      </c>
      <c r="T47" s="24">
        <v>45757</v>
      </c>
      <c r="U47" s="24">
        <v>45769</v>
      </c>
      <c r="V47" s="24">
        <v>45770</v>
      </c>
      <c r="W47" s="24">
        <v>45777</v>
      </c>
      <c r="X47" s="22" t="s">
        <v>41</v>
      </c>
      <c r="Y47" s="4" t="str">
        <f>IF(Tabela2[[#This Row],[SIGLA]]="","",VLOOKUP(Tabela2[[#This Row],[SIGLA]],Tabela1[[#All],[Sigla Arte]:[Crédito]],2,0))</f>
        <v>CARLITOS PINHEIRO/ARQUIVO DA EDITORA</v>
      </c>
      <c r="Z47" s="23"/>
      <c r="AA47" s="23" t="str">
        <f>Tabela2[[#This Row],[ILUSTRADOR CRIAÇÃO]]</f>
        <v>CARLITOS PINHEIRO/ARQUIVO DA EDITORA</v>
      </c>
      <c r="AB47" s="22">
        <v>4</v>
      </c>
      <c r="AC47" s="20" t="s">
        <v>152</v>
      </c>
      <c r="AD47" s="20" t="s">
        <v>94</v>
      </c>
      <c r="AE47" s="4" t="str">
        <f t="shared" si="0"/>
        <v>EF1 E002 HGC</v>
      </c>
    </row>
    <row r="48" spans="1:31" s="12" customFormat="1" ht="150" x14ac:dyDescent="0.25">
      <c r="A48" s="23" t="s">
        <v>153</v>
      </c>
      <c r="B48" s="20" t="s">
        <v>32</v>
      </c>
      <c r="C48" s="20" t="s">
        <v>33</v>
      </c>
      <c r="D48" s="20" t="s">
        <v>34</v>
      </c>
      <c r="E48" s="22">
        <v>33</v>
      </c>
      <c r="F48" s="22">
        <v>1</v>
      </c>
      <c r="G48" s="22">
        <v>1</v>
      </c>
      <c r="H48" s="22"/>
      <c r="I48" s="23" t="s">
        <v>91</v>
      </c>
      <c r="J48" s="23"/>
      <c r="K48" s="22"/>
      <c r="L48" s="22"/>
      <c r="M48" s="23"/>
      <c r="N48" s="23"/>
      <c r="O48" s="26" t="s">
        <v>154</v>
      </c>
      <c r="P48" s="26"/>
      <c r="Q48" s="26"/>
      <c r="R48" s="22">
        <v>4</v>
      </c>
      <c r="S48" s="24">
        <v>45755</v>
      </c>
      <c r="T48" s="24">
        <v>45757</v>
      </c>
      <c r="U48" s="24">
        <v>45769</v>
      </c>
      <c r="V48" s="24">
        <v>45770</v>
      </c>
      <c r="W48" s="24">
        <v>45777</v>
      </c>
      <c r="X48" s="22" t="s">
        <v>41</v>
      </c>
      <c r="Y48" s="4" t="str">
        <f>IF(Tabela2[[#This Row],[SIGLA]]="","",VLOOKUP(Tabela2[[#This Row],[SIGLA]],Tabela1[[#All],[Sigla Arte]:[Crédito]],2,0))</f>
        <v>CARLITOS PINHEIRO/ARQUIVO DA EDITORA</v>
      </c>
      <c r="Z48" s="23"/>
      <c r="AA48" s="23" t="str">
        <f>Tabela2[[#This Row],[ILUSTRADOR CRIAÇÃO]]</f>
        <v>CARLITOS PINHEIRO/ARQUIVO DA EDITORA</v>
      </c>
      <c r="AB48" s="22">
        <v>4</v>
      </c>
      <c r="AC48" s="20" t="s">
        <v>152</v>
      </c>
      <c r="AD48" s="20" t="s">
        <v>94</v>
      </c>
      <c r="AE48" s="4" t="str">
        <f t="shared" si="0"/>
        <v>EF1 E002 HGC</v>
      </c>
    </row>
    <row r="49" spans="1:31" s="12" customFormat="1" ht="75" x14ac:dyDescent="0.25">
      <c r="A49" s="23" t="s">
        <v>155</v>
      </c>
      <c r="B49" s="20" t="s">
        <v>32</v>
      </c>
      <c r="C49" s="20" t="s">
        <v>33</v>
      </c>
      <c r="D49" s="20" t="s">
        <v>34</v>
      </c>
      <c r="E49" s="22">
        <v>56</v>
      </c>
      <c r="F49" s="22">
        <v>1</v>
      </c>
      <c r="G49" s="22">
        <v>1</v>
      </c>
      <c r="H49" s="22"/>
      <c r="I49" s="23" t="s">
        <v>35</v>
      </c>
      <c r="J49" s="23"/>
      <c r="K49" s="22"/>
      <c r="L49" s="22"/>
      <c r="M49" s="23"/>
      <c r="N49" s="23"/>
      <c r="O49" s="26" t="s">
        <v>156</v>
      </c>
      <c r="P49" s="26"/>
      <c r="Q49" s="26"/>
      <c r="R49" s="22"/>
      <c r="S49" s="24"/>
      <c r="T49" s="24"/>
      <c r="U49" s="24"/>
      <c r="V49" s="24"/>
      <c r="W49" s="24"/>
      <c r="X49" s="22" t="s">
        <v>62</v>
      </c>
      <c r="Y49" s="4" t="str">
        <f>IF(Tabela2[[#This Row],[SIGLA]]="","",VLOOKUP(Tabela2[[#This Row],[SIGLA]],Tabela1[[#All],[Sigla Arte]:[Crédito]],2,0))</f>
        <v>IVY NUNES/ARQUIVO DA EDITORA</v>
      </c>
      <c r="Z49" s="23"/>
      <c r="AA49" s="23" t="str">
        <f>Tabela2[[#This Row],[ILUSTRADOR CRIAÇÃO]]</f>
        <v>IVY NUNES/ARQUIVO DA EDITORA</v>
      </c>
      <c r="AB49" s="22"/>
      <c r="AC49" s="20"/>
      <c r="AD49" s="20"/>
      <c r="AE49" s="4" t="str">
        <f t="shared" si="0"/>
        <v>EF1 E002 HGC</v>
      </c>
    </row>
    <row r="50" spans="1:31" s="12" customFormat="1" ht="45" x14ac:dyDescent="0.25">
      <c r="A50" s="23" t="s">
        <v>157</v>
      </c>
      <c r="B50" s="20" t="s">
        <v>136</v>
      </c>
      <c r="C50" s="20" t="s">
        <v>33</v>
      </c>
      <c r="D50" s="20" t="s">
        <v>34</v>
      </c>
      <c r="E50" s="22">
        <v>56</v>
      </c>
      <c r="F50" s="22">
        <v>1</v>
      </c>
      <c r="G50" s="22">
        <v>1</v>
      </c>
      <c r="H50" s="22"/>
      <c r="I50" s="23" t="s">
        <v>91</v>
      </c>
      <c r="J50" s="23"/>
      <c r="K50" s="22"/>
      <c r="L50" s="22"/>
      <c r="M50" s="23"/>
      <c r="N50" s="23"/>
      <c r="O50" s="26" t="s">
        <v>158</v>
      </c>
      <c r="P50" s="26"/>
      <c r="Q50" s="26" t="s">
        <v>159</v>
      </c>
      <c r="R50" s="22">
        <v>4</v>
      </c>
      <c r="S50" s="24">
        <v>45755</v>
      </c>
      <c r="T50" s="24"/>
      <c r="U50" s="24"/>
      <c r="V50" s="24"/>
      <c r="W50" s="24"/>
      <c r="X50" s="22"/>
      <c r="Y50" s="4" t="str">
        <f>IF(Tabela2[[#This Row],[SIGLA]]="","",VLOOKUP(Tabela2[[#This Row],[SIGLA]],Tabela1[[#All],[Sigla Arte]:[Crédito]],2,0))</f>
        <v/>
      </c>
      <c r="Z50" s="23"/>
      <c r="AA50" s="23" t="str">
        <f>Tabela2[[#This Row],[ILUSTRADOR CRIAÇÃO]]</f>
        <v/>
      </c>
      <c r="AB50" s="22"/>
      <c r="AC50" s="20"/>
      <c r="AD50" s="20" t="s">
        <v>44</v>
      </c>
      <c r="AE50" s="4" t="str">
        <f t="shared" si="0"/>
        <v>EF1 E002 HGC</v>
      </c>
    </row>
    <row r="51" spans="1:31" s="12" customFormat="1" ht="45" x14ac:dyDescent="0.25">
      <c r="A51" s="23" t="s">
        <v>160</v>
      </c>
      <c r="B51" s="20" t="s">
        <v>136</v>
      </c>
      <c r="C51" s="20" t="s">
        <v>33</v>
      </c>
      <c r="D51" s="20" t="s">
        <v>34</v>
      </c>
      <c r="E51" s="22">
        <v>56</v>
      </c>
      <c r="F51" s="22">
        <v>1</v>
      </c>
      <c r="G51" s="22">
        <v>1</v>
      </c>
      <c r="H51" s="22"/>
      <c r="I51" s="23" t="s">
        <v>91</v>
      </c>
      <c r="J51" s="23"/>
      <c r="K51" s="22"/>
      <c r="L51" s="22"/>
      <c r="M51" s="23"/>
      <c r="N51" s="23"/>
      <c r="O51" s="26" t="s">
        <v>161</v>
      </c>
      <c r="P51" s="26"/>
      <c r="Q51" s="26" t="s">
        <v>159</v>
      </c>
      <c r="R51" s="22">
        <v>4</v>
      </c>
      <c r="S51" s="24">
        <v>45755</v>
      </c>
      <c r="T51" s="24"/>
      <c r="U51" s="24"/>
      <c r="V51" s="24"/>
      <c r="W51" s="24"/>
      <c r="X51" s="22"/>
      <c r="Y51" s="4" t="str">
        <f>IF(Tabela2[[#This Row],[SIGLA]]="","",VLOOKUP(Tabela2[[#This Row],[SIGLA]],Tabela1[[#All],[Sigla Arte]:[Crédito]],2,0))</f>
        <v/>
      </c>
      <c r="Z51" s="23"/>
      <c r="AA51" s="23" t="str">
        <f>Tabela2[[#This Row],[ILUSTRADOR CRIAÇÃO]]</f>
        <v/>
      </c>
      <c r="AB51" s="22"/>
      <c r="AC51" s="20"/>
      <c r="AD51" s="20" t="s">
        <v>44</v>
      </c>
      <c r="AE51" s="4" t="str">
        <f t="shared" si="0"/>
        <v>EF1 E002 HGC</v>
      </c>
    </row>
    <row r="52" spans="1:31" s="12" customFormat="1" ht="30" x14ac:dyDescent="0.25">
      <c r="A52" s="23" t="s">
        <v>162</v>
      </c>
      <c r="B52" s="20" t="s">
        <v>32</v>
      </c>
      <c r="C52" s="20" t="s">
        <v>33</v>
      </c>
      <c r="D52" s="20" t="s">
        <v>34</v>
      </c>
      <c r="E52" s="22">
        <v>57</v>
      </c>
      <c r="F52" s="22">
        <v>1</v>
      </c>
      <c r="G52" s="22">
        <v>1</v>
      </c>
      <c r="H52" s="22"/>
      <c r="I52" s="23" t="s">
        <v>35</v>
      </c>
      <c r="J52" s="23"/>
      <c r="K52" s="22"/>
      <c r="L52" s="22"/>
      <c r="M52" s="23"/>
      <c r="N52" s="23"/>
      <c r="O52" s="26" t="s">
        <v>163</v>
      </c>
      <c r="P52" s="26"/>
      <c r="Q52" s="26"/>
      <c r="R52" s="22"/>
      <c r="S52" s="24"/>
      <c r="T52" s="24"/>
      <c r="U52" s="24"/>
      <c r="V52" s="24"/>
      <c r="W52" s="24"/>
      <c r="X52" s="22" t="s">
        <v>37</v>
      </c>
      <c r="Y52" s="4" t="str">
        <f>IF(Tabela2[[#This Row],[SIGLA]]="","",VLOOKUP(Tabela2[[#This Row],[SIGLA]],Tabela1[[#All],[Sigla Arte]:[Crédito]],2,0))</f>
        <v>GUILHERME RODRIGUES/ARQUIVO DA EDITORA</v>
      </c>
      <c r="Z52" s="23"/>
      <c r="AA52" s="23" t="str">
        <f>Tabela2[[#This Row],[ILUSTRADOR CRIAÇÃO]]</f>
        <v>GUILHERME RODRIGUES/ARQUIVO DA EDITORA</v>
      </c>
      <c r="AB52" s="22"/>
      <c r="AC52" s="20"/>
      <c r="AD52" s="20"/>
      <c r="AE52" s="4" t="str">
        <f t="shared" si="0"/>
        <v>EF1 E002 HGC</v>
      </c>
    </row>
    <row r="53" spans="1:31" s="12" customFormat="1" x14ac:dyDescent="0.25">
      <c r="A53" s="23" t="s">
        <v>164</v>
      </c>
      <c r="B53" s="20" t="s">
        <v>32</v>
      </c>
      <c r="C53" s="20" t="s">
        <v>33</v>
      </c>
      <c r="D53" s="20" t="s">
        <v>34</v>
      </c>
      <c r="E53" s="22">
        <v>57</v>
      </c>
      <c r="F53" s="22">
        <v>1</v>
      </c>
      <c r="G53" s="22">
        <v>1</v>
      </c>
      <c r="H53" s="22"/>
      <c r="I53" s="23" t="s">
        <v>35</v>
      </c>
      <c r="J53" s="23"/>
      <c r="K53" s="22"/>
      <c r="L53" s="22"/>
      <c r="M53" s="23"/>
      <c r="N53" s="23"/>
      <c r="O53" s="26" t="s">
        <v>165</v>
      </c>
      <c r="P53" s="26"/>
      <c r="Q53" s="26"/>
      <c r="R53" s="22"/>
      <c r="S53" s="24"/>
      <c r="T53" s="24"/>
      <c r="U53" s="24"/>
      <c r="V53" s="24"/>
      <c r="W53" s="24"/>
      <c r="X53" s="22" t="s">
        <v>37</v>
      </c>
      <c r="Y53" s="4" t="str">
        <f>IF(Tabela2[[#This Row],[SIGLA]]="","",VLOOKUP(Tabela2[[#This Row],[SIGLA]],Tabela1[[#All],[Sigla Arte]:[Crédito]],2,0))</f>
        <v>GUILHERME RODRIGUES/ARQUIVO DA EDITORA</v>
      </c>
      <c r="Z53" s="23"/>
      <c r="AA53" s="23" t="str">
        <f>Tabela2[[#This Row],[ILUSTRADOR CRIAÇÃO]]</f>
        <v>GUILHERME RODRIGUES/ARQUIVO DA EDITORA</v>
      </c>
      <c r="AB53" s="22"/>
      <c r="AC53" s="20"/>
      <c r="AD53" s="20"/>
      <c r="AE53" s="4" t="str">
        <f t="shared" si="0"/>
        <v>EF1 E002 HGC</v>
      </c>
    </row>
    <row r="54" spans="1:31" s="12" customFormat="1" x14ac:dyDescent="0.25">
      <c r="A54" s="23" t="s">
        <v>166</v>
      </c>
      <c r="B54" s="20" t="s">
        <v>32</v>
      </c>
      <c r="C54" s="20" t="s">
        <v>33</v>
      </c>
      <c r="D54" s="20" t="s">
        <v>34</v>
      </c>
      <c r="E54" s="22">
        <v>57</v>
      </c>
      <c r="F54" s="22">
        <v>1</v>
      </c>
      <c r="G54" s="22">
        <v>1</v>
      </c>
      <c r="H54" s="22"/>
      <c r="I54" s="23" t="s">
        <v>35</v>
      </c>
      <c r="J54" s="23"/>
      <c r="K54" s="22"/>
      <c r="L54" s="22"/>
      <c r="M54" s="23"/>
      <c r="N54" s="23"/>
      <c r="O54" s="26" t="s">
        <v>167</v>
      </c>
      <c r="P54" s="26"/>
      <c r="Q54" s="26"/>
      <c r="R54" s="22"/>
      <c r="S54" s="24"/>
      <c r="T54" s="24"/>
      <c r="U54" s="24"/>
      <c r="V54" s="24"/>
      <c r="W54" s="24"/>
      <c r="X54" s="22" t="s">
        <v>37</v>
      </c>
      <c r="Y54" s="4" t="str">
        <f>IF(Tabela2[[#This Row],[SIGLA]]="","",VLOOKUP(Tabela2[[#This Row],[SIGLA]],Tabela1[[#All],[Sigla Arte]:[Crédito]],2,0))</f>
        <v>GUILHERME RODRIGUES/ARQUIVO DA EDITORA</v>
      </c>
      <c r="Z54" s="23"/>
      <c r="AA54" s="23" t="str">
        <f>Tabela2[[#This Row],[ILUSTRADOR CRIAÇÃO]]</f>
        <v>GUILHERME RODRIGUES/ARQUIVO DA EDITORA</v>
      </c>
      <c r="AB54" s="22"/>
      <c r="AC54" s="20"/>
      <c r="AD54" s="20"/>
      <c r="AE54" s="4" t="str">
        <f t="shared" si="0"/>
        <v>EF1 E002 HGC</v>
      </c>
    </row>
    <row r="55" spans="1:31" s="12" customFormat="1" ht="30" x14ac:dyDescent="0.25">
      <c r="A55" s="23" t="s">
        <v>168</v>
      </c>
      <c r="B55" s="20" t="s">
        <v>32</v>
      </c>
      <c r="C55" s="20" t="s">
        <v>33</v>
      </c>
      <c r="D55" s="20" t="s">
        <v>34</v>
      </c>
      <c r="E55" s="22">
        <v>57</v>
      </c>
      <c r="F55" s="22">
        <v>1</v>
      </c>
      <c r="G55" s="22">
        <v>1</v>
      </c>
      <c r="H55" s="22"/>
      <c r="I55" s="23" t="s">
        <v>35</v>
      </c>
      <c r="J55" s="23"/>
      <c r="K55" s="22"/>
      <c r="L55" s="22"/>
      <c r="M55" s="23"/>
      <c r="N55" s="23"/>
      <c r="O55" s="26" t="s">
        <v>169</v>
      </c>
      <c r="P55" s="26"/>
      <c r="Q55" s="26"/>
      <c r="R55" s="22"/>
      <c r="S55" s="24"/>
      <c r="T55" s="24"/>
      <c r="U55" s="24"/>
      <c r="V55" s="24"/>
      <c r="W55" s="24"/>
      <c r="X55" s="22" t="s">
        <v>37</v>
      </c>
      <c r="Y55" s="4" t="str">
        <f>IF(Tabela2[[#This Row],[SIGLA]]="","",VLOOKUP(Tabela2[[#This Row],[SIGLA]],Tabela1[[#All],[Sigla Arte]:[Crédito]],2,0))</f>
        <v>GUILHERME RODRIGUES/ARQUIVO DA EDITORA</v>
      </c>
      <c r="Z55" s="23"/>
      <c r="AA55" s="23" t="str">
        <f>Tabela2[[#This Row],[ILUSTRADOR CRIAÇÃO]]</f>
        <v>GUILHERME RODRIGUES/ARQUIVO DA EDITORA</v>
      </c>
      <c r="AB55" s="22"/>
      <c r="AC55" s="20"/>
      <c r="AD55" s="20"/>
      <c r="AE55" s="4" t="str">
        <f t="shared" si="0"/>
        <v>EF1 E002 HGC</v>
      </c>
    </row>
    <row r="56" spans="1:31" s="12" customFormat="1" x14ac:dyDescent="0.25">
      <c r="A56" s="23" t="s">
        <v>170</v>
      </c>
      <c r="B56" s="20" t="s">
        <v>32</v>
      </c>
      <c r="C56" s="20" t="s">
        <v>33</v>
      </c>
      <c r="D56" s="20" t="s">
        <v>34</v>
      </c>
      <c r="E56" s="22">
        <v>57</v>
      </c>
      <c r="F56" s="22">
        <v>1</v>
      </c>
      <c r="G56" s="22">
        <v>1</v>
      </c>
      <c r="H56" s="22"/>
      <c r="I56" s="23" t="s">
        <v>35</v>
      </c>
      <c r="J56" s="23"/>
      <c r="K56" s="22"/>
      <c r="L56" s="22"/>
      <c r="M56" s="23"/>
      <c r="N56" s="23"/>
      <c r="O56" s="26" t="s">
        <v>171</v>
      </c>
      <c r="P56" s="26"/>
      <c r="Q56" s="26"/>
      <c r="R56" s="22"/>
      <c r="S56" s="24"/>
      <c r="T56" s="24"/>
      <c r="U56" s="24"/>
      <c r="V56" s="24"/>
      <c r="W56" s="24"/>
      <c r="X56" s="22" t="s">
        <v>37</v>
      </c>
      <c r="Y56" s="4" t="str">
        <f>IF(Tabela2[[#This Row],[SIGLA]]="","",VLOOKUP(Tabela2[[#This Row],[SIGLA]],Tabela1[[#All],[Sigla Arte]:[Crédito]],2,0))</f>
        <v>GUILHERME RODRIGUES/ARQUIVO DA EDITORA</v>
      </c>
      <c r="Z56" s="23"/>
      <c r="AA56" s="23" t="str">
        <f>Tabela2[[#This Row],[ILUSTRADOR CRIAÇÃO]]</f>
        <v>GUILHERME RODRIGUES/ARQUIVO DA EDITORA</v>
      </c>
      <c r="AB56" s="22"/>
      <c r="AC56" s="20"/>
      <c r="AD56" s="20"/>
      <c r="AE56" s="4" t="str">
        <f t="shared" si="0"/>
        <v>EF1 E002 HGC</v>
      </c>
    </row>
    <row r="57" spans="1:31" s="12" customFormat="1" x14ac:dyDescent="0.25">
      <c r="A57" s="23" t="s">
        <v>172</v>
      </c>
      <c r="B57" s="20" t="s">
        <v>32</v>
      </c>
      <c r="C57" s="20" t="s">
        <v>33</v>
      </c>
      <c r="D57" s="20" t="s">
        <v>34</v>
      </c>
      <c r="E57" s="22">
        <v>57</v>
      </c>
      <c r="F57" s="22">
        <v>1</v>
      </c>
      <c r="G57" s="22">
        <v>1</v>
      </c>
      <c r="H57" s="22"/>
      <c r="I57" s="23" t="s">
        <v>35</v>
      </c>
      <c r="J57" s="23"/>
      <c r="K57" s="22"/>
      <c r="L57" s="22"/>
      <c r="M57" s="23"/>
      <c r="N57" s="23"/>
      <c r="O57" s="26" t="s">
        <v>173</v>
      </c>
      <c r="P57" s="26"/>
      <c r="Q57" s="26"/>
      <c r="R57" s="22"/>
      <c r="S57" s="24"/>
      <c r="T57" s="24"/>
      <c r="U57" s="24"/>
      <c r="V57" s="24"/>
      <c r="W57" s="24"/>
      <c r="X57" s="22" t="s">
        <v>37</v>
      </c>
      <c r="Y57" s="4" t="str">
        <f>IF(Tabela2[[#This Row],[SIGLA]]="","",VLOOKUP(Tabela2[[#This Row],[SIGLA]],Tabela1[[#All],[Sigla Arte]:[Crédito]],2,0))</f>
        <v>GUILHERME RODRIGUES/ARQUIVO DA EDITORA</v>
      </c>
      <c r="Z57" s="23"/>
      <c r="AA57" s="23" t="str">
        <f>Tabela2[[#This Row],[ILUSTRADOR CRIAÇÃO]]</f>
        <v>GUILHERME RODRIGUES/ARQUIVO DA EDITORA</v>
      </c>
      <c r="AB57" s="22"/>
      <c r="AC57" s="20"/>
      <c r="AD57" s="20"/>
      <c r="AE57" s="4" t="str">
        <f t="shared" si="0"/>
        <v>EF1 E002 HGC</v>
      </c>
    </row>
    <row r="58" spans="1:31" s="12" customFormat="1" ht="45" x14ac:dyDescent="0.25">
      <c r="A58" s="23" t="s">
        <v>174</v>
      </c>
      <c r="B58" s="20" t="s">
        <v>32</v>
      </c>
      <c r="C58" s="20" t="s">
        <v>33</v>
      </c>
      <c r="D58" s="20" t="s">
        <v>34</v>
      </c>
      <c r="E58" s="22">
        <v>58</v>
      </c>
      <c r="F58" s="22">
        <v>1</v>
      </c>
      <c r="G58" s="22">
        <v>1</v>
      </c>
      <c r="H58" s="22"/>
      <c r="I58" s="23" t="s">
        <v>35</v>
      </c>
      <c r="J58" s="23"/>
      <c r="K58" s="22"/>
      <c r="L58" s="22"/>
      <c r="M58" s="23"/>
      <c r="N58" s="23"/>
      <c r="O58" s="26" t="s">
        <v>175</v>
      </c>
      <c r="P58" s="26"/>
      <c r="Q58" s="26"/>
      <c r="R58" s="22"/>
      <c r="S58" s="24"/>
      <c r="T58" s="24"/>
      <c r="U58" s="24"/>
      <c r="V58" s="24"/>
      <c r="W58" s="24"/>
      <c r="X58" s="22" t="s">
        <v>139</v>
      </c>
      <c r="Y58" s="4" t="str">
        <f>IF(Tabela2[[#This Row],[SIGLA]]="","",VLOOKUP(Tabela2[[#This Row],[SIGLA]],Tabela1[[#All],[Sigla Arte]:[Crédito]],2,0))</f>
        <v>HELOÍSA PINTARELLI/ARQUIVO DA EDITORA</v>
      </c>
      <c r="Z58" s="23"/>
      <c r="AA58" s="23" t="str">
        <f>Tabela2[[#This Row],[ILUSTRADOR CRIAÇÃO]]</f>
        <v>HELOÍSA PINTARELLI/ARQUIVO DA EDITORA</v>
      </c>
      <c r="AB58" s="22"/>
      <c r="AC58" s="20"/>
      <c r="AD58" s="20"/>
      <c r="AE58" s="4" t="str">
        <f t="shared" si="0"/>
        <v>EF1 E002 HGC</v>
      </c>
    </row>
    <row r="59" spans="1:31" s="12" customFormat="1" x14ac:dyDescent="0.25">
      <c r="A59" s="23" t="s">
        <v>176</v>
      </c>
      <c r="B59" s="20" t="s">
        <v>32</v>
      </c>
      <c r="C59" s="20" t="s">
        <v>33</v>
      </c>
      <c r="D59" s="20" t="s">
        <v>34</v>
      </c>
      <c r="E59" s="22">
        <v>58</v>
      </c>
      <c r="F59" s="22">
        <v>1</v>
      </c>
      <c r="G59" s="22">
        <v>1</v>
      </c>
      <c r="H59" s="22"/>
      <c r="I59" s="23" t="s">
        <v>35</v>
      </c>
      <c r="J59" s="23"/>
      <c r="K59" s="22"/>
      <c r="L59" s="22"/>
      <c r="M59" s="23"/>
      <c r="N59" s="23"/>
      <c r="O59" s="26" t="s">
        <v>177</v>
      </c>
      <c r="P59" s="26"/>
      <c r="Q59" s="26"/>
      <c r="R59" s="22"/>
      <c r="S59" s="24"/>
      <c r="T59" s="24"/>
      <c r="U59" s="24"/>
      <c r="V59" s="24"/>
      <c r="W59" s="24"/>
      <c r="X59" s="22" t="s">
        <v>139</v>
      </c>
      <c r="Y59" s="4" t="str">
        <f>IF(Tabela2[[#This Row],[SIGLA]]="","",VLOOKUP(Tabela2[[#This Row],[SIGLA]],Tabela1[[#All],[Sigla Arte]:[Crédito]],2,0))</f>
        <v>HELOÍSA PINTARELLI/ARQUIVO DA EDITORA</v>
      </c>
      <c r="Z59" s="23"/>
      <c r="AA59" s="23" t="str">
        <f>Tabela2[[#This Row],[ILUSTRADOR CRIAÇÃO]]</f>
        <v>HELOÍSA PINTARELLI/ARQUIVO DA EDITORA</v>
      </c>
      <c r="AB59" s="22"/>
      <c r="AC59" s="20"/>
      <c r="AD59" s="20"/>
      <c r="AE59" s="4" t="str">
        <f t="shared" si="0"/>
        <v>EF1 E002 HGC</v>
      </c>
    </row>
    <row r="60" spans="1:31" s="12" customFormat="1" x14ac:dyDescent="0.25">
      <c r="A60" s="23" t="s">
        <v>178</v>
      </c>
      <c r="B60" s="20" t="s">
        <v>32</v>
      </c>
      <c r="C60" s="20" t="s">
        <v>33</v>
      </c>
      <c r="D60" s="20" t="s">
        <v>34</v>
      </c>
      <c r="E60" s="22">
        <v>58</v>
      </c>
      <c r="F60" s="22">
        <v>1</v>
      </c>
      <c r="G60" s="22">
        <v>1</v>
      </c>
      <c r="H60" s="22"/>
      <c r="I60" s="23" t="s">
        <v>35</v>
      </c>
      <c r="J60" s="23"/>
      <c r="K60" s="22"/>
      <c r="L60" s="22"/>
      <c r="M60" s="23"/>
      <c r="N60" s="23"/>
      <c r="O60" s="26" t="s">
        <v>179</v>
      </c>
      <c r="P60" s="26"/>
      <c r="Q60" s="26"/>
      <c r="R60" s="22"/>
      <c r="S60" s="24"/>
      <c r="T60" s="24"/>
      <c r="U60" s="24"/>
      <c r="V60" s="24"/>
      <c r="W60" s="24"/>
      <c r="X60" s="22" t="s">
        <v>139</v>
      </c>
      <c r="Y60" s="4" t="str">
        <f>IF(Tabela2[[#This Row],[SIGLA]]="","",VLOOKUP(Tabela2[[#This Row],[SIGLA]],Tabela1[[#All],[Sigla Arte]:[Crédito]],2,0))</f>
        <v>HELOÍSA PINTARELLI/ARQUIVO DA EDITORA</v>
      </c>
      <c r="Z60" s="23"/>
      <c r="AA60" s="23" t="str">
        <f>Tabela2[[#This Row],[ILUSTRADOR CRIAÇÃO]]</f>
        <v>HELOÍSA PINTARELLI/ARQUIVO DA EDITORA</v>
      </c>
      <c r="AB60" s="22"/>
      <c r="AC60" s="20"/>
      <c r="AD60" s="20"/>
      <c r="AE60" s="4" t="str">
        <f t="shared" si="0"/>
        <v>EF1 E002 HGC</v>
      </c>
    </row>
    <row r="61" spans="1:31" s="12" customFormat="1" x14ac:dyDescent="0.25">
      <c r="A61" s="23" t="s">
        <v>180</v>
      </c>
      <c r="B61" s="20" t="s">
        <v>32</v>
      </c>
      <c r="C61" s="20" t="s">
        <v>33</v>
      </c>
      <c r="D61" s="20" t="s">
        <v>34</v>
      </c>
      <c r="E61" s="22">
        <v>58</v>
      </c>
      <c r="F61" s="22">
        <v>1</v>
      </c>
      <c r="G61" s="22">
        <v>1</v>
      </c>
      <c r="H61" s="22"/>
      <c r="I61" s="23" t="s">
        <v>35</v>
      </c>
      <c r="J61" s="23"/>
      <c r="K61" s="22"/>
      <c r="L61" s="22"/>
      <c r="M61" s="23"/>
      <c r="N61" s="23"/>
      <c r="O61" s="26" t="s">
        <v>181</v>
      </c>
      <c r="P61" s="26"/>
      <c r="Q61" s="26"/>
      <c r="R61" s="22"/>
      <c r="S61" s="24"/>
      <c r="T61" s="24"/>
      <c r="U61" s="24"/>
      <c r="V61" s="24"/>
      <c r="W61" s="24"/>
      <c r="X61" s="22" t="s">
        <v>139</v>
      </c>
      <c r="Y61" s="4" t="str">
        <f>IF(Tabela2[[#This Row],[SIGLA]]="","",VLOOKUP(Tabela2[[#This Row],[SIGLA]],Tabela1[[#All],[Sigla Arte]:[Crédito]],2,0))</f>
        <v>HELOÍSA PINTARELLI/ARQUIVO DA EDITORA</v>
      </c>
      <c r="Z61" s="23"/>
      <c r="AA61" s="23" t="str">
        <f>Tabela2[[#This Row],[ILUSTRADOR CRIAÇÃO]]</f>
        <v>HELOÍSA PINTARELLI/ARQUIVO DA EDITORA</v>
      </c>
      <c r="AB61" s="22"/>
      <c r="AC61" s="20"/>
      <c r="AD61" s="20"/>
      <c r="AE61" s="4" t="str">
        <f t="shared" si="0"/>
        <v>EF1 E002 HGC</v>
      </c>
    </row>
    <row r="62" spans="1:31" s="12" customFormat="1" ht="30" x14ac:dyDescent="0.25">
      <c r="A62" s="23" t="s">
        <v>182</v>
      </c>
      <c r="B62" s="20" t="s">
        <v>183</v>
      </c>
      <c r="C62" s="20" t="s">
        <v>33</v>
      </c>
      <c r="D62" s="20" t="s">
        <v>34</v>
      </c>
      <c r="E62" s="22">
        <v>58</v>
      </c>
      <c r="F62" s="22">
        <v>1</v>
      </c>
      <c r="G62" s="22">
        <v>1</v>
      </c>
      <c r="H62" s="22"/>
      <c r="I62" s="23" t="s">
        <v>35</v>
      </c>
      <c r="J62" s="23"/>
      <c r="K62" s="22"/>
      <c r="L62" s="22"/>
      <c r="M62" s="23"/>
      <c r="N62" s="23"/>
      <c r="O62" s="26" t="s">
        <v>184</v>
      </c>
      <c r="P62" s="26"/>
      <c r="Q62" s="26"/>
      <c r="R62" s="22">
        <v>14</v>
      </c>
      <c r="S62" s="24">
        <v>45806</v>
      </c>
      <c r="T62" s="24">
        <v>45807</v>
      </c>
      <c r="U62" s="24"/>
      <c r="V62" s="24"/>
      <c r="W62" s="24">
        <v>45807</v>
      </c>
      <c r="X62" s="22" t="s">
        <v>139</v>
      </c>
      <c r="Y62" s="4" t="str">
        <f>IF(Tabela2[[#This Row],[SIGLA]]="","",VLOOKUP(Tabela2[[#This Row],[SIGLA]],Tabela1[[#All],[Sigla Arte]:[Crédito]],2,0))</f>
        <v>HELOÍSA PINTARELLI/ARQUIVO DA EDITORA</v>
      </c>
      <c r="Z62" s="23" t="s">
        <v>185</v>
      </c>
      <c r="AA62" s="23" t="str">
        <f>Tabela2[[#This Row],[ILUSTRADOR CRIAÇÃO]]</f>
        <v>HELOÍSA PINTARELLI/ARQUIVO DA EDITORA</v>
      </c>
      <c r="AB62" s="22"/>
      <c r="AC62" s="20" t="s">
        <v>83</v>
      </c>
      <c r="AD62" s="20"/>
      <c r="AE62" s="4" t="str">
        <f t="shared" si="0"/>
        <v>EF1 E002 HGC</v>
      </c>
    </row>
    <row r="63" spans="1:31" s="12" customFormat="1" x14ac:dyDescent="0.25">
      <c r="A63" s="23" t="s">
        <v>186</v>
      </c>
      <c r="B63" s="20" t="s">
        <v>32</v>
      </c>
      <c r="C63" s="20" t="s">
        <v>33</v>
      </c>
      <c r="D63" s="20" t="s">
        <v>34</v>
      </c>
      <c r="E63" s="22">
        <v>58</v>
      </c>
      <c r="F63" s="22">
        <v>1</v>
      </c>
      <c r="G63" s="22">
        <v>1</v>
      </c>
      <c r="H63" s="22"/>
      <c r="I63" s="23" t="s">
        <v>35</v>
      </c>
      <c r="J63" s="23"/>
      <c r="K63" s="22"/>
      <c r="L63" s="22"/>
      <c r="M63" s="23"/>
      <c r="N63" s="23"/>
      <c r="O63" s="26" t="s">
        <v>187</v>
      </c>
      <c r="P63" s="26"/>
      <c r="Q63" s="26"/>
      <c r="R63" s="22"/>
      <c r="S63" s="24"/>
      <c r="T63" s="24"/>
      <c r="U63" s="24"/>
      <c r="V63" s="24"/>
      <c r="W63" s="24"/>
      <c r="X63" s="22" t="s">
        <v>139</v>
      </c>
      <c r="Y63" s="4" t="str">
        <f>IF(Tabela2[[#This Row],[SIGLA]]="","",VLOOKUP(Tabela2[[#This Row],[SIGLA]],Tabela1[[#All],[Sigla Arte]:[Crédito]],2,0))</f>
        <v>HELOÍSA PINTARELLI/ARQUIVO DA EDITORA</v>
      </c>
      <c r="Z63" s="23"/>
      <c r="AA63" s="23" t="str">
        <f>Tabela2[[#This Row],[ILUSTRADOR CRIAÇÃO]]</f>
        <v>HELOÍSA PINTARELLI/ARQUIVO DA EDITORA</v>
      </c>
      <c r="AB63" s="22"/>
      <c r="AC63" s="20"/>
      <c r="AD63" s="20"/>
      <c r="AE63" s="4" t="str">
        <f t="shared" si="0"/>
        <v>EF1 E002 HGC</v>
      </c>
    </row>
    <row r="64" spans="1:31" s="12" customFormat="1" ht="45" x14ac:dyDescent="0.25">
      <c r="A64" s="23" t="s">
        <v>188</v>
      </c>
      <c r="B64" s="20" t="s">
        <v>32</v>
      </c>
      <c r="C64" s="20" t="s">
        <v>33</v>
      </c>
      <c r="D64" s="20" t="s">
        <v>34</v>
      </c>
      <c r="E64" s="22">
        <v>59</v>
      </c>
      <c r="F64" s="22">
        <v>1</v>
      </c>
      <c r="G64" s="22">
        <v>1</v>
      </c>
      <c r="H64" s="22"/>
      <c r="I64" s="23" t="s">
        <v>91</v>
      </c>
      <c r="J64" s="23"/>
      <c r="K64" s="22"/>
      <c r="L64" s="22"/>
      <c r="M64" s="23"/>
      <c r="N64" s="23"/>
      <c r="O64" s="26" t="s">
        <v>189</v>
      </c>
      <c r="P64" s="26"/>
      <c r="Q64" s="26"/>
      <c r="R64" s="22">
        <v>4</v>
      </c>
      <c r="S64" s="24">
        <v>45755</v>
      </c>
      <c r="T64" s="24">
        <v>45757</v>
      </c>
      <c r="U64" s="24">
        <v>45769</v>
      </c>
      <c r="V64" s="24">
        <v>45770</v>
      </c>
      <c r="W64" s="24">
        <v>45777</v>
      </c>
      <c r="X64" s="22" t="s">
        <v>41</v>
      </c>
      <c r="Y64" s="4" t="str">
        <f>IF(Tabela2[[#This Row],[SIGLA]]="","",VLOOKUP(Tabela2[[#This Row],[SIGLA]],Tabela1[[#All],[Sigla Arte]:[Crédito]],2,0))</f>
        <v>CARLITOS PINHEIRO/ARQUIVO DA EDITORA</v>
      </c>
      <c r="Z64" s="23"/>
      <c r="AA64" s="23" t="str">
        <f>Tabela2[[#This Row],[ILUSTRADOR CRIAÇÃO]]</f>
        <v>CARLITOS PINHEIRO/ARQUIVO DA EDITORA</v>
      </c>
      <c r="AB64" s="22">
        <v>5</v>
      </c>
      <c r="AC64" s="20" t="s">
        <v>152</v>
      </c>
      <c r="AD64" s="20" t="s">
        <v>94</v>
      </c>
      <c r="AE64" s="4" t="str">
        <f t="shared" si="0"/>
        <v>EF1 E002 HGC</v>
      </c>
    </row>
    <row r="65" spans="1:31" s="12" customFormat="1" ht="60" x14ac:dyDescent="0.25">
      <c r="A65" s="23" t="s">
        <v>190</v>
      </c>
      <c r="B65" s="20" t="s">
        <v>32</v>
      </c>
      <c r="C65" s="20" t="s">
        <v>33</v>
      </c>
      <c r="D65" s="20" t="s">
        <v>34</v>
      </c>
      <c r="E65" s="22">
        <v>59</v>
      </c>
      <c r="F65" s="22">
        <v>1</v>
      </c>
      <c r="G65" s="22">
        <v>1</v>
      </c>
      <c r="H65" s="22"/>
      <c r="I65" s="23" t="s">
        <v>91</v>
      </c>
      <c r="J65" s="23"/>
      <c r="K65" s="22"/>
      <c r="L65" s="22"/>
      <c r="M65" s="23"/>
      <c r="N65" s="23"/>
      <c r="O65" s="26" t="s">
        <v>191</v>
      </c>
      <c r="P65" s="26"/>
      <c r="Q65" s="26"/>
      <c r="R65" s="22">
        <v>4</v>
      </c>
      <c r="S65" s="24">
        <v>45755</v>
      </c>
      <c r="T65" s="24">
        <v>45757</v>
      </c>
      <c r="U65" s="24">
        <v>45769</v>
      </c>
      <c r="V65" s="24">
        <v>45770</v>
      </c>
      <c r="W65" s="24">
        <v>45777</v>
      </c>
      <c r="X65" s="22" t="s">
        <v>41</v>
      </c>
      <c r="Y65" s="4" t="str">
        <f>IF(Tabela2[[#This Row],[SIGLA]]="","",VLOOKUP(Tabela2[[#This Row],[SIGLA]],Tabela1[[#All],[Sigla Arte]:[Crédito]],2,0))</f>
        <v>CARLITOS PINHEIRO/ARQUIVO DA EDITORA</v>
      </c>
      <c r="Z65" s="23"/>
      <c r="AA65" s="23" t="str">
        <f>Tabela2[[#This Row],[ILUSTRADOR CRIAÇÃO]]</f>
        <v>CARLITOS PINHEIRO/ARQUIVO DA EDITORA</v>
      </c>
      <c r="AB65" s="22">
        <v>5</v>
      </c>
      <c r="AC65" s="20" t="s">
        <v>152</v>
      </c>
      <c r="AD65" s="20" t="s">
        <v>94</v>
      </c>
      <c r="AE65" s="4" t="str">
        <f t="shared" si="0"/>
        <v>EF1 E002 HGC</v>
      </c>
    </row>
    <row r="66" spans="1:31" s="12" customFormat="1" ht="90" x14ac:dyDescent="0.25">
      <c r="A66" s="23" t="s">
        <v>192</v>
      </c>
      <c r="B66" s="20" t="s">
        <v>32</v>
      </c>
      <c r="C66" s="20" t="s">
        <v>33</v>
      </c>
      <c r="D66" s="20" t="s">
        <v>34</v>
      </c>
      <c r="E66" s="22">
        <v>59</v>
      </c>
      <c r="F66" s="22">
        <v>1</v>
      </c>
      <c r="G66" s="22">
        <v>1</v>
      </c>
      <c r="H66" s="22"/>
      <c r="I66" s="23" t="s">
        <v>91</v>
      </c>
      <c r="J66" s="23"/>
      <c r="K66" s="22"/>
      <c r="L66" s="22"/>
      <c r="M66" s="23"/>
      <c r="N66" s="23"/>
      <c r="O66" s="26" t="s">
        <v>193</v>
      </c>
      <c r="P66" s="26"/>
      <c r="Q66" s="26"/>
      <c r="R66" s="22">
        <v>4</v>
      </c>
      <c r="S66" s="24">
        <v>45755</v>
      </c>
      <c r="T66" s="24">
        <v>45757</v>
      </c>
      <c r="U66" s="24">
        <v>45769</v>
      </c>
      <c r="V66" s="24">
        <v>45770</v>
      </c>
      <c r="W66" s="24">
        <v>45777</v>
      </c>
      <c r="X66" s="22" t="s">
        <v>41</v>
      </c>
      <c r="Y66" s="4" t="str">
        <f>IF(Tabela2[[#This Row],[SIGLA]]="","",VLOOKUP(Tabela2[[#This Row],[SIGLA]],Tabela1[[#All],[Sigla Arte]:[Crédito]],2,0))</f>
        <v>CARLITOS PINHEIRO/ARQUIVO DA EDITORA</v>
      </c>
      <c r="Z66" s="23"/>
      <c r="AA66" s="23" t="str">
        <f>Tabela2[[#This Row],[ILUSTRADOR CRIAÇÃO]]</f>
        <v>CARLITOS PINHEIRO/ARQUIVO DA EDITORA</v>
      </c>
      <c r="AB66" s="22">
        <v>5</v>
      </c>
      <c r="AC66" s="20" t="s">
        <v>152</v>
      </c>
      <c r="AD66" s="20" t="s">
        <v>94</v>
      </c>
      <c r="AE66" s="4" t="str">
        <f t="shared" ref="AE66:AE129" si="1">"EF1 E002 HGC"</f>
        <v>EF1 E002 HGC</v>
      </c>
    </row>
    <row r="67" spans="1:31" s="12" customFormat="1" ht="60" x14ac:dyDescent="0.25">
      <c r="A67" s="23" t="s">
        <v>194</v>
      </c>
      <c r="B67" s="20" t="s">
        <v>32</v>
      </c>
      <c r="C67" s="20" t="s">
        <v>33</v>
      </c>
      <c r="D67" s="20" t="s">
        <v>34</v>
      </c>
      <c r="E67" s="22">
        <v>59</v>
      </c>
      <c r="F67" s="22">
        <v>1</v>
      </c>
      <c r="G67" s="22">
        <v>1</v>
      </c>
      <c r="H67" s="22"/>
      <c r="I67" s="23" t="s">
        <v>91</v>
      </c>
      <c r="J67" s="23"/>
      <c r="K67" s="22"/>
      <c r="L67" s="22"/>
      <c r="M67" s="23"/>
      <c r="N67" s="23"/>
      <c r="O67" s="26" t="s">
        <v>195</v>
      </c>
      <c r="P67" s="26"/>
      <c r="Q67" s="26"/>
      <c r="R67" s="22">
        <v>4</v>
      </c>
      <c r="S67" s="24">
        <v>45755</v>
      </c>
      <c r="T67" s="24">
        <v>45757</v>
      </c>
      <c r="U67" s="24">
        <v>45769</v>
      </c>
      <c r="V67" s="24">
        <v>45770</v>
      </c>
      <c r="W67" s="24">
        <v>45777</v>
      </c>
      <c r="X67" s="22" t="s">
        <v>41</v>
      </c>
      <c r="Y67" s="4" t="str">
        <f>IF(Tabela2[[#This Row],[SIGLA]]="","",VLOOKUP(Tabela2[[#This Row],[SIGLA]],Tabela1[[#All],[Sigla Arte]:[Crédito]],2,0))</f>
        <v>CARLITOS PINHEIRO/ARQUIVO DA EDITORA</v>
      </c>
      <c r="Z67" s="23"/>
      <c r="AA67" s="23" t="str">
        <f>Tabela2[[#This Row],[ILUSTRADOR CRIAÇÃO]]</f>
        <v>CARLITOS PINHEIRO/ARQUIVO DA EDITORA</v>
      </c>
      <c r="AB67" s="22">
        <v>5</v>
      </c>
      <c r="AC67" s="20" t="s">
        <v>152</v>
      </c>
      <c r="AD67" s="20" t="s">
        <v>94</v>
      </c>
      <c r="AE67" s="4" t="str">
        <f t="shared" si="1"/>
        <v>EF1 E002 HGC</v>
      </c>
    </row>
    <row r="68" spans="1:31" s="12" customFormat="1" ht="45" x14ac:dyDescent="0.25">
      <c r="A68" s="23" t="s">
        <v>196</v>
      </c>
      <c r="B68" s="20" t="s">
        <v>32</v>
      </c>
      <c r="C68" s="20" t="s">
        <v>33</v>
      </c>
      <c r="D68" s="20" t="s">
        <v>34</v>
      </c>
      <c r="E68" s="22">
        <v>148</v>
      </c>
      <c r="F68" s="22">
        <v>1</v>
      </c>
      <c r="G68" s="22">
        <v>4</v>
      </c>
      <c r="H68" s="22"/>
      <c r="I68" s="23" t="s">
        <v>39</v>
      </c>
      <c r="J68" s="23"/>
      <c r="K68" s="22"/>
      <c r="L68" s="22"/>
      <c r="M68" s="23"/>
      <c r="N68" s="23"/>
      <c r="O68" s="26" t="s">
        <v>197</v>
      </c>
      <c r="P68" s="26"/>
      <c r="Q68" s="26"/>
      <c r="R68" s="22">
        <v>5</v>
      </c>
      <c r="S68" s="24">
        <v>45756</v>
      </c>
      <c r="T68" s="24">
        <v>45757</v>
      </c>
      <c r="U68" s="24"/>
      <c r="V68" s="24"/>
      <c r="W68" s="24">
        <v>45757</v>
      </c>
      <c r="X68" s="22" t="s">
        <v>37</v>
      </c>
      <c r="Y68" s="4" t="str">
        <f>IF(Tabela2[[#This Row],[SIGLA]]="","",VLOOKUP(Tabela2[[#This Row],[SIGLA]],Tabela1[[#All],[Sigla Arte]:[Crédito]],2,0))</f>
        <v>GUILHERME RODRIGUES/ARQUIVO DA EDITORA</v>
      </c>
      <c r="Z68" s="23" t="s">
        <v>82</v>
      </c>
      <c r="AA68" s="23" t="str">
        <f>Tabela2[[#This Row],[ILUSTRADOR CRIAÇÃO]]</f>
        <v>GUILHERME RODRIGUES/ARQUIVO DA EDITORA</v>
      </c>
      <c r="AB68" s="22">
        <v>14</v>
      </c>
      <c r="AC68" s="20"/>
      <c r="AD68" s="20" t="s">
        <v>44</v>
      </c>
      <c r="AE68" s="4" t="str">
        <f t="shared" si="1"/>
        <v>EF1 E002 HGC</v>
      </c>
    </row>
    <row r="69" spans="1:31" s="12" customFormat="1" ht="45" x14ac:dyDescent="0.25">
      <c r="A69" s="23" t="s">
        <v>198</v>
      </c>
      <c r="B69" s="20" t="s">
        <v>32</v>
      </c>
      <c r="C69" s="20" t="s">
        <v>33</v>
      </c>
      <c r="D69" s="20" t="s">
        <v>34</v>
      </c>
      <c r="E69" s="22">
        <v>160</v>
      </c>
      <c r="F69" s="22">
        <v>1</v>
      </c>
      <c r="G69" s="22">
        <v>4</v>
      </c>
      <c r="H69" s="22"/>
      <c r="I69" s="23" t="s">
        <v>35</v>
      </c>
      <c r="J69" s="23"/>
      <c r="K69" s="22"/>
      <c r="L69" s="22"/>
      <c r="M69" s="23"/>
      <c r="N69" s="23"/>
      <c r="O69" s="26" t="s">
        <v>199</v>
      </c>
      <c r="P69" s="26"/>
      <c r="Q69" s="26"/>
      <c r="R69" s="22"/>
      <c r="S69" s="24"/>
      <c r="T69" s="24"/>
      <c r="U69" s="24"/>
      <c r="V69" s="24"/>
      <c r="W69" s="24"/>
      <c r="X69" s="22" t="s">
        <v>200</v>
      </c>
      <c r="Y69" s="4" t="str">
        <f>IF(Tabela2[[#This Row],[SIGLA]]="","",VLOOKUP(Tabela2[[#This Row],[SIGLA]],Tabela1[[#All],[Sigla Arte]:[Crédito]],2,0))</f>
        <v>KÉZIA TRENTINI/ARQUIVO DA EDITORA</v>
      </c>
      <c r="Z69" s="23"/>
      <c r="AA69" s="23" t="str">
        <f>Tabela2[[#This Row],[ILUSTRADOR CRIAÇÃO]]</f>
        <v>KÉZIA TRENTINI/ARQUIVO DA EDITORA</v>
      </c>
      <c r="AB69" s="22"/>
      <c r="AC69" s="20"/>
      <c r="AD69" s="20"/>
      <c r="AE69" s="4" t="str">
        <f t="shared" si="1"/>
        <v>EF1 E002 HGC</v>
      </c>
    </row>
    <row r="70" spans="1:31" s="12" customFormat="1" ht="45" x14ac:dyDescent="0.25">
      <c r="A70" s="23" t="s">
        <v>201</v>
      </c>
      <c r="B70" s="20" t="s">
        <v>32</v>
      </c>
      <c r="C70" s="20" t="s">
        <v>33</v>
      </c>
      <c r="D70" s="20" t="s">
        <v>34</v>
      </c>
      <c r="E70" s="22">
        <v>160</v>
      </c>
      <c r="F70" s="22">
        <v>1</v>
      </c>
      <c r="G70" s="22">
        <v>4</v>
      </c>
      <c r="H70" s="22"/>
      <c r="I70" s="23" t="s">
        <v>35</v>
      </c>
      <c r="J70" s="23"/>
      <c r="K70" s="22"/>
      <c r="L70" s="22"/>
      <c r="M70" s="23"/>
      <c r="N70" s="23"/>
      <c r="O70" s="26" t="s">
        <v>202</v>
      </c>
      <c r="P70" s="26"/>
      <c r="Q70" s="26"/>
      <c r="R70" s="22"/>
      <c r="S70" s="24"/>
      <c r="T70" s="24"/>
      <c r="U70" s="24"/>
      <c r="V70" s="24"/>
      <c r="W70" s="24"/>
      <c r="X70" s="22" t="s">
        <v>200</v>
      </c>
      <c r="Y70" s="4" t="str">
        <f>IF(Tabela2[[#This Row],[SIGLA]]="","",VLOOKUP(Tabela2[[#This Row],[SIGLA]],Tabela1[[#All],[Sigla Arte]:[Crédito]],2,0))</f>
        <v>KÉZIA TRENTINI/ARQUIVO DA EDITORA</v>
      </c>
      <c r="Z70" s="23"/>
      <c r="AA70" s="23" t="str">
        <f>Tabela2[[#This Row],[ILUSTRADOR CRIAÇÃO]]</f>
        <v>KÉZIA TRENTINI/ARQUIVO DA EDITORA</v>
      </c>
      <c r="AB70" s="22"/>
      <c r="AC70" s="20"/>
      <c r="AD70" s="20"/>
      <c r="AE70" s="4" t="str">
        <f t="shared" si="1"/>
        <v>EF1 E002 HGC</v>
      </c>
    </row>
    <row r="71" spans="1:31" s="12" customFormat="1" ht="45" x14ac:dyDescent="0.25">
      <c r="A71" s="23" t="s">
        <v>203</v>
      </c>
      <c r="B71" s="20" t="s">
        <v>32</v>
      </c>
      <c r="C71" s="20" t="s">
        <v>33</v>
      </c>
      <c r="D71" s="20" t="s">
        <v>34</v>
      </c>
      <c r="E71" s="22">
        <v>160</v>
      </c>
      <c r="F71" s="22">
        <v>1</v>
      </c>
      <c r="G71" s="22">
        <v>4</v>
      </c>
      <c r="H71" s="22"/>
      <c r="I71" s="23" t="s">
        <v>35</v>
      </c>
      <c r="J71" s="23"/>
      <c r="K71" s="22"/>
      <c r="L71" s="22"/>
      <c r="M71" s="23"/>
      <c r="N71" s="23"/>
      <c r="O71" s="26" t="s">
        <v>204</v>
      </c>
      <c r="P71" s="26"/>
      <c r="Q71" s="26"/>
      <c r="R71" s="22"/>
      <c r="S71" s="24"/>
      <c r="T71" s="24"/>
      <c r="U71" s="24"/>
      <c r="V71" s="24"/>
      <c r="W71" s="24"/>
      <c r="X71" s="22" t="s">
        <v>200</v>
      </c>
      <c r="Y71" s="4" t="str">
        <f>IF(Tabela2[[#This Row],[SIGLA]]="","",VLOOKUP(Tabela2[[#This Row],[SIGLA]],Tabela1[[#All],[Sigla Arte]:[Crédito]],2,0))</f>
        <v>KÉZIA TRENTINI/ARQUIVO DA EDITORA</v>
      </c>
      <c r="Z71" s="23"/>
      <c r="AA71" s="23" t="str">
        <f>Tabela2[[#This Row],[ILUSTRADOR CRIAÇÃO]]</f>
        <v>KÉZIA TRENTINI/ARQUIVO DA EDITORA</v>
      </c>
      <c r="AB71" s="22"/>
      <c r="AC71" s="20"/>
      <c r="AD71" s="20"/>
      <c r="AE71" s="4" t="str">
        <f t="shared" si="1"/>
        <v>EF1 E002 HGC</v>
      </c>
    </row>
    <row r="72" spans="1:31" s="12" customFormat="1" ht="45" x14ac:dyDescent="0.25">
      <c r="A72" s="23" t="s">
        <v>205</v>
      </c>
      <c r="B72" s="20" t="s">
        <v>32</v>
      </c>
      <c r="C72" s="20" t="s">
        <v>33</v>
      </c>
      <c r="D72" s="20" t="s">
        <v>34</v>
      </c>
      <c r="E72" s="22">
        <v>161</v>
      </c>
      <c r="F72" s="22">
        <v>1</v>
      </c>
      <c r="G72" s="22">
        <v>4</v>
      </c>
      <c r="H72" s="22"/>
      <c r="I72" s="23" t="s">
        <v>35</v>
      </c>
      <c r="J72" s="23"/>
      <c r="K72" s="22"/>
      <c r="L72" s="22"/>
      <c r="M72" s="23"/>
      <c r="N72" s="23"/>
      <c r="O72" s="26" t="s">
        <v>206</v>
      </c>
      <c r="P72" s="26"/>
      <c r="Q72" s="26"/>
      <c r="R72" s="22"/>
      <c r="S72" s="24"/>
      <c r="T72" s="24"/>
      <c r="U72" s="24"/>
      <c r="V72" s="24"/>
      <c r="W72" s="24"/>
      <c r="X72" s="22" t="s">
        <v>200</v>
      </c>
      <c r="Y72" s="4" t="str">
        <f>IF(Tabela2[[#This Row],[SIGLA]]="","",VLOOKUP(Tabela2[[#This Row],[SIGLA]],Tabela1[[#All],[Sigla Arte]:[Crédito]],2,0))</f>
        <v>KÉZIA TRENTINI/ARQUIVO DA EDITORA</v>
      </c>
      <c r="Z72" s="23"/>
      <c r="AA72" s="23" t="str">
        <f>Tabela2[[#This Row],[ILUSTRADOR CRIAÇÃO]]</f>
        <v>KÉZIA TRENTINI/ARQUIVO DA EDITORA</v>
      </c>
      <c r="AB72" s="22"/>
      <c r="AC72" s="20"/>
      <c r="AD72" s="20"/>
      <c r="AE72" s="4" t="str">
        <f t="shared" si="1"/>
        <v>EF1 E002 HGC</v>
      </c>
    </row>
    <row r="73" spans="1:31" s="12" customFormat="1" ht="90" x14ac:dyDescent="0.25">
      <c r="A73" s="23" t="s">
        <v>207</v>
      </c>
      <c r="B73" s="20" t="s">
        <v>32</v>
      </c>
      <c r="C73" s="20" t="s">
        <v>33</v>
      </c>
      <c r="D73" s="20" t="s">
        <v>34</v>
      </c>
      <c r="E73" s="22">
        <v>162</v>
      </c>
      <c r="F73" s="22">
        <v>1</v>
      </c>
      <c r="G73" s="22">
        <v>4</v>
      </c>
      <c r="H73" s="22"/>
      <c r="I73" s="23" t="s">
        <v>39</v>
      </c>
      <c r="J73" s="23"/>
      <c r="K73" s="22"/>
      <c r="L73" s="22"/>
      <c r="M73" s="23"/>
      <c r="N73" s="23"/>
      <c r="O73" s="26" t="s">
        <v>208</v>
      </c>
      <c r="P73" s="26"/>
      <c r="Q73" s="26"/>
      <c r="R73" s="22">
        <v>13</v>
      </c>
      <c r="S73" s="24">
        <v>45803</v>
      </c>
      <c r="T73" s="24">
        <v>45804</v>
      </c>
      <c r="U73" s="24"/>
      <c r="V73" s="24"/>
      <c r="W73" s="24">
        <v>45805</v>
      </c>
      <c r="X73" s="22" t="s">
        <v>200</v>
      </c>
      <c r="Y73" s="4" t="str">
        <f>IF(Tabela2[[#This Row],[SIGLA]]="","",VLOOKUP(Tabela2[[#This Row],[SIGLA]],Tabela1[[#All],[Sigla Arte]:[Crédito]],2,0))</f>
        <v>KÉZIA TRENTINI/ARQUIVO DA EDITORA</v>
      </c>
      <c r="Z73" s="23" t="s">
        <v>74</v>
      </c>
      <c r="AA73" s="23" t="str">
        <f>Tabela2[[#This Row],[ILUSTRADOR CRIAÇÃO]]</f>
        <v>KÉZIA TRENTINI/ARQUIVO DA EDITORA</v>
      </c>
      <c r="AB73" s="22">
        <v>13</v>
      </c>
      <c r="AC73" s="20" t="s">
        <v>43</v>
      </c>
      <c r="AD73" s="20" t="s">
        <v>44</v>
      </c>
      <c r="AE73" s="4" t="str">
        <f t="shared" si="1"/>
        <v>EF1 E002 HGC</v>
      </c>
    </row>
    <row r="74" spans="1:31" s="12" customFormat="1" ht="30" x14ac:dyDescent="0.25">
      <c r="A74" s="23" t="s">
        <v>209</v>
      </c>
      <c r="B74" s="20" t="s">
        <v>32</v>
      </c>
      <c r="C74" s="20" t="s">
        <v>33</v>
      </c>
      <c r="D74" s="20" t="s">
        <v>34</v>
      </c>
      <c r="E74" s="22">
        <v>164</v>
      </c>
      <c r="F74" s="22">
        <v>1</v>
      </c>
      <c r="G74" s="22">
        <v>4</v>
      </c>
      <c r="H74" s="22"/>
      <c r="I74" s="23" t="s">
        <v>35</v>
      </c>
      <c r="J74" s="23"/>
      <c r="K74" s="22"/>
      <c r="L74" s="22"/>
      <c r="M74" s="23"/>
      <c r="N74" s="23"/>
      <c r="O74" s="26" t="s">
        <v>210</v>
      </c>
      <c r="P74" s="26"/>
      <c r="Q74" s="26"/>
      <c r="R74" s="22"/>
      <c r="S74" s="24"/>
      <c r="T74" s="24"/>
      <c r="U74" s="24"/>
      <c r="V74" s="24"/>
      <c r="W74" s="24"/>
      <c r="X74" s="22" t="s">
        <v>211</v>
      </c>
      <c r="Y74" s="4" t="str">
        <f>IF(Tabela2[[#This Row],[SIGLA]]="","",VLOOKUP(Tabela2[[#This Row],[SIGLA]],Tabela1[[#All],[Sigla Arte]:[Crédito]],2,0))</f>
        <v>KEITHY MOSTACHI/ARQUIVO DA EDITORA</v>
      </c>
      <c r="Z74" s="23"/>
      <c r="AA74" s="23" t="str">
        <f>Tabela2[[#This Row],[ILUSTRADOR CRIAÇÃO]]</f>
        <v>KEITHY MOSTACHI/ARQUIVO DA EDITORA</v>
      </c>
      <c r="AB74" s="22"/>
      <c r="AC74" s="20"/>
      <c r="AD74" s="20"/>
      <c r="AE74" s="4" t="str">
        <f t="shared" si="1"/>
        <v>EF1 E002 HGC</v>
      </c>
    </row>
    <row r="75" spans="1:31" s="12" customFormat="1" ht="30" x14ac:dyDescent="0.25">
      <c r="A75" s="23" t="s">
        <v>212</v>
      </c>
      <c r="B75" s="20" t="s">
        <v>32</v>
      </c>
      <c r="C75" s="20" t="s">
        <v>33</v>
      </c>
      <c r="D75" s="20" t="s">
        <v>34</v>
      </c>
      <c r="E75" s="22">
        <v>164</v>
      </c>
      <c r="F75" s="22">
        <v>1</v>
      </c>
      <c r="G75" s="22">
        <v>4</v>
      </c>
      <c r="H75" s="22"/>
      <c r="I75" s="23" t="s">
        <v>35</v>
      </c>
      <c r="J75" s="23"/>
      <c r="K75" s="22"/>
      <c r="L75" s="22"/>
      <c r="M75" s="23"/>
      <c r="N75" s="23"/>
      <c r="O75" s="26" t="s">
        <v>213</v>
      </c>
      <c r="P75" s="26"/>
      <c r="Q75" s="26"/>
      <c r="R75" s="22"/>
      <c r="S75" s="24"/>
      <c r="T75" s="24"/>
      <c r="U75" s="24"/>
      <c r="V75" s="24"/>
      <c r="W75" s="24"/>
      <c r="X75" s="22" t="s">
        <v>211</v>
      </c>
      <c r="Y75" s="4" t="str">
        <f>IF(Tabela2[[#This Row],[SIGLA]]="","",VLOOKUP(Tabela2[[#This Row],[SIGLA]],Tabela1[[#All],[Sigla Arte]:[Crédito]],2,0))</f>
        <v>KEITHY MOSTACHI/ARQUIVO DA EDITORA</v>
      </c>
      <c r="Z75" s="23"/>
      <c r="AA75" s="23" t="str">
        <f>Tabela2[[#This Row],[ILUSTRADOR CRIAÇÃO]]</f>
        <v>KEITHY MOSTACHI/ARQUIVO DA EDITORA</v>
      </c>
      <c r="AB75" s="22"/>
      <c r="AC75" s="20"/>
      <c r="AD75" s="20"/>
      <c r="AE75" s="4" t="str">
        <f t="shared" si="1"/>
        <v>EF1 E002 HGC</v>
      </c>
    </row>
    <row r="76" spans="1:31" s="12" customFormat="1" ht="30" x14ac:dyDescent="0.25">
      <c r="A76" s="23" t="s">
        <v>214</v>
      </c>
      <c r="B76" s="20" t="s">
        <v>32</v>
      </c>
      <c r="C76" s="20" t="s">
        <v>33</v>
      </c>
      <c r="D76" s="20" t="s">
        <v>34</v>
      </c>
      <c r="E76" s="22">
        <v>164</v>
      </c>
      <c r="F76" s="22">
        <v>1</v>
      </c>
      <c r="G76" s="22">
        <v>4</v>
      </c>
      <c r="H76" s="22"/>
      <c r="I76" s="23" t="s">
        <v>35</v>
      </c>
      <c r="J76" s="23"/>
      <c r="K76" s="22"/>
      <c r="L76" s="22"/>
      <c r="M76" s="23"/>
      <c r="N76" s="23"/>
      <c r="O76" s="26" t="s">
        <v>215</v>
      </c>
      <c r="P76" s="26"/>
      <c r="Q76" s="26"/>
      <c r="R76" s="22"/>
      <c r="S76" s="24"/>
      <c r="T76" s="24"/>
      <c r="U76" s="24"/>
      <c r="V76" s="24"/>
      <c r="W76" s="24"/>
      <c r="X76" s="22" t="s">
        <v>211</v>
      </c>
      <c r="Y76" s="4" t="str">
        <f>IF(Tabela2[[#This Row],[SIGLA]]="","",VLOOKUP(Tabela2[[#This Row],[SIGLA]],Tabela1[[#All],[Sigla Arte]:[Crédito]],2,0))</f>
        <v>KEITHY MOSTACHI/ARQUIVO DA EDITORA</v>
      </c>
      <c r="Z76" s="23"/>
      <c r="AA76" s="23" t="str">
        <f>Tabela2[[#This Row],[ILUSTRADOR CRIAÇÃO]]</f>
        <v>KEITHY MOSTACHI/ARQUIVO DA EDITORA</v>
      </c>
      <c r="AB76" s="22"/>
      <c r="AC76" s="20"/>
      <c r="AD76" s="20"/>
      <c r="AE76" s="4" t="str">
        <f t="shared" si="1"/>
        <v>EF1 E002 HGC</v>
      </c>
    </row>
    <row r="77" spans="1:31" s="12" customFormat="1" ht="30" x14ac:dyDescent="0.25">
      <c r="A77" s="23" t="s">
        <v>216</v>
      </c>
      <c r="B77" s="20" t="s">
        <v>32</v>
      </c>
      <c r="C77" s="20" t="s">
        <v>33</v>
      </c>
      <c r="D77" s="20" t="s">
        <v>34</v>
      </c>
      <c r="E77" s="22">
        <v>164</v>
      </c>
      <c r="F77" s="22">
        <v>1</v>
      </c>
      <c r="G77" s="22">
        <v>4</v>
      </c>
      <c r="H77" s="22"/>
      <c r="I77" s="23" t="s">
        <v>35</v>
      </c>
      <c r="J77" s="23"/>
      <c r="K77" s="22"/>
      <c r="L77" s="22"/>
      <c r="M77" s="23"/>
      <c r="N77" s="23"/>
      <c r="O77" s="26" t="s">
        <v>217</v>
      </c>
      <c r="P77" s="26"/>
      <c r="Q77" s="26"/>
      <c r="R77" s="22"/>
      <c r="S77" s="24"/>
      <c r="T77" s="24"/>
      <c r="U77" s="24"/>
      <c r="V77" s="24"/>
      <c r="W77" s="24"/>
      <c r="X77" s="22" t="s">
        <v>211</v>
      </c>
      <c r="Y77" s="4" t="str">
        <f>IF(Tabela2[[#This Row],[SIGLA]]="","",VLOOKUP(Tabela2[[#This Row],[SIGLA]],Tabela1[[#All],[Sigla Arte]:[Crédito]],2,0))</f>
        <v>KEITHY MOSTACHI/ARQUIVO DA EDITORA</v>
      </c>
      <c r="Z77" s="23"/>
      <c r="AA77" s="23" t="str">
        <f>Tabela2[[#This Row],[ILUSTRADOR CRIAÇÃO]]</f>
        <v>KEITHY MOSTACHI/ARQUIVO DA EDITORA</v>
      </c>
      <c r="AB77" s="22"/>
      <c r="AC77" s="20"/>
      <c r="AD77" s="20"/>
      <c r="AE77" s="4" t="str">
        <f t="shared" si="1"/>
        <v>EF1 E002 HGC</v>
      </c>
    </row>
    <row r="78" spans="1:31" s="12" customFormat="1" ht="30" x14ac:dyDescent="0.25">
      <c r="A78" s="23" t="s">
        <v>218</v>
      </c>
      <c r="B78" s="20" t="s">
        <v>32</v>
      </c>
      <c r="C78" s="20" t="s">
        <v>33</v>
      </c>
      <c r="D78" s="20" t="s">
        <v>34</v>
      </c>
      <c r="E78" s="22">
        <v>164</v>
      </c>
      <c r="F78" s="22">
        <v>1</v>
      </c>
      <c r="G78" s="22">
        <v>4</v>
      </c>
      <c r="H78" s="22"/>
      <c r="I78" s="23" t="s">
        <v>35</v>
      </c>
      <c r="J78" s="23"/>
      <c r="K78" s="22"/>
      <c r="L78" s="22"/>
      <c r="M78" s="23"/>
      <c r="N78" s="23"/>
      <c r="O78" s="26" t="s">
        <v>219</v>
      </c>
      <c r="P78" s="26"/>
      <c r="Q78" s="26"/>
      <c r="R78" s="22"/>
      <c r="S78" s="24"/>
      <c r="T78" s="24"/>
      <c r="U78" s="24"/>
      <c r="V78" s="24"/>
      <c r="W78" s="24"/>
      <c r="X78" s="22" t="s">
        <v>211</v>
      </c>
      <c r="Y78" s="4" t="str">
        <f>IF(Tabela2[[#This Row],[SIGLA]]="","",VLOOKUP(Tabela2[[#This Row],[SIGLA]],Tabela1[[#All],[Sigla Arte]:[Crédito]],2,0))</f>
        <v>KEITHY MOSTACHI/ARQUIVO DA EDITORA</v>
      </c>
      <c r="Z78" s="23"/>
      <c r="AA78" s="23" t="str">
        <f>Tabela2[[#This Row],[ILUSTRADOR CRIAÇÃO]]</f>
        <v>KEITHY MOSTACHI/ARQUIVO DA EDITORA</v>
      </c>
      <c r="AB78" s="22"/>
      <c r="AC78" s="20"/>
      <c r="AD78" s="20"/>
      <c r="AE78" s="4" t="str">
        <f t="shared" si="1"/>
        <v>EF1 E002 HGC</v>
      </c>
    </row>
    <row r="79" spans="1:31" s="12" customFormat="1" ht="30" x14ac:dyDescent="0.25">
      <c r="A79" s="23" t="s">
        <v>220</v>
      </c>
      <c r="B79" s="20" t="s">
        <v>32</v>
      </c>
      <c r="C79" s="20" t="s">
        <v>33</v>
      </c>
      <c r="D79" s="20" t="s">
        <v>34</v>
      </c>
      <c r="E79" s="22">
        <v>164</v>
      </c>
      <c r="F79" s="22">
        <v>1</v>
      </c>
      <c r="G79" s="22">
        <v>4</v>
      </c>
      <c r="H79" s="22"/>
      <c r="I79" s="23" t="s">
        <v>35</v>
      </c>
      <c r="J79" s="23"/>
      <c r="K79" s="22"/>
      <c r="L79" s="22"/>
      <c r="M79" s="23"/>
      <c r="N79" s="23"/>
      <c r="O79" s="26" t="s">
        <v>221</v>
      </c>
      <c r="P79" s="26"/>
      <c r="Q79" s="26"/>
      <c r="R79" s="22"/>
      <c r="S79" s="24"/>
      <c r="T79" s="24"/>
      <c r="U79" s="24"/>
      <c r="V79" s="24"/>
      <c r="W79" s="24"/>
      <c r="X79" s="22" t="s">
        <v>211</v>
      </c>
      <c r="Y79" s="4" t="str">
        <f>IF(Tabela2[[#This Row],[SIGLA]]="","",VLOOKUP(Tabela2[[#This Row],[SIGLA]],Tabela1[[#All],[Sigla Arte]:[Crédito]],2,0))</f>
        <v>KEITHY MOSTACHI/ARQUIVO DA EDITORA</v>
      </c>
      <c r="Z79" s="23"/>
      <c r="AA79" s="23" t="str">
        <f>Tabela2[[#This Row],[ILUSTRADOR CRIAÇÃO]]</f>
        <v>KEITHY MOSTACHI/ARQUIVO DA EDITORA</v>
      </c>
      <c r="AB79" s="22"/>
      <c r="AC79" s="20"/>
      <c r="AD79" s="20"/>
      <c r="AE79" s="4" t="str">
        <f t="shared" si="1"/>
        <v>EF1 E002 HGC</v>
      </c>
    </row>
    <row r="80" spans="1:31" s="12" customFormat="1" ht="30" x14ac:dyDescent="0.25">
      <c r="A80" s="23" t="s">
        <v>222</v>
      </c>
      <c r="B80" s="20" t="s">
        <v>32</v>
      </c>
      <c r="C80" s="20" t="s">
        <v>33</v>
      </c>
      <c r="D80" s="20" t="s">
        <v>34</v>
      </c>
      <c r="E80" s="22">
        <v>167</v>
      </c>
      <c r="F80" s="22">
        <v>1</v>
      </c>
      <c r="G80" s="22">
        <v>4</v>
      </c>
      <c r="H80" s="22"/>
      <c r="I80" s="23" t="s">
        <v>35</v>
      </c>
      <c r="J80" s="23"/>
      <c r="K80" s="22"/>
      <c r="L80" s="22"/>
      <c r="M80" s="23"/>
      <c r="N80" s="23"/>
      <c r="O80" s="26" t="s">
        <v>223</v>
      </c>
      <c r="P80" s="26"/>
      <c r="Q80" s="26"/>
      <c r="R80" s="22"/>
      <c r="S80" s="24"/>
      <c r="T80" s="24"/>
      <c r="U80" s="24"/>
      <c r="V80" s="24"/>
      <c r="W80" s="24"/>
      <c r="X80" s="22" t="s">
        <v>224</v>
      </c>
      <c r="Y80" s="4" t="str">
        <f>IF(Tabela2[[#This Row],[SIGLA]]="","",VLOOKUP(Tabela2[[#This Row],[SIGLA]],Tabela1[[#All],[Sigla Arte]:[Crédito]],2,0))</f>
        <v>INGRIDHI BORGES/ARQUIVO DA EDITORA</v>
      </c>
      <c r="Z80" s="23"/>
      <c r="AA80" s="23" t="str">
        <f>Tabela2[[#This Row],[ILUSTRADOR CRIAÇÃO]]</f>
        <v>INGRIDHI BORGES/ARQUIVO DA EDITORA</v>
      </c>
      <c r="AB80" s="22"/>
      <c r="AC80" s="20"/>
      <c r="AD80" s="20"/>
      <c r="AE80" s="4" t="str">
        <f t="shared" si="1"/>
        <v>EF1 E002 HGC</v>
      </c>
    </row>
    <row r="81" spans="1:31" s="12" customFormat="1" ht="45" x14ac:dyDescent="0.25">
      <c r="A81" s="23" t="s">
        <v>225</v>
      </c>
      <c r="B81" s="20" t="s">
        <v>136</v>
      </c>
      <c r="C81" s="20" t="s">
        <v>33</v>
      </c>
      <c r="D81" s="20" t="s">
        <v>34</v>
      </c>
      <c r="E81" s="22">
        <v>167</v>
      </c>
      <c r="F81" s="22">
        <v>1</v>
      </c>
      <c r="G81" s="22">
        <v>4</v>
      </c>
      <c r="H81" s="22"/>
      <c r="I81" s="23" t="s">
        <v>35</v>
      </c>
      <c r="J81" s="23"/>
      <c r="K81" s="22"/>
      <c r="L81" s="22"/>
      <c r="M81" s="23"/>
      <c r="N81" s="23"/>
      <c r="O81" s="26" t="s">
        <v>226</v>
      </c>
      <c r="P81" s="26"/>
      <c r="Q81" s="26"/>
      <c r="R81" s="22"/>
      <c r="S81" s="24"/>
      <c r="T81" s="24"/>
      <c r="U81" s="24"/>
      <c r="V81" s="24"/>
      <c r="W81" s="24"/>
      <c r="X81" s="22" t="s">
        <v>224</v>
      </c>
      <c r="Y81" s="4" t="str">
        <f>IF(Tabela2[[#This Row],[SIGLA]]="","",VLOOKUP(Tabela2[[#This Row],[SIGLA]],Tabela1[[#All],[Sigla Arte]:[Crédito]],2,0))</f>
        <v>INGRIDHI BORGES/ARQUIVO DA EDITORA</v>
      </c>
      <c r="Z81" s="23"/>
      <c r="AA81" s="23" t="str">
        <f>Tabela2[[#This Row],[ILUSTRADOR CRIAÇÃO]]</f>
        <v>INGRIDHI BORGES/ARQUIVO DA EDITORA</v>
      </c>
      <c r="AB81" s="22"/>
      <c r="AC81" s="20"/>
      <c r="AD81" s="20"/>
      <c r="AE81" s="4" t="str">
        <f t="shared" si="1"/>
        <v>EF1 E002 HGC</v>
      </c>
    </row>
    <row r="82" spans="1:31" s="12" customFormat="1" ht="30" x14ac:dyDescent="0.25">
      <c r="A82" s="23" t="s">
        <v>227</v>
      </c>
      <c r="B82" s="20" t="s">
        <v>136</v>
      </c>
      <c r="C82" s="20" t="s">
        <v>33</v>
      </c>
      <c r="D82" s="20" t="s">
        <v>34</v>
      </c>
      <c r="E82" s="22">
        <v>167</v>
      </c>
      <c r="F82" s="22">
        <v>1</v>
      </c>
      <c r="G82" s="22">
        <v>4</v>
      </c>
      <c r="H82" s="22"/>
      <c r="I82" s="23" t="s">
        <v>35</v>
      </c>
      <c r="J82" s="23"/>
      <c r="K82" s="22"/>
      <c r="L82" s="22"/>
      <c r="M82" s="23"/>
      <c r="N82" s="23"/>
      <c r="O82" s="26" t="s">
        <v>228</v>
      </c>
      <c r="P82" s="26"/>
      <c r="Q82" s="26"/>
      <c r="R82" s="22"/>
      <c r="S82" s="24"/>
      <c r="T82" s="24"/>
      <c r="U82" s="24"/>
      <c r="V82" s="24"/>
      <c r="W82" s="24"/>
      <c r="X82" s="22" t="s">
        <v>224</v>
      </c>
      <c r="Y82" s="4" t="str">
        <f>IF(Tabela2[[#This Row],[SIGLA]]="","",VLOOKUP(Tabela2[[#This Row],[SIGLA]],Tabela1[[#All],[Sigla Arte]:[Crédito]],2,0))</f>
        <v>INGRIDHI BORGES/ARQUIVO DA EDITORA</v>
      </c>
      <c r="Z82" s="23"/>
      <c r="AA82" s="23" t="str">
        <f>Tabela2[[#This Row],[ILUSTRADOR CRIAÇÃO]]</f>
        <v>INGRIDHI BORGES/ARQUIVO DA EDITORA</v>
      </c>
      <c r="AB82" s="22"/>
      <c r="AC82" s="20"/>
      <c r="AD82" s="20"/>
      <c r="AE82" s="4" t="str">
        <f t="shared" si="1"/>
        <v>EF1 E002 HGC</v>
      </c>
    </row>
    <row r="83" spans="1:31" s="12" customFormat="1" ht="45" x14ac:dyDescent="0.25">
      <c r="A83" s="23" t="s">
        <v>229</v>
      </c>
      <c r="B83" s="20" t="s">
        <v>136</v>
      </c>
      <c r="C83" s="20" t="s">
        <v>33</v>
      </c>
      <c r="D83" s="20" t="s">
        <v>34</v>
      </c>
      <c r="E83" s="22">
        <v>167</v>
      </c>
      <c r="F83" s="22">
        <v>1</v>
      </c>
      <c r="G83" s="22">
        <v>4</v>
      </c>
      <c r="H83" s="22"/>
      <c r="I83" s="23" t="s">
        <v>35</v>
      </c>
      <c r="J83" s="23"/>
      <c r="K83" s="22"/>
      <c r="L83" s="22"/>
      <c r="M83" s="23"/>
      <c r="N83" s="23"/>
      <c r="O83" s="26" t="s">
        <v>230</v>
      </c>
      <c r="P83" s="26"/>
      <c r="Q83" s="26"/>
      <c r="R83" s="22"/>
      <c r="S83" s="24"/>
      <c r="T83" s="24"/>
      <c r="U83" s="24"/>
      <c r="V83" s="24"/>
      <c r="W83" s="24"/>
      <c r="X83" s="22" t="s">
        <v>231</v>
      </c>
      <c r="Y83" s="4" t="str">
        <f>IF(Tabela2[[#This Row],[SIGLA]]="","",VLOOKUP(Tabela2[[#This Row],[SIGLA]],Tabela1[[#All],[Sigla Arte]:[Crédito]],2,0))</f>
        <v>CAIO TANAKA/ARQUIVO DA EDITORA</v>
      </c>
      <c r="Z83" s="23"/>
      <c r="AA83" s="23" t="str">
        <f>Tabela2[[#This Row],[ILUSTRADOR CRIAÇÃO]]</f>
        <v>CAIO TANAKA/ARQUIVO DA EDITORA</v>
      </c>
      <c r="AB83" s="22"/>
      <c r="AC83" s="20"/>
      <c r="AD83" s="20"/>
      <c r="AE83" s="4" t="str">
        <f t="shared" si="1"/>
        <v>EF1 E002 HGC</v>
      </c>
    </row>
    <row r="84" spans="1:31" s="12" customFormat="1" ht="45" x14ac:dyDescent="0.25">
      <c r="A84" s="23" t="s">
        <v>232</v>
      </c>
      <c r="B84" s="20" t="s">
        <v>136</v>
      </c>
      <c r="C84" s="20" t="s">
        <v>33</v>
      </c>
      <c r="D84" s="20" t="s">
        <v>34</v>
      </c>
      <c r="E84" s="22">
        <v>167</v>
      </c>
      <c r="F84" s="22">
        <v>1</v>
      </c>
      <c r="G84" s="22">
        <v>4</v>
      </c>
      <c r="H84" s="22"/>
      <c r="I84" s="23" t="s">
        <v>35</v>
      </c>
      <c r="J84" s="23"/>
      <c r="K84" s="22"/>
      <c r="L84" s="22"/>
      <c r="M84" s="23"/>
      <c r="N84" s="23"/>
      <c r="O84" s="26" t="s">
        <v>233</v>
      </c>
      <c r="P84" s="26"/>
      <c r="Q84" s="26"/>
      <c r="R84" s="22"/>
      <c r="S84" s="24"/>
      <c r="T84" s="24"/>
      <c r="U84" s="24"/>
      <c r="V84" s="24"/>
      <c r="W84" s="24"/>
      <c r="X84" s="22" t="s">
        <v>224</v>
      </c>
      <c r="Y84" s="4" t="str">
        <f>IF(Tabela2[[#This Row],[SIGLA]]="","",VLOOKUP(Tabela2[[#This Row],[SIGLA]],Tabela1[[#All],[Sigla Arte]:[Crédito]],2,0))</f>
        <v>INGRIDHI BORGES/ARQUIVO DA EDITORA</v>
      </c>
      <c r="Z84" s="23"/>
      <c r="AA84" s="23" t="str">
        <f>Tabela2[[#This Row],[ILUSTRADOR CRIAÇÃO]]</f>
        <v>INGRIDHI BORGES/ARQUIVO DA EDITORA</v>
      </c>
      <c r="AB84" s="22"/>
      <c r="AC84" s="20"/>
      <c r="AD84" s="20"/>
      <c r="AE84" s="4" t="str">
        <f t="shared" si="1"/>
        <v>EF1 E002 HGC</v>
      </c>
    </row>
    <row r="85" spans="1:31" s="12" customFormat="1" ht="45" x14ac:dyDescent="0.25">
      <c r="A85" s="23" t="s">
        <v>234</v>
      </c>
      <c r="B85" s="20" t="s">
        <v>136</v>
      </c>
      <c r="C85" s="20" t="s">
        <v>33</v>
      </c>
      <c r="D85" s="20" t="s">
        <v>34</v>
      </c>
      <c r="E85" s="22">
        <v>167</v>
      </c>
      <c r="F85" s="22">
        <v>1</v>
      </c>
      <c r="G85" s="22">
        <v>4</v>
      </c>
      <c r="H85" s="22"/>
      <c r="I85" s="23" t="s">
        <v>35</v>
      </c>
      <c r="J85" s="23"/>
      <c r="K85" s="22"/>
      <c r="L85" s="22"/>
      <c r="M85" s="23"/>
      <c r="N85" s="23"/>
      <c r="O85" s="26" t="s">
        <v>235</v>
      </c>
      <c r="P85" s="26"/>
      <c r="Q85" s="26"/>
      <c r="R85" s="22"/>
      <c r="S85" s="24"/>
      <c r="T85" s="24"/>
      <c r="U85" s="24"/>
      <c r="V85" s="24"/>
      <c r="W85" s="24"/>
      <c r="X85" s="22" t="s">
        <v>224</v>
      </c>
      <c r="Y85" s="4" t="str">
        <f>IF(Tabela2[[#This Row],[SIGLA]]="","",VLOOKUP(Tabela2[[#This Row],[SIGLA]],Tabela1[[#All],[Sigla Arte]:[Crédito]],2,0))</f>
        <v>INGRIDHI BORGES/ARQUIVO DA EDITORA</v>
      </c>
      <c r="Z85" s="23"/>
      <c r="AA85" s="23" t="str">
        <f>Tabela2[[#This Row],[ILUSTRADOR CRIAÇÃO]]</f>
        <v>INGRIDHI BORGES/ARQUIVO DA EDITORA</v>
      </c>
      <c r="AB85" s="22"/>
      <c r="AC85" s="20"/>
      <c r="AD85" s="20"/>
      <c r="AE85" s="4" t="str">
        <f t="shared" si="1"/>
        <v>EF1 E002 HGC</v>
      </c>
    </row>
    <row r="86" spans="1:31" s="12" customFormat="1" ht="45" x14ac:dyDescent="0.25">
      <c r="A86" s="23" t="s">
        <v>236</v>
      </c>
      <c r="B86" s="20" t="s">
        <v>32</v>
      </c>
      <c r="C86" s="20" t="s">
        <v>33</v>
      </c>
      <c r="D86" s="20" t="s">
        <v>34</v>
      </c>
      <c r="E86" s="22">
        <v>171</v>
      </c>
      <c r="F86" s="22">
        <v>1</v>
      </c>
      <c r="G86" s="22">
        <v>4</v>
      </c>
      <c r="H86" s="22"/>
      <c r="I86" s="23" t="s">
        <v>35</v>
      </c>
      <c r="J86" s="23"/>
      <c r="K86" s="22"/>
      <c r="L86" s="22"/>
      <c r="M86" s="23"/>
      <c r="N86" s="23"/>
      <c r="O86" s="26" t="s">
        <v>237</v>
      </c>
      <c r="P86" s="26"/>
      <c r="Q86" s="26"/>
      <c r="R86" s="22"/>
      <c r="S86" s="24"/>
      <c r="T86" s="24"/>
      <c r="U86" s="24"/>
      <c r="V86" s="24"/>
      <c r="W86" s="24"/>
      <c r="X86" s="22" t="s">
        <v>238</v>
      </c>
      <c r="Y86" s="4" t="str">
        <f>IF(Tabela2[[#This Row],[SIGLA]]="","",VLOOKUP(Tabela2[[#This Row],[SIGLA]],Tabela1[[#All],[Sigla Arte]:[Crédito]],2,0))</f>
        <v>CLARISSA FRANÇA/ARQUIVO DA EDITORA</v>
      </c>
      <c r="Z86" s="23"/>
      <c r="AA86" s="23" t="str">
        <f>Tabela2[[#This Row],[ILUSTRADOR CRIAÇÃO]]</f>
        <v>CLARISSA FRANÇA/ARQUIVO DA EDITORA</v>
      </c>
      <c r="AB86" s="22"/>
      <c r="AC86" s="20"/>
      <c r="AD86" s="20"/>
      <c r="AE86" s="4" t="str">
        <f t="shared" si="1"/>
        <v>EF1 E002 HGC</v>
      </c>
    </row>
    <row r="87" spans="1:31" s="12" customFormat="1" ht="45" x14ac:dyDescent="0.25">
      <c r="A87" s="23" t="s">
        <v>239</v>
      </c>
      <c r="B87" s="20" t="s">
        <v>32</v>
      </c>
      <c r="C87" s="20" t="s">
        <v>33</v>
      </c>
      <c r="D87" s="20" t="s">
        <v>34</v>
      </c>
      <c r="E87" s="22">
        <v>172</v>
      </c>
      <c r="F87" s="22">
        <v>1</v>
      </c>
      <c r="G87" s="22">
        <v>4</v>
      </c>
      <c r="H87" s="22"/>
      <c r="I87" s="23" t="s">
        <v>35</v>
      </c>
      <c r="J87" s="23"/>
      <c r="K87" s="22"/>
      <c r="L87" s="22"/>
      <c r="M87" s="23"/>
      <c r="N87" s="23"/>
      <c r="O87" s="26" t="s">
        <v>240</v>
      </c>
      <c r="P87" s="26"/>
      <c r="Q87" s="26"/>
      <c r="R87" s="22"/>
      <c r="S87" s="24"/>
      <c r="T87" s="24"/>
      <c r="U87" s="24"/>
      <c r="V87" s="24"/>
      <c r="W87" s="24"/>
      <c r="X87" s="22" t="s">
        <v>41</v>
      </c>
      <c r="Y87" s="4" t="str">
        <f>IF(Tabela2[[#This Row],[SIGLA]]="","",VLOOKUP(Tabela2[[#This Row],[SIGLA]],Tabela1[[#All],[Sigla Arte]:[Crédito]],2,0))</f>
        <v>CARLITOS PINHEIRO/ARQUIVO DA EDITORA</v>
      </c>
      <c r="Z87" s="23"/>
      <c r="AA87" s="23" t="str">
        <f>Tabela2[[#This Row],[ILUSTRADOR CRIAÇÃO]]</f>
        <v>CARLITOS PINHEIRO/ARQUIVO DA EDITORA</v>
      </c>
      <c r="AB87" s="22"/>
      <c r="AC87" s="20"/>
      <c r="AD87" s="20"/>
      <c r="AE87" s="4" t="str">
        <f t="shared" si="1"/>
        <v>EF1 E002 HGC</v>
      </c>
    </row>
    <row r="88" spans="1:31" s="12" customFormat="1" ht="90" x14ac:dyDescent="0.25">
      <c r="A88" s="23" t="s">
        <v>241</v>
      </c>
      <c r="B88" s="20" t="s">
        <v>32</v>
      </c>
      <c r="C88" s="20" t="s">
        <v>33</v>
      </c>
      <c r="D88" s="20" t="s">
        <v>34</v>
      </c>
      <c r="E88" s="22">
        <v>172</v>
      </c>
      <c r="F88" s="22">
        <v>1</v>
      </c>
      <c r="G88" s="22">
        <v>4</v>
      </c>
      <c r="H88" s="22"/>
      <c r="I88" s="23" t="s">
        <v>39</v>
      </c>
      <c r="J88" s="23"/>
      <c r="K88" s="22"/>
      <c r="L88" s="22"/>
      <c r="M88" s="23"/>
      <c r="N88" s="23"/>
      <c r="O88" s="26" t="s">
        <v>242</v>
      </c>
      <c r="P88" s="26"/>
      <c r="Q88" s="26"/>
      <c r="R88" s="22">
        <v>13</v>
      </c>
      <c r="S88" s="24">
        <v>45803</v>
      </c>
      <c r="T88" s="24">
        <v>45804</v>
      </c>
      <c r="U88" s="24"/>
      <c r="V88" s="24"/>
      <c r="W88" s="24">
        <v>45805</v>
      </c>
      <c r="X88" s="22" t="s">
        <v>41</v>
      </c>
      <c r="Y88" s="4" t="str">
        <f>IF(Tabela2[[#This Row],[SIGLA]]="","",VLOOKUP(Tabela2[[#This Row],[SIGLA]],Tabela1[[#All],[Sigla Arte]:[Crédito]],2,0))</f>
        <v>CARLITOS PINHEIRO/ARQUIVO DA EDITORA</v>
      </c>
      <c r="Z88" s="23" t="s">
        <v>74</v>
      </c>
      <c r="AA88" s="23" t="str">
        <f>Tabela2[[#This Row],[ILUSTRADOR CRIAÇÃO]]</f>
        <v>CARLITOS PINHEIRO/ARQUIVO DA EDITORA</v>
      </c>
      <c r="AB88" s="22">
        <v>13</v>
      </c>
      <c r="AC88" s="20" t="s">
        <v>43</v>
      </c>
      <c r="AD88" s="20" t="s">
        <v>44</v>
      </c>
      <c r="AE88" s="4" t="str">
        <f t="shared" si="1"/>
        <v>EF1 E002 HGC</v>
      </c>
    </row>
    <row r="89" spans="1:31" s="12" customFormat="1" ht="45" x14ac:dyDescent="0.25">
      <c r="A89" s="23" t="s">
        <v>243</v>
      </c>
      <c r="B89" s="20" t="s">
        <v>32</v>
      </c>
      <c r="C89" s="20" t="s">
        <v>33</v>
      </c>
      <c r="D89" s="20" t="s">
        <v>34</v>
      </c>
      <c r="E89" s="22">
        <v>172</v>
      </c>
      <c r="F89" s="22">
        <v>1</v>
      </c>
      <c r="G89" s="22">
        <v>4</v>
      </c>
      <c r="H89" s="22"/>
      <c r="I89" s="23" t="s">
        <v>35</v>
      </c>
      <c r="J89" s="23"/>
      <c r="K89" s="22"/>
      <c r="L89" s="22"/>
      <c r="M89" s="23"/>
      <c r="N89" s="23"/>
      <c r="O89" s="26" t="s">
        <v>244</v>
      </c>
      <c r="P89" s="26"/>
      <c r="Q89" s="26"/>
      <c r="R89" s="22"/>
      <c r="S89" s="24"/>
      <c r="T89" s="24"/>
      <c r="U89" s="24"/>
      <c r="V89" s="24"/>
      <c r="W89" s="24"/>
      <c r="X89" s="22" t="s">
        <v>41</v>
      </c>
      <c r="Y89" s="4" t="str">
        <f>IF(Tabela2[[#This Row],[SIGLA]]="","",VLOOKUP(Tabela2[[#This Row],[SIGLA]],Tabela1[[#All],[Sigla Arte]:[Crédito]],2,0))</f>
        <v>CARLITOS PINHEIRO/ARQUIVO DA EDITORA</v>
      </c>
      <c r="Z89" s="23"/>
      <c r="AA89" s="23" t="str">
        <f>Tabela2[[#This Row],[ILUSTRADOR CRIAÇÃO]]</f>
        <v>CARLITOS PINHEIRO/ARQUIVO DA EDITORA</v>
      </c>
      <c r="AB89" s="22"/>
      <c r="AC89" s="20"/>
      <c r="AD89" s="20"/>
      <c r="AE89" s="4" t="str">
        <f t="shared" si="1"/>
        <v>EF1 E002 HGC</v>
      </c>
    </row>
    <row r="90" spans="1:31" s="12" customFormat="1" ht="45" x14ac:dyDescent="0.25">
      <c r="A90" s="23" t="s">
        <v>245</v>
      </c>
      <c r="B90" s="20" t="s">
        <v>32</v>
      </c>
      <c r="C90" s="20" t="s">
        <v>33</v>
      </c>
      <c r="D90" s="20" t="s">
        <v>34</v>
      </c>
      <c r="E90" s="22">
        <v>173</v>
      </c>
      <c r="F90" s="22">
        <v>1</v>
      </c>
      <c r="G90" s="22">
        <v>4</v>
      </c>
      <c r="H90" s="22"/>
      <c r="I90" s="23" t="s">
        <v>35</v>
      </c>
      <c r="J90" s="23"/>
      <c r="K90" s="22"/>
      <c r="L90" s="22"/>
      <c r="M90" s="23"/>
      <c r="N90" s="23"/>
      <c r="O90" s="26" t="s">
        <v>246</v>
      </c>
      <c r="P90" s="26"/>
      <c r="Q90" s="26"/>
      <c r="R90" s="22"/>
      <c r="S90" s="24"/>
      <c r="T90" s="24"/>
      <c r="U90" s="24"/>
      <c r="V90" s="24"/>
      <c r="W90" s="24"/>
      <c r="X90" s="22" t="s">
        <v>41</v>
      </c>
      <c r="Y90" s="4" t="str">
        <f>IF(Tabela2[[#This Row],[SIGLA]]="","",VLOOKUP(Tabela2[[#This Row],[SIGLA]],Tabela1[[#All],[Sigla Arte]:[Crédito]],2,0))</f>
        <v>CARLITOS PINHEIRO/ARQUIVO DA EDITORA</v>
      </c>
      <c r="Z90" s="23"/>
      <c r="AA90" s="23" t="str">
        <f>Tabela2[[#This Row],[ILUSTRADOR CRIAÇÃO]]</f>
        <v>CARLITOS PINHEIRO/ARQUIVO DA EDITORA</v>
      </c>
      <c r="AB90" s="22"/>
      <c r="AC90" s="20"/>
      <c r="AD90" s="20"/>
      <c r="AE90" s="4" t="str">
        <f t="shared" si="1"/>
        <v>EF1 E002 HGC</v>
      </c>
    </row>
    <row r="91" spans="1:31" s="12" customFormat="1" ht="45" x14ac:dyDescent="0.25">
      <c r="A91" s="23" t="s">
        <v>247</v>
      </c>
      <c r="B91" s="20" t="s">
        <v>32</v>
      </c>
      <c r="C91" s="20" t="s">
        <v>33</v>
      </c>
      <c r="D91" s="20" t="s">
        <v>34</v>
      </c>
      <c r="E91" s="22">
        <v>173</v>
      </c>
      <c r="F91" s="22">
        <v>1</v>
      </c>
      <c r="G91" s="22">
        <v>4</v>
      </c>
      <c r="H91" s="22"/>
      <c r="I91" s="23" t="s">
        <v>35</v>
      </c>
      <c r="J91" s="23"/>
      <c r="K91" s="22"/>
      <c r="L91" s="22"/>
      <c r="M91" s="23"/>
      <c r="N91" s="23"/>
      <c r="O91" s="26" t="s">
        <v>248</v>
      </c>
      <c r="P91" s="26"/>
      <c r="Q91" s="26"/>
      <c r="R91" s="22"/>
      <c r="S91" s="24"/>
      <c r="T91" s="24"/>
      <c r="U91" s="24"/>
      <c r="V91" s="24"/>
      <c r="W91" s="24"/>
      <c r="X91" s="22" t="s">
        <v>41</v>
      </c>
      <c r="Y91" s="4" t="str">
        <f>IF(Tabela2[[#This Row],[SIGLA]]="","",VLOOKUP(Tabela2[[#This Row],[SIGLA]],Tabela1[[#All],[Sigla Arte]:[Crédito]],2,0))</f>
        <v>CARLITOS PINHEIRO/ARQUIVO DA EDITORA</v>
      </c>
      <c r="Z91" s="23"/>
      <c r="AA91" s="23" t="str">
        <f>Tabela2[[#This Row],[ILUSTRADOR CRIAÇÃO]]</f>
        <v>CARLITOS PINHEIRO/ARQUIVO DA EDITORA</v>
      </c>
      <c r="AB91" s="22"/>
      <c r="AC91" s="20"/>
      <c r="AD91" s="20"/>
      <c r="AE91" s="4" t="str">
        <f t="shared" si="1"/>
        <v>EF1 E002 HGC</v>
      </c>
    </row>
    <row r="92" spans="1:31" s="12" customFormat="1" ht="105" x14ac:dyDescent="0.25">
      <c r="A92" s="23" t="s">
        <v>249</v>
      </c>
      <c r="B92" s="20" t="s">
        <v>32</v>
      </c>
      <c r="C92" s="20" t="s">
        <v>33</v>
      </c>
      <c r="D92" s="20" t="s">
        <v>34</v>
      </c>
      <c r="E92" s="22">
        <v>176</v>
      </c>
      <c r="F92" s="22">
        <v>1</v>
      </c>
      <c r="G92" s="22">
        <v>4</v>
      </c>
      <c r="H92" s="22"/>
      <c r="I92" s="23" t="s">
        <v>39</v>
      </c>
      <c r="J92" s="23"/>
      <c r="K92" s="22"/>
      <c r="L92" s="22"/>
      <c r="M92" s="23"/>
      <c r="N92" s="23"/>
      <c r="O92" s="26" t="s">
        <v>250</v>
      </c>
      <c r="P92" s="26"/>
      <c r="Q92" s="26"/>
      <c r="R92" s="22">
        <v>5</v>
      </c>
      <c r="S92" s="24">
        <v>45756</v>
      </c>
      <c r="T92" s="24">
        <v>45757</v>
      </c>
      <c r="U92" s="24"/>
      <c r="V92" s="24"/>
      <c r="W92" s="24">
        <v>45757</v>
      </c>
      <c r="X92" s="22" t="s">
        <v>238</v>
      </c>
      <c r="Y92" s="4" t="str">
        <f>IF(Tabela2[[#This Row],[SIGLA]]="","",VLOOKUP(Tabela2[[#This Row],[SIGLA]],Tabela1[[#All],[Sigla Arte]:[Crédito]],2,0))</f>
        <v>CLARISSA FRANÇA/ARQUIVO DA EDITORA</v>
      </c>
      <c r="Z92" s="23" t="s">
        <v>82</v>
      </c>
      <c r="AA92" s="23" t="str">
        <f>Tabela2[[#This Row],[ILUSTRADOR CRIAÇÃO]]</f>
        <v>CLARISSA FRANÇA/ARQUIVO DA EDITORA</v>
      </c>
      <c r="AB92" s="22">
        <v>14</v>
      </c>
      <c r="AC92" s="20"/>
      <c r="AD92" s="20" t="s">
        <v>44</v>
      </c>
      <c r="AE92" s="4" t="str">
        <f t="shared" si="1"/>
        <v>EF1 E002 HGC</v>
      </c>
    </row>
    <row r="93" spans="1:31" s="12" customFormat="1" ht="135" x14ac:dyDescent="0.25">
      <c r="A93" s="23" t="s">
        <v>251</v>
      </c>
      <c r="B93" s="20" t="s">
        <v>32</v>
      </c>
      <c r="C93" s="20" t="s">
        <v>33</v>
      </c>
      <c r="D93" s="20" t="s">
        <v>34</v>
      </c>
      <c r="E93" s="22">
        <v>177</v>
      </c>
      <c r="F93" s="22">
        <v>1</v>
      </c>
      <c r="G93" s="22">
        <v>4</v>
      </c>
      <c r="H93" s="22"/>
      <c r="I93" s="23" t="s">
        <v>39</v>
      </c>
      <c r="J93" s="23"/>
      <c r="K93" s="22"/>
      <c r="L93" s="22"/>
      <c r="M93" s="23"/>
      <c r="N93" s="23"/>
      <c r="O93" s="26" t="s">
        <v>252</v>
      </c>
      <c r="P93" s="26"/>
      <c r="Q93" s="26" t="s">
        <v>253</v>
      </c>
      <c r="R93" s="22">
        <v>5</v>
      </c>
      <c r="S93" s="24">
        <v>45756</v>
      </c>
      <c r="T93" s="24">
        <v>45757</v>
      </c>
      <c r="U93" s="24"/>
      <c r="V93" s="24"/>
      <c r="W93" s="24">
        <v>45757</v>
      </c>
      <c r="X93" s="22" t="s">
        <v>238</v>
      </c>
      <c r="Y93" s="4" t="str">
        <f>IF(Tabela2[[#This Row],[SIGLA]]="","",VLOOKUP(Tabela2[[#This Row],[SIGLA]],Tabela1[[#All],[Sigla Arte]:[Crédito]],2,0))</f>
        <v>CLARISSA FRANÇA/ARQUIVO DA EDITORA</v>
      </c>
      <c r="Z93" s="23" t="s">
        <v>82</v>
      </c>
      <c r="AA93" s="23" t="str">
        <f>Tabela2[[#This Row],[ILUSTRADOR CRIAÇÃO]]</f>
        <v>CLARISSA FRANÇA/ARQUIVO DA EDITORA</v>
      </c>
      <c r="AB93" s="22">
        <v>14</v>
      </c>
      <c r="AC93" s="20"/>
      <c r="AD93" s="20" t="s">
        <v>44</v>
      </c>
      <c r="AE93" s="4" t="str">
        <f t="shared" si="1"/>
        <v>EF1 E002 HGC</v>
      </c>
    </row>
    <row r="94" spans="1:31" s="12" customFormat="1" ht="105" x14ac:dyDescent="0.25">
      <c r="A94" s="23" t="s">
        <v>254</v>
      </c>
      <c r="B94" s="20" t="s">
        <v>32</v>
      </c>
      <c r="C94" s="20" t="s">
        <v>33</v>
      </c>
      <c r="D94" s="20" t="s">
        <v>34</v>
      </c>
      <c r="E94" s="22">
        <v>185</v>
      </c>
      <c r="F94" s="22">
        <v>1</v>
      </c>
      <c r="G94" s="22">
        <v>4</v>
      </c>
      <c r="H94" s="22"/>
      <c r="I94" s="23" t="s">
        <v>39</v>
      </c>
      <c r="J94" s="23"/>
      <c r="K94" s="22"/>
      <c r="L94" s="22"/>
      <c r="M94" s="23"/>
      <c r="N94" s="23"/>
      <c r="O94" s="26" t="s">
        <v>255</v>
      </c>
      <c r="P94" s="26"/>
      <c r="Q94" s="26"/>
      <c r="R94" s="22">
        <v>13</v>
      </c>
      <c r="S94" s="24">
        <v>45803</v>
      </c>
      <c r="T94" s="24">
        <v>45804</v>
      </c>
      <c r="U94" s="24"/>
      <c r="V94" s="24"/>
      <c r="W94" s="24">
        <v>45805</v>
      </c>
      <c r="X94" s="22" t="s">
        <v>200</v>
      </c>
      <c r="Y94" s="4" t="str">
        <f>IF(Tabela2[[#This Row],[SIGLA]]="","",VLOOKUP(Tabela2[[#This Row],[SIGLA]],Tabela1[[#All],[Sigla Arte]:[Crédito]],2,0))</f>
        <v>KÉZIA TRENTINI/ARQUIVO DA EDITORA</v>
      </c>
      <c r="Z94" s="23" t="s">
        <v>74</v>
      </c>
      <c r="AA94" s="23" t="str">
        <f>Tabela2[[#This Row],[ILUSTRADOR CRIAÇÃO]]</f>
        <v>KÉZIA TRENTINI/ARQUIVO DA EDITORA</v>
      </c>
      <c r="AB94" s="22">
        <v>13</v>
      </c>
      <c r="AC94" s="20" t="s">
        <v>43</v>
      </c>
      <c r="AD94" s="20" t="s">
        <v>44</v>
      </c>
      <c r="AE94" s="4" t="str">
        <f t="shared" si="1"/>
        <v>EF1 E002 HGC</v>
      </c>
    </row>
    <row r="95" spans="1:31" s="12" customFormat="1" ht="45" x14ac:dyDescent="0.25">
      <c r="A95" s="23" t="s">
        <v>256</v>
      </c>
      <c r="B95" s="20" t="s">
        <v>32</v>
      </c>
      <c r="C95" s="20" t="s">
        <v>33</v>
      </c>
      <c r="D95" s="20" t="s">
        <v>34</v>
      </c>
      <c r="E95" s="22">
        <v>190</v>
      </c>
      <c r="F95" s="22">
        <v>1</v>
      </c>
      <c r="G95" s="22">
        <v>5</v>
      </c>
      <c r="H95" s="22"/>
      <c r="I95" s="23" t="s">
        <v>39</v>
      </c>
      <c r="J95" s="23"/>
      <c r="K95" s="22"/>
      <c r="L95" s="22"/>
      <c r="M95" s="23"/>
      <c r="N95" s="23"/>
      <c r="O95" s="26" t="s">
        <v>257</v>
      </c>
      <c r="P95" s="26"/>
      <c r="Q95" s="26"/>
      <c r="R95" s="22">
        <v>6</v>
      </c>
      <c r="S95" s="24">
        <v>45757</v>
      </c>
      <c r="T95" s="24">
        <v>45763</v>
      </c>
      <c r="U95" s="24"/>
      <c r="V95" s="24"/>
      <c r="W95" s="24">
        <v>45764</v>
      </c>
      <c r="X95" s="22" t="s">
        <v>258</v>
      </c>
      <c r="Y95" s="4" t="str">
        <f>IF(Tabela2[[#This Row],[SIGLA]]="","",VLOOKUP(Tabela2[[#This Row],[SIGLA]],Tabela1[[#All],[Sigla Arte]:[Crédito]],2,0))</f>
        <v>CAROL SARTORI/ARQUIVO DA EDITORA</v>
      </c>
      <c r="Z95" s="23" t="s">
        <v>185</v>
      </c>
      <c r="AA95" s="23" t="str">
        <f>Tabela2[[#This Row],[ILUSTRADOR CRIAÇÃO]]</f>
        <v>CAROL SARTORI/ARQUIVO DA EDITORA</v>
      </c>
      <c r="AB95" s="22">
        <v>13</v>
      </c>
      <c r="AC95" s="20" t="s">
        <v>259</v>
      </c>
      <c r="AD95" s="20" t="s">
        <v>44</v>
      </c>
      <c r="AE95" s="4" t="str">
        <f t="shared" si="1"/>
        <v>EF1 E002 HGC</v>
      </c>
    </row>
    <row r="96" spans="1:31" s="12" customFormat="1" ht="45" x14ac:dyDescent="0.25">
      <c r="A96" s="23" t="s">
        <v>260</v>
      </c>
      <c r="B96" s="20" t="s">
        <v>32</v>
      </c>
      <c r="C96" s="20" t="s">
        <v>33</v>
      </c>
      <c r="D96" s="20" t="s">
        <v>34</v>
      </c>
      <c r="E96" s="22">
        <v>190</v>
      </c>
      <c r="F96" s="22">
        <v>1</v>
      </c>
      <c r="G96" s="22">
        <v>5</v>
      </c>
      <c r="H96" s="22"/>
      <c r="I96" s="23" t="s">
        <v>35</v>
      </c>
      <c r="J96" s="23"/>
      <c r="K96" s="22"/>
      <c r="L96" s="22"/>
      <c r="M96" s="23"/>
      <c r="N96" s="23"/>
      <c r="O96" s="26" t="s">
        <v>261</v>
      </c>
      <c r="P96" s="26"/>
      <c r="Q96" s="26"/>
      <c r="R96" s="22"/>
      <c r="S96" s="24"/>
      <c r="T96" s="24"/>
      <c r="U96" s="24"/>
      <c r="V96" s="24"/>
      <c r="W96" s="24"/>
      <c r="X96" s="22" t="s">
        <v>258</v>
      </c>
      <c r="Y96" s="4" t="str">
        <f>IF(Tabela2[[#This Row],[SIGLA]]="","",VLOOKUP(Tabela2[[#This Row],[SIGLA]],Tabela1[[#All],[Sigla Arte]:[Crédito]],2,0))</f>
        <v>CAROL SARTORI/ARQUIVO DA EDITORA</v>
      </c>
      <c r="Z96" s="23"/>
      <c r="AA96" s="23" t="str">
        <f>Tabela2[[#This Row],[ILUSTRADOR CRIAÇÃO]]</f>
        <v>CAROL SARTORI/ARQUIVO DA EDITORA</v>
      </c>
      <c r="AB96" s="22"/>
      <c r="AC96" s="20"/>
      <c r="AD96" s="20"/>
      <c r="AE96" s="4" t="str">
        <f t="shared" si="1"/>
        <v>EF1 E002 HGC</v>
      </c>
    </row>
    <row r="97" spans="1:31" s="12" customFormat="1" ht="45" x14ac:dyDescent="0.25">
      <c r="A97" s="23" t="s">
        <v>262</v>
      </c>
      <c r="B97" s="20" t="s">
        <v>183</v>
      </c>
      <c r="C97" s="20" t="s">
        <v>33</v>
      </c>
      <c r="D97" s="20" t="s">
        <v>34</v>
      </c>
      <c r="E97" s="22">
        <v>191</v>
      </c>
      <c r="F97" s="22">
        <v>1</v>
      </c>
      <c r="G97" s="22">
        <v>5</v>
      </c>
      <c r="H97" s="22"/>
      <c r="I97" s="23" t="s">
        <v>35</v>
      </c>
      <c r="J97" s="23"/>
      <c r="K97" s="22"/>
      <c r="L97" s="22"/>
      <c r="M97" s="23"/>
      <c r="N97" s="23"/>
      <c r="O97" s="26" t="s">
        <v>263</v>
      </c>
      <c r="P97" s="26"/>
      <c r="Q97" s="26"/>
      <c r="R97" s="22">
        <v>19</v>
      </c>
      <c r="S97" s="24">
        <v>45834</v>
      </c>
      <c r="T97" s="24"/>
      <c r="U97" s="24"/>
      <c r="V97" s="24"/>
      <c r="W97" s="24"/>
      <c r="X97" s="22" t="s">
        <v>258</v>
      </c>
      <c r="Y97" s="4" t="str">
        <f>IF(Tabela2[[#This Row],[SIGLA]]="","",VLOOKUP(Tabela2[[#This Row],[SIGLA]],Tabela1[[#All],[Sigla Arte]:[Crédito]],2,0))</f>
        <v>CAROL SARTORI/ARQUIVO DA EDITORA</v>
      </c>
      <c r="Z97" s="23"/>
      <c r="AA97" s="23" t="str">
        <f>Tabela2[[#This Row],[ILUSTRADOR CRIAÇÃO]]</f>
        <v>CAROL SARTORI/ARQUIVO DA EDITORA</v>
      </c>
      <c r="AB97" s="22"/>
      <c r="AC97" s="20"/>
      <c r="AD97" s="20"/>
      <c r="AE97" s="4" t="str">
        <f t="shared" si="1"/>
        <v>EF1 E002 HGC</v>
      </c>
    </row>
    <row r="98" spans="1:31" s="12" customFormat="1" ht="30" x14ac:dyDescent="0.25">
      <c r="A98" s="23" t="s">
        <v>264</v>
      </c>
      <c r="B98" s="20" t="s">
        <v>32</v>
      </c>
      <c r="C98" s="20" t="s">
        <v>33</v>
      </c>
      <c r="D98" s="20" t="s">
        <v>34</v>
      </c>
      <c r="E98" s="22">
        <v>191</v>
      </c>
      <c r="F98" s="22">
        <v>1</v>
      </c>
      <c r="G98" s="22">
        <v>5</v>
      </c>
      <c r="H98" s="22"/>
      <c r="I98" s="23" t="s">
        <v>35</v>
      </c>
      <c r="J98" s="23"/>
      <c r="K98" s="22"/>
      <c r="L98" s="22"/>
      <c r="M98" s="23"/>
      <c r="N98" s="23"/>
      <c r="O98" s="26" t="s">
        <v>265</v>
      </c>
      <c r="P98" s="26"/>
      <c r="Q98" s="26"/>
      <c r="R98" s="22"/>
      <c r="S98" s="24"/>
      <c r="T98" s="24"/>
      <c r="U98" s="24"/>
      <c r="V98" s="24"/>
      <c r="W98" s="24"/>
      <c r="X98" s="22" t="s">
        <v>258</v>
      </c>
      <c r="Y98" s="4" t="str">
        <f>IF(Tabela2[[#This Row],[SIGLA]]="","",VLOOKUP(Tabela2[[#This Row],[SIGLA]],Tabela1[[#All],[Sigla Arte]:[Crédito]],2,0))</f>
        <v>CAROL SARTORI/ARQUIVO DA EDITORA</v>
      </c>
      <c r="Z98" s="23"/>
      <c r="AA98" s="23" t="str">
        <f>Tabela2[[#This Row],[ILUSTRADOR CRIAÇÃO]]</f>
        <v>CAROL SARTORI/ARQUIVO DA EDITORA</v>
      </c>
      <c r="AB98" s="22"/>
      <c r="AC98" s="20"/>
      <c r="AD98" s="20"/>
      <c r="AE98" s="4" t="str">
        <f t="shared" si="1"/>
        <v>EF1 E002 HGC</v>
      </c>
    </row>
    <row r="99" spans="1:31" s="12" customFormat="1" ht="60" x14ac:dyDescent="0.25">
      <c r="A99" s="23" t="s">
        <v>266</v>
      </c>
      <c r="B99" s="20" t="s">
        <v>32</v>
      </c>
      <c r="C99" s="20" t="s">
        <v>33</v>
      </c>
      <c r="D99" s="20" t="s">
        <v>34</v>
      </c>
      <c r="E99" s="22">
        <v>197</v>
      </c>
      <c r="F99" s="22">
        <v>1</v>
      </c>
      <c r="G99" s="22">
        <v>5</v>
      </c>
      <c r="H99" s="22"/>
      <c r="I99" s="23" t="s">
        <v>39</v>
      </c>
      <c r="J99" s="23"/>
      <c r="K99" s="22"/>
      <c r="L99" s="22"/>
      <c r="M99" s="23"/>
      <c r="N99" s="23"/>
      <c r="O99" s="26" t="s">
        <v>267</v>
      </c>
      <c r="P99" s="26"/>
      <c r="Q99" s="26"/>
      <c r="R99" s="22">
        <v>6</v>
      </c>
      <c r="S99" s="24">
        <v>45757</v>
      </c>
      <c r="T99" s="24">
        <v>45763</v>
      </c>
      <c r="U99" s="24"/>
      <c r="V99" s="24"/>
      <c r="W99" s="24">
        <v>45764</v>
      </c>
      <c r="X99" s="22" t="s">
        <v>268</v>
      </c>
      <c r="Y99" s="4" t="str">
        <f>IF(Tabela2[[#This Row],[SIGLA]]="","",VLOOKUP(Tabela2[[#This Row],[SIGLA]],Tabela1[[#All],[Sigla Arte]:[Crédito]],2,0))</f>
        <v>RODRIGO CORDEIRO/ARQUIVO DA EDITORA</v>
      </c>
      <c r="Z99" s="23" t="s">
        <v>269</v>
      </c>
      <c r="AA99" s="23" t="str">
        <f>Tabela2[[#This Row],[ILUSTRADOR CRIAÇÃO]]</f>
        <v>RODRIGO CORDEIRO/ARQUIVO DA EDITORA</v>
      </c>
      <c r="AB99" s="22">
        <v>13</v>
      </c>
      <c r="AC99" s="20" t="s">
        <v>259</v>
      </c>
      <c r="AD99" s="20" t="s">
        <v>44</v>
      </c>
      <c r="AE99" s="4" t="str">
        <f t="shared" si="1"/>
        <v>EF1 E002 HGC</v>
      </c>
    </row>
    <row r="100" spans="1:31" s="12" customFormat="1" ht="300" x14ac:dyDescent="0.25">
      <c r="A100" s="23" t="s">
        <v>270</v>
      </c>
      <c r="B100" s="20" t="s">
        <v>32</v>
      </c>
      <c r="C100" s="20" t="s">
        <v>33</v>
      </c>
      <c r="D100" s="20" t="s">
        <v>34</v>
      </c>
      <c r="E100" s="22">
        <v>199</v>
      </c>
      <c r="F100" s="22">
        <v>1</v>
      </c>
      <c r="G100" s="22">
        <v>5</v>
      </c>
      <c r="H100" s="22"/>
      <c r="I100" s="23" t="s">
        <v>91</v>
      </c>
      <c r="J100" s="23"/>
      <c r="K100" s="22"/>
      <c r="L100" s="22"/>
      <c r="M100" s="23"/>
      <c r="N100" s="23"/>
      <c r="O100" s="26" t="s">
        <v>271</v>
      </c>
      <c r="P100" s="26"/>
      <c r="Q100" s="26"/>
      <c r="R100" s="22">
        <v>6</v>
      </c>
      <c r="S100" s="24">
        <v>45757</v>
      </c>
      <c r="T100" s="24">
        <v>45764</v>
      </c>
      <c r="U100" s="24">
        <v>45770</v>
      </c>
      <c r="V100" s="24">
        <v>45775</v>
      </c>
      <c r="W100" s="24">
        <v>45783</v>
      </c>
      <c r="X100" s="22" t="s">
        <v>272</v>
      </c>
      <c r="Y100" s="4" t="str">
        <f>IF(Tabela2[[#This Row],[SIGLA]]="","",VLOOKUP(Tabela2[[#This Row],[SIGLA]],Tabela1[[#All],[Sigla Arte]:[Crédito]],2,0))</f>
        <v>RIVALDO BARBOZA/ARQUIVO DA EDITORA</v>
      </c>
      <c r="Z100" s="23"/>
      <c r="AA100" s="23" t="str">
        <f>Tabela2[[#This Row],[ILUSTRADOR CRIAÇÃO]]</f>
        <v>RIVALDO BARBOZA/ARQUIVO DA EDITORA</v>
      </c>
      <c r="AB100" s="22">
        <v>3</v>
      </c>
      <c r="AC100" s="26" t="s">
        <v>273</v>
      </c>
      <c r="AD100" s="20" t="s">
        <v>94</v>
      </c>
      <c r="AE100" s="4" t="str">
        <f t="shared" si="1"/>
        <v>EF1 E002 HGC</v>
      </c>
    </row>
    <row r="101" spans="1:31" s="12" customFormat="1" ht="45" x14ac:dyDescent="0.25">
      <c r="A101" s="23" t="s">
        <v>274</v>
      </c>
      <c r="B101" s="20" t="s">
        <v>32</v>
      </c>
      <c r="C101" s="20" t="s">
        <v>33</v>
      </c>
      <c r="D101" s="20" t="s">
        <v>34</v>
      </c>
      <c r="E101" s="22">
        <v>202</v>
      </c>
      <c r="F101" s="22">
        <v>1</v>
      </c>
      <c r="G101" s="22">
        <v>5</v>
      </c>
      <c r="H101" s="22"/>
      <c r="I101" s="23" t="s">
        <v>39</v>
      </c>
      <c r="J101" s="23"/>
      <c r="K101" s="22"/>
      <c r="L101" s="22"/>
      <c r="M101" s="23"/>
      <c r="N101" s="23"/>
      <c r="O101" s="26" t="s">
        <v>275</v>
      </c>
      <c r="P101" s="26"/>
      <c r="Q101" s="26"/>
      <c r="R101" s="22">
        <v>15</v>
      </c>
      <c r="S101" s="24">
        <v>45811</v>
      </c>
      <c r="T101" s="24">
        <v>45811</v>
      </c>
      <c r="U101" s="24"/>
      <c r="V101" s="24"/>
      <c r="W101" s="24">
        <v>45812</v>
      </c>
      <c r="X101" s="22" t="s">
        <v>276</v>
      </c>
      <c r="Y101" s="4" t="str">
        <f>IF(Tabela2[[#This Row],[SIGLA]]="","",VLOOKUP(Tabela2[[#This Row],[SIGLA]],Tabela1[[#All],[Sigla Arte]:[Crédito]],2,0))</f>
        <v>HIRO KAWAHARA/ARQUIVO DA EDITORA</v>
      </c>
      <c r="Z101" s="23" t="s">
        <v>82</v>
      </c>
      <c r="AA101" s="23" t="str">
        <f>Tabela2[[#This Row],[ILUSTRADOR CRIAÇÃO]]</f>
        <v>HIRO KAWAHARA/ARQUIVO DA EDITORA</v>
      </c>
      <c r="AB101" s="22">
        <v>13</v>
      </c>
      <c r="AC101" s="20" t="s">
        <v>277</v>
      </c>
      <c r="AD101" s="20" t="s">
        <v>44</v>
      </c>
      <c r="AE101" s="4" t="str">
        <f t="shared" si="1"/>
        <v>EF1 E002 HGC</v>
      </c>
    </row>
    <row r="102" spans="1:31" s="12" customFormat="1" ht="60" x14ac:dyDescent="0.25">
      <c r="A102" s="23" t="s">
        <v>278</v>
      </c>
      <c r="B102" s="20" t="s">
        <v>32</v>
      </c>
      <c r="C102" s="20" t="s">
        <v>33</v>
      </c>
      <c r="D102" s="20" t="s">
        <v>34</v>
      </c>
      <c r="E102" s="22">
        <v>202</v>
      </c>
      <c r="F102" s="22">
        <v>1</v>
      </c>
      <c r="G102" s="22">
        <v>5</v>
      </c>
      <c r="H102" s="22"/>
      <c r="I102" s="23" t="s">
        <v>39</v>
      </c>
      <c r="J102" s="23"/>
      <c r="K102" s="22"/>
      <c r="L102" s="22"/>
      <c r="M102" s="23"/>
      <c r="N102" s="23"/>
      <c r="O102" s="26" t="s">
        <v>279</v>
      </c>
      <c r="P102" s="26"/>
      <c r="Q102" s="26"/>
      <c r="R102" s="22">
        <v>15</v>
      </c>
      <c r="S102" s="24">
        <v>45811</v>
      </c>
      <c r="T102" s="24">
        <v>45811</v>
      </c>
      <c r="U102" s="24"/>
      <c r="V102" s="24"/>
      <c r="W102" s="24">
        <v>45812</v>
      </c>
      <c r="X102" s="22" t="s">
        <v>276</v>
      </c>
      <c r="Y102" s="4" t="str">
        <f>IF(Tabela2[[#This Row],[SIGLA]]="","",VLOOKUP(Tabela2[[#This Row],[SIGLA]],Tabela1[[#All],[Sigla Arte]:[Crédito]],2,0))</f>
        <v>HIRO KAWAHARA/ARQUIVO DA EDITORA</v>
      </c>
      <c r="Z102" s="23" t="s">
        <v>82</v>
      </c>
      <c r="AA102" s="23" t="str">
        <f>Tabela2[[#This Row],[ILUSTRADOR CRIAÇÃO]]</f>
        <v>HIRO KAWAHARA/ARQUIVO DA EDITORA</v>
      </c>
      <c r="AB102" s="22">
        <v>13</v>
      </c>
      <c r="AC102" s="20" t="s">
        <v>277</v>
      </c>
      <c r="AD102" s="20" t="s">
        <v>44</v>
      </c>
      <c r="AE102" s="4" t="str">
        <f t="shared" si="1"/>
        <v>EF1 E002 HGC</v>
      </c>
    </row>
    <row r="103" spans="1:31" s="12" customFormat="1" ht="60" x14ac:dyDescent="0.25">
      <c r="A103" s="23" t="s">
        <v>280</v>
      </c>
      <c r="B103" s="20" t="s">
        <v>32</v>
      </c>
      <c r="C103" s="20" t="s">
        <v>33</v>
      </c>
      <c r="D103" s="20" t="s">
        <v>34</v>
      </c>
      <c r="E103" s="22" t="s">
        <v>281</v>
      </c>
      <c r="F103" s="22">
        <v>1</v>
      </c>
      <c r="G103" s="22">
        <v>5</v>
      </c>
      <c r="H103" s="22"/>
      <c r="I103" s="23" t="s">
        <v>39</v>
      </c>
      <c r="J103" s="23"/>
      <c r="K103" s="22"/>
      <c r="L103" s="22"/>
      <c r="M103" s="23"/>
      <c r="N103" s="23"/>
      <c r="O103" s="26" t="s">
        <v>282</v>
      </c>
      <c r="P103" s="26"/>
      <c r="Q103" s="26"/>
      <c r="R103" s="22">
        <v>6</v>
      </c>
      <c r="S103" s="24">
        <v>45757</v>
      </c>
      <c r="T103" s="24">
        <v>45763</v>
      </c>
      <c r="U103" s="24"/>
      <c r="V103" s="24"/>
      <c r="W103" s="24">
        <v>45764</v>
      </c>
      <c r="X103" s="22" t="s">
        <v>103</v>
      </c>
      <c r="Y103" s="4" t="str">
        <f>IF(Tabela2[[#This Row],[SIGLA]]="","",VLOOKUP(Tabela2[[#This Row],[SIGLA]],Tabela1[[#All],[Sigla Arte]:[Crédito]],2,0))</f>
        <v>NELSON COSENTINO/ARQUIVO DA EDITORA</v>
      </c>
      <c r="Z103" s="23" t="s">
        <v>185</v>
      </c>
      <c r="AA103" s="23" t="str">
        <f>Tabela2[[#This Row],[ILUSTRADOR CRIAÇÃO]]</f>
        <v>NELSON COSENTINO/ARQUIVO DA EDITORA</v>
      </c>
      <c r="AB103" s="22">
        <v>13</v>
      </c>
      <c r="AC103" s="20" t="s">
        <v>259</v>
      </c>
      <c r="AD103" s="20" t="s">
        <v>44</v>
      </c>
      <c r="AE103" s="4" t="str">
        <f t="shared" si="1"/>
        <v>EF1 E002 HGC</v>
      </c>
    </row>
    <row r="104" spans="1:31" s="12" customFormat="1" ht="75" x14ac:dyDescent="0.25">
      <c r="A104" s="23" t="s">
        <v>283</v>
      </c>
      <c r="B104" s="20" t="s">
        <v>32</v>
      </c>
      <c r="C104" s="20" t="s">
        <v>33</v>
      </c>
      <c r="D104" s="20" t="s">
        <v>34</v>
      </c>
      <c r="E104" s="22">
        <v>217</v>
      </c>
      <c r="F104" s="22">
        <v>1</v>
      </c>
      <c r="G104" s="22">
        <v>5</v>
      </c>
      <c r="H104" s="22"/>
      <c r="I104" s="23" t="s">
        <v>39</v>
      </c>
      <c r="J104" s="23"/>
      <c r="K104" s="22"/>
      <c r="L104" s="22"/>
      <c r="M104" s="23"/>
      <c r="N104" s="23"/>
      <c r="O104" s="26" t="s">
        <v>284</v>
      </c>
      <c r="P104" s="26"/>
      <c r="Q104" s="26"/>
      <c r="R104" s="22">
        <v>6</v>
      </c>
      <c r="S104" s="24">
        <v>45757</v>
      </c>
      <c r="T104" s="24">
        <v>45763</v>
      </c>
      <c r="U104" s="24"/>
      <c r="V104" s="24"/>
      <c r="W104" s="24">
        <v>45764</v>
      </c>
      <c r="X104" s="22" t="s">
        <v>59</v>
      </c>
      <c r="Y104" s="4" t="str">
        <f>IF(Tabela2[[#This Row],[SIGLA]]="","",VLOOKUP(Tabela2[[#This Row],[SIGLA]],Tabela1[[#All],[Sigla Arte]:[Crédito]],2,0))</f>
        <v>RAQUEL SILVA/ARQUIVO DA EDITORA</v>
      </c>
      <c r="Z104" s="23" t="s">
        <v>269</v>
      </c>
      <c r="AA104" s="23" t="str">
        <f>Tabela2[[#This Row],[ILUSTRADOR CRIAÇÃO]]</f>
        <v>RAQUEL SILVA/ARQUIVO DA EDITORA</v>
      </c>
      <c r="AB104" s="22">
        <v>13</v>
      </c>
      <c r="AC104" s="20" t="s">
        <v>259</v>
      </c>
      <c r="AD104" s="20" t="s">
        <v>44</v>
      </c>
      <c r="AE104" s="4" t="str">
        <f t="shared" si="1"/>
        <v>EF1 E002 HGC</v>
      </c>
    </row>
    <row r="105" spans="1:31" s="12" customFormat="1" ht="45" x14ac:dyDescent="0.25">
      <c r="A105" s="23" t="s">
        <v>285</v>
      </c>
      <c r="B105" s="20" t="s">
        <v>32</v>
      </c>
      <c r="C105" s="20" t="s">
        <v>33</v>
      </c>
      <c r="D105" s="20" t="s">
        <v>34</v>
      </c>
      <c r="E105" s="22">
        <v>223</v>
      </c>
      <c r="F105" s="22">
        <v>1</v>
      </c>
      <c r="G105" s="22">
        <v>5</v>
      </c>
      <c r="H105" s="22"/>
      <c r="I105" s="23" t="s">
        <v>35</v>
      </c>
      <c r="J105" s="23"/>
      <c r="K105" s="22"/>
      <c r="L105" s="22"/>
      <c r="M105" s="23"/>
      <c r="N105" s="23"/>
      <c r="O105" s="26" t="s">
        <v>286</v>
      </c>
      <c r="P105" s="26"/>
      <c r="Q105" s="26"/>
      <c r="R105" s="22"/>
      <c r="S105" s="24"/>
      <c r="T105" s="24"/>
      <c r="U105" s="24"/>
      <c r="V105" s="24"/>
      <c r="W105" s="24"/>
      <c r="X105" s="22" t="s">
        <v>37</v>
      </c>
      <c r="Y105" s="4" t="str">
        <f>IF(Tabela2[[#This Row],[SIGLA]]="","",VLOOKUP(Tabela2[[#This Row],[SIGLA]],Tabela1[[#All],[Sigla Arte]:[Crédito]],2,0))</f>
        <v>GUILHERME RODRIGUES/ARQUIVO DA EDITORA</v>
      </c>
      <c r="Z105" s="23"/>
      <c r="AA105" s="23" t="str">
        <f>Tabela2[[#This Row],[ILUSTRADOR CRIAÇÃO]]</f>
        <v>GUILHERME RODRIGUES/ARQUIVO DA EDITORA</v>
      </c>
      <c r="AB105" s="22"/>
      <c r="AC105" s="20"/>
      <c r="AD105" s="20"/>
      <c r="AE105" s="4" t="str">
        <f t="shared" si="1"/>
        <v>EF1 E002 HGC</v>
      </c>
    </row>
    <row r="106" spans="1:31" s="12" customFormat="1" ht="45" x14ac:dyDescent="0.25">
      <c r="A106" s="23" t="s">
        <v>287</v>
      </c>
      <c r="B106" s="20" t="s">
        <v>32</v>
      </c>
      <c r="C106" s="20" t="s">
        <v>33</v>
      </c>
      <c r="D106" s="20" t="s">
        <v>34</v>
      </c>
      <c r="E106" s="22">
        <v>223</v>
      </c>
      <c r="F106" s="22">
        <v>1</v>
      </c>
      <c r="G106" s="22">
        <v>5</v>
      </c>
      <c r="H106" s="22"/>
      <c r="I106" s="23" t="s">
        <v>35</v>
      </c>
      <c r="J106" s="23"/>
      <c r="K106" s="22"/>
      <c r="L106" s="22"/>
      <c r="M106" s="23"/>
      <c r="N106" s="23"/>
      <c r="O106" s="26" t="s">
        <v>288</v>
      </c>
      <c r="P106" s="26"/>
      <c r="Q106" s="26"/>
      <c r="R106" s="22"/>
      <c r="S106" s="24"/>
      <c r="T106" s="24"/>
      <c r="U106" s="24"/>
      <c r="V106" s="24"/>
      <c r="W106" s="24"/>
      <c r="X106" s="22" t="s">
        <v>37</v>
      </c>
      <c r="Y106" s="4" t="str">
        <f>IF(Tabela2[[#This Row],[SIGLA]]="","",VLOOKUP(Tabela2[[#This Row],[SIGLA]],Tabela1[[#All],[Sigla Arte]:[Crédito]],2,0))</f>
        <v>GUILHERME RODRIGUES/ARQUIVO DA EDITORA</v>
      </c>
      <c r="Z106" s="23"/>
      <c r="AA106" s="23" t="str">
        <f>Tabela2[[#This Row],[ILUSTRADOR CRIAÇÃO]]</f>
        <v>GUILHERME RODRIGUES/ARQUIVO DA EDITORA</v>
      </c>
      <c r="AB106" s="22"/>
      <c r="AC106" s="20"/>
      <c r="AD106" s="20"/>
      <c r="AE106" s="4" t="str">
        <f t="shared" si="1"/>
        <v>EF1 E002 HGC</v>
      </c>
    </row>
    <row r="107" spans="1:31" s="12" customFormat="1" ht="180" x14ac:dyDescent="0.25">
      <c r="A107" s="23" t="s">
        <v>289</v>
      </c>
      <c r="B107" s="20" t="s">
        <v>32</v>
      </c>
      <c r="C107" s="20" t="s">
        <v>33</v>
      </c>
      <c r="D107" s="20" t="s">
        <v>34</v>
      </c>
      <c r="E107" s="22">
        <v>236</v>
      </c>
      <c r="F107" s="22">
        <v>1</v>
      </c>
      <c r="G107" s="22">
        <v>6</v>
      </c>
      <c r="H107" s="22"/>
      <c r="I107" s="23" t="s">
        <v>39</v>
      </c>
      <c r="J107" s="23"/>
      <c r="K107" s="22"/>
      <c r="L107" s="22"/>
      <c r="M107" s="23"/>
      <c r="N107" s="23"/>
      <c r="O107" s="26" t="s">
        <v>290</v>
      </c>
      <c r="P107" s="26"/>
      <c r="Q107" s="26"/>
      <c r="R107" s="22">
        <v>7</v>
      </c>
      <c r="S107" s="24">
        <v>45761</v>
      </c>
      <c r="T107" s="24">
        <v>45761</v>
      </c>
      <c r="U107" s="24"/>
      <c r="V107" s="24"/>
      <c r="W107" s="24">
        <v>45763</v>
      </c>
      <c r="X107" s="22" t="s">
        <v>231</v>
      </c>
      <c r="Y107" s="4" t="str">
        <f>IF(Tabela2[[#This Row],[SIGLA]]="","",VLOOKUP(Tabela2[[#This Row],[SIGLA]],Tabela1[[#All],[Sigla Arte]:[Crédito]],2,0))</f>
        <v>CAIO TANAKA/ARQUIVO DA EDITORA</v>
      </c>
      <c r="Z107" s="23" t="s">
        <v>82</v>
      </c>
      <c r="AA107" s="23" t="str">
        <f>Tabela2[[#This Row],[ILUSTRADOR CRIAÇÃO]]</f>
        <v>CAIO TANAKA/ARQUIVO DA EDITORA</v>
      </c>
      <c r="AB107" s="22">
        <v>13</v>
      </c>
      <c r="AC107" s="20" t="s">
        <v>43</v>
      </c>
      <c r="AD107" s="20" t="s">
        <v>44</v>
      </c>
      <c r="AE107" s="4" t="str">
        <f t="shared" si="1"/>
        <v>EF1 E002 HGC</v>
      </c>
    </row>
    <row r="108" spans="1:31" s="12" customFormat="1" ht="45" x14ac:dyDescent="0.25">
      <c r="A108" s="23" t="s">
        <v>291</v>
      </c>
      <c r="B108" s="20" t="s">
        <v>136</v>
      </c>
      <c r="C108" s="20" t="s">
        <v>33</v>
      </c>
      <c r="D108" s="20" t="s">
        <v>34</v>
      </c>
      <c r="E108" s="22">
        <v>241</v>
      </c>
      <c r="F108" s="22">
        <v>1</v>
      </c>
      <c r="G108" s="22">
        <v>6</v>
      </c>
      <c r="H108" s="22"/>
      <c r="I108" s="23" t="s">
        <v>35</v>
      </c>
      <c r="J108" s="23"/>
      <c r="K108" s="22"/>
      <c r="L108" s="22"/>
      <c r="M108" s="23"/>
      <c r="N108" s="23"/>
      <c r="O108" s="26" t="s">
        <v>292</v>
      </c>
      <c r="P108" s="26"/>
      <c r="Q108" s="26"/>
      <c r="R108" s="22"/>
      <c r="S108" s="24"/>
      <c r="T108" s="24"/>
      <c r="U108" s="24"/>
      <c r="V108" s="24"/>
      <c r="W108" s="24"/>
      <c r="X108" s="22" t="s">
        <v>293</v>
      </c>
      <c r="Y108" s="4" t="str">
        <f>IF(Tabela2[[#This Row],[SIGLA]]="","",VLOOKUP(Tabela2[[#This Row],[SIGLA]],Tabela1[[#All],[Sigla Arte]:[Crédito]],2,0))</f>
        <v>MARIA GABRIELA GAMA/ARQUIVO DA EDITORA</v>
      </c>
      <c r="Z108" s="23"/>
      <c r="AA108" s="23" t="str">
        <f>Tabela2[[#This Row],[ILUSTRADOR CRIAÇÃO]]</f>
        <v>MARIA GABRIELA GAMA/ARQUIVO DA EDITORA</v>
      </c>
      <c r="AB108" s="22"/>
      <c r="AC108" s="20"/>
      <c r="AD108" s="20"/>
      <c r="AE108" s="4" t="str">
        <f t="shared" si="1"/>
        <v>EF1 E002 HGC</v>
      </c>
    </row>
    <row r="109" spans="1:31" s="12" customFormat="1" ht="45" x14ac:dyDescent="0.25">
      <c r="A109" s="23" t="s">
        <v>294</v>
      </c>
      <c r="B109" s="20" t="s">
        <v>136</v>
      </c>
      <c r="C109" s="20" t="s">
        <v>33</v>
      </c>
      <c r="D109" s="20" t="s">
        <v>34</v>
      </c>
      <c r="E109" s="22">
        <v>241</v>
      </c>
      <c r="F109" s="22">
        <v>1</v>
      </c>
      <c r="G109" s="22">
        <v>6</v>
      </c>
      <c r="H109" s="22"/>
      <c r="I109" s="23" t="s">
        <v>35</v>
      </c>
      <c r="J109" s="23"/>
      <c r="K109" s="22"/>
      <c r="L109" s="22"/>
      <c r="M109" s="23"/>
      <c r="N109" s="23"/>
      <c r="O109" s="26" t="s">
        <v>295</v>
      </c>
      <c r="P109" s="26"/>
      <c r="Q109" s="26"/>
      <c r="R109" s="22"/>
      <c r="S109" s="24"/>
      <c r="T109" s="24"/>
      <c r="U109" s="24"/>
      <c r="V109" s="24"/>
      <c r="W109" s="24"/>
      <c r="X109" s="22" t="s">
        <v>293</v>
      </c>
      <c r="Y109" s="4" t="str">
        <f>IF(Tabela2[[#This Row],[SIGLA]]="","",VLOOKUP(Tabela2[[#This Row],[SIGLA]],Tabela1[[#All],[Sigla Arte]:[Crédito]],2,0))</f>
        <v>MARIA GABRIELA GAMA/ARQUIVO DA EDITORA</v>
      </c>
      <c r="Z109" s="23"/>
      <c r="AA109" s="23" t="str">
        <f>Tabela2[[#This Row],[ILUSTRADOR CRIAÇÃO]]</f>
        <v>MARIA GABRIELA GAMA/ARQUIVO DA EDITORA</v>
      </c>
      <c r="AB109" s="22"/>
      <c r="AC109" s="20"/>
      <c r="AD109" s="20"/>
      <c r="AE109" s="4" t="str">
        <f t="shared" si="1"/>
        <v>EF1 E002 HGC</v>
      </c>
    </row>
    <row r="110" spans="1:31" s="12" customFormat="1" ht="45" x14ac:dyDescent="0.25">
      <c r="A110" s="23" t="s">
        <v>296</v>
      </c>
      <c r="B110" s="20" t="s">
        <v>136</v>
      </c>
      <c r="C110" s="20" t="s">
        <v>33</v>
      </c>
      <c r="D110" s="20" t="s">
        <v>34</v>
      </c>
      <c r="E110" s="22">
        <v>241</v>
      </c>
      <c r="F110" s="22">
        <v>1</v>
      </c>
      <c r="G110" s="22">
        <v>6</v>
      </c>
      <c r="H110" s="22"/>
      <c r="I110" s="23" t="s">
        <v>35</v>
      </c>
      <c r="J110" s="23"/>
      <c r="K110" s="22"/>
      <c r="L110" s="22"/>
      <c r="M110" s="23"/>
      <c r="N110" s="23"/>
      <c r="O110" s="26" t="s">
        <v>297</v>
      </c>
      <c r="P110" s="26"/>
      <c r="Q110" s="26"/>
      <c r="R110" s="22"/>
      <c r="S110" s="24"/>
      <c r="T110" s="24"/>
      <c r="U110" s="24"/>
      <c r="V110" s="24"/>
      <c r="W110" s="24"/>
      <c r="X110" s="22" t="s">
        <v>293</v>
      </c>
      <c r="Y110" s="4" t="str">
        <f>IF(Tabela2[[#This Row],[SIGLA]]="","",VLOOKUP(Tabela2[[#This Row],[SIGLA]],Tabela1[[#All],[Sigla Arte]:[Crédito]],2,0))</f>
        <v>MARIA GABRIELA GAMA/ARQUIVO DA EDITORA</v>
      </c>
      <c r="Z110" s="23"/>
      <c r="AA110" s="23" t="str">
        <f>Tabela2[[#This Row],[ILUSTRADOR CRIAÇÃO]]</f>
        <v>MARIA GABRIELA GAMA/ARQUIVO DA EDITORA</v>
      </c>
      <c r="AB110" s="22"/>
      <c r="AC110" s="20"/>
      <c r="AD110" s="20"/>
      <c r="AE110" s="4" t="str">
        <f t="shared" si="1"/>
        <v>EF1 E002 HGC</v>
      </c>
    </row>
    <row r="111" spans="1:31" s="12" customFormat="1" ht="45" x14ac:dyDescent="0.25">
      <c r="A111" s="23" t="s">
        <v>298</v>
      </c>
      <c r="B111" s="20" t="s">
        <v>136</v>
      </c>
      <c r="C111" s="20" t="s">
        <v>33</v>
      </c>
      <c r="D111" s="20" t="s">
        <v>34</v>
      </c>
      <c r="E111" s="22">
        <v>241</v>
      </c>
      <c r="F111" s="22">
        <v>1</v>
      </c>
      <c r="G111" s="22">
        <v>6</v>
      </c>
      <c r="H111" s="22"/>
      <c r="I111" s="23" t="s">
        <v>35</v>
      </c>
      <c r="J111" s="23"/>
      <c r="K111" s="22"/>
      <c r="L111" s="22"/>
      <c r="M111" s="23"/>
      <c r="N111" s="23"/>
      <c r="O111" s="26" t="s">
        <v>299</v>
      </c>
      <c r="P111" s="26"/>
      <c r="Q111" s="26"/>
      <c r="R111" s="22"/>
      <c r="S111" s="24"/>
      <c r="T111" s="24"/>
      <c r="U111" s="24"/>
      <c r="V111" s="24"/>
      <c r="W111" s="24"/>
      <c r="X111" s="22" t="s">
        <v>293</v>
      </c>
      <c r="Y111" s="4" t="str">
        <f>IF(Tabela2[[#This Row],[SIGLA]]="","",VLOOKUP(Tabela2[[#This Row],[SIGLA]],Tabela1[[#All],[Sigla Arte]:[Crédito]],2,0))</f>
        <v>MARIA GABRIELA GAMA/ARQUIVO DA EDITORA</v>
      </c>
      <c r="Z111" s="23"/>
      <c r="AA111" s="23" t="str">
        <f>Tabela2[[#This Row],[ILUSTRADOR CRIAÇÃO]]</f>
        <v>MARIA GABRIELA GAMA/ARQUIVO DA EDITORA</v>
      </c>
      <c r="AB111" s="22"/>
      <c r="AC111" s="20"/>
      <c r="AD111" s="20"/>
      <c r="AE111" s="4" t="str">
        <f t="shared" si="1"/>
        <v>EF1 E002 HGC</v>
      </c>
    </row>
    <row r="112" spans="1:31" s="12" customFormat="1" ht="75" x14ac:dyDescent="0.25">
      <c r="A112" s="23" t="s">
        <v>300</v>
      </c>
      <c r="B112" s="20" t="s">
        <v>32</v>
      </c>
      <c r="C112" s="20" t="s">
        <v>33</v>
      </c>
      <c r="D112" s="20" t="s">
        <v>34</v>
      </c>
      <c r="E112" s="22">
        <v>242</v>
      </c>
      <c r="F112" s="22">
        <v>1</v>
      </c>
      <c r="G112" s="22">
        <v>6</v>
      </c>
      <c r="H112" s="22"/>
      <c r="I112" s="23" t="s">
        <v>39</v>
      </c>
      <c r="J112" s="23"/>
      <c r="K112" s="22"/>
      <c r="L112" s="22"/>
      <c r="M112" s="23"/>
      <c r="N112" s="23"/>
      <c r="O112" s="26" t="s">
        <v>301</v>
      </c>
      <c r="P112" s="26"/>
      <c r="Q112" s="26"/>
      <c r="R112" s="22">
        <v>7</v>
      </c>
      <c r="S112" s="24">
        <v>45761</v>
      </c>
      <c r="T112" s="24">
        <v>45761</v>
      </c>
      <c r="U112" s="24"/>
      <c r="V112" s="24"/>
      <c r="W112" s="24">
        <v>45763</v>
      </c>
      <c r="X112" s="22" t="s">
        <v>293</v>
      </c>
      <c r="Y112" s="4" t="str">
        <f>IF(Tabela2[[#This Row],[SIGLA]]="","",VLOOKUP(Tabela2[[#This Row],[SIGLA]],Tabela1[[#All],[Sigla Arte]:[Crédito]],2,0))</f>
        <v>MARIA GABRIELA GAMA/ARQUIVO DA EDITORA</v>
      </c>
      <c r="Z112" s="23" t="s">
        <v>82</v>
      </c>
      <c r="AA112" s="23" t="str">
        <f>Tabela2[[#This Row],[ILUSTRADOR CRIAÇÃO]]</f>
        <v>MARIA GABRIELA GAMA/ARQUIVO DA EDITORA</v>
      </c>
      <c r="AB112" s="22">
        <v>13</v>
      </c>
      <c r="AC112" s="20" t="s">
        <v>43</v>
      </c>
      <c r="AD112" s="20" t="s">
        <v>44</v>
      </c>
      <c r="AE112" s="4" t="str">
        <f t="shared" si="1"/>
        <v>EF1 E002 HGC</v>
      </c>
    </row>
    <row r="113" spans="1:31" s="12" customFormat="1" ht="45" x14ac:dyDescent="0.25">
      <c r="A113" s="23" t="s">
        <v>302</v>
      </c>
      <c r="B113" s="20" t="s">
        <v>32</v>
      </c>
      <c r="C113" s="20" t="s">
        <v>33</v>
      </c>
      <c r="D113" s="20" t="s">
        <v>34</v>
      </c>
      <c r="E113" s="22">
        <v>243</v>
      </c>
      <c r="F113" s="22">
        <v>1</v>
      </c>
      <c r="G113" s="22">
        <v>6</v>
      </c>
      <c r="H113" s="22"/>
      <c r="I113" s="23" t="s">
        <v>35</v>
      </c>
      <c r="J113" s="23"/>
      <c r="K113" s="22"/>
      <c r="L113" s="22"/>
      <c r="M113" s="23"/>
      <c r="N113" s="23"/>
      <c r="O113" s="26" t="s">
        <v>303</v>
      </c>
      <c r="P113" s="26"/>
      <c r="Q113" s="26"/>
      <c r="R113" s="22"/>
      <c r="S113" s="24"/>
      <c r="T113" s="24"/>
      <c r="U113" s="24"/>
      <c r="V113" s="24"/>
      <c r="W113" s="24"/>
      <c r="X113" s="22" t="s">
        <v>293</v>
      </c>
      <c r="Y113" s="4" t="str">
        <f>IF(Tabela2[[#This Row],[SIGLA]]="","",VLOOKUP(Tabela2[[#This Row],[SIGLA]],Tabela1[[#All],[Sigla Arte]:[Crédito]],2,0))</f>
        <v>MARIA GABRIELA GAMA/ARQUIVO DA EDITORA</v>
      </c>
      <c r="Z113" s="23"/>
      <c r="AA113" s="23" t="str">
        <f>Tabela2[[#This Row],[ILUSTRADOR CRIAÇÃO]]</f>
        <v>MARIA GABRIELA GAMA/ARQUIVO DA EDITORA</v>
      </c>
      <c r="AB113" s="22"/>
      <c r="AC113" s="20"/>
      <c r="AD113" s="20"/>
      <c r="AE113" s="4" t="str">
        <f t="shared" si="1"/>
        <v>EF1 E002 HGC</v>
      </c>
    </row>
    <row r="114" spans="1:31" s="12" customFormat="1" ht="135" x14ac:dyDescent="0.25">
      <c r="A114" s="23" t="s">
        <v>304</v>
      </c>
      <c r="B114" s="20" t="s">
        <v>32</v>
      </c>
      <c r="C114" s="20" t="s">
        <v>33</v>
      </c>
      <c r="D114" s="20" t="s">
        <v>34</v>
      </c>
      <c r="E114" s="22">
        <v>244</v>
      </c>
      <c r="F114" s="22">
        <v>1</v>
      </c>
      <c r="G114" s="22">
        <v>6</v>
      </c>
      <c r="H114" s="22"/>
      <c r="I114" s="23" t="s">
        <v>39</v>
      </c>
      <c r="J114" s="23"/>
      <c r="K114" s="22"/>
      <c r="L114" s="22"/>
      <c r="M114" s="23"/>
      <c r="N114" s="23"/>
      <c r="O114" s="26" t="s">
        <v>305</v>
      </c>
      <c r="P114" s="26"/>
      <c r="Q114" s="26"/>
      <c r="R114" s="22">
        <v>7</v>
      </c>
      <c r="S114" s="24">
        <v>45761</v>
      </c>
      <c r="T114" s="24">
        <v>45761</v>
      </c>
      <c r="U114" s="24"/>
      <c r="V114" s="24"/>
      <c r="W114" s="24">
        <v>45763</v>
      </c>
      <c r="X114" s="22" t="s">
        <v>200</v>
      </c>
      <c r="Y114" s="4" t="str">
        <f>IF(Tabela2[[#This Row],[SIGLA]]="","",VLOOKUP(Tabela2[[#This Row],[SIGLA]],Tabela1[[#All],[Sigla Arte]:[Crédito]],2,0))</f>
        <v>KÉZIA TRENTINI/ARQUIVO DA EDITORA</v>
      </c>
      <c r="Z114" s="23" t="s">
        <v>82</v>
      </c>
      <c r="AA114" s="23" t="str">
        <f>Tabela2[[#This Row],[ILUSTRADOR CRIAÇÃO]]</f>
        <v>KÉZIA TRENTINI/ARQUIVO DA EDITORA</v>
      </c>
      <c r="AB114" s="22">
        <v>13</v>
      </c>
      <c r="AC114" s="20" t="s">
        <v>43</v>
      </c>
      <c r="AD114" s="20" t="s">
        <v>44</v>
      </c>
      <c r="AE114" s="4" t="str">
        <f t="shared" si="1"/>
        <v>EF1 E002 HGC</v>
      </c>
    </row>
    <row r="115" spans="1:31" s="12" customFormat="1" ht="75" x14ac:dyDescent="0.25">
      <c r="A115" s="23" t="s">
        <v>306</v>
      </c>
      <c r="B115" s="20" t="s">
        <v>307</v>
      </c>
      <c r="C115" s="20" t="s">
        <v>33</v>
      </c>
      <c r="D115" s="20" t="s">
        <v>34</v>
      </c>
      <c r="E115" s="22">
        <v>245</v>
      </c>
      <c r="F115" s="22">
        <v>1</v>
      </c>
      <c r="G115" s="22">
        <v>6</v>
      </c>
      <c r="H115" s="22"/>
      <c r="I115" s="23" t="s">
        <v>39</v>
      </c>
      <c r="J115" s="23"/>
      <c r="K115" s="22"/>
      <c r="L115" s="22"/>
      <c r="M115" s="23"/>
      <c r="N115" s="23"/>
      <c r="O115" s="26" t="s">
        <v>308</v>
      </c>
      <c r="P115" s="26"/>
      <c r="Q115" s="26"/>
      <c r="R115" s="22">
        <v>20</v>
      </c>
      <c r="S115" s="24">
        <v>45845</v>
      </c>
      <c r="T115" s="24">
        <v>45846</v>
      </c>
      <c r="U115" s="24"/>
      <c r="V115" s="24"/>
      <c r="W115" s="24">
        <v>45847</v>
      </c>
      <c r="X115" s="22" t="s">
        <v>200</v>
      </c>
      <c r="Y115" s="4" t="str">
        <f>IF(Tabela2[[#This Row],[SIGLA]]="","",VLOOKUP(Tabela2[[#This Row],[SIGLA]],Tabela1[[#All],[Sigla Arte]:[Crédito]],2,0))</f>
        <v>KÉZIA TRENTINI/ARQUIVO DA EDITORA</v>
      </c>
      <c r="Z115" s="23" t="s">
        <v>74</v>
      </c>
      <c r="AA115" s="23" t="str">
        <f>Tabela2[[#This Row],[ILUSTRADOR CRIAÇÃO]]</f>
        <v>KÉZIA TRENTINI/ARQUIVO DA EDITORA</v>
      </c>
      <c r="AB115" s="22">
        <v>13</v>
      </c>
      <c r="AC115" s="20" t="s">
        <v>43</v>
      </c>
      <c r="AD115" s="20" t="s">
        <v>44</v>
      </c>
      <c r="AE115" s="4" t="str">
        <f t="shared" si="1"/>
        <v>EF1 E002 HGC</v>
      </c>
    </row>
    <row r="116" spans="1:31" s="12" customFormat="1" ht="45" x14ac:dyDescent="0.25">
      <c r="A116" s="23" t="s">
        <v>309</v>
      </c>
      <c r="B116" s="20" t="s">
        <v>32</v>
      </c>
      <c r="C116" s="20" t="s">
        <v>33</v>
      </c>
      <c r="D116" s="20" t="s">
        <v>34</v>
      </c>
      <c r="E116" s="22">
        <v>251</v>
      </c>
      <c r="F116" s="22">
        <v>1</v>
      </c>
      <c r="G116" s="22">
        <v>5</v>
      </c>
      <c r="H116" s="22"/>
      <c r="I116" s="23" t="s">
        <v>35</v>
      </c>
      <c r="J116" s="23"/>
      <c r="K116" s="22"/>
      <c r="L116" s="22"/>
      <c r="M116" s="23"/>
      <c r="N116" s="23"/>
      <c r="O116" s="26" t="s">
        <v>310</v>
      </c>
      <c r="P116" s="26"/>
      <c r="Q116" s="26"/>
      <c r="R116" s="22"/>
      <c r="S116" s="24"/>
      <c r="T116" s="24"/>
      <c r="U116" s="24"/>
      <c r="V116" s="24"/>
      <c r="W116" s="24"/>
      <c r="X116" s="22" t="s">
        <v>311</v>
      </c>
      <c r="Y116" s="4" t="str">
        <f>IF(Tabela2[[#This Row],[SIGLA]]="","",VLOOKUP(Tabela2[[#This Row],[SIGLA]],Tabela1[[#All],[Sigla Arte]:[Crédito]],2,0))</f>
        <v>CAROLINE ANTUNES E SILVA/ARQUIVO DA EDITORA</v>
      </c>
      <c r="Z116" s="23"/>
      <c r="AA116" s="23" t="str">
        <f>Tabela2[[#This Row],[ILUSTRADOR CRIAÇÃO]]</f>
        <v>CAROLINE ANTUNES E SILVA/ARQUIVO DA EDITORA</v>
      </c>
      <c r="AB116" s="22"/>
      <c r="AC116" s="20"/>
      <c r="AD116" s="20"/>
      <c r="AE116" s="4" t="str">
        <f t="shared" si="1"/>
        <v>EF1 E002 HGC</v>
      </c>
    </row>
    <row r="117" spans="1:31" s="12" customFormat="1" ht="60" x14ac:dyDescent="0.25">
      <c r="A117" s="23" t="s">
        <v>312</v>
      </c>
      <c r="B117" s="20" t="s">
        <v>32</v>
      </c>
      <c r="C117" s="20" t="s">
        <v>33</v>
      </c>
      <c r="D117" s="20" t="s">
        <v>34</v>
      </c>
      <c r="E117" s="22">
        <v>251</v>
      </c>
      <c r="F117" s="22">
        <v>1</v>
      </c>
      <c r="G117" s="22">
        <v>5</v>
      </c>
      <c r="H117" s="22"/>
      <c r="I117" s="23" t="s">
        <v>35</v>
      </c>
      <c r="J117" s="23"/>
      <c r="K117" s="22"/>
      <c r="L117" s="22"/>
      <c r="M117" s="23"/>
      <c r="N117" s="23"/>
      <c r="O117" s="26" t="s">
        <v>313</v>
      </c>
      <c r="P117" s="26"/>
      <c r="Q117" s="26"/>
      <c r="R117" s="22"/>
      <c r="S117" s="24"/>
      <c r="T117" s="24"/>
      <c r="U117" s="24"/>
      <c r="V117" s="24"/>
      <c r="W117" s="24"/>
      <c r="X117" s="22" t="s">
        <v>311</v>
      </c>
      <c r="Y117" s="4" t="str">
        <f>IF(Tabela2[[#This Row],[SIGLA]]="","",VLOOKUP(Tabela2[[#This Row],[SIGLA]],Tabela1[[#All],[Sigla Arte]:[Crédito]],2,0))</f>
        <v>CAROLINE ANTUNES E SILVA/ARQUIVO DA EDITORA</v>
      </c>
      <c r="Z117" s="23"/>
      <c r="AA117" s="23" t="str">
        <f>Tabela2[[#This Row],[ILUSTRADOR CRIAÇÃO]]</f>
        <v>CAROLINE ANTUNES E SILVA/ARQUIVO DA EDITORA</v>
      </c>
      <c r="AB117" s="22"/>
      <c r="AC117" s="20"/>
      <c r="AD117" s="20"/>
      <c r="AE117" s="4" t="str">
        <f t="shared" si="1"/>
        <v>EF1 E002 HGC</v>
      </c>
    </row>
    <row r="118" spans="1:31" s="12" customFormat="1" ht="75" x14ac:dyDescent="0.25">
      <c r="A118" s="23" t="s">
        <v>314</v>
      </c>
      <c r="B118" s="20" t="s">
        <v>32</v>
      </c>
      <c r="C118" s="20" t="s">
        <v>33</v>
      </c>
      <c r="D118" s="20" t="s">
        <v>34</v>
      </c>
      <c r="E118" s="22">
        <v>253</v>
      </c>
      <c r="F118" s="22">
        <v>1</v>
      </c>
      <c r="G118" s="22">
        <v>5</v>
      </c>
      <c r="H118" s="22"/>
      <c r="I118" s="23" t="s">
        <v>39</v>
      </c>
      <c r="J118" s="23"/>
      <c r="K118" s="22"/>
      <c r="L118" s="22"/>
      <c r="M118" s="23"/>
      <c r="N118" s="23"/>
      <c r="O118" s="26" t="s">
        <v>315</v>
      </c>
      <c r="P118" s="26"/>
      <c r="Q118" s="26"/>
      <c r="R118" s="22">
        <v>15</v>
      </c>
      <c r="S118" s="24">
        <v>45811</v>
      </c>
      <c r="T118" s="24">
        <v>45811</v>
      </c>
      <c r="U118" s="24"/>
      <c r="V118" s="24"/>
      <c r="W118" s="24">
        <v>45812</v>
      </c>
      <c r="X118" s="22" t="s">
        <v>316</v>
      </c>
      <c r="Y118" s="4" t="str">
        <f>IF(Tabela2[[#This Row],[SIGLA]]="","",VLOOKUP(Tabela2[[#This Row],[SIGLA]],Tabela1[[#All],[Sigla Arte]:[Crédito]],2,0))</f>
        <v>MINNA MINÁ/ARQUIVO DA EDITORA</v>
      </c>
      <c r="Z118" s="23" t="s">
        <v>82</v>
      </c>
      <c r="AA118" s="23" t="str">
        <f>Tabela2[[#This Row],[ILUSTRADOR CRIAÇÃO]]</f>
        <v>MINNA MINÁ/ARQUIVO DA EDITORA</v>
      </c>
      <c r="AB118" s="22">
        <v>13</v>
      </c>
      <c r="AC118" s="20" t="s">
        <v>277</v>
      </c>
      <c r="AD118" s="20" t="s">
        <v>44</v>
      </c>
      <c r="AE118" s="4" t="str">
        <f t="shared" si="1"/>
        <v>EF1 E002 HGC</v>
      </c>
    </row>
    <row r="119" spans="1:31" s="12" customFormat="1" ht="75" x14ac:dyDescent="0.25">
      <c r="A119" s="23" t="s">
        <v>317</v>
      </c>
      <c r="B119" s="20" t="s">
        <v>32</v>
      </c>
      <c r="C119" s="20" t="s">
        <v>33</v>
      </c>
      <c r="D119" s="20" t="s">
        <v>34</v>
      </c>
      <c r="E119" s="22">
        <v>253</v>
      </c>
      <c r="F119" s="22">
        <v>1</v>
      </c>
      <c r="G119" s="22">
        <v>5</v>
      </c>
      <c r="H119" s="22"/>
      <c r="I119" s="23" t="s">
        <v>39</v>
      </c>
      <c r="J119" s="23"/>
      <c r="K119" s="22"/>
      <c r="L119" s="22"/>
      <c r="M119" s="23"/>
      <c r="N119" s="23"/>
      <c r="O119" s="26" t="s">
        <v>318</v>
      </c>
      <c r="P119" s="26"/>
      <c r="Q119" s="26"/>
      <c r="R119" s="22">
        <v>15</v>
      </c>
      <c r="S119" s="24">
        <v>45811</v>
      </c>
      <c r="T119" s="24">
        <v>45811</v>
      </c>
      <c r="U119" s="24"/>
      <c r="V119" s="24"/>
      <c r="W119" s="24">
        <v>45812</v>
      </c>
      <c r="X119" s="22" t="s">
        <v>316</v>
      </c>
      <c r="Y119" s="4" t="str">
        <f>IF(Tabela2[[#This Row],[SIGLA]]="","",VLOOKUP(Tabela2[[#This Row],[SIGLA]],Tabela1[[#All],[Sigla Arte]:[Crédito]],2,0))</f>
        <v>MINNA MINÁ/ARQUIVO DA EDITORA</v>
      </c>
      <c r="Z119" s="23" t="s">
        <v>82</v>
      </c>
      <c r="AA119" s="23" t="str">
        <f>Tabela2[[#This Row],[ILUSTRADOR CRIAÇÃO]]</f>
        <v>MINNA MINÁ/ARQUIVO DA EDITORA</v>
      </c>
      <c r="AB119" s="22">
        <v>13</v>
      </c>
      <c r="AC119" s="20" t="s">
        <v>277</v>
      </c>
      <c r="AD119" s="20" t="s">
        <v>44</v>
      </c>
      <c r="AE119" s="4" t="str">
        <f t="shared" si="1"/>
        <v>EF1 E002 HGC</v>
      </c>
    </row>
    <row r="120" spans="1:31" s="12" customFormat="1" ht="60" x14ac:dyDescent="0.25">
      <c r="A120" s="23" t="s">
        <v>319</v>
      </c>
      <c r="B120" s="20" t="s">
        <v>32</v>
      </c>
      <c r="C120" s="20" t="s">
        <v>33</v>
      </c>
      <c r="D120" s="20" t="s">
        <v>34</v>
      </c>
      <c r="E120" s="22">
        <v>253</v>
      </c>
      <c r="F120" s="22">
        <v>1</v>
      </c>
      <c r="G120" s="22">
        <v>5</v>
      </c>
      <c r="H120" s="22"/>
      <c r="I120" s="23" t="s">
        <v>39</v>
      </c>
      <c r="J120" s="23"/>
      <c r="K120" s="22"/>
      <c r="L120" s="22"/>
      <c r="M120" s="23"/>
      <c r="N120" s="23"/>
      <c r="O120" s="26" t="s">
        <v>320</v>
      </c>
      <c r="P120" s="26"/>
      <c r="Q120" s="26"/>
      <c r="R120" s="22">
        <v>15</v>
      </c>
      <c r="S120" s="24">
        <v>45811</v>
      </c>
      <c r="T120" s="24">
        <v>45811</v>
      </c>
      <c r="U120" s="24"/>
      <c r="V120" s="24"/>
      <c r="W120" s="24">
        <v>45812</v>
      </c>
      <c r="X120" s="22" t="s">
        <v>316</v>
      </c>
      <c r="Y120" s="4" t="str">
        <f>IF(Tabela2[[#This Row],[SIGLA]]="","",VLOOKUP(Tabela2[[#This Row],[SIGLA]],Tabela1[[#All],[Sigla Arte]:[Crédito]],2,0))</f>
        <v>MINNA MINÁ/ARQUIVO DA EDITORA</v>
      </c>
      <c r="Z120" s="23" t="s">
        <v>82</v>
      </c>
      <c r="AA120" s="23" t="str">
        <f>Tabela2[[#This Row],[ILUSTRADOR CRIAÇÃO]]</f>
        <v>MINNA MINÁ/ARQUIVO DA EDITORA</v>
      </c>
      <c r="AB120" s="22">
        <v>13</v>
      </c>
      <c r="AC120" s="20" t="s">
        <v>277</v>
      </c>
      <c r="AD120" s="20" t="s">
        <v>44</v>
      </c>
      <c r="AE120" s="4" t="str">
        <f t="shared" si="1"/>
        <v>EF1 E002 HGC</v>
      </c>
    </row>
    <row r="121" spans="1:31" s="12" customFormat="1" ht="105" x14ac:dyDescent="0.25">
      <c r="A121" s="23" t="s">
        <v>321</v>
      </c>
      <c r="B121" s="20" t="s">
        <v>32</v>
      </c>
      <c r="C121" s="20" t="s">
        <v>33</v>
      </c>
      <c r="D121" s="20" t="s">
        <v>34</v>
      </c>
      <c r="E121" s="22">
        <v>253</v>
      </c>
      <c r="F121" s="22">
        <v>1</v>
      </c>
      <c r="G121" s="22">
        <v>5</v>
      </c>
      <c r="H121" s="22"/>
      <c r="I121" s="23" t="s">
        <v>39</v>
      </c>
      <c r="J121" s="23"/>
      <c r="K121" s="22"/>
      <c r="L121" s="22"/>
      <c r="M121" s="23"/>
      <c r="N121" s="23"/>
      <c r="O121" s="26" t="s">
        <v>322</v>
      </c>
      <c r="P121" s="26"/>
      <c r="Q121" s="26"/>
      <c r="R121" s="22">
        <v>15</v>
      </c>
      <c r="S121" s="24">
        <v>45811</v>
      </c>
      <c r="T121" s="24">
        <v>45811</v>
      </c>
      <c r="U121" s="24"/>
      <c r="V121" s="24"/>
      <c r="W121" s="24">
        <v>45812</v>
      </c>
      <c r="X121" s="22" t="s">
        <v>316</v>
      </c>
      <c r="Y121" s="4" t="str">
        <f>IF(Tabela2[[#This Row],[SIGLA]]="","",VLOOKUP(Tabela2[[#This Row],[SIGLA]],Tabela1[[#All],[Sigla Arte]:[Crédito]],2,0))</f>
        <v>MINNA MINÁ/ARQUIVO DA EDITORA</v>
      </c>
      <c r="Z121" s="23" t="s">
        <v>82</v>
      </c>
      <c r="AA121" s="23" t="str">
        <f>Tabela2[[#This Row],[ILUSTRADOR CRIAÇÃO]]</f>
        <v>MINNA MINÁ/ARQUIVO DA EDITORA</v>
      </c>
      <c r="AB121" s="22">
        <v>13</v>
      </c>
      <c r="AC121" s="20" t="s">
        <v>277</v>
      </c>
      <c r="AD121" s="20" t="s">
        <v>44</v>
      </c>
      <c r="AE121" s="4" t="str">
        <f t="shared" si="1"/>
        <v>EF1 E002 HGC</v>
      </c>
    </row>
    <row r="122" spans="1:31" s="12" customFormat="1" ht="75" x14ac:dyDescent="0.25">
      <c r="A122" s="23" t="s">
        <v>323</v>
      </c>
      <c r="B122" s="20" t="s">
        <v>32</v>
      </c>
      <c r="C122" s="20" t="s">
        <v>33</v>
      </c>
      <c r="D122" s="20" t="s">
        <v>34</v>
      </c>
      <c r="E122" s="22">
        <v>253</v>
      </c>
      <c r="F122" s="22">
        <v>1</v>
      </c>
      <c r="G122" s="22">
        <v>5</v>
      </c>
      <c r="H122" s="22"/>
      <c r="I122" s="23" t="s">
        <v>39</v>
      </c>
      <c r="J122" s="23"/>
      <c r="K122" s="22"/>
      <c r="L122" s="22"/>
      <c r="M122" s="23"/>
      <c r="N122" s="23"/>
      <c r="O122" s="26" t="s">
        <v>324</v>
      </c>
      <c r="P122" s="26"/>
      <c r="Q122" s="26"/>
      <c r="R122" s="22">
        <v>15</v>
      </c>
      <c r="S122" s="24">
        <v>45811</v>
      </c>
      <c r="T122" s="24">
        <v>45811</v>
      </c>
      <c r="U122" s="24"/>
      <c r="V122" s="24"/>
      <c r="W122" s="24">
        <v>45812</v>
      </c>
      <c r="X122" s="22" t="s">
        <v>316</v>
      </c>
      <c r="Y122" s="4" t="str">
        <f>IF(Tabela2[[#This Row],[SIGLA]]="","",VLOOKUP(Tabela2[[#This Row],[SIGLA]],Tabela1[[#All],[Sigla Arte]:[Crédito]],2,0))</f>
        <v>MINNA MINÁ/ARQUIVO DA EDITORA</v>
      </c>
      <c r="Z122" s="23" t="s">
        <v>82</v>
      </c>
      <c r="AA122" s="23" t="str">
        <f>Tabela2[[#This Row],[ILUSTRADOR CRIAÇÃO]]</f>
        <v>MINNA MINÁ/ARQUIVO DA EDITORA</v>
      </c>
      <c r="AB122" s="22">
        <v>13</v>
      </c>
      <c r="AC122" s="20" t="s">
        <v>277</v>
      </c>
      <c r="AD122" s="20" t="s">
        <v>44</v>
      </c>
      <c r="AE122" s="4" t="str">
        <f t="shared" si="1"/>
        <v>EF1 E002 HGC</v>
      </c>
    </row>
    <row r="123" spans="1:31" s="12" customFormat="1" ht="60" x14ac:dyDescent="0.25">
      <c r="A123" s="23" t="s">
        <v>325</v>
      </c>
      <c r="B123" s="20" t="s">
        <v>32</v>
      </c>
      <c r="C123" s="20" t="s">
        <v>33</v>
      </c>
      <c r="D123" s="20" t="s">
        <v>34</v>
      </c>
      <c r="E123" s="22">
        <v>253</v>
      </c>
      <c r="F123" s="22">
        <v>1</v>
      </c>
      <c r="G123" s="22">
        <v>5</v>
      </c>
      <c r="H123" s="22"/>
      <c r="I123" s="23" t="s">
        <v>39</v>
      </c>
      <c r="J123" s="23"/>
      <c r="K123" s="22"/>
      <c r="L123" s="22"/>
      <c r="M123" s="23"/>
      <c r="N123" s="23"/>
      <c r="O123" s="26" t="s">
        <v>326</v>
      </c>
      <c r="P123" s="26"/>
      <c r="Q123" s="26"/>
      <c r="R123" s="22">
        <v>15</v>
      </c>
      <c r="S123" s="24">
        <v>45811</v>
      </c>
      <c r="T123" s="24">
        <v>45811</v>
      </c>
      <c r="U123" s="24"/>
      <c r="V123" s="24"/>
      <c r="W123" s="24">
        <v>45812</v>
      </c>
      <c r="X123" s="22" t="s">
        <v>316</v>
      </c>
      <c r="Y123" s="4" t="str">
        <f>IF(Tabela2[[#This Row],[SIGLA]]="","",VLOOKUP(Tabela2[[#This Row],[SIGLA]],Tabela1[[#All],[Sigla Arte]:[Crédito]],2,0))</f>
        <v>MINNA MINÁ/ARQUIVO DA EDITORA</v>
      </c>
      <c r="Z123" s="23" t="s">
        <v>82</v>
      </c>
      <c r="AA123" s="23" t="str">
        <f>Tabela2[[#This Row],[ILUSTRADOR CRIAÇÃO]]</f>
        <v>MINNA MINÁ/ARQUIVO DA EDITORA</v>
      </c>
      <c r="AB123" s="22">
        <v>13</v>
      </c>
      <c r="AC123" s="20" t="s">
        <v>277</v>
      </c>
      <c r="AD123" s="20" t="s">
        <v>44</v>
      </c>
      <c r="AE123" s="4" t="str">
        <f t="shared" si="1"/>
        <v>EF1 E002 HGC</v>
      </c>
    </row>
    <row r="124" spans="1:31" s="12" customFormat="1" ht="60" x14ac:dyDescent="0.25">
      <c r="A124" s="23" t="s">
        <v>327</v>
      </c>
      <c r="B124" s="20" t="s">
        <v>183</v>
      </c>
      <c r="C124" s="20" t="s">
        <v>33</v>
      </c>
      <c r="D124" s="20" t="s">
        <v>34</v>
      </c>
      <c r="E124" s="22">
        <v>107</v>
      </c>
      <c r="F124" s="22">
        <v>1</v>
      </c>
      <c r="G124" s="22">
        <v>3</v>
      </c>
      <c r="H124" s="22"/>
      <c r="I124" s="23" t="s">
        <v>39</v>
      </c>
      <c r="J124" s="23"/>
      <c r="K124" s="22"/>
      <c r="L124" s="22"/>
      <c r="M124" s="23"/>
      <c r="N124" s="23"/>
      <c r="O124" s="26" t="s">
        <v>328</v>
      </c>
      <c r="P124" s="26"/>
      <c r="Q124" s="26"/>
      <c r="R124" s="22">
        <v>18</v>
      </c>
      <c r="S124" s="24">
        <v>45832</v>
      </c>
      <c r="T124" s="24">
        <v>45834</v>
      </c>
      <c r="U124" s="24"/>
      <c r="V124" s="24"/>
      <c r="W124" s="24">
        <v>45834</v>
      </c>
      <c r="X124" s="22" t="s">
        <v>37</v>
      </c>
      <c r="Y124" s="4" t="str">
        <f>IF(Tabela2[[#This Row],[SIGLA]]="","",VLOOKUP(Tabela2[[#This Row],[SIGLA]],Tabela1[[#All],[Sigla Arte]:[Crédito]],2,0))</f>
        <v>GUILHERME RODRIGUES/ARQUIVO DA EDITORA</v>
      </c>
      <c r="Z124" s="23" t="s">
        <v>329</v>
      </c>
      <c r="AA124" s="23" t="str">
        <f>Tabela2[[#This Row],[ILUSTRADOR CRIAÇÃO]]</f>
        <v>GUILHERME RODRIGUES/ARQUIVO DA EDITORA</v>
      </c>
      <c r="AB124" s="22">
        <v>13</v>
      </c>
      <c r="AC124" s="20" t="s">
        <v>43</v>
      </c>
      <c r="AD124" s="20" t="s">
        <v>44</v>
      </c>
      <c r="AE124" s="4" t="str">
        <f t="shared" si="1"/>
        <v>EF1 E002 HGC</v>
      </c>
    </row>
    <row r="125" spans="1:31" s="12" customFormat="1" ht="105" x14ac:dyDescent="0.25">
      <c r="A125" s="23" t="s">
        <v>330</v>
      </c>
      <c r="B125" s="20" t="s">
        <v>136</v>
      </c>
      <c r="C125" s="20" t="s">
        <v>33</v>
      </c>
      <c r="D125" s="20" t="s">
        <v>34</v>
      </c>
      <c r="E125" s="22" t="s">
        <v>331</v>
      </c>
      <c r="F125" s="22">
        <v>1</v>
      </c>
      <c r="G125" s="22">
        <v>3</v>
      </c>
      <c r="H125" s="22"/>
      <c r="I125" s="23" t="s">
        <v>39</v>
      </c>
      <c r="J125" s="23"/>
      <c r="K125" s="22"/>
      <c r="L125" s="22"/>
      <c r="M125" s="23"/>
      <c r="N125" s="23"/>
      <c r="O125" s="26" t="s">
        <v>332</v>
      </c>
      <c r="P125" s="26"/>
      <c r="Q125" s="26"/>
      <c r="R125" s="22">
        <v>8</v>
      </c>
      <c r="S125" s="24">
        <v>45764</v>
      </c>
      <c r="T125" s="24">
        <v>45764</v>
      </c>
      <c r="U125" s="24"/>
      <c r="V125" s="24"/>
      <c r="W125" s="24">
        <v>45776</v>
      </c>
      <c r="X125" s="22" t="s">
        <v>112</v>
      </c>
      <c r="Y125" s="4" t="str">
        <f>IF(Tabela2[[#This Row],[SIGLA]]="","",VLOOKUP(Tabela2[[#This Row],[SIGLA]],Tabela1[[#All],[Sigla Arte]:[Crédito]],2,0))</f>
        <v>LISLLEY GOMES FEIGE/ARQUIVO DA EDITORA</v>
      </c>
      <c r="Z125" s="23" t="s">
        <v>333</v>
      </c>
      <c r="AA125" s="23" t="str">
        <f>Tabela2[[#This Row],[ILUSTRADOR CRIAÇÃO]]</f>
        <v>LISLLEY GOMES FEIGE/ARQUIVO DA EDITORA</v>
      </c>
      <c r="AB125" s="22">
        <v>13</v>
      </c>
      <c r="AC125" s="20" t="s">
        <v>43</v>
      </c>
      <c r="AD125" s="20" t="s">
        <v>44</v>
      </c>
      <c r="AE125" s="4" t="str">
        <f t="shared" si="1"/>
        <v>EF1 E002 HGC</v>
      </c>
    </row>
    <row r="126" spans="1:31" s="12" customFormat="1" ht="45" x14ac:dyDescent="0.25">
      <c r="A126" s="23" t="s">
        <v>334</v>
      </c>
      <c r="B126" s="20" t="s">
        <v>32</v>
      </c>
      <c r="C126" s="20" t="s">
        <v>33</v>
      </c>
      <c r="D126" s="20" t="s">
        <v>34</v>
      </c>
      <c r="E126" s="22">
        <v>113</v>
      </c>
      <c r="F126" s="22">
        <v>1</v>
      </c>
      <c r="G126" s="22">
        <v>3</v>
      </c>
      <c r="H126" s="22"/>
      <c r="I126" s="23" t="s">
        <v>35</v>
      </c>
      <c r="J126" s="23"/>
      <c r="K126" s="22"/>
      <c r="L126" s="22"/>
      <c r="M126" s="23"/>
      <c r="N126" s="23"/>
      <c r="O126" s="26" t="s">
        <v>335</v>
      </c>
      <c r="P126" s="26"/>
      <c r="Q126" s="26"/>
      <c r="R126" s="22"/>
      <c r="S126" s="24"/>
      <c r="T126" s="24"/>
      <c r="U126" s="24"/>
      <c r="V126" s="24"/>
      <c r="W126" s="24"/>
      <c r="X126" s="22" t="s">
        <v>200</v>
      </c>
      <c r="Y126" s="4" t="str">
        <f>IF(Tabela2[[#This Row],[SIGLA]]="","",VLOOKUP(Tabela2[[#This Row],[SIGLA]],Tabela1[[#All],[Sigla Arte]:[Crédito]],2,0))</f>
        <v>KÉZIA TRENTINI/ARQUIVO DA EDITORA</v>
      </c>
      <c r="Z126" s="23"/>
      <c r="AA126" s="23" t="str">
        <f>Tabela2[[#This Row],[ILUSTRADOR CRIAÇÃO]]</f>
        <v>KÉZIA TRENTINI/ARQUIVO DA EDITORA</v>
      </c>
      <c r="AB126" s="22"/>
      <c r="AC126" s="20"/>
      <c r="AD126" s="20"/>
      <c r="AE126" s="4" t="str">
        <f t="shared" si="1"/>
        <v>EF1 E002 HGC</v>
      </c>
    </row>
    <row r="127" spans="1:31" s="12" customFormat="1" ht="60" x14ac:dyDescent="0.25">
      <c r="A127" s="23" t="s">
        <v>336</v>
      </c>
      <c r="B127" s="20" t="s">
        <v>32</v>
      </c>
      <c r="C127" s="20" t="s">
        <v>33</v>
      </c>
      <c r="D127" s="20" t="s">
        <v>34</v>
      </c>
      <c r="E127" s="22">
        <v>113</v>
      </c>
      <c r="F127" s="22">
        <v>1</v>
      </c>
      <c r="G127" s="22">
        <v>3</v>
      </c>
      <c r="H127" s="22"/>
      <c r="I127" s="23" t="s">
        <v>39</v>
      </c>
      <c r="J127" s="23"/>
      <c r="K127" s="22"/>
      <c r="L127" s="22"/>
      <c r="M127" s="23"/>
      <c r="N127" s="23"/>
      <c r="O127" s="26" t="s">
        <v>337</v>
      </c>
      <c r="P127" s="26"/>
      <c r="Q127" s="26"/>
      <c r="R127" s="22">
        <v>8</v>
      </c>
      <c r="S127" s="24">
        <v>45764</v>
      </c>
      <c r="T127" s="24">
        <v>45764</v>
      </c>
      <c r="U127" s="24"/>
      <c r="V127" s="24"/>
      <c r="W127" s="24">
        <v>45776</v>
      </c>
      <c r="X127" s="22" t="s">
        <v>200</v>
      </c>
      <c r="Y127" s="4" t="str">
        <f>IF(Tabela2[[#This Row],[SIGLA]]="","",VLOOKUP(Tabela2[[#This Row],[SIGLA]],Tabela1[[#All],[Sigla Arte]:[Crédito]],2,0))</f>
        <v>KÉZIA TRENTINI/ARQUIVO DA EDITORA</v>
      </c>
      <c r="Z127" s="23" t="s">
        <v>333</v>
      </c>
      <c r="AA127" s="23" t="str">
        <f>Tabela2[[#This Row],[ILUSTRADOR CRIAÇÃO]]</f>
        <v>KÉZIA TRENTINI/ARQUIVO DA EDITORA</v>
      </c>
      <c r="AB127" s="22">
        <v>13</v>
      </c>
      <c r="AC127" s="20" t="s">
        <v>43</v>
      </c>
      <c r="AD127" s="20" t="s">
        <v>44</v>
      </c>
      <c r="AE127" s="4" t="str">
        <f t="shared" si="1"/>
        <v>EF1 E002 HGC</v>
      </c>
    </row>
    <row r="128" spans="1:31" s="12" customFormat="1" ht="90" x14ac:dyDescent="0.25">
      <c r="A128" s="23" t="s">
        <v>338</v>
      </c>
      <c r="B128" s="20" t="s">
        <v>32</v>
      </c>
      <c r="C128" s="20" t="s">
        <v>33</v>
      </c>
      <c r="D128" s="20" t="s">
        <v>34</v>
      </c>
      <c r="E128" s="22">
        <v>114</v>
      </c>
      <c r="F128" s="22">
        <v>1</v>
      </c>
      <c r="G128" s="22">
        <v>3</v>
      </c>
      <c r="H128" s="22"/>
      <c r="I128" s="23" t="s">
        <v>39</v>
      </c>
      <c r="J128" s="23"/>
      <c r="K128" s="22"/>
      <c r="L128" s="22"/>
      <c r="M128" s="23"/>
      <c r="N128" s="23"/>
      <c r="O128" s="26" t="s">
        <v>339</v>
      </c>
      <c r="P128" s="26"/>
      <c r="Q128" s="26"/>
      <c r="R128" s="22">
        <v>8</v>
      </c>
      <c r="S128" s="24">
        <v>45764</v>
      </c>
      <c r="T128" s="24">
        <v>45764</v>
      </c>
      <c r="U128" s="24"/>
      <c r="V128" s="24"/>
      <c r="W128" s="24">
        <v>45776</v>
      </c>
      <c r="X128" s="22" t="s">
        <v>200</v>
      </c>
      <c r="Y128" s="4" t="str">
        <f>IF(Tabela2[[#This Row],[SIGLA]]="","",VLOOKUP(Tabela2[[#This Row],[SIGLA]],Tabela1[[#All],[Sigla Arte]:[Crédito]],2,0))</f>
        <v>KÉZIA TRENTINI/ARQUIVO DA EDITORA</v>
      </c>
      <c r="Z128" s="23" t="s">
        <v>333</v>
      </c>
      <c r="AA128" s="23" t="str">
        <f>Tabela2[[#This Row],[ILUSTRADOR CRIAÇÃO]]</f>
        <v>KÉZIA TRENTINI/ARQUIVO DA EDITORA</v>
      </c>
      <c r="AB128" s="22">
        <v>13</v>
      </c>
      <c r="AC128" s="20" t="s">
        <v>43</v>
      </c>
      <c r="AD128" s="20" t="s">
        <v>44</v>
      </c>
      <c r="AE128" s="4" t="str">
        <f t="shared" si="1"/>
        <v>EF1 E002 HGC</v>
      </c>
    </row>
    <row r="129" spans="1:31" s="12" customFormat="1" ht="30" x14ac:dyDescent="0.25">
      <c r="A129" s="23" t="s">
        <v>340</v>
      </c>
      <c r="B129" s="20" t="s">
        <v>32</v>
      </c>
      <c r="C129" s="20" t="s">
        <v>33</v>
      </c>
      <c r="D129" s="20" t="s">
        <v>34</v>
      </c>
      <c r="E129" s="22">
        <v>117</v>
      </c>
      <c r="F129" s="22">
        <v>1</v>
      </c>
      <c r="G129" s="22">
        <v>3</v>
      </c>
      <c r="H129" s="22"/>
      <c r="I129" s="23" t="s">
        <v>35</v>
      </c>
      <c r="J129" s="23"/>
      <c r="K129" s="22"/>
      <c r="L129" s="22"/>
      <c r="M129" s="23"/>
      <c r="N129" s="23"/>
      <c r="O129" s="26" t="s">
        <v>341</v>
      </c>
      <c r="P129" s="26"/>
      <c r="Q129" s="26"/>
      <c r="R129" s="22"/>
      <c r="S129" s="24"/>
      <c r="T129" s="24"/>
      <c r="U129" s="24"/>
      <c r="V129" s="24"/>
      <c r="W129" s="24"/>
      <c r="X129" s="22" t="s">
        <v>37</v>
      </c>
      <c r="Y129" s="4" t="str">
        <f>IF(Tabela2[[#This Row],[SIGLA]]="","",VLOOKUP(Tabela2[[#This Row],[SIGLA]],Tabela1[[#All],[Sigla Arte]:[Crédito]],2,0))</f>
        <v>GUILHERME RODRIGUES/ARQUIVO DA EDITORA</v>
      </c>
      <c r="Z129" s="23"/>
      <c r="AA129" s="23" t="str">
        <f>Tabela2[[#This Row],[ILUSTRADOR CRIAÇÃO]]</f>
        <v>GUILHERME RODRIGUES/ARQUIVO DA EDITORA</v>
      </c>
      <c r="AB129" s="22"/>
      <c r="AC129" s="20"/>
      <c r="AD129" s="20"/>
      <c r="AE129" s="4" t="str">
        <f t="shared" si="1"/>
        <v>EF1 E002 HGC</v>
      </c>
    </row>
    <row r="130" spans="1:31" s="12" customFormat="1" ht="30" x14ac:dyDescent="0.25">
      <c r="A130" s="23" t="s">
        <v>342</v>
      </c>
      <c r="B130" s="20" t="s">
        <v>32</v>
      </c>
      <c r="C130" s="20" t="s">
        <v>33</v>
      </c>
      <c r="D130" s="20" t="s">
        <v>34</v>
      </c>
      <c r="E130" s="22">
        <v>117</v>
      </c>
      <c r="F130" s="22">
        <v>1</v>
      </c>
      <c r="G130" s="22">
        <v>3</v>
      </c>
      <c r="H130" s="22"/>
      <c r="I130" s="23" t="s">
        <v>35</v>
      </c>
      <c r="J130" s="23"/>
      <c r="K130" s="22"/>
      <c r="L130" s="22"/>
      <c r="M130" s="23"/>
      <c r="N130" s="23"/>
      <c r="O130" s="26" t="s">
        <v>343</v>
      </c>
      <c r="P130" s="26"/>
      <c r="Q130" s="26"/>
      <c r="R130" s="22"/>
      <c r="S130" s="24"/>
      <c r="T130" s="24"/>
      <c r="U130" s="24"/>
      <c r="V130" s="24"/>
      <c r="W130" s="24"/>
      <c r="X130" s="22" t="s">
        <v>37</v>
      </c>
      <c r="Y130" s="4" t="str">
        <f>IF(Tabela2[[#This Row],[SIGLA]]="","",VLOOKUP(Tabela2[[#This Row],[SIGLA]],Tabela1[[#All],[Sigla Arte]:[Crédito]],2,0))</f>
        <v>GUILHERME RODRIGUES/ARQUIVO DA EDITORA</v>
      </c>
      <c r="Z130" s="23"/>
      <c r="AA130" s="23" t="str">
        <f>Tabela2[[#This Row],[ILUSTRADOR CRIAÇÃO]]</f>
        <v>GUILHERME RODRIGUES/ARQUIVO DA EDITORA</v>
      </c>
      <c r="AB130" s="22"/>
      <c r="AC130" s="20"/>
      <c r="AD130" s="20"/>
      <c r="AE130" s="4" t="str">
        <f t="shared" ref="AE130:AE193" si="2">"EF1 E002 HGC"</f>
        <v>EF1 E002 HGC</v>
      </c>
    </row>
    <row r="131" spans="1:31" s="12" customFormat="1" ht="30" x14ac:dyDescent="0.25">
      <c r="A131" s="23" t="s">
        <v>344</v>
      </c>
      <c r="B131" s="20" t="s">
        <v>32</v>
      </c>
      <c r="C131" s="20" t="s">
        <v>33</v>
      </c>
      <c r="D131" s="20" t="s">
        <v>34</v>
      </c>
      <c r="E131" s="22">
        <v>117</v>
      </c>
      <c r="F131" s="22">
        <v>1</v>
      </c>
      <c r="G131" s="22">
        <v>3</v>
      </c>
      <c r="H131" s="22"/>
      <c r="I131" s="23" t="s">
        <v>35</v>
      </c>
      <c r="J131" s="23"/>
      <c r="K131" s="22"/>
      <c r="L131" s="22"/>
      <c r="M131" s="23"/>
      <c r="N131" s="23"/>
      <c r="O131" s="26" t="s">
        <v>345</v>
      </c>
      <c r="P131" s="26"/>
      <c r="Q131" s="26"/>
      <c r="R131" s="22"/>
      <c r="S131" s="24"/>
      <c r="T131" s="24"/>
      <c r="U131" s="24"/>
      <c r="V131" s="24"/>
      <c r="W131" s="24"/>
      <c r="X131" s="22" t="s">
        <v>37</v>
      </c>
      <c r="Y131" s="4" t="str">
        <f>IF(Tabela2[[#This Row],[SIGLA]]="","",VLOOKUP(Tabela2[[#This Row],[SIGLA]],Tabela1[[#All],[Sigla Arte]:[Crédito]],2,0))</f>
        <v>GUILHERME RODRIGUES/ARQUIVO DA EDITORA</v>
      </c>
      <c r="Z131" s="23"/>
      <c r="AA131" s="23" t="str">
        <f>Tabela2[[#This Row],[ILUSTRADOR CRIAÇÃO]]</f>
        <v>GUILHERME RODRIGUES/ARQUIVO DA EDITORA</v>
      </c>
      <c r="AB131" s="22"/>
      <c r="AC131" s="20"/>
      <c r="AD131" s="20"/>
      <c r="AE131" s="4" t="str">
        <f t="shared" si="2"/>
        <v>EF1 E002 HGC</v>
      </c>
    </row>
    <row r="132" spans="1:31" s="12" customFormat="1" ht="60" x14ac:dyDescent="0.25">
      <c r="A132" s="23" t="s">
        <v>346</v>
      </c>
      <c r="B132" s="20" t="s">
        <v>32</v>
      </c>
      <c r="C132" s="20" t="s">
        <v>33</v>
      </c>
      <c r="D132" s="20" t="s">
        <v>34</v>
      </c>
      <c r="E132" s="22">
        <v>118</v>
      </c>
      <c r="F132" s="22">
        <v>1</v>
      </c>
      <c r="G132" s="22">
        <v>3</v>
      </c>
      <c r="H132" s="22"/>
      <c r="I132" s="23" t="s">
        <v>39</v>
      </c>
      <c r="J132" s="23"/>
      <c r="K132" s="22"/>
      <c r="L132" s="22"/>
      <c r="M132" s="23"/>
      <c r="N132" s="23"/>
      <c r="O132" s="26" t="s">
        <v>347</v>
      </c>
      <c r="P132" s="26"/>
      <c r="Q132" s="26"/>
      <c r="R132" s="22">
        <v>8</v>
      </c>
      <c r="S132" s="24">
        <v>45764</v>
      </c>
      <c r="T132" s="24">
        <v>45764</v>
      </c>
      <c r="U132" s="24"/>
      <c r="V132" s="24"/>
      <c r="W132" s="24">
        <v>45776</v>
      </c>
      <c r="X132" s="22" t="s">
        <v>139</v>
      </c>
      <c r="Y132" s="4" t="str">
        <f>IF(Tabela2[[#This Row],[SIGLA]]="","",VLOOKUP(Tabela2[[#This Row],[SIGLA]],Tabela1[[#All],[Sigla Arte]:[Crédito]],2,0))</f>
        <v>HELOÍSA PINTARELLI/ARQUIVO DA EDITORA</v>
      </c>
      <c r="Z132" s="23" t="s">
        <v>333</v>
      </c>
      <c r="AA132" s="23" t="str">
        <f>Tabela2[[#This Row],[ILUSTRADOR CRIAÇÃO]]</f>
        <v>HELOÍSA PINTARELLI/ARQUIVO DA EDITORA</v>
      </c>
      <c r="AB132" s="22">
        <v>14</v>
      </c>
      <c r="AC132" s="20" t="s">
        <v>43</v>
      </c>
      <c r="AD132" s="20" t="s">
        <v>44</v>
      </c>
      <c r="AE132" s="4" t="str">
        <f t="shared" si="2"/>
        <v>EF1 E002 HGC</v>
      </c>
    </row>
    <row r="133" spans="1:31" s="12" customFormat="1" ht="120" x14ac:dyDescent="0.25">
      <c r="A133" s="23" t="s">
        <v>348</v>
      </c>
      <c r="B133" s="20" t="s">
        <v>32</v>
      </c>
      <c r="C133" s="20" t="s">
        <v>33</v>
      </c>
      <c r="D133" s="20" t="s">
        <v>34</v>
      </c>
      <c r="E133" s="22">
        <v>132</v>
      </c>
      <c r="F133" s="22">
        <v>1</v>
      </c>
      <c r="G133" s="22">
        <v>3</v>
      </c>
      <c r="H133" s="22"/>
      <c r="I133" s="23" t="s">
        <v>39</v>
      </c>
      <c r="J133" s="23"/>
      <c r="K133" s="22"/>
      <c r="L133" s="22"/>
      <c r="M133" s="23"/>
      <c r="N133" s="23"/>
      <c r="O133" s="26" t="s">
        <v>349</v>
      </c>
      <c r="P133" s="26"/>
      <c r="Q133" s="26"/>
      <c r="R133" s="22">
        <v>8</v>
      </c>
      <c r="S133" s="24">
        <v>45764</v>
      </c>
      <c r="T133" s="24">
        <v>45764</v>
      </c>
      <c r="U133" s="24"/>
      <c r="V133" s="24"/>
      <c r="W133" s="24">
        <v>45776</v>
      </c>
      <c r="X133" s="22" t="s">
        <v>41</v>
      </c>
      <c r="Y133" s="4" t="str">
        <f>IF(Tabela2[[#This Row],[SIGLA]]="","",VLOOKUP(Tabela2[[#This Row],[SIGLA]],Tabela1[[#All],[Sigla Arte]:[Crédito]],2,0))</f>
        <v>CARLITOS PINHEIRO/ARQUIVO DA EDITORA</v>
      </c>
      <c r="Z133" s="23" t="s">
        <v>333</v>
      </c>
      <c r="AA133" s="23" t="str">
        <f>Tabela2[[#This Row],[ILUSTRADOR CRIAÇÃO]]</f>
        <v>CARLITOS PINHEIRO/ARQUIVO DA EDITORA</v>
      </c>
      <c r="AB133" s="22">
        <v>13</v>
      </c>
      <c r="AC133" s="20" t="s">
        <v>43</v>
      </c>
      <c r="AD133" s="20" t="s">
        <v>44</v>
      </c>
      <c r="AE133" s="4" t="str">
        <f t="shared" si="2"/>
        <v>EF1 E002 HGC</v>
      </c>
    </row>
    <row r="134" spans="1:31" s="12" customFormat="1" ht="60" x14ac:dyDescent="0.25">
      <c r="A134" s="23" t="s">
        <v>350</v>
      </c>
      <c r="B134" s="20" t="s">
        <v>32</v>
      </c>
      <c r="C134" s="20" t="s">
        <v>33</v>
      </c>
      <c r="D134" s="20" t="s">
        <v>34</v>
      </c>
      <c r="E134" s="22">
        <v>132</v>
      </c>
      <c r="F134" s="22">
        <v>1</v>
      </c>
      <c r="G134" s="22">
        <v>3</v>
      </c>
      <c r="H134" s="22"/>
      <c r="I134" s="23" t="s">
        <v>39</v>
      </c>
      <c r="J134" s="23"/>
      <c r="K134" s="22"/>
      <c r="L134" s="22"/>
      <c r="M134" s="23"/>
      <c r="N134" s="23"/>
      <c r="O134" s="26" t="s">
        <v>351</v>
      </c>
      <c r="P134" s="26"/>
      <c r="Q134" s="26"/>
      <c r="R134" s="22">
        <v>8</v>
      </c>
      <c r="S134" s="24">
        <v>45764</v>
      </c>
      <c r="T134" s="24">
        <v>45764</v>
      </c>
      <c r="U134" s="24"/>
      <c r="V134" s="24"/>
      <c r="W134" s="24">
        <v>45776</v>
      </c>
      <c r="X134" s="22" t="s">
        <v>41</v>
      </c>
      <c r="Y134" s="4" t="str">
        <f>IF(Tabela2[[#This Row],[SIGLA]]="","",VLOOKUP(Tabela2[[#This Row],[SIGLA]],Tabela1[[#All],[Sigla Arte]:[Crédito]],2,0))</f>
        <v>CARLITOS PINHEIRO/ARQUIVO DA EDITORA</v>
      </c>
      <c r="Z134" s="23" t="s">
        <v>333</v>
      </c>
      <c r="AA134" s="23" t="str">
        <f>Tabela2[[#This Row],[ILUSTRADOR CRIAÇÃO]]</f>
        <v>CARLITOS PINHEIRO/ARQUIVO DA EDITORA</v>
      </c>
      <c r="AB134" s="22">
        <v>13</v>
      </c>
      <c r="AC134" s="20" t="s">
        <v>43</v>
      </c>
      <c r="AD134" s="20" t="s">
        <v>44</v>
      </c>
      <c r="AE134" s="4" t="str">
        <f t="shared" si="2"/>
        <v>EF1 E002 HGC</v>
      </c>
    </row>
    <row r="135" spans="1:31" s="12" customFormat="1" ht="45" x14ac:dyDescent="0.25">
      <c r="A135" s="23" t="s">
        <v>352</v>
      </c>
      <c r="B135" s="20" t="s">
        <v>183</v>
      </c>
      <c r="C135" s="20" t="s">
        <v>33</v>
      </c>
      <c r="D135" s="20" t="s">
        <v>34</v>
      </c>
      <c r="E135" s="22">
        <v>136</v>
      </c>
      <c r="F135" s="22">
        <v>1</v>
      </c>
      <c r="G135" s="22">
        <v>3</v>
      </c>
      <c r="H135" s="22"/>
      <c r="I135" s="23" t="s">
        <v>39</v>
      </c>
      <c r="J135" s="23"/>
      <c r="K135" s="22"/>
      <c r="L135" s="22"/>
      <c r="M135" s="23"/>
      <c r="N135" s="23"/>
      <c r="O135" s="26" t="s">
        <v>353</v>
      </c>
      <c r="P135" s="26"/>
      <c r="Q135" s="26"/>
      <c r="R135" s="22">
        <v>18</v>
      </c>
      <c r="S135" s="24">
        <v>45832</v>
      </c>
      <c r="T135" s="24">
        <v>45834</v>
      </c>
      <c r="U135" s="24"/>
      <c r="V135" s="24"/>
      <c r="W135" s="24">
        <v>45834</v>
      </c>
      <c r="X135" s="22" t="s">
        <v>112</v>
      </c>
      <c r="Y135" s="4" t="str">
        <f>IF(Tabela2[[#This Row],[SIGLA]]="","",VLOOKUP(Tabela2[[#This Row],[SIGLA]],Tabela1[[#All],[Sigla Arte]:[Crédito]],2,0))</f>
        <v>LISLLEY GOMES FEIGE/ARQUIVO DA EDITORA</v>
      </c>
      <c r="Z135" s="23" t="s">
        <v>329</v>
      </c>
      <c r="AA135" s="23" t="str">
        <f>Tabela2[[#This Row],[ILUSTRADOR CRIAÇÃO]]</f>
        <v>LISLLEY GOMES FEIGE/ARQUIVO DA EDITORA</v>
      </c>
      <c r="AB135" s="22">
        <v>14</v>
      </c>
      <c r="AC135" s="20" t="s">
        <v>43</v>
      </c>
      <c r="AD135" s="20" t="s">
        <v>44</v>
      </c>
      <c r="AE135" s="4" t="str">
        <f t="shared" si="2"/>
        <v>EF1 E002 HGC</v>
      </c>
    </row>
    <row r="136" spans="1:31" s="12" customFormat="1" ht="45" x14ac:dyDescent="0.25">
      <c r="A136" s="23" t="s">
        <v>354</v>
      </c>
      <c r="B136" s="20" t="s">
        <v>183</v>
      </c>
      <c r="C136" s="20" t="s">
        <v>33</v>
      </c>
      <c r="D136" s="20" t="s">
        <v>34</v>
      </c>
      <c r="E136" s="22">
        <v>136</v>
      </c>
      <c r="F136" s="22">
        <v>1</v>
      </c>
      <c r="G136" s="22">
        <v>3</v>
      </c>
      <c r="H136" s="22"/>
      <c r="I136" s="23" t="s">
        <v>39</v>
      </c>
      <c r="J136" s="23"/>
      <c r="K136" s="22"/>
      <c r="L136" s="22"/>
      <c r="M136" s="23"/>
      <c r="N136" s="23"/>
      <c r="O136" s="26" t="s">
        <v>355</v>
      </c>
      <c r="P136" s="26"/>
      <c r="Q136" s="26"/>
      <c r="R136" s="22">
        <v>18</v>
      </c>
      <c r="S136" s="24">
        <v>45832</v>
      </c>
      <c r="T136" s="24">
        <v>45834</v>
      </c>
      <c r="U136" s="24"/>
      <c r="V136" s="24"/>
      <c r="W136" s="24">
        <v>45834</v>
      </c>
      <c r="X136" s="22" t="s">
        <v>112</v>
      </c>
      <c r="Y136" s="4" t="str">
        <f>IF(Tabela2[[#This Row],[SIGLA]]="","",VLOOKUP(Tabela2[[#This Row],[SIGLA]],Tabela1[[#All],[Sigla Arte]:[Crédito]],2,0))</f>
        <v>LISLLEY GOMES FEIGE/ARQUIVO DA EDITORA</v>
      </c>
      <c r="Z136" s="23" t="s">
        <v>329</v>
      </c>
      <c r="AA136" s="23" t="str">
        <f>Tabela2[[#This Row],[ILUSTRADOR CRIAÇÃO]]</f>
        <v>LISLLEY GOMES FEIGE/ARQUIVO DA EDITORA</v>
      </c>
      <c r="AB136" s="22">
        <v>14</v>
      </c>
      <c r="AC136" s="20" t="s">
        <v>43</v>
      </c>
      <c r="AD136" s="20" t="s">
        <v>44</v>
      </c>
      <c r="AE136" s="4" t="str">
        <f t="shared" si="2"/>
        <v>EF1 E002 HGC</v>
      </c>
    </row>
    <row r="137" spans="1:31" s="12" customFormat="1" ht="30" x14ac:dyDescent="0.25">
      <c r="A137" s="23" t="s">
        <v>356</v>
      </c>
      <c r="B137" s="20" t="s">
        <v>183</v>
      </c>
      <c r="C137" s="20" t="s">
        <v>33</v>
      </c>
      <c r="D137" s="20" t="s">
        <v>34</v>
      </c>
      <c r="E137" s="22">
        <v>136</v>
      </c>
      <c r="F137" s="22">
        <v>1</v>
      </c>
      <c r="G137" s="22">
        <v>3</v>
      </c>
      <c r="H137" s="22"/>
      <c r="I137" s="23" t="s">
        <v>39</v>
      </c>
      <c r="J137" s="23"/>
      <c r="K137" s="22"/>
      <c r="L137" s="22"/>
      <c r="M137" s="23"/>
      <c r="N137" s="23"/>
      <c r="O137" s="26" t="s">
        <v>357</v>
      </c>
      <c r="P137" s="26"/>
      <c r="Q137" s="26"/>
      <c r="R137" s="22">
        <v>18</v>
      </c>
      <c r="S137" s="24">
        <v>45832</v>
      </c>
      <c r="T137" s="24">
        <v>45834</v>
      </c>
      <c r="U137" s="24"/>
      <c r="V137" s="24"/>
      <c r="W137" s="24">
        <v>45834</v>
      </c>
      <c r="X137" s="22" t="s">
        <v>112</v>
      </c>
      <c r="Y137" s="4" t="str">
        <f>IF(Tabela2[[#This Row],[SIGLA]]="","",VLOOKUP(Tabela2[[#This Row],[SIGLA]],Tabela1[[#All],[Sigla Arte]:[Crédito]],2,0))</f>
        <v>LISLLEY GOMES FEIGE/ARQUIVO DA EDITORA</v>
      </c>
      <c r="Z137" s="23" t="s">
        <v>329</v>
      </c>
      <c r="AA137" s="23" t="str">
        <f>Tabela2[[#This Row],[ILUSTRADOR CRIAÇÃO]]</f>
        <v>LISLLEY GOMES FEIGE/ARQUIVO DA EDITORA</v>
      </c>
      <c r="AB137" s="22">
        <v>14</v>
      </c>
      <c r="AC137" s="20" t="s">
        <v>43</v>
      </c>
      <c r="AD137" s="20" t="s">
        <v>44</v>
      </c>
      <c r="AE137" s="4" t="str">
        <f t="shared" si="2"/>
        <v>EF1 E002 HGC</v>
      </c>
    </row>
    <row r="138" spans="1:31" s="12" customFormat="1" ht="75" x14ac:dyDescent="0.25">
      <c r="A138" s="23" t="s">
        <v>358</v>
      </c>
      <c r="B138" s="20" t="s">
        <v>32</v>
      </c>
      <c r="C138" s="20" t="s">
        <v>33</v>
      </c>
      <c r="D138" s="20" t="s">
        <v>34</v>
      </c>
      <c r="E138" s="22">
        <v>138</v>
      </c>
      <c r="F138" s="22">
        <v>1</v>
      </c>
      <c r="G138" s="22">
        <v>3</v>
      </c>
      <c r="H138" s="22"/>
      <c r="I138" s="23" t="s">
        <v>35</v>
      </c>
      <c r="J138" s="23"/>
      <c r="K138" s="22"/>
      <c r="L138" s="22"/>
      <c r="M138" s="23"/>
      <c r="N138" s="23"/>
      <c r="O138" s="26" t="s">
        <v>359</v>
      </c>
      <c r="P138" s="26"/>
      <c r="Q138" s="26"/>
      <c r="R138" s="22"/>
      <c r="S138" s="24"/>
      <c r="T138" s="24"/>
      <c r="U138" s="24"/>
      <c r="V138" s="24"/>
      <c r="W138" s="24"/>
      <c r="X138" s="22" t="s">
        <v>41</v>
      </c>
      <c r="Y138" s="4" t="str">
        <f>IF(Tabela2[[#This Row],[SIGLA]]="","",VLOOKUP(Tabela2[[#This Row],[SIGLA]],Tabela1[[#All],[Sigla Arte]:[Crédito]],2,0))</f>
        <v>CARLITOS PINHEIRO/ARQUIVO DA EDITORA</v>
      </c>
      <c r="Z138" s="23"/>
      <c r="AA138" s="23" t="str">
        <f>Tabela2[[#This Row],[ILUSTRADOR CRIAÇÃO]]</f>
        <v>CARLITOS PINHEIRO/ARQUIVO DA EDITORA</v>
      </c>
      <c r="AB138" s="22"/>
      <c r="AC138" s="20"/>
      <c r="AD138" s="20"/>
      <c r="AE138" s="4" t="str">
        <f t="shared" si="2"/>
        <v>EF1 E002 HGC</v>
      </c>
    </row>
    <row r="139" spans="1:31" s="12" customFormat="1" ht="75" x14ac:dyDescent="0.25">
      <c r="A139" s="23" t="s">
        <v>360</v>
      </c>
      <c r="B139" s="20" t="s">
        <v>32</v>
      </c>
      <c r="C139" s="20" t="s">
        <v>33</v>
      </c>
      <c r="D139" s="20" t="s">
        <v>34</v>
      </c>
      <c r="E139" s="22">
        <v>139</v>
      </c>
      <c r="F139" s="22">
        <v>1</v>
      </c>
      <c r="G139" s="22">
        <v>3</v>
      </c>
      <c r="H139" s="22"/>
      <c r="I139" s="23" t="s">
        <v>35</v>
      </c>
      <c r="J139" s="23"/>
      <c r="K139" s="22"/>
      <c r="L139" s="22"/>
      <c r="M139" s="23"/>
      <c r="N139" s="23"/>
      <c r="O139" s="26" t="s">
        <v>361</v>
      </c>
      <c r="P139" s="26"/>
      <c r="Q139" s="26"/>
      <c r="R139" s="22"/>
      <c r="S139" s="24"/>
      <c r="T139" s="24"/>
      <c r="U139" s="24"/>
      <c r="V139" s="24"/>
      <c r="W139" s="24"/>
      <c r="X139" s="22" t="s">
        <v>41</v>
      </c>
      <c r="Y139" s="4" t="str">
        <f>IF(Tabela2[[#This Row],[SIGLA]]="","",VLOOKUP(Tabela2[[#This Row],[SIGLA]],Tabela1[[#All],[Sigla Arte]:[Crédito]],2,0))</f>
        <v>CARLITOS PINHEIRO/ARQUIVO DA EDITORA</v>
      </c>
      <c r="Z139" s="23"/>
      <c r="AA139" s="23" t="str">
        <f>Tabela2[[#This Row],[ILUSTRADOR CRIAÇÃO]]</f>
        <v>CARLITOS PINHEIRO/ARQUIVO DA EDITORA</v>
      </c>
      <c r="AB139" s="22"/>
      <c r="AC139" s="20"/>
      <c r="AD139" s="20"/>
      <c r="AE139" s="4" t="str">
        <f t="shared" si="2"/>
        <v>EF1 E002 HGC</v>
      </c>
    </row>
    <row r="140" spans="1:31" s="12" customFormat="1" ht="90" x14ac:dyDescent="0.25">
      <c r="A140" s="23" t="s">
        <v>362</v>
      </c>
      <c r="B140" s="20" t="s">
        <v>32</v>
      </c>
      <c r="C140" s="20" t="s">
        <v>33</v>
      </c>
      <c r="D140" s="20" t="s">
        <v>34</v>
      </c>
      <c r="E140" s="22">
        <v>140</v>
      </c>
      <c r="F140" s="22">
        <v>1</v>
      </c>
      <c r="G140" s="22">
        <v>3</v>
      </c>
      <c r="H140" s="22"/>
      <c r="I140" s="23" t="s">
        <v>39</v>
      </c>
      <c r="J140" s="23"/>
      <c r="K140" s="22"/>
      <c r="L140" s="22"/>
      <c r="M140" s="23"/>
      <c r="N140" s="23"/>
      <c r="O140" s="26" t="s">
        <v>363</v>
      </c>
      <c r="P140" s="26"/>
      <c r="Q140" s="26"/>
      <c r="R140" s="22">
        <v>8</v>
      </c>
      <c r="S140" s="24">
        <v>45764</v>
      </c>
      <c r="T140" s="24">
        <v>45764</v>
      </c>
      <c r="U140" s="24"/>
      <c r="V140" s="24"/>
      <c r="W140" s="24">
        <v>45776</v>
      </c>
      <c r="X140" s="22" t="s">
        <v>41</v>
      </c>
      <c r="Y140" s="4" t="str">
        <f>IF(Tabela2[[#This Row],[SIGLA]]="","",VLOOKUP(Tabela2[[#This Row],[SIGLA]],Tabela1[[#All],[Sigla Arte]:[Crédito]],2,0))</f>
        <v>CARLITOS PINHEIRO/ARQUIVO DA EDITORA</v>
      </c>
      <c r="Z140" s="23" t="s">
        <v>333</v>
      </c>
      <c r="AA140" s="23" t="str">
        <f>Tabela2[[#This Row],[ILUSTRADOR CRIAÇÃO]]</f>
        <v>CARLITOS PINHEIRO/ARQUIVO DA EDITORA</v>
      </c>
      <c r="AB140" s="22">
        <v>14</v>
      </c>
      <c r="AC140" s="20" t="s">
        <v>43</v>
      </c>
      <c r="AD140" s="20" t="s">
        <v>44</v>
      </c>
      <c r="AE140" s="4" t="str">
        <f t="shared" si="2"/>
        <v>EF1 E002 HGC</v>
      </c>
    </row>
    <row r="141" spans="1:31" s="12" customFormat="1" ht="30" x14ac:dyDescent="0.25">
      <c r="A141" s="23" t="s">
        <v>364</v>
      </c>
      <c r="B141" s="20" t="s">
        <v>32</v>
      </c>
      <c r="C141" s="20" t="s">
        <v>33</v>
      </c>
      <c r="D141" s="20" t="s">
        <v>34</v>
      </c>
      <c r="E141" s="22">
        <v>142</v>
      </c>
      <c r="F141" s="22">
        <v>1</v>
      </c>
      <c r="G141" s="22">
        <v>3</v>
      </c>
      <c r="H141" s="22"/>
      <c r="I141" s="23" t="s">
        <v>35</v>
      </c>
      <c r="J141" s="23"/>
      <c r="K141" s="22"/>
      <c r="L141" s="22"/>
      <c r="M141" s="23"/>
      <c r="N141" s="23"/>
      <c r="O141" s="26" t="s">
        <v>365</v>
      </c>
      <c r="P141" s="26"/>
      <c r="Q141" s="26"/>
      <c r="R141" s="22"/>
      <c r="S141" s="24"/>
      <c r="T141" s="24"/>
      <c r="U141" s="24"/>
      <c r="V141" s="24"/>
      <c r="W141" s="24"/>
      <c r="X141" s="22" t="s">
        <v>366</v>
      </c>
      <c r="Y141" s="4" t="str">
        <f>IF(Tabela2[[#This Row],[SIGLA]]="","",VLOOKUP(Tabela2[[#This Row],[SIGLA]],Tabela1[[#All],[Sigla Arte]:[Crédito]],2,0))</f>
        <v>VER DOCUMENTO DE ILS. TÉCNICAS</v>
      </c>
      <c r="Z141" s="23"/>
      <c r="AA141" s="23" t="s">
        <v>367</v>
      </c>
      <c r="AB141" s="22"/>
      <c r="AC141" s="20"/>
      <c r="AD141" s="20"/>
      <c r="AE141" s="4" t="str">
        <f t="shared" si="2"/>
        <v>EF1 E002 HGC</v>
      </c>
    </row>
    <row r="142" spans="1:31" s="12" customFormat="1" ht="30" x14ac:dyDescent="0.25">
      <c r="A142" s="23" t="s">
        <v>368</v>
      </c>
      <c r="B142" s="20" t="s">
        <v>32</v>
      </c>
      <c r="C142" s="20" t="s">
        <v>33</v>
      </c>
      <c r="D142" s="20" t="s">
        <v>34</v>
      </c>
      <c r="E142" s="22">
        <v>142</v>
      </c>
      <c r="F142" s="22">
        <v>1</v>
      </c>
      <c r="G142" s="22">
        <v>3</v>
      </c>
      <c r="H142" s="22"/>
      <c r="I142" s="23" t="s">
        <v>35</v>
      </c>
      <c r="J142" s="23"/>
      <c r="K142" s="22"/>
      <c r="L142" s="22"/>
      <c r="M142" s="23"/>
      <c r="N142" s="23"/>
      <c r="O142" s="26" t="s">
        <v>369</v>
      </c>
      <c r="P142" s="26"/>
      <c r="Q142" s="26"/>
      <c r="R142" s="22"/>
      <c r="S142" s="24"/>
      <c r="T142" s="24"/>
      <c r="U142" s="24"/>
      <c r="V142" s="24"/>
      <c r="W142" s="24"/>
      <c r="X142" s="22" t="s">
        <v>366</v>
      </c>
      <c r="Y142" s="4" t="str">
        <f>IF(Tabela2[[#This Row],[SIGLA]]="","",VLOOKUP(Tabela2[[#This Row],[SIGLA]],Tabela1[[#All],[Sigla Arte]:[Crédito]],2,0))</f>
        <v>VER DOCUMENTO DE ILS. TÉCNICAS</v>
      </c>
      <c r="Z142" s="23"/>
      <c r="AA142" s="23" t="s">
        <v>367</v>
      </c>
      <c r="AB142" s="22"/>
      <c r="AC142" s="20"/>
      <c r="AD142" s="20"/>
      <c r="AE142" s="4" t="str">
        <f t="shared" si="2"/>
        <v>EF1 E002 HGC</v>
      </c>
    </row>
    <row r="143" spans="1:31" s="12" customFormat="1" ht="60" x14ac:dyDescent="0.25">
      <c r="A143" s="23" t="s">
        <v>370</v>
      </c>
      <c r="B143" s="20" t="s">
        <v>32</v>
      </c>
      <c r="C143" s="20" t="s">
        <v>33</v>
      </c>
      <c r="D143" s="20" t="s">
        <v>34</v>
      </c>
      <c r="E143" s="22">
        <v>143</v>
      </c>
      <c r="F143" s="22">
        <v>1</v>
      </c>
      <c r="G143" s="22">
        <v>3</v>
      </c>
      <c r="H143" s="22"/>
      <c r="I143" s="23" t="s">
        <v>39</v>
      </c>
      <c r="J143" s="23"/>
      <c r="K143" s="22"/>
      <c r="L143" s="22"/>
      <c r="M143" s="23"/>
      <c r="N143" s="23"/>
      <c r="O143" s="26" t="s">
        <v>371</v>
      </c>
      <c r="P143" s="26"/>
      <c r="Q143" s="26"/>
      <c r="R143" s="22">
        <v>8</v>
      </c>
      <c r="S143" s="24">
        <v>45764</v>
      </c>
      <c r="T143" s="24">
        <v>45764</v>
      </c>
      <c r="U143" s="24"/>
      <c r="V143" s="24"/>
      <c r="W143" s="24">
        <v>45776</v>
      </c>
      <c r="X143" s="22" t="s">
        <v>366</v>
      </c>
      <c r="Y143" s="4" t="str">
        <f>IF(Tabela2[[#This Row],[SIGLA]]="","",VLOOKUP(Tabela2[[#This Row],[SIGLA]],Tabela1[[#All],[Sigla Arte]:[Crédito]],2,0))</f>
        <v>VER DOCUMENTO DE ILS. TÉCNICAS</v>
      </c>
      <c r="Z143" s="23" t="s">
        <v>333</v>
      </c>
      <c r="AA143" s="23" t="s">
        <v>372</v>
      </c>
      <c r="AB143" s="22">
        <v>14</v>
      </c>
      <c r="AC143" s="20" t="s">
        <v>67</v>
      </c>
      <c r="AD143" s="20" t="s">
        <v>44</v>
      </c>
      <c r="AE143" s="4" t="str">
        <f t="shared" si="2"/>
        <v>EF1 E002 HGC</v>
      </c>
    </row>
    <row r="144" spans="1:31" s="12" customFormat="1" ht="120" x14ac:dyDescent="0.25">
      <c r="A144" s="23" t="s">
        <v>373</v>
      </c>
      <c r="B144" s="20" t="s">
        <v>32</v>
      </c>
      <c r="C144" s="20" t="s">
        <v>33</v>
      </c>
      <c r="D144" s="20" t="s">
        <v>34</v>
      </c>
      <c r="E144" s="22">
        <v>64</v>
      </c>
      <c r="F144" s="22">
        <v>1</v>
      </c>
      <c r="G144" s="22">
        <v>2</v>
      </c>
      <c r="H144" s="22"/>
      <c r="I144" s="23" t="s">
        <v>39</v>
      </c>
      <c r="J144" s="23"/>
      <c r="K144" s="22"/>
      <c r="L144" s="22"/>
      <c r="M144" s="23"/>
      <c r="N144" s="23"/>
      <c r="O144" s="26" t="s">
        <v>374</v>
      </c>
      <c r="P144" s="26"/>
      <c r="Q144" s="26"/>
      <c r="R144" s="22">
        <v>9</v>
      </c>
      <c r="S144" s="24">
        <v>45772</v>
      </c>
      <c r="T144" s="24">
        <v>45772</v>
      </c>
      <c r="U144" s="24"/>
      <c r="V144" s="24"/>
      <c r="W144" s="24">
        <v>45779</v>
      </c>
      <c r="X144" s="22" t="s">
        <v>62</v>
      </c>
      <c r="Y144" s="4" t="str">
        <f>IF(Tabela2[[#This Row],[SIGLA]]="","",VLOOKUP(Tabela2[[#This Row],[SIGLA]],Tabela1[[#All],[Sigla Arte]:[Crédito]],2,0))</f>
        <v>IVY NUNES/ARQUIVO DA EDITORA</v>
      </c>
      <c r="Z144" s="23" t="s">
        <v>333</v>
      </c>
      <c r="AA144" s="23" t="str">
        <f>Tabela2[[#This Row],[ILUSTRADOR CRIAÇÃO]]</f>
        <v>IVY NUNES/ARQUIVO DA EDITORA</v>
      </c>
      <c r="AB144" s="22">
        <v>13</v>
      </c>
      <c r="AC144" s="20" t="s">
        <v>43</v>
      </c>
      <c r="AD144" s="20" t="s">
        <v>44</v>
      </c>
      <c r="AE144" s="4" t="str">
        <f t="shared" si="2"/>
        <v>EF1 E002 HGC</v>
      </c>
    </row>
    <row r="145" spans="1:31" s="12" customFormat="1" ht="30" x14ac:dyDescent="0.25">
      <c r="A145" s="23" t="s">
        <v>375</v>
      </c>
      <c r="B145" s="20" t="s">
        <v>32</v>
      </c>
      <c r="C145" s="20" t="s">
        <v>33</v>
      </c>
      <c r="D145" s="20" t="s">
        <v>34</v>
      </c>
      <c r="E145" s="22">
        <v>67</v>
      </c>
      <c r="F145" s="22">
        <v>1</v>
      </c>
      <c r="G145" s="22">
        <v>2</v>
      </c>
      <c r="H145" s="22"/>
      <c r="I145" s="23" t="s">
        <v>35</v>
      </c>
      <c r="J145" s="23"/>
      <c r="K145" s="22"/>
      <c r="L145" s="22"/>
      <c r="M145" s="23"/>
      <c r="N145" s="23"/>
      <c r="O145" s="26" t="s">
        <v>376</v>
      </c>
      <c r="P145" s="26"/>
      <c r="Q145" s="26"/>
      <c r="R145" s="22"/>
      <c r="S145" s="24"/>
      <c r="T145" s="24"/>
      <c r="U145" s="24"/>
      <c r="V145" s="24"/>
      <c r="W145" s="24"/>
      <c r="X145" s="22" t="s">
        <v>377</v>
      </c>
      <c r="Y145" s="4" t="str">
        <f>IF(Tabela2[[#This Row],[SIGLA]]="","",VLOOKUP(Tabela2[[#This Row],[SIGLA]],Tabela1[[#All],[Sigla Arte]:[Crédito]],2,0))</f>
        <v>KLAYTON LUZ/ARQUIVO DA EDITORA</v>
      </c>
      <c r="Z145" s="23"/>
      <c r="AA145" s="23" t="str">
        <f>Tabela2[[#This Row],[ILUSTRADOR CRIAÇÃO]]</f>
        <v>KLAYTON LUZ/ARQUIVO DA EDITORA</v>
      </c>
      <c r="AB145" s="22"/>
      <c r="AC145" s="20"/>
      <c r="AD145" s="20"/>
      <c r="AE145" s="4" t="str">
        <f t="shared" si="2"/>
        <v>EF1 E002 HGC</v>
      </c>
    </row>
    <row r="146" spans="1:31" s="12" customFormat="1" ht="135" x14ac:dyDescent="0.25">
      <c r="A146" s="23" t="s">
        <v>378</v>
      </c>
      <c r="B146" s="20" t="s">
        <v>32</v>
      </c>
      <c r="C146" s="20" t="s">
        <v>33</v>
      </c>
      <c r="D146" s="20" t="s">
        <v>34</v>
      </c>
      <c r="E146" s="22">
        <v>67</v>
      </c>
      <c r="F146" s="22">
        <v>1</v>
      </c>
      <c r="G146" s="22">
        <v>2</v>
      </c>
      <c r="H146" s="22"/>
      <c r="I146" s="23" t="s">
        <v>39</v>
      </c>
      <c r="J146" s="23"/>
      <c r="K146" s="22"/>
      <c r="L146" s="22"/>
      <c r="M146" s="23"/>
      <c r="N146" s="23"/>
      <c r="O146" s="26" t="s">
        <v>379</v>
      </c>
      <c r="P146" s="26"/>
      <c r="Q146" s="26"/>
      <c r="R146" s="22">
        <v>9</v>
      </c>
      <c r="S146" s="24">
        <v>45772</v>
      </c>
      <c r="T146" s="24">
        <v>45772</v>
      </c>
      <c r="U146" s="24"/>
      <c r="V146" s="24"/>
      <c r="W146" s="24">
        <v>45779</v>
      </c>
      <c r="X146" s="22" t="s">
        <v>377</v>
      </c>
      <c r="Y146" s="4" t="str">
        <f>IF(Tabela2[[#This Row],[SIGLA]]="","",VLOOKUP(Tabela2[[#This Row],[SIGLA]],Tabela1[[#All],[Sigla Arte]:[Crédito]],2,0))</f>
        <v>KLAYTON LUZ/ARQUIVO DA EDITORA</v>
      </c>
      <c r="Z146" s="23" t="s">
        <v>333</v>
      </c>
      <c r="AA146" s="23" t="str">
        <f>Tabela2[[#This Row],[ILUSTRADOR CRIAÇÃO]]</f>
        <v>KLAYTON LUZ/ARQUIVO DA EDITORA</v>
      </c>
      <c r="AB146" s="22">
        <v>13</v>
      </c>
      <c r="AC146" s="20" t="s">
        <v>43</v>
      </c>
      <c r="AD146" s="20" t="s">
        <v>44</v>
      </c>
      <c r="AE146" s="4" t="str">
        <f t="shared" si="2"/>
        <v>EF1 E002 HGC</v>
      </c>
    </row>
    <row r="147" spans="1:31" s="12" customFormat="1" ht="30" x14ac:dyDescent="0.25">
      <c r="A147" s="23" t="s">
        <v>380</v>
      </c>
      <c r="B147" s="20" t="s">
        <v>32</v>
      </c>
      <c r="C147" s="20" t="s">
        <v>33</v>
      </c>
      <c r="D147" s="20" t="s">
        <v>34</v>
      </c>
      <c r="E147" s="22">
        <v>68</v>
      </c>
      <c r="F147" s="22">
        <v>1</v>
      </c>
      <c r="G147" s="22">
        <v>2</v>
      </c>
      <c r="H147" s="22"/>
      <c r="I147" s="23" t="s">
        <v>35</v>
      </c>
      <c r="J147" s="23"/>
      <c r="K147" s="22"/>
      <c r="L147" s="22"/>
      <c r="M147" s="23"/>
      <c r="N147" s="23"/>
      <c r="O147" s="26" t="s">
        <v>381</v>
      </c>
      <c r="P147" s="26"/>
      <c r="Q147" s="26"/>
      <c r="R147" s="22"/>
      <c r="S147" s="24"/>
      <c r="T147" s="24"/>
      <c r="U147" s="24"/>
      <c r="V147" s="24"/>
      <c r="W147" s="24"/>
      <c r="X147" s="22" t="s">
        <v>377</v>
      </c>
      <c r="Y147" s="4" t="str">
        <f>IF(Tabela2[[#This Row],[SIGLA]]="","",VLOOKUP(Tabela2[[#This Row],[SIGLA]],Tabela1[[#All],[Sigla Arte]:[Crédito]],2,0))</f>
        <v>KLAYTON LUZ/ARQUIVO DA EDITORA</v>
      </c>
      <c r="Z147" s="23"/>
      <c r="AA147" s="23" t="str">
        <f>Tabela2[[#This Row],[ILUSTRADOR CRIAÇÃO]]</f>
        <v>KLAYTON LUZ/ARQUIVO DA EDITORA</v>
      </c>
      <c r="AB147" s="22"/>
      <c r="AC147" s="20"/>
      <c r="AD147" s="20"/>
      <c r="AE147" s="4" t="str">
        <f t="shared" si="2"/>
        <v>EF1 E002 HGC</v>
      </c>
    </row>
    <row r="148" spans="1:31" s="12" customFormat="1" ht="30" x14ac:dyDescent="0.25">
      <c r="A148" s="23" t="s">
        <v>382</v>
      </c>
      <c r="B148" s="20" t="s">
        <v>32</v>
      </c>
      <c r="C148" s="20" t="s">
        <v>33</v>
      </c>
      <c r="D148" s="20" t="s">
        <v>34</v>
      </c>
      <c r="E148" s="22">
        <v>68</v>
      </c>
      <c r="F148" s="22">
        <v>1</v>
      </c>
      <c r="G148" s="22">
        <v>2</v>
      </c>
      <c r="H148" s="22"/>
      <c r="I148" s="23" t="s">
        <v>35</v>
      </c>
      <c r="J148" s="23"/>
      <c r="K148" s="22"/>
      <c r="L148" s="22"/>
      <c r="M148" s="23"/>
      <c r="N148" s="23"/>
      <c r="O148" s="26" t="s">
        <v>383</v>
      </c>
      <c r="P148" s="26"/>
      <c r="Q148" s="26"/>
      <c r="R148" s="22"/>
      <c r="S148" s="24"/>
      <c r="T148" s="24"/>
      <c r="U148" s="24"/>
      <c r="V148" s="24"/>
      <c r="W148" s="24"/>
      <c r="X148" s="22" t="s">
        <v>377</v>
      </c>
      <c r="Y148" s="4" t="str">
        <f>IF(Tabela2[[#This Row],[SIGLA]]="","",VLOOKUP(Tabela2[[#This Row],[SIGLA]],Tabela1[[#All],[Sigla Arte]:[Crédito]],2,0))</f>
        <v>KLAYTON LUZ/ARQUIVO DA EDITORA</v>
      </c>
      <c r="Z148" s="23"/>
      <c r="AA148" s="23" t="str">
        <f>Tabela2[[#This Row],[ILUSTRADOR CRIAÇÃO]]</f>
        <v>KLAYTON LUZ/ARQUIVO DA EDITORA</v>
      </c>
      <c r="AB148" s="22"/>
      <c r="AC148" s="20"/>
      <c r="AD148" s="20"/>
      <c r="AE148" s="4" t="str">
        <f t="shared" si="2"/>
        <v>EF1 E002 HGC</v>
      </c>
    </row>
    <row r="149" spans="1:31" s="12" customFormat="1" ht="60" x14ac:dyDescent="0.25">
      <c r="A149" s="23" t="s">
        <v>384</v>
      </c>
      <c r="B149" s="20" t="s">
        <v>32</v>
      </c>
      <c r="C149" s="20" t="s">
        <v>33</v>
      </c>
      <c r="D149" s="20" t="s">
        <v>34</v>
      </c>
      <c r="E149" s="22">
        <v>71</v>
      </c>
      <c r="F149" s="22">
        <v>1</v>
      </c>
      <c r="G149" s="22">
        <v>2</v>
      </c>
      <c r="H149" s="22"/>
      <c r="I149" s="23" t="s">
        <v>39</v>
      </c>
      <c r="J149" s="23"/>
      <c r="K149" s="22"/>
      <c r="L149" s="22"/>
      <c r="M149" s="23"/>
      <c r="N149" s="23"/>
      <c r="O149" s="26" t="s">
        <v>385</v>
      </c>
      <c r="P149" s="26"/>
      <c r="Q149" s="26"/>
      <c r="R149" s="22">
        <v>16</v>
      </c>
      <c r="S149" s="24">
        <v>45831</v>
      </c>
      <c r="T149" s="24">
        <v>45831</v>
      </c>
      <c r="U149" s="24"/>
      <c r="V149" s="24"/>
      <c r="W149" s="24">
        <v>45831</v>
      </c>
      <c r="X149" s="22" t="s">
        <v>316</v>
      </c>
      <c r="Y149" s="4" t="str">
        <f>IF(Tabela2[[#This Row],[SIGLA]]="","",VLOOKUP(Tabela2[[#This Row],[SIGLA]],Tabela1[[#All],[Sigla Arte]:[Crédito]],2,0))</f>
        <v>MINNA MINÁ/ARQUIVO DA EDITORA</v>
      </c>
      <c r="Z149" s="23" t="s">
        <v>386</v>
      </c>
      <c r="AA149" s="23" t="str">
        <f>Tabela2[[#This Row],[ILUSTRADOR CRIAÇÃO]]</f>
        <v>MINNA MINÁ/ARQUIVO DA EDITORA</v>
      </c>
      <c r="AB149" s="22">
        <v>13</v>
      </c>
      <c r="AC149" s="20" t="s">
        <v>277</v>
      </c>
      <c r="AD149" s="20" t="s">
        <v>44</v>
      </c>
      <c r="AE149" s="4" t="str">
        <f t="shared" si="2"/>
        <v>EF1 E002 HGC</v>
      </c>
    </row>
    <row r="150" spans="1:31" s="12" customFormat="1" ht="60" x14ac:dyDescent="0.25">
      <c r="A150" s="23" t="s">
        <v>387</v>
      </c>
      <c r="B150" s="20" t="s">
        <v>32</v>
      </c>
      <c r="C150" s="20" t="s">
        <v>33</v>
      </c>
      <c r="D150" s="20" t="s">
        <v>34</v>
      </c>
      <c r="E150" s="22">
        <v>71</v>
      </c>
      <c r="F150" s="22">
        <v>1</v>
      </c>
      <c r="G150" s="22">
        <v>2</v>
      </c>
      <c r="H150" s="22"/>
      <c r="I150" s="23" t="s">
        <v>39</v>
      </c>
      <c r="J150" s="23"/>
      <c r="K150" s="22"/>
      <c r="L150" s="22"/>
      <c r="M150" s="23"/>
      <c r="N150" s="23"/>
      <c r="O150" s="26" t="s">
        <v>388</v>
      </c>
      <c r="P150" s="26"/>
      <c r="Q150" s="26"/>
      <c r="R150" s="22">
        <v>16</v>
      </c>
      <c r="S150" s="24">
        <v>45831</v>
      </c>
      <c r="T150" s="24">
        <v>45831</v>
      </c>
      <c r="U150" s="24"/>
      <c r="V150" s="24"/>
      <c r="W150" s="24">
        <v>45831</v>
      </c>
      <c r="X150" s="22" t="s">
        <v>316</v>
      </c>
      <c r="Y150" s="4" t="str">
        <f>IF(Tabela2[[#This Row],[SIGLA]]="","",VLOOKUP(Tabela2[[#This Row],[SIGLA]],Tabela1[[#All],[Sigla Arte]:[Crédito]],2,0))</f>
        <v>MINNA MINÁ/ARQUIVO DA EDITORA</v>
      </c>
      <c r="Z150" s="23" t="s">
        <v>386</v>
      </c>
      <c r="AA150" s="23" t="str">
        <f>Tabela2[[#This Row],[ILUSTRADOR CRIAÇÃO]]</f>
        <v>MINNA MINÁ/ARQUIVO DA EDITORA</v>
      </c>
      <c r="AB150" s="22">
        <v>13</v>
      </c>
      <c r="AC150" s="20" t="s">
        <v>277</v>
      </c>
      <c r="AD150" s="20" t="s">
        <v>44</v>
      </c>
      <c r="AE150" s="4" t="str">
        <f t="shared" si="2"/>
        <v>EF1 E002 HGC</v>
      </c>
    </row>
    <row r="151" spans="1:31" s="12" customFormat="1" ht="30" x14ac:dyDescent="0.25">
      <c r="A151" s="23" t="s">
        <v>389</v>
      </c>
      <c r="B151" s="20" t="s">
        <v>32</v>
      </c>
      <c r="C151" s="20" t="s">
        <v>33</v>
      </c>
      <c r="D151" s="20" t="s">
        <v>34</v>
      </c>
      <c r="E151" s="22">
        <v>72</v>
      </c>
      <c r="F151" s="22">
        <v>1</v>
      </c>
      <c r="G151" s="22">
        <v>2</v>
      </c>
      <c r="H151" s="22"/>
      <c r="I151" s="23" t="s">
        <v>35</v>
      </c>
      <c r="J151" s="23"/>
      <c r="K151" s="22"/>
      <c r="L151" s="22"/>
      <c r="M151" s="23"/>
      <c r="N151" s="23"/>
      <c r="O151" s="26" t="s">
        <v>390</v>
      </c>
      <c r="P151" s="26"/>
      <c r="Q151" s="26"/>
      <c r="R151" s="22"/>
      <c r="S151" s="24"/>
      <c r="T151" s="24"/>
      <c r="U151" s="24"/>
      <c r="V151" s="24"/>
      <c r="W151" s="24"/>
      <c r="X151" s="22" t="s">
        <v>200</v>
      </c>
      <c r="Y151" s="4" t="str">
        <f>IF(Tabela2[[#This Row],[SIGLA]]="","",VLOOKUP(Tabela2[[#This Row],[SIGLA]],Tabela1[[#All],[Sigla Arte]:[Crédito]],2,0))</f>
        <v>KÉZIA TRENTINI/ARQUIVO DA EDITORA</v>
      </c>
      <c r="Z151" s="23"/>
      <c r="AA151" s="23" t="str">
        <f>Tabela2[[#This Row],[ILUSTRADOR CRIAÇÃO]]</f>
        <v>KÉZIA TRENTINI/ARQUIVO DA EDITORA</v>
      </c>
      <c r="AB151" s="22"/>
      <c r="AC151" s="20"/>
      <c r="AD151" s="20"/>
      <c r="AE151" s="4" t="str">
        <f t="shared" si="2"/>
        <v>EF1 E002 HGC</v>
      </c>
    </row>
    <row r="152" spans="1:31" s="12" customFormat="1" ht="30" x14ac:dyDescent="0.25">
      <c r="A152" s="23" t="s">
        <v>391</v>
      </c>
      <c r="B152" s="20" t="s">
        <v>32</v>
      </c>
      <c r="C152" s="20" t="s">
        <v>33</v>
      </c>
      <c r="D152" s="20" t="s">
        <v>34</v>
      </c>
      <c r="E152" s="22">
        <v>72</v>
      </c>
      <c r="F152" s="22">
        <v>1</v>
      </c>
      <c r="G152" s="22">
        <v>2</v>
      </c>
      <c r="H152" s="22"/>
      <c r="I152" s="23" t="s">
        <v>35</v>
      </c>
      <c r="J152" s="23"/>
      <c r="K152" s="22"/>
      <c r="L152" s="22"/>
      <c r="M152" s="23"/>
      <c r="N152" s="23"/>
      <c r="O152" s="26" t="s">
        <v>392</v>
      </c>
      <c r="P152" s="26"/>
      <c r="Q152" s="26"/>
      <c r="R152" s="22"/>
      <c r="S152" s="24"/>
      <c r="T152" s="24"/>
      <c r="U152" s="24"/>
      <c r="V152" s="24"/>
      <c r="W152" s="24"/>
      <c r="X152" s="22" t="s">
        <v>200</v>
      </c>
      <c r="Y152" s="4" t="str">
        <f>IF(Tabela2[[#This Row],[SIGLA]]="","",VLOOKUP(Tabela2[[#This Row],[SIGLA]],Tabela1[[#All],[Sigla Arte]:[Crédito]],2,0))</f>
        <v>KÉZIA TRENTINI/ARQUIVO DA EDITORA</v>
      </c>
      <c r="Z152" s="23"/>
      <c r="AA152" s="23" t="str">
        <f>Tabela2[[#This Row],[ILUSTRADOR CRIAÇÃO]]</f>
        <v>KÉZIA TRENTINI/ARQUIVO DA EDITORA</v>
      </c>
      <c r="AB152" s="22"/>
      <c r="AC152" s="20"/>
      <c r="AD152" s="20"/>
      <c r="AE152" s="4" t="str">
        <f t="shared" si="2"/>
        <v>EF1 E002 HGC</v>
      </c>
    </row>
    <row r="153" spans="1:31" s="12" customFormat="1" ht="30" x14ac:dyDescent="0.25">
      <c r="A153" s="23" t="s">
        <v>393</v>
      </c>
      <c r="B153" s="20" t="s">
        <v>32</v>
      </c>
      <c r="C153" s="20" t="s">
        <v>33</v>
      </c>
      <c r="D153" s="20" t="s">
        <v>34</v>
      </c>
      <c r="E153" s="22">
        <v>72</v>
      </c>
      <c r="F153" s="22">
        <v>1</v>
      </c>
      <c r="G153" s="22">
        <v>2</v>
      </c>
      <c r="H153" s="22"/>
      <c r="I153" s="23" t="s">
        <v>35</v>
      </c>
      <c r="J153" s="23"/>
      <c r="K153" s="22"/>
      <c r="L153" s="22"/>
      <c r="M153" s="23"/>
      <c r="N153" s="23"/>
      <c r="O153" s="26" t="s">
        <v>394</v>
      </c>
      <c r="P153" s="26"/>
      <c r="Q153" s="26"/>
      <c r="R153" s="22"/>
      <c r="S153" s="24"/>
      <c r="T153" s="24"/>
      <c r="U153" s="24"/>
      <c r="V153" s="24"/>
      <c r="W153" s="24"/>
      <c r="X153" s="22" t="s">
        <v>200</v>
      </c>
      <c r="Y153" s="4" t="str">
        <f>IF(Tabela2[[#This Row],[SIGLA]]="","",VLOOKUP(Tabela2[[#This Row],[SIGLA]],Tabela1[[#All],[Sigla Arte]:[Crédito]],2,0))</f>
        <v>KÉZIA TRENTINI/ARQUIVO DA EDITORA</v>
      </c>
      <c r="Z153" s="23"/>
      <c r="AA153" s="23" t="str">
        <f>Tabela2[[#This Row],[ILUSTRADOR CRIAÇÃO]]</f>
        <v>KÉZIA TRENTINI/ARQUIVO DA EDITORA</v>
      </c>
      <c r="AB153" s="22"/>
      <c r="AC153" s="20"/>
      <c r="AD153" s="20"/>
      <c r="AE153" s="4" t="str">
        <f t="shared" si="2"/>
        <v>EF1 E002 HGC</v>
      </c>
    </row>
    <row r="154" spans="1:31" s="12" customFormat="1" ht="30" x14ac:dyDescent="0.25">
      <c r="A154" s="23" t="s">
        <v>395</v>
      </c>
      <c r="B154" s="20" t="s">
        <v>32</v>
      </c>
      <c r="C154" s="20" t="s">
        <v>33</v>
      </c>
      <c r="D154" s="20" t="s">
        <v>34</v>
      </c>
      <c r="E154" s="22">
        <v>72</v>
      </c>
      <c r="F154" s="22">
        <v>1</v>
      </c>
      <c r="G154" s="22">
        <v>2</v>
      </c>
      <c r="H154" s="22"/>
      <c r="I154" s="23" t="s">
        <v>35</v>
      </c>
      <c r="J154" s="23"/>
      <c r="K154" s="22"/>
      <c r="L154" s="22"/>
      <c r="M154" s="23"/>
      <c r="N154" s="23"/>
      <c r="O154" s="26" t="s">
        <v>396</v>
      </c>
      <c r="P154" s="26"/>
      <c r="Q154" s="26"/>
      <c r="R154" s="22"/>
      <c r="S154" s="24"/>
      <c r="T154" s="24"/>
      <c r="U154" s="24"/>
      <c r="V154" s="24"/>
      <c r="W154" s="24"/>
      <c r="X154" s="22" t="s">
        <v>200</v>
      </c>
      <c r="Y154" s="4" t="str">
        <f>IF(Tabela2[[#This Row],[SIGLA]]="","",VLOOKUP(Tabela2[[#This Row],[SIGLA]],Tabela1[[#All],[Sigla Arte]:[Crédito]],2,0))</f>
        <v>KÉZIA TRENTINI/ARQUIVO DA EDITORA</v>
      </c>
      <c r="Z154" s="23"/>
      <c r="AA154" s="23" t="str">
        <f>Tabela2[[#This Row],[ILUSTRADOR CRIAÇÃO]]</f>
        <v>KÉZIA TRENTINI/ARQUIVO DA EDITORA</v>
      </c>
      <c r="AB154" s="22"/>
      <c r="AC154" s="20"/>
      <c r="AD154" s="20"/>
      <c r="AE154" s="4" t="str">
        <f t="shared" si="2"/>
        <v>EF1 E002 HGC</v>
      </c>
    </row>
    <row r="155" spans="1:31" s="12" customFormat="1" ht="90" x14ac:dyDescent="0.25">
      <c r="A155" s="23" t="s">
        <v>397</v>
      </c>
      <c r="B155" s="20" t="s">
        <v>32</v>
      </c>
      <c r="C155" s="20" t="s">
        <v>33</v>
      </c>
      <c r="D155" s="20" t="s">
        <v>34</v>
      </c>
      <c r="E155" s="22">
        <v>74</v>
      </c>
      <c r="F155" s="22">
        <v>1</v>
      </c>
      <c r="G155" s="22">
        <v>2</v>
      </c>
      <c r="H155" s="22"/>
      <c r="I155" s="23" t="s">
        <v>39</v>
      </c>
      <c r="J155" s="23"/>
      <c r="K155" s="22"/>
      <c r="L155" s="22"/>
      <c r="M155" s="23"/>
      <c r="N155" s="23"/>
      <c r="O155" s="26" t="s">
        <v>398</v>
      </c>
      <c r="P155" s="26"/>
      <c r="Q155" s="26"/>
      <c r="R155" s="22">
        <v>9</v>
      </c>
      <c r="S155" s="24">
        <v>45772</v>
      </c>
      <c r="T155" s="24">
        <v>45772</v>
      </c>
      <c r="U155" s="24"/>
      <c r="V155" s="24"/>
      <c r="W155" s="24">
        <v>45779</v>
      </c>
      <c r="X155" s="22" t="s">
        <v>399</v>
      </c>
      <c r="Y155" s="4" t="str">
        <f>IF(Tabela2[[#This Row],[SIGLA]]="","",VLOOKUP(Tabela2[[#This Row],[SIGLA]],Tabela1[[#All],[Sigla Arte]:[Crédito]],2,0))</f>
        <v>KLEBER MAURÍCIO COELHO/ARQUIVO DA EDITORA</v>
      </c>
      <c r="Z155" s="23" t="s">
        <v>333</v>
      </c>
      <c r="AA155" s="23" t="str">
        <f>Tabela2[[#This Row],[ILUSTRADOR CRIAÇÃO]]</f>
        <v>KLEBER MAURÍCIO COELHO/ARQUIVO DA EDITORA</v>
      </c>
      <c r="AB155" s="22">
        <v>13</v>
      </c>
      <c r="AC155" s="20" t="s">
        <v>43</v>
      </c>
      <c r="AD155" s="20" t="s">
        <v>44</v>
      </c>
      <c r="AE155" s="4" t="str">
        <f t="shared" si="2"/>
        <v>EF1 E002 HGC</v>
      </c>
    </row>
    <row r="156" spans="1:31" s="12" customFormat="1" ht="45" x14ac:dyDescent="0.25">
      <c r="A156" s="23" t="s">
        <v>400</v>
      </c>
      <c r="B156" s="20" t="s">
        <v>136</v>
      </c>
      <c r="C156" s="20" t="s">
        <v>33</v>
      </c>
      <c r="D156" s="20" t="s">
        <v>34</v>
      </c>
      <c r="E156" s="22">
        <v>75</v>
      </c>
      <c r="F156" s="22">
        <v>1</v>
      </c>
      <c r="G156" s="22">
        <v>2</v>
      </c>
      <c r="H156" s="22"/>
      <c r="I156" s="23" t="s">
        <v>39</v>
      </c>
      <c r="J156" s="23"/>
      <c r="K156" s="22"/>
      <c r="L156" s="22"/>
      <c r="M156" s="23"/>
      <c r="N156" s="23"/>
      <c r="O156" s="26" t="s">
        <v>401</v>
      </c>
      <c r="P156" s="26"/>
      <c r="Q156" s="26" t="s">
        <v>402</v>
      </c>
      <c r="R156" s="22">
        <v>9</v>
      </c>
      <c r="S156" s="24">
        <v>45772</v>
      </c>
      <c r="T156" s="24"/>
      <c r="U156" s="24"/>
      <c r="V156" s="24"/>
      <c r="W156" s="24"/>
      <c r="X156" s="22" t="s">
        <v>399</v>
      </c>
      <c r="Y156" s="4" t="str">
        <f>IF(Tabela2[[#This Row],[SIGLA]]="","",VLOOKUP(Tabela2[[#This Row],[SIGLA]],Tabela1[[#All],[Sigla Arte]:[Crédito]],2,0))</f>
        <v>KLEBER MAURÍCIO COELHO/ARQUIVO DA EDITORA</v>
      </c>
      <c r="Z156" s="23"/>
      <c r="AA156" s="23" t="str">
        <f>Tabela2[[#This Row],[ILUSTRADOR CRIAÇÃO]]</f>
        <v>KLEBER MAURÍCIO COELHO/ARQUIVO DA EDITORA</v>
      </c>
      <c r="AB156" s="22"/>
      <c r="AC156" s="20" t="s">
        <v>403</v>
      </c>
      <c r="AD156" s="20"/>
      <c r="AE156" s="4" t="str">
        <f t="shared" si="2"/>
        <v>EF1 E002 HGC</v>
      </c>
    </row>
    <row r="157" spans="1:31" s="12" customFormat="1" ht="150" x14ac:dyDescent="0.25">
      <c r="A157" s="23" t="s">
        <v>404</v>
      </c>
      <c r="B157" s="20" t="s">
        <v>136</v>
      </c>
      <c r="C157" s="20" t="s">
        <v>33</v>
      </c>
      <c r="D157" s="20" t="s">
        <v>34</v>
      </c>
      <c r="E157" s="22">
        <v>84</v>
      </c>
      <c r="F157" s="22">
        <v>1</v>
      </c>
      <c r="G157" s="22">
        <v>2</v>
      </c>
      <c r="H157" s="22"/>
      <c r="I157" s="23" t="s">
        <v>91</v>
      </c>
      <c r="J157" s="23"/>
      <c r="K157" s="22"/>
      <c r="L157" s="22"/>
      <c r="M157" s="23"/>
      <c r="N157" s="23"/>
      <c r="O157" s="26" t="s">
        <v>405</v>
      </c>
      <c r="P157" s="26"/>
      <c r="Q157" s="26"/>
      <c r="R157" s="22">
        <v>9</v>
      </c>
      <c r="S157" s="24">
        <v>45772</v>
      </c>
      <c r="T157" s="24">
        <v>45772</v>
      </c>
      <c r="U157" s="24"/>
      <c r="V157" s="24"/>
      <c r="W157" s="24">
        <v>45782</v>
      </c>
      <c r="X157" s="22" t="s">
        <v>139</v>
      </c>
      <c r="Y157" s="4" t="str">
        <f>IF(Tabela2[[#This Row],[SIGLA]]="","",VLOOKUP(Tabela2[[#This Row],[SIGLA]],Tabela1[[#All],[Sigla Arte]:[Crédito]],2,0))</f>
        <v>HELOÍSA PINTARELLI/ARQUIVO DA EDITORA</v>
      </c>
      <c r="Z157" s="23"/>
      <c r="AA157" s="23" t="str">
        <f>Tabela2[[#This Row],[ILUSTRADOR CRIAÇÃO]]</f>
        <v>HELOÍSA PINTARELLI/ARQUIVO DA EDITORA</v>
      </c>
      <c r="AB157" s="22">
        <v>7</v>
      </c>
      <c r="AC157" s="20" t="s">
        <v>406</v>
      </c>
      <c r="AD157" s="20" t="s">
        <v>94</v>
      </c>
      <c r="AE157" s="4" t="str">
        <f t="shared" si="2"/>
        <v>EF1 E002 HGC</v>
      </c>
    </row>
    <row r="158" spans="1:31" s="12" customFormat="1" ht="75" x14ac:dyDescent="0.25">
      <c r="A158" s="23" t="s">
        <v>407</v>
      </c>
      <c r="B158" s="20" t="s">
        <v>136</v>
      </c>
      <c r="C158" s="20" t="s">
        <v>33</v>
      </c>
      <c r="D158" s="20" t="s">
        <v>34</v>
      </c>
      <c r="E158" s="22">
        <v>85</v>
      </c>
      <c r="F158" s="22">
        <v>1</v>
      </c>
      <c r="G158" s="22">
        <v>2</v>
      </c>
      <c r="H158" s="22"/>
      <c r="I158" s="23" t="s">
        <v>91</v>
      </c>
      <c r="J158" s="23"/>
      <c r="K158" s="22"/>
      <c r="L158" s="22"/>
      <c r="M158" s="23"/>
      <c r="N158" s="23"/>
      <c r="O158" s="26" t="s">
        <v>408</v>
      </c>
      <c r="P158" s="26"/>
      <c r="Q158" s="26"/>
      <c r="R158" s="22">
        <v>9</v>
      </c>
      <c r="S158" s="24">
        <v>45772</v>
      </c>
      <c r="T158" s="24">
        <v>45772</v>
      </c>
      <c r="U158" s="24"/>
      <c r="V158" s="24"/>
      <c r="W158" s="24">
        <v>45782</v>
      </c>
      <c r="X158" s="22" t="s">
        <v>139</v>
      </c>
      <c r="Y158" s="4" t="str">
        <f>IF(Tabela2[[#This Row],[SIGLA]]="","",VLOOKUP(Tabela2[[#This Row],[SIGLA]],Tabela1[[#All],[Sigla Arte]:[Crédito]],2,0))</f>
        <v>HELOÍSA PINTARELLI/ARQUIVO DA EDITORA</v>
      </c>
      <c r="Z158" s="23"/>
      <c r="AA158" s="23" t="str">
        <f>Tabela2[[#This Row],[ILUSTRADOR CRIAÇÃO]]</f>
        <v>HELOÍSA PINTARELLI/ARQUIVO DA EDITORA</v>
      </c>
      <c r="AB158" s="22">
        <v>7</v>
      </c>
      <c r="AC158" s="20" t="s">
        <v>406</v>
      </c>
      <c r="AD158" s="20" t="s">
        <v>94</v>
      </c>
      <c r="AE158" s="4" t="str">
        <f t="shared" si="2"/>
        <v>EF1 E002 HGC</v>
      </c>
    </row>
    <row r="159" spans="1:31" s="12" customFormat="1" ht="60" x14ac:dyDescent="0.25">
      <c r="A159" s="23" t="s">
        <v>409</v>
      </c>
      <c r="B159" s="20" t="s">
        <v>136</v>
      </c>
      <c r="C159" s="20" t="s">
        <v>33</v>
      </c>
      <c r="D159" s="20" t="s">
        <v>34</v>
      </c>
      <c r="E159" s="22">
        <v>87</v>
      </c>
      <c r="F159" s="22">
        <v>1</v>
      </c>
      <c r="G159" s="22">
        <v>2</v>
      </c>
      <c r="H159" s="22"/>
      <c r="I159" s="23" t="s">
        <v>91</v>
      </c>
      <c r="J159" s="23"/>
      <c r="K159" s="22"/>
      <c r="L159" s="22"/>
      <c r="M159" s="23"/>
      <c r="N159" s="23"/>
      <c r="O159" s="26" t="s">
        <v>410</v>
      </c>
      <c r="P159" s="26"/>
      <c r="Q159" s="26"/>
      <c r="R159" s="22">
        <v>9</v>
      </c>
      <c r="S159" s="24">
        <v>45772</v>
      </c>
      <c r="T159" s="24">
        <v>45772</v>
      </c>
      <c r="U159" s="24"/>
      <c r="V159" s="24"/>
      <c r="W159" s="24">
        <v>45782</v>
      </c>
      <c r="X159" s="22" t="s">
        <v>139</v>
      </c>
      <c r="Y159" s="4" t="str">
        <f>IF(Tabela2[[#This Row],[SIGLA]]="","",VLOOKUP(Tabela2[[#This Row],[SIGLA]],Tabela1[[#All],[Sigla Arte]:[Crédito]],2,0))</f>
        <v>HELOÍSA PINTARELLI/ARQUIVO DA EDITORA</v>
      </c>
      <c r="Z159" s="23"/>
      <c r="AA159" s="23" t="str">
        <f>Tabela2[[#This Row],[ILUSTRADOR CRIAÇÃO]]</f>
        <v>HELOÍSA PINTARELLI/ARQUIVO DA EDITORA</v>
      </c>
      <c r="AB159" s="22">
        <v>7</v>
      </c>
      <c r="AC159" s="20" t="s">
        <v>136</v>
      </c>
      <c r="AD159" s="20" t="s">
        <v>94</v>
      </c>
      <c r="AE159" s="4" t="str">
        <f t="shared" si="2"/>
        <v>EF1 E002 HGC</v>
      </c>
    </row>
    <row r="160" spans="1:31" s="12" customFormat="1" ht="60" x14ac:dyDescent="0.25">
      <c r="A160" s="23" t="s">
        <v>411</v>
      </c>
      <c r="B160" s="20" t="s">
        <v>32</v>
      </c>
      <c r="C160" s="20" t="s">
        <v>33</v>
      </c>
      <c r="D160" s="20" t="s">
        <v>34</v>
      </c>
      <c r="E160" s="22">
        <v>87</v>
      </c>
      <c r="F160" s="22">
        <v>1</v>
      </c>
      <c r="G160" s="22">
        <v>2</v>
      </c>
      <c r="H160" s="22"/>
      <c r="I160" s="23" t="s">
        <v>91</v>
      </c>
      <c r="J160" s="23"/>
      <c r="K160" s="22"/>
      <c r="L160" s="22"/>
      <c r="M160" s="23"/>
      <c r="N160" s="23"/>
      <c r="O160" s="26" t="s">
        <v>412</v>
      </c>
      <c r="P160" s="26"/>
      <c r="Q160" s="26"/>
      <c r="R160" s="22">
        <v>9</v>
      </c>
      <c r="S160" s="24">
        <v>45772</v>
      </c>
      <c r="T160" s="24">
        <v>45772</v>
      </c>
      <c r="U160" s="24"/>
      <c r="V160" s="24"/>
      <c r="W160" s="24">
        <v>45782</v>
      </c>
      <c r="X160" s="22" t="s">
        <v>139</v>
      </c>
      <c r="Y160" s="4" t="str">
        <f>IF(Tabela2[[#This Row],[SIGLA]]="","",VLOOKUP(Tabela2[[#This Row],[SIGLA]],Tabela1[[#All],[Sigla Arte]:[Crédito]],2,0))</f>
        <v>HELOÍSA PINTARELLI/ARQUIVO DA EDITORA</v>
      </c>
      <c r="Z160" s="23"/>
      <c r="AA160" s="23" t="str">
        <f>Tabela2[[#This Row],[ILUSTRADOR CRIAÇÃO]]</f>
        <v>HELOÍSA PINTARELLI/ARQUIVO DA EDITORA</v>
      </c>
      <c r="AB160" s="22">
        <v>7</v>
      </c>
      <c r="AC160" s="20" t="s">
        <v>413</v>
      </c>
      <c r="AD160" s="20" t="s">
        <v>94</v>
      </c>
      <c r="AE160" s="4" t="str">
        <f t="shared" si="2"/>
        <v>EF1 E002 HGC</v>
      </c>
    </row>
    <row r="161" spans="1:31" s="12" customFormat="1" ht="45" x14ac:dyDescent="0.25">
      <c r="A161" s="23" t="s">
        <v>414</v>
      </c>
      <c r="B161" s="20" t="s">
        <v>32</v>
      </c>
      <c r="C161" s="20" t="s">
        <v>33</v>
      </c>
      <c r="D161" s="20" t="s">
        <v>34</v>
      </c>
      <c r="E161" s="22">
        <v>87</v>
      </c>
      <c r="F161" s="22">
        <v>1</v>
      </c>
      <c r="G161" s="22">
        <v>2</v>
      </c>
      <c r="H161" s="22"/>
      <c r="I161" s="23" t="s">
        <v>91</v>
      </c>
      <c r="J161" s="23"/>
      <c r="K161" s="22"/>
      <c r="L161" s="22"/>
      <c r="M161" s="23"/>
      <c r="N161" s="23"/>
      <c r="O161" s="26" t="s">
        <v>415</v>
      </c>
      <c r="P161" s="26"/>
      <c r="Q161" s="26"/>
      <c r="R161" s="22">
        <v>9</v>
      </c>
      <c r="S161" s="24">
        <v>45772</v>
      </c>
      <c r="T161" s="24">
        <v>45772</v>
      </c>
      <c r="U161" s="24"/>
      <c r="V161" s="24"/>
      <c r="W161" s="24">
        <v>45782</v>
      </c>
      <c r="X161" s="22" t="s">
        <v>139</v>
      </c>
      <c r="Y161" s="4" t="str">
        <f>IF(Tabela2[[#This Row],[SIGLA]]="","",VLOOKUP(Tabela2[[#This Row],[SIGLA]],Tabela1[[#All],[Sigla Arte]:[Crédito]],2,0))</f>
        <v>HELOÍSA PINTARELLI/ARQUIVO DA EDITORA</v>
      </c>
      <c r="Z161" s="23"/>
      <c r="AA161" s="23" t="str">
        <f>Tabela2[[#This Row],[ILUSTRADOR CRIAÇÃO]]</f>
        <v>HELOÍSA PINTARELLI/ARQUIVO DA EDITORA</v>
      </c>
      <c r="AB161" s="22">
        <v>7</v>
      </c>
      <c r="AC161" s="20" t="s">
        <v>413</v>
      </c>
      <c r="AD161" s="20" t="s">
        <v>94</v>
      </c>
      <c r="AE161" s="4" t="str">
        <f t="shared" si="2"/>
        <v>EF1 E002 HGC</v>
      </c>
    </row>
    <row r="162" spans="1:31" s="12" customFormat="1" ht="45" x14ac:dyDescent="0.25">
      <c r="A162" s="23" t="s">
        <v>416</v>
      </c>
      <c r="B162" s="20" t="s">
        <v>32</v>
      </c>
      <c r="C162" s="20" t="s">
        <v>33</v>
      </c>
      <c r="D162" s="20" t="s">
        <v>34</v>
      </c>
      <c r="E162" s="22">
        <v>87</v>
      </c>
      <c r="F162" s="22">
        <v>1</v>
      </c>
      <c r="G162" s="22">
        <v>2</v>
      </c>
      <c r="H162" s="22"/>
      <c r="I162" s="23" t="s">
        <v>91</v>
      </c>
      <c r="J162" s="23"/>
      <c r="K162" s="22"/>
      <c r="L162" s="22"/>
      <c r="M162" s="23"/>
      <c r="N162" s="23"/>
      <c r="O162" s="26" t="s">
        <v>417</v>
      </c>
      <c r="P162" s="26"/>
      <c r="Q162" s="26"/>
      <c r="R162" s="22">
        <v>9</v>
      </c>
      <c r="S162" s="24">
        <v>45772</v>
      </c>
      <c r="T162" s="24">
        <v>45772</v>
      </c>
      <c r="U162" s="24"/>
      <c r="V162" s="24"/>
      <c r="W162" s="24">
        <v>45782</v>
      </c>
      <c r="X162" s="22" t="s">
        <v>139</v>
      </c>
      <c r="Y162" s="4" t="str">
        <f>IF(Tabela2[[#This Row],[SIGLA]]="","",VLOOKUP(Tabela2[[#This Row],[SIGLA]],Tabela1[[#All],[Sigla Arte]:[Crédito]],2,0))</f>
        <v>HELOÍSA PINTARELLI/ARQUIVO DA EDITORA</v>
      </c>
      <c r="Z162" s="23"/>
      <c r="AA162" s="23" t="str">
        <f>Tabela2[[#This Row],[ILUSTRADOR CRIAÇÃO]]</f>
        <v>HELOÍSA PINTARELLI/ARQUIVO DA EDITORA</v>
      </c>
      <c r="AB162" s="22">
        <v>7</v>
      </c>
      <c r="AC162" s="20" t="s">
        <v>413</v>
      </c>
      <c r="AD162" s="20" t="s">
        <v>94</v>
      </c>
      <c r="AE162" s="4" t="str">
        <f t="shared" si="2"/>
        <v>EF1 E002 HGC</v>
      </c>
    </row>
    <row r="163" spans="1:31" s="12" customFormat="1" ht="165" x14ac:dyDescent="0.25">
      <c r="A163" s="23" t="s">
        <v>418</v>
      </c>
      <c r="B163" s="20" t="s">
        <v>32</v>
      </c>
      <c r="C163" s="20" t="s">
        <v>33</v>
      </c>
      <c r="D163" s="20" t="s">
        <v>34</v>
      </c>
      <c r="E163" s="22">
        <v>100</v>
      </c>
      <c r="F163" s="22">
        <v>1</v>
      </c>
      <c r="G163" s="22">
        <v>2</v>
      </c>
      <c r="H163" s="22"/>
      <c r="I163" s="23" t="s">
        <v>35</v>
      </c>
      <c r="J163" s="23"/>
      <c r="K163" s="22"/>
      <c r="L163" s="22"/>
      <c r="M163" s="23"/>
      <c r="N163" s="23"/>
      <c r="O163" s="26" t="s">
        <v>419</v>
      </c>
      <c r="P163" s="26"/>
      <c r="Q163" s="26"/>
      <c r="R163" s="22"/>
      <c r="S163" s="24">
        <v>45880</v>
      </c>
      <c r="T163" s="24"/>
      <c r="U163" s="24"/>
      <c r="V163" s="24"/>
      <c r="W163" s="24">
        <v>45880</v>
      </c>
      <c r="X163" s="22" t="s">
        <v>112</v>
      </c>
      <c r="Y163" s="4" t="str">
        <f>IF(Tabela2[[#This Row],[SIGLA]]="","",VLOOKUP(Tabela2[[#This Row],[SIGLA]],Tabela1[[#All],[Sigla Arte]:[Crédito]],2,0))</f>
        <v>LISLLEY GOMES FEIGE/ARQUIVO DA EDITORA</v>
      </c>
      <c r="Z163" s="23" t="s">
        <v>329</v>
      </c>
      <c r="AA163" s="23" t="str">
        <f>Tabela2[[#This Row],[ILUSTRADOR CRIAÇÃO]]</f>
        <v>LISLLEY GOMES FEIGE/ARQUIVO DA EDITORA</v>
      </c>
      <c r="AB163" s="22">
        <v>13</v>
      </c>
      <c r="AC163" s="20" t="s">
        <v>277</v>
      </c>
      <c r="AD163" s="20" t="s">
        <v>44</v>
      </c>
      <c r="AE163" s="4" t="str">
        <f t="shared" si="2"/>
        <v>EF1 E002 HGC</v>
      </c>
    </row>
    <row r="164" spans="1:31" s="12" customFormat="1" ht="30" x14ac:dyDescent="0.25">
      <c r="A164" s="23" t="s">
        <v>420</v>
      </c>
      <c r="B164" s="20" t="s">
        <v>32</v>
      </c>
      <c r="C164" s="20" t="s">
        <v>33</v>
      </c>
      <c r="D164" s="20" t="s">
        <v>34</v>
      </c>
      <c r="E164" s="22">
        <v>138</v>
      </c>
      <c r="F164" s="22">
        <v>1</v>
      </c>
      <c r="G164" s="22">
        <v>3</v>
      </c>
      <c r="H164" s="22"/>
      <c r="I164" s="23" t="s">
        <v>35</v>
      </c>
      <c r="J164" s="23"/>
      <c r="K164" s="22"/>
      <c r="L164" s="22"/>
      <c r="M164" s="23"/>
      <c r="N164" s="23"/>
      <c r="O164" s="26" t="s">
        <v>421</v>
      </c>
      <c r="P164" s="26"/>
      <c r="Q164" s="26"/>
      <c r="R164" s="22"/>
      <c r="S164" s="24"/>
      <c r="T164" s="24"/>
      <c r="U164" s="24"/>
      <c r="V164" s="24"/>
      <c r="W164" s="24"/>
      <c r="X164" s="22" t="s">
        <v>37</v>
      </c>
      <c r="Y164" s="4" t="str">
        <f>IF(Tabela2[[#This Row],[SIGLA]]="","",VLOOKUP(Tabela2[[#This Row],[SIGLA]],Tabela1[[#All],[Sigla Arte]:[Crédito]],2,0))</f>
        <v>GUILHERME RODRIGUES/ARQUIVO DA EDITORA</v>
      </c>
      <c r="Z164" s="23"/>
      <c r="AA164" s="23" t="str">
        <f>Tabela2[[#This Row],[ILUSTRADOR CRIAÇÃO]]</f>
        <v>GUILHERME RODRIGUES/ARQUIVO DA EDITORA</v>
      </c>
      <c r="AB164" s="22"/>
      <c r="AC164" s="20"/>
      <c r="AD164" s="20"/>
      <c r="AE164" s="4" t="str">
        <f t="shared" si="2"/>
        <v>EF1 E002 HGC</v>
      </c>
    </row>
    <row r="165" spans="1:31" s="12" customFormat="1" ht="30" x14ac:dyDescent="0.25">
      <c r="A165" s="23" t="s">
        <v>422</v>
      </c>
      <c r="B165" s="20" t="s">
        <v>32</v>
      </c>
      <c r="C165" s="20" t="s">
        <v>33</v>
      </c>
      <c r="D165" s="20" t="s">
        <v>34</v>
      </c>
      <c r="E165" s="22">
        <v>138</v>
      </c>
      <c r="F165" s="22">
        <v>1</v>
      </c>
      <c r="G165" s="22">
        <v>3</v>
      </c>
      <c r="H165" s="22"/>
      <c r="I165" s="23" t="s">
        <v>35</v>
      </c>
      <c r="J165" s="23"/>
      <c r="K165" s="22"/>
      <c r="L165" s="22"/>
      <c r="M165" s="23"/>
      <c r="N165" s="23"/>
      <c r="O165" s="26" t="s">
        <v>423</v>
      </c>
      <c r="P165" s="26"/>
      <c r="Q165" s="26"/>
      <c r="R165" s="22"/>
      <c r="S165" s="24"/>
      <c r="T165" s="24"/>
      <c r="U165" s="24"/>
      <c r="V165" s="24"/>
      <c r="W165" s="24"/>
      <c r="X165" s="22" t="s">
        <v>37</v>
      </c>
      <c r="Y165" s="4" t="str">
        <f>IF(Tabela2[[#This Row],[SIGLA]]="","",VLOOKUP(Tabela2[[#This Row],[SIGLA]],Tabela1[[#All],[Sigla Arte]:[Crédito]],2,0))</f>
        <v>GUILHERME RODRIGUES/ARQUIVO DA EDITORA</v>
      </c>
      <c r="Z165" s="23"/>
      <c r="AA165" s="23" t="str">
        <f>Tabela2[[#This Row],[ILUSTRADOR CRIAÇÃO]]</f>
        <v>GUILHERME RODRIGUES/ARQUIVO DA EDITORA</v>
      </c>
      <c r="AB165" s="22"/>
      <c r="AC165" s="20"/>
      <c r="AD165" s="20"/>
      <c r="AE165" s="4" t="str">
        <f t="shared" si="2"/>
        <v>EF1 E002 HGC</v>
      </c>
    </row>
    <row r="166" spans="1:31" s="12" customFormat="1" ht="30" x14ac:dyDescent="0.25">
      <c r="A166" s="23" t="s">
        <v>424</v>
      </c>
      <c r="B166" s="20" t="s">
        <v>32</v>
      </c>
      <c r="C166" s="20" t="s">
        <v>33</v>
      </c>
      <c r="D166" s="20" t="s">
        <v>34</v>
      </c>
      <c r="E166" s="22">
        <v>138</v>
      </c>
      <c r="F166" s="22">
        <v>1</v>
      </c>
      <c r="G166" s="22">
        <v>3</v>
      </c>
      <c r="H166" s="22"/>
      <c r="I166" s="23" t="s">
        <v>35</v>
      </c>
      <c r="J166" s="23"/>
      <c r="K166" s="22"/>
      <c r="L166" s="22"/>
      <c r="M166" s="23"/>
      <c r="N166" s="23"/>
      <c r="O166" s="26" t="s">
        <v>425</v>
      </c>
      <c r="P166" s="26"/>
      <c r="Q166" s="26"/>
      <c r="R166" s="22"/>
      <c r="S166" s="24"/>
      <c r="T166" s="24"/>
      <c r="U166" s="24"/>
      <c r="V166" s="24"/>
      <c r="W166" s="24"/>
      <c r="X166" s="22" t="s">
        <v>37</v>
      </c>
      <c r="Y166" s="4" t="str">
        <f>IF(Tabela2[[#This Row],[SIGLA]]="","",VLOOKUP(Tabela2[[#This Row],[SIGLA]],Tabela1[[#All],[Sigla Arte]:[Crédito]],2,0))</f>
        <v>GUILHERME RODRIGUES/ARQUIVO DA EDITORA</v>
      </c>
      <c r="Z166" s="23"/>
      <c r="AA166" s="23" t="str">
        <f>Tabela2[[#This Row],[ILUSTRADOR CRIAÇÃO]]</f>
        <v>GUILHERME RODRIGUES/ARQUIVO DA EDITORA</v>
      </c>
      <c r="AB166" s="22"/>
      <c r="AC166" s="20"/>
      <c r="AD166" s="20"/>
      <c r="AE166" s="4" t="str">
        <f t="shared" si="2"/>
        <v>EF1 E002 HGC</v>
      </c>
    </row>
    <row r="167" spans="1:31" s="12" customFormat="1" ht="30" x14ac:dyDescent="0.25">
      <c r="A167" s="23" t="s">
        <v>426</v>
      </c>
      <c r="B167" s="20" t="s">
        <v>32</v>
      </c>
      <c r="C167" s="20" t="s">
        <v>33</v>
      </c>
      <c r="D167" s="20" t="s">
        <v>34</v>
      </c>
      <c r="E167" s="22">
        <v>138</v>
      </c>
      <c r="F167" s="22">
        <v>1</v>
      </c>
      <c r="G167" s="22">
        <v>3</v>
      </c>
      <c r="H167" s="22"/>
      <c r="I167" s="23" t="s">
        <v>35</v>
      </c>
      <c r="J167" s="23"/>
      <c r="K167" s="22"/>
      <c r="L167" s="22"/>
      <c r="M167" s="23"/>
      <c r="N167" s="23"/>
      <c r="O167" s="26" t="s">
        <v>427</v>
      </c>
      <c r="P167" s="26"/>
      <c r="Q167" s="26"/>
      <c r="R167" s="22"/>
      <c r="S167" s="24"/>
      <c r="T167" s="24"/>
      <c r="U167" s="24"/>
      <c r="V167" s="24"/>
      <c r="W167" s="24"/>
      <c r="X167" s="22" t="s">
        <v>37</v>
      </c>
      <c r="Y167" s="4" t="str">
        <f>IF(Tabela2[[#This Row],[SIGLA]]="","",VLOOKUP(Tabela2[[#This Row],[SIGLA]],Tabela1[[#All],[Sigla Arte]:[Crédito]],2,0))</f>
        <v>GUILHERME RODRIGUES/ARQUIVO DA EDITORA</v>
      </c>
      <c r="Z167" s="23"/>
      <c r="AA167" s="23" t="str">
        <f>Tabela2[[#This Row],[ILUSTRADOR CRIAÇÃO]]</f>
        <v>GUILHERME RODRIGUES/ARQUIVO DA EDITORA</v>
      </c>
      <c r="AB167" s="22"/>
      <c r="AC167" s="20"/>
      <c r="AD167" s="20"/>
      <c r="AE167" s="4" t="str">
        <f t="shared" si="2"/>
        <v>EF1 E002 HGC</v>
      </c>
    </row>
    <row r="168" spans="1:31" s="12" customFormat="1" ht="75" x14ac:dyDescent="0.25">
      <c r="A168" s="23" t="s">
        <v>428</v>
      </c>
      <c r="B168" s="20" t="s">
        <v>32</v>
      </c>
      <c r="C168" s="20" t="s">
        <v>33</v>
      </c>
      <c r="D168" s="20" t="s">
        <v>34</v>
      </c>
      <c r="E168" s="22">
        <v>139</v>
      </c>
      <c r="F168" s="22">
        <v>1</v>
      </c>
      <c r="G168" s="22">
        <v>3</v>
      </c>
      <c r="H168" s="22"/>
      <c r="I168" s="23" t="s">
        <v>39</v>
      </c>
      <c r="J168" s="23"/>
      <c r="K168" s="22"/>
      <c r="L168" s="22"/>
      <c r="M168" s="23"/>
      <c r="N168" s="23"/>
      <c r="O168" s="26" t="s">
        <v>429</v>
      </c>
      <c r="P168" s="26"/>
      <c r="Q168" s="26"/>
      <c r="R168" s="22">
        <v>10</v>
      </c>
      <c r="S168" s="24">
        <v>45784</v>
      </c>
      <c r="T168" s="24">
        <v>45784</v>
      </c>
      <c r="U168" s="24"/>
      <c r="V168" s="24"/>
      <c r="W168" s="24">
        <v>45784</v>
      </c>
      <c r="X168" s="22" t="s">
        <v>112</v>
      </c>
      <c r="Y168" s="4" t="str">
        <f>IF(Tabela2[[#This Row],[SIGLA]]="","",VLOOKUP(Tabela2[[#This Row],[SIGLA]],Tabela1[[#All],[Sigla Arte]:[Crédito]],2,0))</f>
        <v>LISLLEY GOMES FEIGE/ARQUIVO DA EDITORA</v>
      </c>
      <c r="Z168" s="23" t="s">
        <v>333</v>
      </c>
      <c r="AA168" s="23" t="str">
        <f>Tabela2[[#This Row],[ILUSTRADOR CRIAÇÃO]]</f>
        <v>LISLLEY GOMES FEIGE/ARQUIVO DA EDITORA</v>
      </c>
      <c r="AB168" s="22">
        <v>14</v>
      </c>
      <c r="AC168" s="20" t="s">
        <v>43</v>
      </c>
      <c r="AD168" s="20" t="s">
        <v>44</v>
      </c>
      <c r="AE168" s="4" t="str">
        <f t="shared" si="2"/>
        <v>EF1 E002 HGC</v>
      </c>
    </row>
    <row r="169" spans="1:31" s="12" customFormat="1" ht="75" x14ac:dyDescent="0.25">
      <c r="A169" s="23" t="s">
        <v>430</v>
      </c>
      <c r="B169" s="20" t="s">
        <v>32</v>
      </c>
      <c r="C169" s="20" t="s">
        <v>33</v>
      </c>
      <c r="D169" s="20" t="s">
        <v>34</v>
      </c>
      <c r="E169" s="22">
        <v>139</v>
      </c>
      <c r="F169" s="22">
        <v>1</v>
      </c>
      <c r="G169" s="22">
        <v>3</v>
      </c>
      <c r="H169" s="22"/>
      <c r="I169" s="23" t="s">
        <v>39</v>
      </c>
      <c r="J169" s="23"/>
      <c r="K169" s="22"/>
      <c r="L169" s="22"/>
      <c r="M169" s="23"/>
      <c r="N169" s="23"/>
      <c r="O169" s="26" t="s">
        <v>431</v>
      </c>
      <c r="P169" s="26"/>
      <c r="Q169" s="26"/>
      <c r="R169" s="22">
        <v>10</v>
      </c>
      <c r="S169" s="24">
        <v>45784</v>
      </c>
      <c r="T169" s="24">
        <v>45784</v>
      </c>
      <c r="U169" s="24"/>
      <c r="V169" s="24"/>
      <c r="W169" s="24">
        <v>45784</v>
      </c>
      <c r="X169" s="22" t="s">
        <v>112</v>
      </c>
      <c r="Y169" s="4" t="str">
        <f>IF(Tabela2[[#This Row],[SIGLA]]="","",VLOOKUP(Tabela2[[#This Row],[SIGLA]],Tabela1[[#All],[Sigla Arte]:[Crédito]],2,0))</f>
        <v>LISLLEY GOMES FEIGE/ARQUIVO DA EDITORA</v>
      </c>
      <c r="Z169" s="23" t="s">
        <v>333</v>
      </c>
      <c r="AA169" s="23" t="str">
        <f>Tabela2[[#This Row],[ILUSTRADOR CRIAÇÃO]]</f>
        <v>LISLLEY GOMES FEIGE/ARQUIVO DA EDITORA</v>
      </c>
      <c r="AB169" s="22">
        <v>14</v>
      </c>
      <c r="AC169" s="20" t="s">
        <v>43</v>
      </c>
      <c r="AD169" s="20" t="s">
        <v>44</v>
      </c>
      <c r="AE169" s="4" t="str">
        <f t="shared" si="2"/>
        <v>EF1 E002 HGC</v>
      </c>
    </row>
    <row r="170" spans="1:31" s="12" customFormat="1" ht="90" x14ac:dyDescent="0.25">
      <c r="A170" s="23" t="s">
        <v>432</v>
      </c>
      <c r="B170" s="20" t="s">
        <v>32</v>
      </c>
      <c r="C170" s="20" t="s">
        <v>33</v>
      </c>
      <c r="D170" s="20" t="s">
        <v>34</v>
      </c>
      <c r="E170" s="22">
        <v>139</v>
      </c>
      <c r="F170" s="22">
        <v>1</v>
      </c>
      <c r="G170" s="22">
        <v>3</v>
      </c>
      <c r="H170" s="22"/>
      <c r="I170" s="23" t="s">
        <v>39</v>
      </c>
      <c r="J170" s="23"/>
      <c r="K170" s="22"/>
      <c r="L170" s="22"/>
      <c r="M170" s="23"/>
      <c r="N170" s="23"/>
      <c r="O170" s="26" t="s">
        <v>433</v>
      </c>
      <c r="P170" s="26"/>
      <c r="Q170" s="26"/>
      <c r="R170" s="22">
        <v>10</v>
      </c>
      <c r="S170" s="24">
        <v>45784</v>
      </c>
      <c r="T170" s="24">
        <v>45784</v>
      </c>
      <c r="U170" s="24"/>
      <c r="V170" s="24"/>
      <c r="W170" s="24">
        <v>45784</v>
      </c>
      <c r="X170" s="22" t="s">
        <v>112</v>
      </c>
      <c r="Y170" s="4" t="str">
        <f>IF(Tabela2[[#This Row],[SIGLA]]="","",VLOOKUP(Tabela2[[#This Row],[SIGLA]],Tabela1[[#All],[Sigla Arte]:[Crédito]],2,0))</f>
        <v>LISLLEY GOMES FEIGE/ARQUIVO DA EDITORA</v>
      </c>
      <c r="Z170" s="23" t="s">
        <v>333</v>
      </c>
      <c r="AA170" s="23" t="str">
        <f>Tabela2[[#This Row],[ILUSTRADOR CRIAÇÃO]]</f>
        <v>LISLLEY GOMES FEIGE/ARQUIVO DA EDITORA</v>
      </c>
      <c r="AB170" s="22">
        <v>14</v>
      </c>
      <c r="AC170" s="20" t="s">
        <v>43</v>
      </c>
      <c r="AD170" s="20" t="s">
        <v>44</v>
      </c>
      <c r="AE170" s="4" t="str">
        <f t="shared" si="2"/>
        <v>EF1 E002 HGC</v>
      </c>
    </row>
    <row r="171" spans="1:31" s="12" customFormat="1" ht="75" x14ac:dyDescent="0.25">
      <c r="A171" s="23" t="s">
        <v>434</v>
      </c>
      <c r="B171" s="20" t="s">
        <v>32</v>
      </c>
      <c r="C171" s="20" t="s">
        <v>33</v>
      </c>
      <c r="D171" s="20" t="s">
        <v>34</v>
      </c>
      <c r="E171" s="22">
        <v>139</v>
      </c>
      <c r="F171" s="22">
        <v>1</v>
      </c>
      <c r="G171" s="22">
        <v>3</v>
      </c>
      <c r="H171" s="22"/>
      <c r="I171" s="23" t="s">
        <v>39</v>
      </c>
      <c r="J171" s="23"/>
      <c r="K171" s="22"/>
      <c r="L171" s="22"/>
      <c r="M171" s="23"/>
      <c r="N171" s="23"/>
      <c r="O171" s="26" t="s">
        <v>435</v>
      </c>
      <c r="P171" s="26"/>
      <c r="Q171" s="26"/>
      <c r="R171" s="22">
        <v>10</v>
      </c>
      <c r="S171" s="24">
        <v>45784</v>
      </c>
      <c r="T171" s="24">
        <v>45784</v>
      </c>
      <c r="U171" s="24"/>
      <c r="V171" s="24"/>
      <c r="W171" s="24">
        <v>45784</v>
      </c>
      <c r="X171" s="22" t="s">
        <v>112</v>
      </c>
      <c r="Y171" s="4" t="str">
        <f>IF(Tabela2[[#This Row],[SIGLA]]="","",VLOOKUP(Tabela2[[#This Row],[SIGLA]],Tabela1[[#All],[Sigla Arte]:[Crédito]],2,0))</f>
        <v>LISLLEY GOMES FEIGE/ARQUIVO DA EDITORA</v>
      </c>
      <c r="Z171" s="23" t="s">
        <v>333</v>
      </c>
      <c r="AA171" s="23" t="str">
        <f>Tabela2[[#This Row],[ILUSTRADOR CRIAÇÃO]]</f>
        <v>LISLLEY GOMES FEIGE/ARQUIVO DA EDITORA</v>
      </c>
      <c r="AB171" s="22">
        <v>14</v>
      </c>
      <c r="AC171" s="20" t="s">
        <v>43</v>
      </c>
      <c r="AD171" s="20" t="s">
        <v>44</v>
      </c>
      <c r="AE171" s="4" t="str">
        <f t="shared" si="2"/>
        <v>EF1 E002 HGC</v>
      </c>
    </row>
    <row r="172" spans="1:31" s="12" customFormat="1" ht="180" x14ac:dyDescent="0.25">
      <c r="A172" s="23" t="s">
        <v>436</v>
      </c>
      <c r="B172" s="20" t="s">
        <v>32</v>
      </c>
      <c r="C172" s="20" t="s">
        <v>33</v>
      </c>
      <c r="D172" s="20" t="s">
        <v>34</v>
      </c>
      <c r="E172" s="22">
        <v>139</v>
      </c>
      <c r="F172" s="22">
        <v>1</v>
      </c>
      <c r="G172" s="22">
        <v>3</v>
      </c>
      <c r="H172" s="22"/>
      <c r="I172" s="23" t="s">
        <v>39</v>
      </c>
      <c r="J172" s="23"/>
      <c r="K172" s="22"/>
      <c r="L172" s="22"/>
      <c r="M172" s="23"/>
      <c r="N172" s="23"/>
      <c r="O172" s="26" t="s">
        <v>437</v>
      </c>
      <c r="P172" s="26"/>
      <c r="Q172" s="26"/>
      <c r="R172" s="22">
        <v>10</v>
      </c>
      <c r="S172" s="24">
        <v>45784</v>
      </c>
      <c r="T172" s="24">
        <v>45784</v>
      </c>
      <c r="U172" s="24"/>
      <c r="V172" s="24"/>
      <c r="W172" s="24">
        <v>45790</v>
      </c>
      <c r="X172" s="22" t="s">
        <v>112</v>
      </c>
      <c r="Y172" s="4" t="str">
        <f>IF(Tabela2[[#This Row],[SIGLA]]="","",VLOOKUP(Tabela2[[#This Row],[SIGLA]],Tabela1[[#All],[Sigla Arte]:[Crédito]],2,0))</f>
        <v>LISLLEY GOMES FEIGE/ARQUIVO DA EDITORA</v>
      </c>
      <c r="Z172" s="23" t="s">
        <v>185</v>
      </c>
      <c r="AA172" s="23" t="str">
        <f>Tabela2[[#This Row],[ILUSTRADOR CRIAÇÃO]]</f>
        <v>LISLLEY GOMES FEIGE/ARQUIVO DA EDITORA</v>
      </c>
      <c r="AB172" s="22">
        <v>13</v>
      </c>
      <c r="AC172" s="20" t="s">
        <v>43</v>
      </c>
      <c r="AD172" s="20" t="s">
        <v>44</v>
      </c>
      <c r="AE172" s="4" t="str">
        <f t="shared" si="2"/>
        <v>EF1 E002 HGC</v>
      </c>
    </row>
    <row r="173" spans="1:31" s="12" customFormat="1" ht="75" x14ac:dyDescent="0.25">
      <c r="A173" s="23" t="s">
        <v>438</v>
      </c>
      <c r="B173" s="20" t="s">
        <v>32</v>
      </c>
      <c r="C173" s="20" t="s">
        <v>33</v>
      </c>
      <c r="D173" s="20" t="s">
        <v>34</v>
      </c>
      <c r="E173" s="22">
        <v>139</v>
      </c>
      <c r="F173" s="22">
        <v>1</v>
      </c>
      <c r="G173" s="22">
        <v>3</v>
      </c>
      <c r="H173" s="22"/>
      <c r="I173" s="23" t="s">
        <v>39</v>
      </c>
      <c r="J173" s="23"/>
      <c r="K173" s="22"/>
      <c r="L173" s="22"/>
      <c r="M173" s="23"/>
      <c r="N173" s="23"/>
      <c r="O173" s="26" t="s">
        <v>439</v>
      </c>
      <c r="P173" s="26"/>
      <c r="Q173" s="26"/>
      <c r="R173" s="22">
        <v>10</v>
      </c>
      <c r="S173" s="24">
        <v>45784</v>
      </c>
      <c r="T173" s="24">
        <v>45784</v>
      </c>
      <c r="U173" s="24"/>
      <c r="V173" s="24"/>
      <c r="W173" s="24">
        <v>45784</v>
      </c>
      <c r="X173" s="22" t="s">
        <v>112</v>
      </c>
      <c r="Y173" s="4" t="str">
        <f>IF(Tabela2[[#This Row],[SIGLA]]="","",VLOOKUP(Tabela2[[#This Row],[SIGLA]],Tabela1[[#All],[Sigla Arte]:[Crédito]],2,0))</f>
        <v>LISLLEY GOMES FEIGE/ARQUIVO DA EDITORA</v>
      </c>
      <c r="Z173" s="23" t="s">
        <v>333</v>
      </c>
      <c r="AA173" s="23" t="str">
        <f>Tabela2[[#This Row],[ILUSTRADOR CRIAÇÃO]]</f>
        <v>LISLLEY GOMES FEIGE/ARQUIVO DA EDITORA</v>
      </c>
      <c r="AB173" s="22">
        <v>14</v>
      </c>
      <c r="AC173" s="20" t="s">
        <v>43</v>
      </c>
      <c r="AD173" s="20" t="s">
        <v>44</v>
      </c>
      <c r="AE173" s="4" t="str">
        <f t="shared" si="2"/>
        <v>EF1 E002 HGC</v>
      </c>
    </row>
    <row r="174" spans="1:31" s="12" customFormat="1" ht="30" x14ac:dyDescent="0.25">
      <c r="A174" s="23" t="s">
        <v>440</v>
      </c>
      <c r="B174" s="20" t="s">
        <v>32</v>
      </c>
      <c r="C174" s="20" t="s">
        <v>33</v>
      </c>
      <c r="D174" s="20" t="s">
        <v>34</v>
      </c>
      <c r="E174" s="22">
        <v>101</v>
      </c>
      <c r="F174" s="22">
        <v>1</v>
      </c>
      <c r="G174" s="22">
        <v>2</v>
      </c>
      <c r="H174" s="22"/>
      <c r="I174" s="23" t="s">
        <v>91</v>
      </c>
      <c r="J174" s="23"/>
      <c r="K174" s="22"/>
      <c r="L174" s="22"/>
      <c r="M174" s="23"/>
      <c r="N174" s="23"/>
      <c r="O174" s="26" t="s">
        <v>441</v>
      </c>
      <c r="P174" s="26"/>
      <c r="Q174" s="26"/>
      <c r="R174" s="22">
        <v>11</v>
      </c>
      <c r="S174" s="24">
        <v>45784</v>
      </c>
      <c r="T174" s="24">
        <v>45789</v>
      </c>
      <c r="U174" s="24">
        <v>45801</v>
      </c>
      <c r="V174" s="24">
        <v>45807</v>
      </c>
      <c r="W174" s="24">
        <v>45812</v>
      </c>
      <c r="X174" s="22" t="s">
        <v>442</v>
      </c>
      <c r="Y174" s="4" t="str">
        <f>IF(Tabela2[[#This Row],[SIGLA]]="","",VLOOKUP(Tabela2[[#This Row],[SIGLA]],Tabela1[[#All],[Sigla Arte]:[Crédito]],2,0))</f>
        <v>EZEQUIEL SILVA/ARQUIVO DA EDITORA</v>
      </c>
      <c r="Z174" s="23"/>
      <c r="AA174" s="23" t="str">
        <f>Tabela2[[#This Row],[ILUSTRADOR CRIAÇÃO]]</f>
        <v>EZEQUIEL SILVA/ARQUIVO DA EDITORA</v>
      </c>
      <c r="AB174" s="22">
        <v>6</v>
      </c>
      <c r="AC174" s="20" t="s">
        <v>443</v>
      </c>
      <c r="AD174" s="20" t="s">
        <v>94</v>
      </c>
      <c r="AE174" s="4" t="str">
        <f t="shared" si="2"/>
        <v>EF1 E002 HGC</v>
      </c>
    </row>
    <row r="175" spans="1:31" s="12" customFormat="1" ht="105" x14ac:dyDescent="0.25">
      <c r="A175" s="23" t="s">
        <v>444</v>
      </c>
      <c r="B175" s="20" t="s">
        <v>445</v>
      </c>
      <c r="C175" s="20" t="s">
        <v>33</v>
      </c>
      <c r="D175" s="20" t="s">
        <v>34</v>
      </c>
      <c r="E175" s="22">
        <v>30</v>
      </c>
      <c r="F175" s="22">
        <v>2</v>
      </c>
      <c r="G175" s="22">
        <v>1</v>
      </c>
      <c r="H175" s="22"/>
      <c r="I175" s="23" t="s">
        <v>35</v>
      </c>
      <c r="J175" s="23"/>
      <c r="K175" s="22"/>
      <c r="L175" s="22"/>
      <c r="M175" s="23"/>
      <c r="N175" s="23"/>
      <c r="O175" s="26" t="s">
        <v>446</v>
      </c>
      <c r="P175" s="26"/>
      <c r="Q175" s="26"/>
      <c r="R175" s="22">
        <v>24</v>
      </c>
      <c r="S175" s="24"/>
      <c r="T175" s="24"/>
      <c r="U175" s="24"/>
      <c r="V175" s="24"/>
      <c r="W175" s="24"/>
      <c r="X175" s="22" t="s">
        <v>37</v>
      </c>
      <c r="Y175" s="4" t="str">
        <f>IF(Tabela2[[#This Row],[SIGLA]]="","",VLOOKUP(Tabela2[[#This Row],[SIGLA]],Tabela1[[#All],[Sigla Arte]:[Crédito]],2,0))</f>
        <v>GUILHERME RODRIGUES/ARQUIVO DA EDITORA</v>
      </c>
      <c r="Z175" s="23"/>
      <c r="AA175" s="23" t="str">
        <f>Tabela2[[#This Row],[ILUSTRADOR CRIAÇÃO]]</f>
        <v>GUILHERME RODRIGUES/ARQUIVO DA EDITORA</v>
      </c>
      <c r="AB175" s="22"/>
      <c r="AC175" s="20"/>
      <c r="AD175" s="20"/>
      <c r="AE175" s="4" t="str">
        <f t="shared" si="2"/>
        <v>EF1 E002 HGC</v>
      </c>
    </row>
    <row r="176" spans="1:31" s="12" customFormat="1" ht="105" x14ac:dyDescent="0.25">
      <c r="A176" s="23" t="s">
        <v>447</v>
      </c>
      <c r="B176" s="20" t="s">
        <v>32</v>
      </c>
      <c r="C176" s="20" t="s">
        <v>33</v>
      </c>
      <c r="D176" s="20" t="s">
        <v>34</v>
      </c>
      <c r="E176" s="22">
        <v>30</v>
      </c>
      <c r="F176" s="22">
        <v>2</v>
      </c>
      <c r="G176" s="22">
        <v>1</v>
      </c>
      <c r="H176" s="22"/>
      <c r="I176" s="23" t="s">
        <v>35</v>
      </c>
      <c r="J176" s="23"/>
      <c r="K176" s="22"/>
      <c r="L176" s="22"/>
      <c r="M176" s="23"/>
      <c r="N176" s="23"/>
      <c r="O176" s="26" t="s">
        <v>448</v>
      </c>
      <c r="P176" s="26"/>
      <c r="Q176" s="26"/>
      <c r="R176" s="22"/>
      <c r="S176" s="24"/>
      <c r="T176" s="24"/>
      <c r="U176" s="24"/>
      <c r="V176" s="24"/>
      <c r="W176" s="24"/>
      <c r="X176" s="22" t="s">
        <v>37</v>
      </c>
      <c r="Y176" s="4" t="str">
        <f>IF(Tabela2[[#This Row],[SIGLA]]="","",VLOOKUP(Tabela2[[#This Row],[SIGLA]],Tabela1[[#All],[Sigla Arte]:[Crédito]],2,0))</f>
        <v>GUILHERME RODRIGUES/ARQUIVO DA EDITORA</v>
      </c>
      <c r="Z176" s="23"/>
      <c r="AA176" s="23" t="str">
        <f>Tabela2[[#This Row],[ILUSTRADOR CRIAÇÃO]]</f>
        <v>GUILHERME RODRIGUES/ARQUIVO DA EDITORA</v>
      </c>
      <c r="AB176" s="22"/>
      <c r="AC176" s="20"/>
      <c r="AD176" s="20"/>
      <c r="AE176" s="4" t="str">
        <f t="shared" si="2"/>
        <v>EF1 E002 HGC</v>
      </c>
    </row>
    <row r="177" spans="1:31" s="12" customFormat="1" ht="105" x14ac:dyDescent="0.25">
      <c r="A177" s="23" t="s">
        <v>449</v>
      </c>
      <c r="B177" s="20" t="s">
        <v>32</v>
      </c>
      <c r="C177" s="20" t="s">
        <v>33</v>
      </c>
      <c r="D177" s="20" t="s">
        <v>34</v>
      </c>
      <c r="E177" s="22">
        <v>30</v>
      </c>
      <c r="F177" s="22">
        <v>2</v>
      </c>
      <c r="G177" s="22">
        <v>1</v>
      </c>
      <c r="H177" s="22"/>
      <c r="I177" s="23" t="s">
        <v>35</v>
      </c>
      <c r="J177" s="23"/>
      <c r="K177" s="22"/>
      <c r="L177" s="22"/>
      <c r="M177" s="23"/>
      <c r="N177" s="23"/>
      <c r="O177" s="26" t="s">
        <v>450</v>
      </c>
      <c r="P177" s="26"/>
      <c r="Q177" s="26"/>
      <c r="R177" s="22"/>
      <c r="S177" s="24"/>
      <c r="T177" s="24"/>
      <c r="U177" s="24"/>
      <c r="V177" s="24"/>
      <c r="W177" s="24"/>
      <c r="X177" s="22" t="s">
        <v>37</v>
      </c>
      <c r="Y177" s="4" t="str">
        <f>IF(Tabela2[[#This Row],[SIGLA]]="","",VLOOKUP(Tabela2[[#This Row],[SIGLA]],Tabela1[[#All],[Sigla Arte]:[Crédito]],2,0))</f>
        <v>GUILHERME RODRIGUES/ARQUIVO DA EDITORA</v>
      </c>
      <c r="Z177" s="23"/>
      <c r="AA177" s="23" t="str">
        <f>Tabela2[[#This Row],[ILUSTRADOR CRIAÇÃO]]</f>
        <v>GUILHERME RODRIGUES/ARQUIVO DA EDITORA</v>
      </c>
      <c r="AB177" s="22"/>
      <c r="AC177" s="20"/>
      <c r="AD177" s="20"/>
      <c r="AE177" s="4" t="str">
        <f t="shared" si="2"/>
        <v>EF1 E002 HGC</v>
      </c>
    </row>
    <row r="178" spans="1:31" s="12" customFormat="1" ht="105" x14ac:dyDescent="0.25">
      <c r="A178" s="23" t="s">
        <v>451</v>
      </c>
      <c r="B178" s="20" t="s">
        <v>32</v>
      </c>
      <c r="C178" s="20" t="s">
        <v>33</v>
      </c>
      <c r="D178" s="20" t="s">
        <v>34</v>
      </c>
      <c r="E178" s="22">
        <v>30</v>
      </c>
      <c r="F178" s="22">
        <v>2</v>
      </c>
      <c r="G178" s="22">
        <v>1</v>
      </c>
      <c r="H178" s="22"/>
      <c r="I178" s="23" t="s">
        <v>35</v>
      </c>
      <c r="J178" s="23"/>
      <c r="K178" s="22"/>
      <c r="L178" s="22"/>
      <c r="M178" s="23"/>
      <c r="N178" s="23"/>
      <c r="O178" s="26" t="s">
        <v>452</v>
      </c>
      <c r="P178" s="26"/>
      <c r="Q178" s="26"/>
      <c r="R178" s="22"/>
      <c r="S178" s="24"/>
      <c r="T178" s="24"/>
      <c r="U178" s="24"/>
      <c r="V178" s="24"/>
      <c r="W178" s="24"/>
      <c r="X178" s="22" t="s">
        <v>37</v>
      </c>
      <c r="Y178" s="4" t="str">
        <f>IF(Tabela2[[#This Row],[SIGLA]]="","",VLOOKUP(Tabela2[[#This Row],[SIGLA]],Tabela1[[#All],[Sigla Arte]:[Crédito]],2,0))</f>
        <v>GUILHERME RODRIGUES/ARQUIVO DA EDITORA</v>
      </c>
      <c r="Z178" s="23"/>
      <c r="AA178" s="23" t="str">
        <f>Tabela2[[#This Row],[ILUSTRADOR CRIAÇÃO]]</f>
        <v>GUILHERME RODRIGUES/ARQUIVO DA EDITORA</v>
      </c>
      <c r="AB178" s="22"/>
      <c r="AC178" s="20"/>
      <c r="AD178" s="20"/>
      <c r="AE178" s="4" t="str">
        <f t="shared" si="2"/>
        <v>EF1 E002 HGC</v>
      </c>
    </row>
    <row r="179" spans="1:31" s="12" customFormat="1" ht="135.75" customHeight="1" x14ac:dyDescent="0.25">
      <c r="A179" s="23" t="s">
        <v>453</v>
      </c>
      <c r="B179" s="20" t="s">
        <v>32</v>
      </c>
      <c r="C179" s="20" t="s">
        <v>33</v>
      </c>
      <c r="D179" s="20" t="s">
        <v>34</v>
      </c>
      <c r="E179" s="22">
        <v>31</v>
      </c>
      <c r="F179" s="22">
        <v>2</v>
      </c>
      <c r="G179" s="22">
        <v>1</v>
      </c>
      <c r="H179" s="22"/>
      <c r="I179" s="23" t="s">
        <v>39</v>
      </c>
      <c r="J179" s="23"/>
      <c r="K179" s="22"/>
      <c r="L179" s="22"/>
      <c r="M179" s="23"/>
      <c r="N179" s="23"/>
      <c r="O179" s="26" t="s">
        <v>454</v>
      </c>
      <c r="P179" s="26"/>
      <c r="Q179" s="26"/>
      <c r="R179" s="22">
        <v>1</v>
      </c>
      <c r="S179" s="24">
        <v>45798</v>
      </c>
      <c r="T179" s="24">
        <v>45804</v>
      </c>
      <c r="U179" s="24"/>
      <c r="V179" s="24"/>
      <c r="W179" s="24">
        <v>45805</v>
      </c>
      <c r="X179" s="22" t="s">
        <v>139</v>
      </c>
      <c r="Y179" s="4" t="str">
        <f>IF(Tabela2[[#This Row],[SIGLA]]="","",VLOOKUP(Tabela2[[#This Row],[SIGLA]],Tabela1[[#All],[Sigla Arte]:[Crédito]],2,0))</f>
        <v>HELOÍSA PINTARELLI/ARQUIVO DA EDITORA</v>
      </c>
      <c r="Z179" s="23" t="s">
        <v>329</v>
      </c>
      <c r="AA179" s="23" t="str">
        <f>Tabela2[[#This Row],[ILUSTRADOR CRIAÇÃO]]</f>
        <v>HELOÍSA PINTARELLI/ARQUIVO DA EDITORA</v>
      </c>
      <c r="AB179" s="22">
        <v>14</v>
      </c>
      <c r="AC179" s="20" t="s">
        <v>43</v>
      </c>
      <c r="AD179" s="20" t="s">
        <v>44</v>
      </c>
      <c r="AE179" s="4" t="str">
        <f t="shared" si="2"/>
        <v>EF1 E002 HGC</v>
      </c>
    </row>
    <row r="180" spans="1:31" s="12" customFormat="1" ht="133.5" customHeight="1" x14ac:dyDescent="0.25">
      <c r="A180" s="23" t="s">
        <v>455</v>
      </c>
      <c r="B180" s="20" t="s">
        <v>136</v>
      </c>
      <c r="C180" s="20" t="s">
        <v>33</v>
      </c>
      <c r="D180" s="20" t="s">
        <v>34</v>
      </c>
      <c r="E180" s="22">
        <v>31</v>
      </c>
      <c r="F180" s="22">
        <v>2</v>
      </c>
      <c r="G180" s="22">
        <v>1</v>
      </c>
      <c r="H180" s="22"/>
      <c r="I180" s="23" t="s">
        <v>39</v>
      </c>
      <c r="J180" s="23"/>
      <c r="K180" s="22"/>
      <c r="L180" s="22"/>
      <c r="M180" s="23"/>
      <c r="N180" s="23"/>
      <c r="O180" s="26" t="s">
        <v>456</v>
      </c>
      <c r="P180" s="26"/>
      <c r="Q180" s="26" t="s">
        <v>457</v>
      </c>
      <c r="R180" s="22">
        <v>1</v>
      </c>
      <c r="S180" s="24">
        <v>45798</v>
      </c>
      <c r="T180" s="24"/>
      <c r="U180" s="24"/>
      <c r="V180" s="24"/>
      <c r="W180" s="24"/>
      <c r="X180" s="22" t="s">
        <v>139</v>
      </c>
      <c r="Y180" s="4" t="str">
        <f>IF(Tabela2[[#This Row],[SIGLA]]="","",VLOOKUP(Tabela2[[#This Row],[SIGLA]],Tabela1[[#All],[Sigla Arte]:[Crédito]],2,0))</f>
        <v>HELOÍSA PINTARELLI/ARQUIVO DA EDITORA</v>
      </c>
      <c r="Z180" s="23"/>
      <c r="AA180" s="23" t="str">
        <f>Tabela2[[#This Row],[ILUSTRADOR CRIAÇÃO]]</f>
        <v>HELOÍSA PINTARELLI/ARQUIVO DA EDITORA</v>
      </c>
      <c r="AB180" s="22"/>
      <c r="AC180" s="20"/>
      <c r="AD180" s="20"/>
      <c r="AE180" s="4" t="str">
        <f t="shared" si="2"/>
        <v>EF1 E002 HGC</v>
      </c>
    </row>
    <row r="181" spans="1:31" s="12" customFormat="1" ht="124.5" customHeight="1" x14ac:dyDescent="0.25">
      <c r="A181" s="23" t="s">
        <v>458</v>
      </c>
      <c r="B181" s="20" t="s">
        <v>136</v>
      </c>
      <c r="C181" s="20" t="s">
        <v>33</v>
      </c>
      <c r="D181" s="20" t="s">
        <v>34</v>
      </c>
      <c r="E181" s="22">
        <v>31</v>
      </c>
      <c r="F181" s="22">
        <v>2</v>
      </c>
      <c r="G181" s="22">
        <v>1</v>
      </c>
      <c r="H181" s="22"/>
      <c r="I181" s="23" t="s">
        <v>39</v>
      </c>
      <c r="J181" s="23"/>
      <c r="K181" s="22"/>
      <c r="L181" s="22"/>
      <c r="M181" s="23"/>
      <c r="N181" s="23"/>
      <c r="O181" s="26" t="s">
        <v>459</v>
      </c>
      <c r="P181" s="26"/>
      <c r="Q181" s="26" t="s">
        <v>457</v>
      </c>
      <c r="R181" s="22">
        <v>1</v>
      </c>
      <c r="S181" s="24">
        <v>45798</v>
      </c>
      <c r="T181" s="24"/>
      <c r="U181" s="24"/>
      <c r="V181" s="24"/>
      <c r="W181" s="24"/>
      <c r="X181" s="22" t="s">
        <v>139</v>
      </c>
      <c r="Y181" s="4" t="str">
        <f>IF(Tabela2[[#This Row],[SIGLA]]="","",VLOOKUP(Tabela2[[#This Row],[SIGLA]],Tabela1[[#All],[Sigla Arte]:[Crédito]],2,0))</f>
        <v>HELOÍSA PINTARELLI/ARQUIVO DA EDITORA</v>
      </c>
      <c r="Z181" s="23"/>
      <c r="AA181" s="23" t="str">
        <f>Tabela2[[#This Row],[ILUSTRADOR CRIAÇÃO]]</f>
        <v>HELOÍSA PINTARELLI/ARQUIVO DA EDITORA</v>
      </c>
      <c r="AB181" s="22"/>
      <c r="AC181" s="20"/>
      <c r="AD181" s="20"/>
      <c r="AE181" s="4" t="str">
        <f t="shared" si="2"/>
        <v>EF1 E002 HGC</v>
      </c>
    </row>
    <row r="182" spans="1:31" s="12" customFormat="1" ht="75" x14ac:dyDescent="0.25">
      <c r="A182" s="23" t="s">
        <v>460</v>
      </c>
      <c r="B182" s="20" t="s">
        <v>32</v>
      </c>
      <c r="C182" s="20" t="s">
        <v>33</v>
      </c>
      <c r="D182" s="20" t="s">
        <v>34</v>
      </c>
      <c r="E182" s="22">
        <v>31</v>
      </c>
      <c r="F182" s="22">
        <v>2</v>
      </c>
      <c r="G182" s="22">
        <v>1</v>
      </c>
      <c r="H182" s="22"/>
      <c r="I182" s="23" t="s">
        <v>35</v>
      </c>
      <c r="J182" s="23"/>
      <c r="K182" s="22"/>
      <c r="L182" s="22"/>
      <c r="M182" s="23"/>
      <c r="N182" s="23"/>
      <c r="O182" s="26" t="s">
        <v>461</v>
      </c>
      <c r="P182" s="26"/>
      <c r="Q182" s="26"/>
      <c r="R182" s="22"/>
      <c r="S182" s="24"/>
      <c r="T182" s="24"/>
      <c r="U182" s="24"/>
      <c r="V182" s="24"/>
      <c r="W182" s="24"/>
      <c r="X182" s="22" t="s">
        <v>139</v>
      </c>
      <c r="Y182" s="4" t="str">
        <f>IF(Tabela2[[#This Row],[SIGLA]]="","",VLOOKUP(Tabela2[[#This Row],[SIGLA]],Tabela1[[#All],[Sigla Arte]:[Crédito]],2,0))</f>
        <v>HELOÍSA PINTARELLI/ARQUIVO DA EDITORA</v>
      </c>
      <c r="Z182" s="23"/>
      <c r="AA182" s="23" t="str">
        <f>Tabela2[[#This Row],[ILUSTRADOR CRIAÇÃO]]</f>
        <v>HELOÍSA PINTARELLI/ARQUIVO DA EDITORA</v>
      </c>
      <c r="AB182" s="22"/>
      <c r="AC182" s="20"/>
      <c r="AD182" s="20"/>
      <c r="AE182" s="4" t="str">
        <f t="shared" si="2"/>
        <v>EF1 E002 HGC</v>
      </c>
    </row>
    <row r="183" spans="1:31" s="12" customFormat="1" ht="75" x14ac:dyDescent="0.25">
      <c r="A183" s="23" t="s">
        <v>462</v>
      </c>
      <c r="B183" s="20" t="s">
        <v>32</v>
      </c>
      <c r="C183" s="20" t="s">
        <v>33</v>
      </c>
      <c r="D183" s="20" t="s">
        <v>34</v>
      </c>
      <c r="E183" s="22">
        <v>31</v>
      </c>
      <c r="F183" s="22">
        <v>2</v>
      </c>
      <c r="G183" s="22">
        <v>1</v>
      </c>
      <c r="H183" s="22"/>
      <c r="I183" s="23" t="s">
        <v>35</v>
      </c>
      <c r="J183" s="23"/>
      <c r="K183" s="22"/>
      <c r="L183" s="22"/>
      <c r="M183" s="23"/>
      <c r="N183" s="23"/>
      <c r="O183" s="26" t="s">
        <v>463</v>
      </c>
      <c r="P183" s="26"/>
      <c r="Q183" s="26"/>
      <c r="R183" s="22"/>
      <c r="S183" s="24"/>
      <c r="T183" s="24"/>
      <c r="U183" s="24"/>
      <c r="V183" s="24"/>
      <c r="W183" s="24"/>
      <c r="X183" s="22" t="s">
        <v>139</v>
      </c>
      <c r="Y183" s="4" t="str">
        <f>IF(Tabela2[[#This Row],[SIGLA]]="","",VLOOKUP(Tabela2[[#This Row],[SIGLA]],Tabela1[[#All],[Sigla Arte]:[Crédito]],2,0))</f>
        <v>HELOÍSA PINTARELLI/ARQUIVO DA EDITORA</v>
      </c>
      <c r="Z183" s="23"/>
      <c r="AA183" s="23" t="str">
        <f>Tabela2[[#This Row],[ILUSTRADOR CRIAÇÃO]]</f>
        <v>HELOÍSA PINTARELLI/ARQUIVO DA EDITORA</v>
      </c>
      <c r="AB183" s="22"/>
      <c r="AC183" s="20"/>
      <c r="AD183" s="20"/>
      <c r="AE183" s="4" t="str">
        <f t="shared" si="2"/>
        <v>EF1 E002 HGC</v>
      </c>
    </row>
    <row r="184" spans="1:31" s="12" customFormat="1" ht="60" x14ac:dyDescent="0.25">
      <c r="A184" s="23" t="s">
        <v>464</v>
      </c>
      <c r="B184" s="20" t="s">
        <v>32</v>
      </c>
      <c r="C184" s="20" t="s">
        <v>33</v>
      </c>
      <c r="D184" s="20" t="s">
        <v>34</v>
      </c>
      <c r="E184" s="22">
        <v>41</v>
      </c>
      <c r="F184" s="22">
        <v>2</v>
      </c>
      <c r="G184" s="22">
        <v>1</v>
      </c>
      <c r="H184" s="22"/>
      <c r="I184" s="23" t="s">
        <v>35</v>
      </c>
      <c r="J184" s="23"/>
      <c r="K184" s="22"/>
      <c r="L184" s="22"/>
      <c r="M184" s="23"/>
      <c r="N184" s="23"/>
      <c r="O184" s="26" t="s">
        <v>465</v>
      </c>
      <c r="P184" s="26"/>
      <c r="Q184" s="26"/>
      <c r="R184" s="22"/>
      <c r="S184" s="24"/>
      <c r="T184" s="24"/>
      <c r="U184" s="24"/>
      <c r="V184" s="24"/>
      <c r="W184" s="24"/>
      <c r="X184" s="22" t="s">
        <v>112</v>
      </c>
      <c r="Y184" s="4" t="str">
        <f>IF(Tabela2[[#This Row],[SIGLA]]="","",VLOOKUP(Tabela2[[#This Row],[SIGLA]],Tabela1[[#All],[Sigla Arte]:[Crédito]],2,0))</f>
        <v>LISLLEY GOMES FEIGE/ARQUIVO DA EDITORA</v>
      </c>
      <c r="Z184" s="23"/>
      <c r="AA184" s="23" t="str">
        <f>Tabela2[[#This Row],[ILUSTRADOR CRIAÇÃO]]</f>
        <v>LISLLEY GOMES FEIGE/ARQUIVO DA EDITORA</v>
      </c>
      <c r="AB184" s="22"/>
      <c r="AC184" s="20"/>
      <c r="AD184" s="20"/>
      <c r="AE184" s="4" t="str">
        <f t="shared" si="2"/>
        <v>EF1 E002 HGC</v>
      </c>
    </row>
    <row r="185" spans="1:31" s="12" customFormat="1" ht="90" x14ac:dyDescent="0.25">
      <c r="A185" s="23" t="s">
        <v>466</v>
      </c>
      <c r="B185" s="20" t="s">
        <v>32</v>
      </c>
      <c r="C185" s="20" t="s">
        <v>33</v>
      </c>
      <c r="D185" s="20" t="s">
        <v>34</v>
      </c>
      <c r="E185" s="22">
        <v>41</v>
      </c>
      <c r="F185" s="22">
        <v>2</v>
      </c>
      <c r="G185" s="22">
        <v>1</v>
      </c>
      <c r="H185" s="22"/>
      <c r="I185" s="23" t="s">
        <v>35</v>
      </c>
      <c r="J185" s="23"/>
      <c r="K185" s="22"/>
      <c r="L185" s="22"/>
      <c r="M185" s="23"/>
      <c r="N185" s="23"/>
      <c r="O185" s="26" t="s">
        <v>467</v>
      </c>
      <c r="P185" s="26"/>
      <c r="Q185" s="26"/>
      <c r="R185" s="22"/>
      <c r="S185" s="24"/>
      <c r="T185" s="24"/>
      <c r="U185" s="24"/>
      <c r="V185" s="24"/>
      <c r="W185" s="24"/>
      <c r="X185" s="22" t="s">
        <v>112</v>
      </c>
      <c r="Y185" s="4" t="str">
        <f>IF(Tabela2[[#This Row],[SIGLA]]="","",VLOOKUP(Tabela2[[#This Row],[SIGLA]],Tabela1[[#All],[Sigla Arte]:[Crédito]],2,0))</f>
        <v>LISLLEY GOMES FEIGE/ARQUIVO DA EDITORA</v>
      </c>
      <c r="Z185" s="23"/>
      <c r="AA185" s="23" t="str">
        <f>Tabela2[[#This Row],[ILUSTRADOR CRIAÇÃO]]</f>
        <v>LISLLEY GOMES FEIGE/ARQUIVO DA EDITORA</v>
      </c>
      <c r="AB185" s="22"/>
      <c r="AC185" s="20"/>
      <c r="AD185" s="20"/>
      <c r="AE185" s="4" t="str">
        <f t="shared" si="2"/>
        <v>EF1 E002 HGC</v>
      </c>
    </row>
    <row r="186" spans="1:31" s="12" customFormat="1" ht="30" x14ac:dyDescent="0.25">
      <c r="A186" s="23" t="s">
        <v>468</v>
      </c>
      <c r="B186" s="20" t="s">
        <v>136</v>
      </c>
      <c r="C186" s="20" t="s">
        <v>33</v>
      </c>
      <c r="D186" s="20" t="s">
        <v>34</v>
      </c>
      <c r="E186" s="22">
        <v>42</v>
      </c>
      <c r="F186" s="22">
        <v>2</v>
      </c>
      <c r="G186" s="22">
        <v>1</v>
      </c>
      <c r="H186" s="22"/>
      <c r="I186" s="23" t="s">
        <v>35</v>
      </c>
      <c r="J186" s="23"/>
      <c r="K186" s="22"/>
      <c r="L186" s="22"/>
      <c r="M186" s="23"/>
      <c r="N186" s="23"/>
      <c r="O186" s="26" t="s">
        <v>469</v>
      </c>
      <c r="P186" s="26"/>
      <c r="Q186" s="26"/>
      <c r="R186" s="22"/>
      <c r="S186" s="24"/>
      <c r="T186" s="24"/>
      <c r="U186" s="24"/>
      <c r="V186" s="24"/>
      <c r="W186" s="24"/>
      <c r="X186" s="22" t="s">
        <v>231</v>
      </c>
      <c r="Y186" s="4" t="str">
        <f>IF(Tabela2[[#This Row],[SIGLA]]="","",VLOOKUP(Tabela2[[#This Row],[SIGLA]],Tabela1[[#All],[Sigla Arte]:[Crédito]],2,0))</f>
        <v>CAIO TANAKA/ARQUIVO DA EDITORA</v>
      </c>
      <c r="Z186" s="23"/>
      <c r="AA186" s="23" t="str">
        <f>Tabela2[[#This Row],[ILUSTRADOR CRIAÇÃO]]</f>
        <v>CAIO TANAKA/ARQUIVO DA EDITORA</v>
      </c>
      <c r="AB186" s="22"/>
      <c r="AC186" s="20"/>
      <c r="AD186" s="20"/>
      <c r="AE186" s="4" t="str">
        <f t="shared" si="2"/>
        <v>EF1 E002 HGC</v>
      </c>
    </row>
    <row r="187" spans="1:31" s="12" customFormat="1" ht="30" x14ac:dyDescent="0.25">
      <c r="A187" s="23" t="s">
        <v>470</v>
      </c>
      <c r="B187" s="20" t="s">
        <v>136</v>
      </c>
      <c r="C187" s="20" t="s">
        <v>33</v>
      </c>
      <c r="D187" s="20" t="s">
        <v>34</v>
      </c>
      <c r="E187" s="22">
        <v>42</v>
      </c>
      <c r="F187" s="22">
        <v>2</v>
      </c>
      <c r="G187" s="22">
        <v>1</v>
      </c>
      <c r="H187" s="22"/>
      <c r="I187" s="23" t="s">
        <v>35</v>
      </c>
      <c r="J187" s="23"/>
      <c r="K187" s="22"/>
      <c r="L187" s="22"/>
      <c r="M187" s="23"/>
      <c r="N187" s="23"/>
      <c r="O187" s="26" t="s">
        <v>469</v>
      </c>
      <c r="P187" s="26"/>
      <c r="Q187" s="26"/>
      <c r="R187" s="22"/>
      <c r="S187" s="24"/>
      <c r="T187" s="24"/>
      <c r="U187" s="24"/>
      <c r="V187" s="24"/>
      <c r="W187" s="24"/>
      <c r="X187" s="22" t="s">
        <v>231</v>
      </c>
      <c r="Y187" s="4" t="str">
        <f>IF(Tabela2[[#This Row],[SIGLA]]="","",VLOOKUP(Tabela2[[#This Row],[SIGLA]],Tabela1[[#All],[Sigla Arte]:[Crédito]],2,0))</f>
        <v>CAIO TANAKA/ARQUIVO DA EDITORA</v>
      </c>
      <c r="Z187" s="23"/>
      <c r="AA187" s="23" t="str">
        <f>Tabela2[[#This Row],[ILUSTRADOR CRIAÇÃO]]</f>
        <v>CAIO TANAKA/ARQUIVO DA EDITORA</v>
      </c>
      <c r="AB187" s="22"/>
      <c r="AC187" s="20"/>
      <c r="AD187" s="20"/>
      <c r="AE187" s="4" t="str">
        <f t="shared" si="2"/>
        <v>EF1 E002 HGC</v>
      </c>
    </row>
    <row r="188" spans="1:31" s="12" customFormat="1" ht="165" x14ac:dyDescent="0.25">
      <c r="A188" s="23" t="s">
        <v>471</v>
      </c>
      <c r="B188" s="20" t="s">
        <v>32</v>
      </c>
      <c r="C188" s="20" t="s">
        <v>33</v>
      </c>
      <c r="D188" s="20" t="s">
        <v>34</v>
      </c>
      <c r="E188" s="22">
        <v>44</v>
      </c>
      <c r="F188" s="22">
        <v>2</v>
      </c>
      <c r="G188" s="22">
        <v>1</v>
      </c>
      <c r="H188" s="22"/>
      <c r="I188" s="23" t="s">
        <v>39</v>
      </c>
      <c r="J188" s="23"/>
      <c r="K188" s="22"/>
      <c r="L188" s="22"/>
      <c r="M188" s="23"/>
      <c r="N188" s="23"/>
      <c r="O188" s="26" t="s">
        <v>472</v>
      </c>
      <c r="P188" s="26"/>
      <c r="Q188" s="26"/>
      <c r="R188" s="22">
        <v>1</v>
      </c>
      <c r="S188" s="24">
        <v>45798</v>
      </c>
      <c r="T188" s="24">
        <v>45804</v>
      </c>
      <c r="U188" s="24"/>
      <c r="V188" s="24"/>
      <c r="W188" s="24">
        <v>45805</v>
      </c>
      <c r="X188" s="22" t="s">
        <v>238</v>
      </c>
      <c r="Y188" s="4" t="str">
        <f>IF(Tabela2[[#This Row],[SIGLA]]="","",VLOOKUP(Tabela2[[#This Row],[SIGLA]],Tabela1[[#All],[Sigla Arte]:[Crédito]],2,0))</f>
        <v>CLARISSA FRANÇA/ARQUIVO DA EDITORA</v>
      </c>
      <c r="Z188" s="23" t="s">
        <v>329</v>
      </c>
      <c r="AA188" s="23" t="str">
        <f>Tabela2[[#This Row],[ILUSTRADOR CRIAÇÃO]]</f>
        <v>CLARISSA FRANÇA/ARQUIVO DA EDITORA</v>
      </c>
      <c r="AB188" s="22">
        <v>13</v>
      </c>
      <c r="AC188" s="20" t="s">
        <v>43</v>
      </c>
      <c r="AD188" s="20" t="s">
        <v>44</v>
      </c>
      <c r="AE188" s="4" t="str">
        <f t="shared" si="2"/>
        <v>EF1 E002 HGC</v>
      </c>
    </row>
    <row r="189" spans="1:31" s="12" customFormat="1" ht="120" x14ac:dyDescent="0.25">
      <c r="A189" s="23" t="s">
        <v>473</v>
      </c>
      <c r="B189" s="20" t="s">
        <v>136</v>
      </c>
      <c r="C189" s="20" t="s">
        <v>33</v>
      </c>
      <c r="D189" s="20" t="s">
        <v>34</v>
      </c>
      <c r="E189" s="22">
        <v>46</v>
      </c>
      <c r="F189" s="22">
        <v>2</v>
      </c>
      <c r="G189" s="22">
        <v>1</v>
      </c>
      <c r="H189" s="22"/>
      <c r="I189" s="23" t="s">
        <v>39</v>
      </c>
      <c r="J189" s="23"/>
      <c r="K189" s="22"/>
      <c r="L189" s="22"/>
      <c r="M189" s="23"/>
      <c r="N189" s="23"/>
      <c r="O189" s="26" t="s">
        <v>474</v>
      </c>
      <c r="P189" s="26"/>
      <c r="Q189" s="26"/>
      <c r="R189" s="22">
        <v>1</v>
      </c>
      <c r="S189" s="24">
        <v>45798</v>
      </c>
      <c r="T189" s="24">
        <v>45804</v>
      </c>
      <c r="U189" s="24"/>
      <c r="V189" s="24"/>
      <c r="W189" s="24">
        <v>45805</v>
      </c>
      <c r="X189" s="22" t="s">
        <v>475</v>
      </c>
      <c r="Y189" s="4" t="str">
        <f>IF(Tabela2[[#This Row],[SIGLA]]="","",VLOOKUP(Tabela2[[#This Row],[SIGLA]],Tabela1[[#All],[Sigla Arte]:[Crédito]],2,0))</f>
        <v>KATHARINE FROTA/ARQUIVO DA EDITORA</v>
      </c>
      <c r="Z189" s="23" t="s">
        <v>329</v>
      </c>
      <c r="AA189" s="23" t="str">
        <f>Tabela2[[#This Row],[ILUSTRADOR CRIAÇÃO]]</f>
        <v>KATHARINE FROTA/ARQUIVO DA EDITORA</v>
      </c>
      <c r="AB189" s="22">
        <v>13</v>
      </c>
      <c r="AC189" s="20" t="s">
        <v>43</v>
      </c>
      <c r="AD189" s="20" t="s">
        <v>44</v>
      </c>
      <c r="AE189" s="4" t="str">
        <f t="shared" si="2"/>
        <v>EF1 E002 HGC</v>
      </c>
    </row>
    <row r="190" spans="1:31" s="12" customFormat="1" ht="60" x14ac:dyDescent="0.25">
      <c r="A190" s="23" t="s">
        <v>476</v>
      </c>
      <c r="B190" s="20" t="s">
        <v>136</v>
      </c>
      <c r="C190" s="20" t="s">
        <v>33</v>
      </c>
      <c r="D190" s="20" t="s">
        <v>34</v>
      </c>
      <c r="E190" s="22">
        <v>46</v>
      </c>
      <c r="F190" s="22">
        <v>2</v>
      </c>
      <c r="G190" s="22">
        <v>1</v>
      </c>
      <c r="H190" s="22"/>
      <c r="I190" s="23" t="s">
        <v>35</v>
      </c>
      <c r="J190" s="23"/>
      <c r="K190" s="22"/>
      <c r="L190" s="22"/>
      <c r="M190" s="23"/>
      <c r="N190" s="23"/>
      <c r="O190" s="26" t="s">
        <v>477</v>
      </c>
      <c r="P190" s="26"/>
      <c r="Q190" s="26"/>
      <c r="R190" s="22"/>
      <c r="S190" s="24"/>
      <c r="T190" s="24"/>
      <c r="U190" s="24"/>
      <c r="V190" s="24"/>
      <c r="W190" s="24"/>
      <c r="X190" s="22" t="s">
        <v>475</v>
      </c>
      <c r="Y190" s="4" t="str">
        <f>IF(Tabela2[[#This Row],[SIGLA]]="","",VLOOKUP(Tabela2[[#This Row],[SIGLA]],Tabela1[[#All],[Sigla Arte]:[Crédito]],2,0))</f>
        <v>KATHARINE FROTA/ARQUIVO DA EDITORA</v>
      </c>
      <c r="Z190" s="23"/>
      <c r="AA190" s="23" t="str">
        <f>Tabela2[[#This Row],[ILUSTRADOR CRIAÇÃO]]</f>
        <v>KATHARINE FROTA/ARQUIVO DA EDITORA</v>
      </c>
      <c r="AB190" s="22"/>
      <c r="AC190" s="20"/>
      <c r="AD190" s="20"/>
      <c r="AE190" s="4" t="str">
        <f t="shared" si="2"/>
        <v>EF1 E002 HGC</v>
      </c>
    </row>
    <row r="191" spans="1:31" s="12" customFormat="1" ht="90" x14ac:dyDescent="0.25">
      <c r="A191" s="23" t="s">
        <v>478</v>
      </c>
      <c r="B191" s="20" t="s">
        <v>136</v>
      </c>
      <c r="C191" s="20" t="s">
        <v>33</v>
      </c>
      <c r="D191" s="20" t="s">
        <v>34</v>
      </c>
      <c r="E191" s="22">
        <v>57</v>
      </c>
      <c r="F191" s="22">
        <v>2</v>
      </c>
      <c r="G191" s="22">
        <v>1</v>
      </c>
      <c r="H191" s="22"/>
      <c r="I191" s="23" t="s">
        <v>39</v>
      </c>
      <c r="J191" s="23"/>
      <c r="K191" s="22"/>
      <c r="L191" s="22"/>
      <c r="M191" s="23"/>
      <c r="N191" s="23"/>
      <c r="O191" s="26" t="s">
        <v>479</v>
      </c>
      <c r="P191" s="26"/>
      <c r="Q191" s="26"/>
      <c r="R191" s="22">
        <v>1</v>
      </c>
      <c r="S191" s="24">
        <v>45798</v>
      </c>
      <c r="T191" s="24">
        <v>45804</v>
      </c>
      <c r="U191" s="24"/>
      <c r="V191" s="24"/>
      <c r="W191" s="24">
        <v>45805</v>
      </c>
      <c r="X191" s="22" t="s">
        <v>366</v>
      </c>
      <c r="Y191" s="4" t="str">
        <f>IF(Tabela2[[#This Row],[SIGLA]]="","",VLOOKUP(Tabela2[[#This Row],[SIGLA]],Tabela1[[#All],[Sigla Arte]:[Crédito]],2,0))</f>
        <v>VER DOCUMENTO DE ILS. TÉCNICAS</v>
      </c>
      <c r="Z191" s="23" t="s">
        <v>329</v>
      </c>
      <c r="AA191" s="23" t="s">
        <v>372</v>
      </c>
      <c r="AB191" s="22">
        <v>13</v>
      </c>
      <c r="AC191" s="20" t="s">
        <v>43</v>
      </c>
      <c r="AD191" s="20" t="s">
        <v>44</v>
      </c>
      <c r="AE191" s="4" t="str">
        <f t="shared" si="2"/>
        <v>EF1 E002 HGC</v>
      </c>
    </row>
    <row r="192" spans="1:31" s="12" customFormat="1" ht="30" x14ac:dyDescent="0.25">
      <c r="A192" s="23" t="s">
        <v>480</v>
      </c>
      <c r="B192" s="20" t="s">
        <v>32</v>
      </c>
      <c r="C192" s="20" t="s">
        <v>33</v>
      </c>
      <c r="D192" s="20" t="s">
        <v>34</v>
      </c>
      <c r="E192" s="22">
        <v>33</v>
      </c>
      <c r="F192" s="22">
        <v>2</v>
      </c>
      <c r="G192" s="22">
        <v>1</v>
      </c>
      <c r="H192" s="22"/>
      <c r="I192" s="23" t="s">
        <v>91</v>
      </c>
      <c r="J192" s="23"/>
      <c r="K192" s="22"/>
      <c r="L192" s="22"/>
      <c r="M192" s="23"/>
      <c r="N192" s="23"/>
      <c r="O192" s="26" t="s">
        <v>481</v>
      </c>
      <c r="P192" s="26"/>
      <c r="Q192" s="26"/>
      <c r="R192" s="22">
        <v>1</v>
      </c>
      <c r="S192" s="24">
        <v>45798</v>
      </c>
      <c r="T192" s="24">
        <v>45804</v>
      </c>
      <c r="U192" s="24"/>
      <c r="V192" s="24"/>
      <c r="W192" s="24">
        <v>45805</v>
      </c>
      <c r="X192" s="22" t="s">
        <v>366</v>
      </c>
      <c r="Y192" s="4" t="str">
        <f>IF(Tabela2[[#This Row],[SIGLA]]="","",VLOOKUP(Tabela2[[#This Row],[SIGLA]],Tabela1[[#All],[Sigla Arte]:[Crédito]],2,0))</f>
        <v>VER DOCUMENTO DE ILS. TÉCNICAS</v>
      </c>
      <c r="Z192" s="23" t="s">
        <v>329</v>
      </c>
      <c r="AA192" s="23" t="s">
        <v>372</v>
      </c>
      <c r="AB192" s="22">
        <v>13</v>
      </c>
      <c r="AC192" s="20" t="s">
        <v>43</v>
      </c>
      <c r="AD192" s="20" t="s">
        <v>44</v>
      </c>
      <c r="AE192" s="4" t="str">
        <f t="shared" si="2"/>
        <v>EF1 E002 HGC</v>
      </c>
    </row>
    <row r="193" spans="1:31" s="12" customFormat="1" ht="105" x14ac:dyDescent="0.25">
      <c r="A193" s="23" t="s">
        <v>482</v>
      </c>
      <c r="B193" s="20" t="s">
        <v>136</v>
      </c>
      <c r="C193" s="20" t="s">
        <v>33</v>
      </c>
      <c r="D193" s="20" t="s">
        <v>34</v>
      </c>
      <c r="E193" s="22">
        <v>78</v>
      </c>
      <c r="F193" s="22">
        <v>2</v>
      </c>
      <c r="G193" s="22">
        <v>2</v>
      </c>
      <c r="H193" s="22"/>
      <c r="I193" s="23" t="s">
        <v>39</v>
      </c>
      <c r="J193" s="23"/>
      <c r="K193" s="22"/>
      <c r="L193" s="22"/>
      <c r="M193" s="23"/>
      <c r="N193" s="23"/>
      <c r="O193" s="26" t="s">
        <v>483</v>
      </c>
      <c r="P193" s="26"/>
      <c r="Q193" s="26"/>
      <c r="R193" s="22">
        <v>2</v>
      </c>
      <c r="S193" s="24">
        <v>45798</v>
      </c>
      <c r="T193" s="24">
        <v>45810</v>
      </c>
      <c r="U193" s="24"/>
      <c r="V193" s="24"/>
      <c r="W193" s="24">
        <v>45810</v>
      </c>
      <c r="X193" s="22" t="s">
        <v>200</v>
      </c>
      <c r="Y193" s="4" t="str">
        <f>IF(Tabela2[[#This Row],[SIGLA]]="","",VLOOKUP(Tabela2[[#This Row],[SIGLA]],Tabela1[[#All],[Sigla Arte]:[Crédito]],2,0))</f>
        <v>KÉZIA TRENTINI/ARQUIVO DA EDITORA</v>
      </c>
      <c r="Z193" s="23" t="s">
        <v>329</v>
      </c>
      <c r="AA193" s="23" t="str">
        <f>Tabela2[[#This Row],[ILUSTRADOR CRIAÇÃO]]</f>
        <v>KÉZIA TRENTINI/ARQUIVO DA EDITORA</v>
      </c>
      <c r="AB193" s="22">
        <v>13</v>
      </c>
      <c r="AC193" s="20" t="s">
        <v>43</v>
      </c>
      <c r="AD193" s="20" t="s">
        <v>44</v>
      </c>
      <c r="AE193" s="4" t="str">
        <f t="shared" si="2"/>
        <v>EF1 E002 HGC</v>
      </c>
    </row>
    <row r="194" spans="1:31" s="12" customFormat="1" ht="105" x14ac:dyDescent="0.25">
      <c r="A194" s="23" t="s">
        <v>484</v>
      </c>
      <c r="B194" s="20" t="s">
        <v>136</v>
      </c>
      <c r="C194" s="20" t="s">
        <v>33</v>
      </c>
      <c r="D194" s="20" t="s">
        <v>34</v>
      </c>
      <c r="E194" s="22">
        <v>78</v>
      </c>
      <c r="F194" s="22">
        <v>2</v>
      </c>
      <c r="G194" s="22">
        <v>2</v>
      </c>
      <c r="H194" s="22"/>
      <c r="I194" s="23" t="s">
        <v>39</v>
      </c>
      <c r="J194" s="23"/>
      <c r="K194" s="22"/>
      <c r="L194" s="22"/>
      <c r="M194" s="23"/>
      <c r="N194" s="23"/>
      <c r="O194" s="26" t="s">
        <v>485</v>
      </c>
      <c r="P194" s="26"/>
      <c r="Q194" s="26"/>
      <c r="R194" s="22">
        <v>2</v>
      </c>
      <c r="S194" s="24">
        <v>45798</v>
      </c>
      <c r="T194" s="24">
        <v>45810</v>
      </c>
      <c r="U194" s="24"/>
      <c r="V194" s="24"/>
      <c r="W194" s="24">
        <v>45810</v>
      </c>
      <c r="X194" s="22" t="s">
        <v>200</v>
      </c>
      <c r="Y194" s="4" t="str">
        <f>IF(Tabela2[[#This Row],[SIGLA]]="","",VLOOKUP(Tabela2[[#This Row],[SIGLA]],Tabela1[[#All],[Sigla Arte]:[Crédito]],2,0))</f>
        <v>KÉZIA TRENTINI/ARQUIVO DA EDITORA</v>
      </c>
      <c r="Z194" s="23" t="s">
        <v>329</v>
      </c>
      <c r="AA194" s="23" t="str">
        <f>Tabela2[[#This Row],[ILUSTRADOR CRIAÇÃO]]</f>
        <v>KÉZIA TRENTINI/ARQUIVO DA EDITORA</v>
      </c>
      <c r="AB194" s="22">
        <v>13</v>
      </c>
      <c r="AC194" s="20" t="s">
        <v>43</v>
      </c>
      <c r="AD194" s="20" t="s">
        <v>44</v>
      </c>
      <c r="AE194" s="4" t="str">
        <f t="shared" ref="AE194:AE257" si="3">"EF1 E002 HGC"</f>
        <v>EF1 E002 HGC</v>
      </c>
    </row>
    <row r="195" spans="1:31" s="12" customFormat="1" ht="105" x14ac:dyDescent="0.25">
      <c r="A195" s="23" t="s">
        <v>486</v>
      </c>
      <c r="B195" s="20" t="s">
        <v>136</v>
      </c>
      <c r="C195" s="20" t="s">
        <v>33</v>
      </c>
      <c r="D195" s="20" t="s">
        <v>34</v>
      </c>
      <c r="E195" s="22">
        <v>78</v>
      </c>
      <c r="F195" s="22">
        <v>2</v>
      </c>
      <c r="G195" s="22">
        <v>2</v>
      </c>
      <c r="H195" s="22">
        <v>1</v>
      </c>
      <c r="I195" s="23" t="s">
        <v>39</v>
      </c>
      <c r="J195" s="23"/>
      <c r="K195" s="22"/>
      <c r="L195" s="22"/>
      <c r="M195" s="23"/>
      <c r="N195" s="23"/>
      <c r="O195" s="26" t="s">
        <v>487</v>
      </c>
      <c r="P195" s="26"/>
      <c r="Q195" s="26"/>
      <c r="R195" s="22">
        <v>2</v>
      </c>
      <c r="S195" s="24">
        <v>45798</v>
      </c>
      <c r="T195" s="24">
        <v>45810</v>
      </c>
      <c r="U195" s="24"/>
      <c r="V195" s="24"/>
      <c r="W195" s="24">
        <v>45810</v>
      </c>
      <c r="X195" s="22" t="s">
        <v>200</v>
      </c>
      <c r="Y195" s="4" t="str">
        <f>IF(Tabela2[[#This Row],[SIGLA]]="","",VLOOKUP(Tabela2[[#This Row],[SIGLA]],Tabela1[[#All],[Sigla Arte]:[Crédito]],2,0))</f>
        <v>KÉZIA TRENTINI/ARQUIVO DA EDITORA</v>
      </c>
      <c r="Z195" s="23" t="s">
        <v>329</v>
      </c>
      <c r="AA195" s="23" t="str">
        <f>Tabela2[[#This Row],[ILUSTRADOR CRIAÇÃO]]</f>
        <v>KÉZIA TRENTINI/ARQUIVO DA EDITORA</v>
      </c>
      <c r="AB195" s="22">
        <v>13</v>
      </c>
      <c r="AC195" s="20" t="s">
        <v>43</v>
      </c>
      <c r="AD195" s="20" t="s">
        <v>44</v>
      </c>
      <c r="AE195" s="4" t="str">
        <f t="shared" si="3"/>
        <v>EF1 E002 HGC</v>
      </c>
    </row>
    <row r="196" spans="1:31" s="12" customFormat="1" ht="60" x14ac:dyDescent="0.25">
      <c r="A196" s="23" t="s">
        <v>488</v>
      </c>
      <c r="B196" s="20" t="s">
        <v>136</v>
      </c>
      <c r="C196" s="20" t="s">
        <v>33</v>
      </c>
      <c r="D196" s="20" t="s">
        <v>34</v>
      </c>
      <c r="E196" s="22">
        <v>78</v>
      </c>
      <c r="F196" s="22">
        <v>2</v>
      </c>
      <c r="G196" s="22">
        <v>2</v>
      </c>
      <c r="H196" s="22"/>
      <c r="I196" s="23" t="s">
        <v>35</v>
      </c>
      <c r="J196" s="23"/>
      <c r="K196" s="22"/>
      <c r="L196" s="22"/>
      <c r="M196" s="23"/>
      <c r="N196" s="23"/>
      <c r="O196" s="26" t="s">
        <v>489</v>
      </c>
      <c r="P196" s="26"/>
      <c r="Q196" s="26"/>
      <c r="R196" s="22"/>
      <c r="S196" s="24"/>
      <c r="T196" s="24"/>
      <c r="U196" s="24"/>
      <c r="V196" s="24"/>
      <c r="W196" s="24"/>
      <c r="X196" s="22" t="s">
        <v>200</v>
      </c>
      <c r="Y196" s="4" t="str">
        <f>IF(Tabela2[[#This Row],[SIGLA]]="","",VLOOKUP(Tabela2[[#This Row],[SIGLA]],Tabela1[[#All],[Sigla Arte]:[Crédito]],2,0))</f>
        <v>KÉZIA TRENTINI/ARQUIVO DA EDITORA</v>
      </c>
      <c r="Z196" s="23"/>
      <c r="AA196" s="23" t="str">
        <f>Tabela2[[#This Row],[ILUSTRADOR CRIAÇÃO]]</f>
        <v>KÉZIA TRENTINI/ARQUIVO DA EDITORA</v>
      </c>
      <c r="AB196" s="22"/>
      <c r="AC196" s="20"/>
      <c r="AD196" s="20"/>
      <c r="AE196" s="4" t="str">
        <f t="shared" si="3"/>
        <v>EF1 E002 HGC</v>
      </c>
    </row>
    <row r="197" spans="1:31" s="12" customFormat="1" ht="90" x14ac:dyDescent="0.25">
      <c r="A197" s="23" t="s">
        <v>490</v>
      </c>
      <c r="B197" s="20" t="s">
        <v>136</v>
      </c>
      <c r="C197" s="20" t="s">
        <v>33</v>
      </c>
      <c r="D197" s="20" t="s">
        <v>34</v>
      </c>
      <c r="E197" s="22">
        <v>78</v>
      </c>
      <c r="F197" s="22">
        <v>2</v>
      </c>
      <c r="G197" s="22">
        <v>2</v>
      </c>
      <c r="H197" s="22"/>
      <c r="I197" s="23" t="s">
        <v>39</v>
      </c>
      <c r="J197" s="23"/>
      <c r="K197" s="22"/>
      <c r="L197" s="22"/>
      <c r="M197" s="23"/>
      <c r="N197" s="23"/>
      <c r="O197" s="26" t="s">
        <v>491</v>
      </c>
      <c r="P197" s="26"/>
      <c r="Q197" s="26"/>
      <c r="R197" s="22">
        <v>2</v>
      </c>
      <c r="S197" s="24">
        <v>45798</v>
      </c>
      <c r="T197" s="24">
        <v>45810</v>
      </c>
      <c r="U197" s="24"/>
      <c r="V197" s="24"/>
      <c r="W197" s="24">
        <v>45810</v>
      </c>
      <c r="X197" s="22" t="s">
        <v>200</v>
      </c>
      <c r="Y197" s="4" t="str">
        <f>IF(Tabela2[[#This Row],[SIGLA]]="","",VLOOKUP(Tabela2[[#This Row],[SIGLA]],Tabela1[[#All],[Sigla Arte]:[Crédito]],2,0))</f>
        <v>KÉZIA TRENTINI/ARQUIVO DA EDITORA</v>
      </c>
      <c r="Z197" s="23" t="s">
        <v>329</v>
      </c>
      <c r="AA197" s="23" t="str">
        <f>Tabela2[[#This Row],[ILUSTRADOR CRIAÇÃO]]</f>
        <v>KÉZIA TRENTINI/ARQUIVO DA EDITORA</v>
      </c>
      <c r="AB197" s="22">
        <v>13</v>
      </c>
      <c r="AC197" s="20" t="s">
        <v>43</v>
      </c>
      <c r="AD197" s="20" t="s">
        <v>44</v>
      </c>
      <c r="AE197" s="4" t="str">
        <f t="shared" si="3"/>
        <v>EF1 E002 HGC</v>
      </c>
    </row>
    <row r="198" spans="1:31" s="12" customFormat="1" ht="150" x14ac:dyDescent="0.25">
      <c r="A198" s="23" t="s">
        <v>492</v>
      </c>
      <c r="B198" s="20" t="s">
        <v>136</v>
      </c>
      <c r="C198" s="20" t="s">
        <v>33</v>
      </c>
      <c r="D198" s="20" t="s">
        <v>34</v>
      </c>
      <c r="E198" s="22">
        <v>78</v>
      </c>
      <c r="F198" s="22">
        <v>2</v>
      </c>
      <c r="G198" s="22">
        <v>2</v>
      </c>
      <c r="H198" s="22"/>
      <c r="I198" s="23" t="s">
        <v>39</v>
      </c>
      <c r="J198" s="23"/>
      <c r="K198" s="22"/>
      <c r="L198" s="22"/>
      <c r="M198" s="23"/>
      <c r="N198" s="23"/>
      <c r="O198" s="26" t="s">
        <v>493</v>
      </c>
      <c r="P198" s="26"/>
      <c r="Q198" s="26"/>
      <c r="R198" s="22">
        <v>2</v>
      </c>
      <c r="S198" s="24">
        <v>45798</v>
      </c>
      <c r="T198" s="24">
        <v>45810</v>
      </c>
      <c r="U198" s="24"/>
      <c r="V198" s="24"/>
      <c r="W198" s="24">
        <v>45810</v>
      </c>
      <c r="X198" s="22" t="s">
        <v>200</v>
      </c>
      <c r="Y198" s="4" t="str">
        <f>IF(Tabela2[[#This Row],[SIGLA]]="","",VLOOKUP(Tabela2[[#This Row],[SIGLA]],Tabela1[[#All],[Sigla Arte]:[Crédito]],2,0))</f>
        <v>KÉZIA TRENTINI/ARQUIVO DA EDITORA</v>
      </c>
      <c r="Z198" s="23" t="s">
        <v>329</v>
      </c>
      <c r="AA198" s="23" t="str">
        <f>Tabela2[[#This Row],[ILUSTRADOR CRIAÇÃO]]</f>
        <v>KÉZIA TRENTINI/ARQUIVO DA EDITORA</v>
      </c>
      <c r="AB198" s="22">
        <v>13</v>
      </c>
      <c r="AC198" s="20" t="s">
        <v>43</v>
      </c>
      <c r="AD198" s="20" t="s">
        <v>44</v>
      </c>
      <c r="AE198" s="4" t="str">
        <f t="shared" si="3"/>
        <v>EF1 E002 HGC</v>
      </c>
    </row>
    <row r="199" spans="1:31" s="12" customFormat="1" ht="210" x14ac:dyDescent="0.25">
      <c r="A199" s="23" t="s">
        <v>494</v>
      </c>
      <c r="B199" s="20" t="s">
        <v>32</v>
      </c>
      <c r="C199" s="20" t="s">
        <v>33</v>
      </c>
      <c r="D199" s="20" t="s">
        <v>34</v>
      </c>
      <c r="E199" s="22">
        <v>80</v>
      </c>
      <c r="F199" s="22">
        <v>2</v>
      </c>
      <c r="G199" s="22">
        <v>2</v>
      </c>
      <c r="H199" s="22"/>
      <c r="I199" s="23" t="s">
        <v>39</v>
      </c>
      <c r="J199" s="23"/>
      <c r="K199" s="22"/>
      <c r="L199" s="22"/>
      <c r="M199" s="23"/>
      <c r="N199" s="23"/>
      <c r="O199" s="26" t="s">
        <v>495</v>
      </c>
      <c r="P199" s="26"/>
      <c r="Q199" s="26"/>
      <c r="R199" s="22">
        <v>2</v>
      </c>
      <c r="S199" s="24">
        <v>45798</v>
      </c>
      <c r="T199" s="24">
        <v>45810</v>
      </c>
      <c r="U199" s="24"/>
      <c r="V199" s="24"/>
      <c r="W199" s="24">
        <v>45810</v>
      </c>
      <c r="X199" s="22" t="s">
        <v>112</v>
      </c>
      <c r="Y199" s="4" t="str">
        <f>IF(Tabela2[[#This Row],[SIGLA]]="","",VLOOKUP(Tabela2[[#This Row],[SIGLA]],Tabela1[[#All],[Sigla Arte]:[Crédito]],2,0))</f>
        <v>LISLLEY GOMES FEIGE/ARQUIVO DA EDITORA</v>
      </c>
      <c r="Z199" s="23" t="s">
        <v>329</v>
      </c>
      <c r="AA199" s="23" t="str">
        <f>Tabela2[[#This Row],[ILUSTRADOR CRIAÇÃO]]</f>
        <v>LISLLEY GOMES FEIGE/ARQUIVO DA EDITORA</v>
      </c>
      <c r="AB199" s="22">
        <v>13</v>
      </c>
      <c r="AC199" s="20" t="s">
        <v>43</v>
      </c>
      <c r="AD199" s="20" t="s">
        <v>44</v>
      </c>
      <c r="AE199" s="4" t="str">
        <f t="shared" si="3"/>
        <v>EF1 E002 HGC</v>
      </c>
    </row>
    <row r="200" spans="1:31" s="12" customFormat="1" ht="105" x14ac:dyDescent="0.25">
      <c r="A200" s="23" t="s">
        <v>496</v>
      </c>
      <c r="B200" s="20" t="s">
        <v>32</v>
      </c>
      <c r="C200" s="20"/>
      <c r="D200" s="20" t="s">
        <v>34</v>
      </c>
      <c r="E200" s="22">
        <v>81</v>
      </c>
      <c r="F200" s="22">
        <v>2</v>
      </c>
      <c r="G200" s="22">
        <v>2</v>
      </c>
      <c r="H200" s="22"/>
      <c r="I200" s="23" t="s">
        <v>35</v>
      </c>
      <c r="J200" s="23"/>
      <c r="K200" s="22"/>
      <c r="L200" s="22"/>
      <c r="M200" s="23"/>
      <c r="N200" s="23"/>
      <c r="O200" s="26" t="s">
        <v>497</v>
      </c>
      <c r="P200" s="26"/>
      <c r="Q200" s="26"/>
      <c r="R200" s="22"/>
      <c r="S200" s="24"/>
      <c r="T200" s="24"/>
      <c r="U200" s="24"/>
      <c r="V200" s="24"/>
      <c r="W200" s="24"/>
      <c r="X200" s="22" t="s">
        <v>475</v>
      </c>
      <c r="Y200" s="4" t="str">
        <f>IF(Tabela2[[#This Row],[SIGLA]]="","",VLOOKUP(Tabela2[[#This Row],[SIGLA]],Tabela1[[#All],[Sigla Arte]:[Crédito]],2,0))</f>
        <v>KATHARINE FROTA/ARQUIVO DA EDITORA</v>
      </c>
      <c r="Z200" s="23"/>
      <c r="AA200" s="23" t="str">
        <f>Tabela2[[#This Row],[ILUSTRADOR CRIAÇÃO]]</f>
        <v>KATHARINE FROTA/ARQUIVO DA EDITORA</v>
      </c>
      <c r="AB200" s="22"/>
      <c r="AC200" s="20"/>
      <c r="AD200" s="20"/>
      <c r="AE200" s="4" t="str">
        <f t="shared" si="3"/>
        <v>EF1 E002 HGC</v>
      </c>
    </row>
    <row r="201" spans="1:31" s="12" customFormat="1" ht="120" x14ac:dyDescent="0.25">
      <c r="A201" s="23" t="s">
        <v>498</v>
      </c>
      <c r="B201" s="20" t="s">
        <v>32</v>
      </c>
      <c r="C201" s="20" t="s">
        <v>33</v>
      </c>
      <c r="D201" s="20" t="s">
        <v>34</v>
      </c>
      <c r="E201" s="22">
        <v>81</v>
      </c>
      <c r="F201" s="22">
        <v>2</v>
      </c>
      <c r="G201" s="22">
        <v>2</v>
      </c>
      <c r="H201" s="22"/>
      <c r="I201" s="23" t="s">
        <v>35</v>
      </c>
      <c r="J201" s="23"/>
      <c r="K201" s="22"/>
      <c r="L201" s="22"/>
      <c r="M201" s="23"/>
      <c r="N201" s="23"/>
      <c r="O201" s="26" t="s">
        <v>499</v>
      </c>
      <c r="P201" s="26"/>
      <c r="Q201" s="26"/>
      <c r="R201" s="22"/>
      <c r="S201" s="24"/>
      <c r="T201" s="24"/>
      <c r="U201" s="24"/>
      <c r="V201" s="24"/>
      <c r="W201" s="24"/>
      <c r="X201" s="22" t="s">
        <v>475</v>
      </c>
      <c r="Y201" s="4" t="str">
        <f>IF(Tabela2[[#This Row],[SIGLA]]="","",VLOOKUP(Tabela2[[#This Row],[SIGLA]],Tabela1[[#All],[Sigla Arte]:[Crédito]],2,0))</f>
        <v>KATHARINE FROTA/ARQUIVO DA EDITORA</v>
      </c>
      <c r="Z201" s="23"/>
      <c r="AA201" s="23" t="str">
        <f>Tabela2[[#This Row],[ILUSTRADOR CRIAÇÃO]]</f>
        <v>KATHARINE FROTA/ARQUIVO DA EDITORA</v>
      </c>
      <c r="AB201" s="22"/>
      <c r="AC201" s="20"/>
      <c r="AD201" s="20"/>
      <c r="AE201" s="4" t="str">
        <f t="shared" si="3"/>
        <v>EF1 E002 HGC</v>
      </c>
    </row>
    <row r="202" spans="1:31" s="12" customFormat="1" ht="120" x14ac:dyDescent="0.25">
      <c r="A202" s="23" t="s">
        <v>500</v>
      </c>
      <c r="B202" s="20" t="s">
        <v>32</v>
      </c>
      <c r="C202" s="20" t="s">
        <v>33</v>
      </c>
      <c r="D202" s="20" t="s">
        <v>34</v>
      </c>
      <c r="E202" s="22">
        <v>82</v>
      </c>
      <c r="F202" s="22">
        <v>2</v>
      </c>
      <c r="G202" s="22">
        <v>2</v>
      </c>
      <c r="H202" s="22"/>
      <c r="I202" s="23" t="s">
        <v>35</v>
      </c>
      <c r="J202" s="23"/>
      <c r="K202" s="22"/>
      <c r="L202" s="22"/>
      <c r="M202" s="23"/>
      <c r="N202" s="23"/>
      <c r="O202" s="26" t="s">
        <v>501</v>
      </c>
      <c r="P202" s="26"/>
      <c r="Q202" s="26"/>
      <c r="R202" s="22"/>
      <c r="S202" s="24"/>
      <c r="T202" s="24"/>
      <c r="U202" s="24"/>
      <c r="V202" s="24"/>
      <c r="W202" s="24"/>
      <c r="X202" s="22" t="s">
        <v>475</v>
      </c>
      <c r="Y202" s="4" t="str">
        <f>IF(Tabela2[[#This Row],[SIGLA]]="","",VLOOKUP(Tabela2[[#This Row],[SIGLA]],Tabela1[[#All],[Sigla Arte]:[Crédito]],2,0))</f>
        <v>KATHARINE FROTA/ARQUIVO DA EDITORA</v>
      </c>
      <c r="Z202" s="23"/>
      <c r="AA202" s="23" t="str">
        <f>Tabela2[[#This Row],[ILUSTRADOR CRIAÇÃO]]</f>
        <v>KATHARINE FROTA/ARQUIVO DA EDITORA</v>
      </c>
      <c r="AB202" s="22"/>
      <c r="AC202" s="20"/>
      <c r="AD202" s="20"/>
      <c r="AE202" s="4" t="str">
        <f t="shared" si="3"/>
        <v>EF1 E002 HGC</v>
      </c>
    </row>
    <row r="203" spans="1:31" s="12" customFormat="1" ht="180" x14ac:dyDescent="0.25">
      <c r="A203" s="23" t="s">
        <v>502</v>
      </c>
      <c r="B203" s="20" t="s">
        <v>183</v>
      </c>
      <c r="C203" s="20" t="s">
        <v>33</v>
      </c>
      <c r="D203" s="20" t="s">
        <v>34</v>
      </c>
      <c r="E203" s="22">
        <v>82</v>
      </c>
      <c r="F203" s="22">
        <v>2</v>
      </c>
      <c r="G203" s="22">
        <v>2</v>
      </c>
      <c r="H203" s="22"/>
      <c r="I203" s="23" t="s">
        <v>39</v>
      </c>
      <c r="J203" s="23"/>
      <c r="K203" s="22"/>
      <c r="L203" s="22"/>
      <c r="M203" s="23"/>
      <c r="N203" s="23"/>
      <c r="O203" s="26" t="s">
        <v>503</v>
      </c>
      <c r="P203" s="26"/>
      <c r="Q203" s="26"/>
      <c r="R203" s="22"/>
      <c r="S203" s="24"/>
      <c r="T203" s="24">
        <v>45874</v>
      </c>
      <c r="U203" s="24"/>
      <c r="V203" s="24"/>
      <c r="W203" s="24">
        <v>45877</v>
      </c>
      <c r="X203" s="22" t="s">
        <v>475</v>
      </c>
      <c r="Y203" s="4" t="str">
        <f>IF(Tabela2[[#This Row],[SIGLA]]="","",VLOOKUP(Tabela2[[#This Row],[SIGLA]],Tabela1[[#All],[Sigla Arte]:[Crédito]],2,0))</f>
        <v>KATHARINE FROTA/ARQUIVO DA EDITORA</v>
      </c>
      <c r="Z203" s="23" t="s">
        <v>504</v>
      </c>
      <c r="AA203" s="23" t="str">
        <f>Tabela2[[#This Row],[ILUSTRADOR CRIAÇÃO]]</f>
        <v>KATHARINE FROTA/ARQUIVO DA EDITORA</v>
      </c>
      <c r="AB203" s="22">
        <v>13</v>
      </c>
      <c r="AC203" s="20" t="s">
        <v>43</v>
      </c>
      <c r="AD203" s="20"/>
      <c r="AE203" s="4" t="str">
        <f t="shared" si="3"/>
        <v>EF1 E002 HGC</v>
      </c>
    </row>
    <row r="204" spans="1:31" s="12" customFormat="1" ht="45" x14ac:dyDescent="0.25">
      <c r="A204" s="23" t="s">
        <v>505</v>
      </c>
      <c r="B204" s="20" t="s">
        <v>136</v>
      </c>
      <c r="C204" s="20" t="s">
        <v>33</v>
      </c>
      <c r="D204" s="20" t="s">
        <v>34</v>
      </c>
      <c r="E204" s="22">
        <v>19</v>
      </c>
      <c r="F204" s="22">
        <v>2</v>
      </c>
      <c r="G204" s="22">
        <v>1</v>
      </c>
      <c r="H204" s="22"/>
      <c r="I204" s="23" t="s">
        <v>35</v>
      </c>
      <c r="J204" s="23"/>
      <c r="K204" s="22"/>
      <c r="L204" s="22"/>
      <c r="M204" s="23"/>
      <c r="N204" s="23"/>
      <c r="O204" s="26" t="s">
        <v>506</v>
      </c>
      <c r="P204" s="26"/>
      <c r="Q204" s="26"/>
      <c r="R204" s="22"/>
      <c r="S204" s="24"/>
      <c r="T204" s="24"/>
      <c r="U204" s="24"/>
      <c r="V204" s="24"/>
      <c r="W204" s="24"/>
      <c r="X204" s="22" t="s">
        <v>507</v>
      </c>
      <c r="Y204" s="4" t="str">
        <f>IF(Tabela2[[#This Row],[SIGLA]]="","",VLOOKUP(Tabela2[[#This Row],[SIGLA]],Tabela1[[#All],[Sigla Arte]:[Crédito]],2,0))</f>
        <v>MÁRCIO GUERRA/ARQUIVO DA EDITORA</v>
      </c>
      <c r="Z204" s="23"/>
      <c r="AA204" s="23" t="str">
        <f>Tabela2[[#This Row],[ILUSTRADOR CRIAÇÃO]]</f>
        <v>MÁRCIO GUERRA/ARQUIVO DA EDITORA</v>
      </c>
      <c r="AB204" s="22"/>
      <c r="AC204" s="20"/>
      <c r="AD204" s="20"/>
      <c r="AE204" s="4" t="str">
        <f t="shared" si="3"/>
        <v>EF1 E002 HGC</v>
      </c>
    </row>
    <row r="205" spans="1:31" s="12" customFormat="1" ht="45" x14ac:dyDescent="0.25">
      <c r="A205" s="23" t="s">
        <v>508</v>
      </c>
      <c r="B205" s="20" t="s">
        <v>32</v>
      </c>
      <c r="C205" s="20" t="s">
        <v>33</v>
      </c>
      <c r="D205" s="20" t="s">
        <v>34</v>
      </c>
      <c r="E205" s="22">
        <v>23</v>
      </c>
      <c r="F205" s="22">
        <v>2</v>
      </c>
      <c r="G205" s="22">
        <v>1</v>
      </c>
      <c r="H205" s="22"/>
      <c r="I205" s="23" t="s">
        <v>35</v>
      </c>
      <c r="J205" s="23"/>
      <c r="K205" s="22"/>
      <c r="L205" s="22"/>
      <c r="M205" s="23"/>
      <c r="N205" s="23"/>
      <c r="O205" s="26" t="s">
        <v>509</v>
      </c>
      <c r="P205" s="26"/>
      <c r="Q205" s="26"/>
      <c r="R205" s="22"/>
      <c r="S205" s="24"/>
      <c r="T205" s="24"/>
      <c r="U205" s="24"/>
      <c r="V205" s="24"/>
      <c r="W205" s="24"/>
      <c r="X205" s="22" t="s">
        <v>268</v>
      </c>
      <c r="Y205" s="4" t="str">
        <f>IF(Tabela2[[#This Row],[SIGLA]]="","",VLOOKUP(Tabela2[[#This Row],[SIGLA]],Tabela1[[#All],[Sigla Arte]:[Crédito]],2,0))</f>
        <v>RODRIGO CORDEIRO/ARQUIVO DA EDITORA</v>
      </c>
      <c r="Z205" s="23"/>
      <c r="AA205" s="23" t="str">
        <f>Tabela2[[#This Row],[ILUSTRADOR CRIAÇÃO]]</f>
        <v>RODRIGO CORDEIRO/ARQUIVO DA EDITORA</v>
      </c>
      <c r="AB205" s="22"/>
      <c r="AC205" s="20"/>
      <c r="AD205" s="20"/>
      <c r="AE205" s="4" t="str">
        <f t="shared" si="3"/>
        <v>EF1 E002 HGC</v>
      </c>
    </row>
    <row r="206" spans="1:31" s="12" customFormat="1" ht="60" x14ac:dyDescent="0.25">
      <c r="A206" s="23" t="s">
        <v>510</v>
      </c>
      <c r="B206" s="20" t="s">
        <v>32</v>
      </c>
      <c r="C206" s="20" t="s">
        <v>33</v>
      </c>
      <c r="D206" s="20" t="s">
        <v>34</v>
      </c>
      <c r="E206" s="22">
        <v>23</v>
      </c>
      <c r="F206" s="22">
        <v>2</v>
      </c>
      <c r="G206" s="22">
        <v>1</v>
      </c>
      <c r="H206" s="22"/>
      <c r="I206" s="23" t="s">
        <v>91</v>
      </c>
      <c r="J206" s="23"/>
      <c r="K206" s="22"/>
      <c r="L206" s="22"/>
      <c r="M206" s="23"/>
      <c r="N206" s="23"/>
      <c r="O206" s="26" t="s">
        <v>511</v>
      </c>
      <c r="P206" s="26"/>
      <c r="Q206" s="26"/>
      <c r="R206" s="22">
        <v>3</v>
      </c>
      <c r="S206" s="24">
        <v>45800</v>
      </c>
      <c r="T206" s="24">
        <v>45806</v>
      </c>
      <c r="U206" s="24">
        <v>45811</v>
      </c>
      <c r="V206" s="24">
        <v>45813</v>
      </c>
      <c r="W206" s="24">
        <v>45814</v>
      </c>
      <c r="X206" s="22" t="s">
        <v>268</v>
      </c>
      <c r="Y206" s="4" t="str">
        <f>IF(Tabela2[[#This Row],[SIGLA]]="","",VLOOKUP(Tabela2[[#This Row],[SIGLA]],Tabela1[[#All],[Sigla Arte]:[Crédito]],2,0))</f>
        <v>RODRIGO CORDEIRO/ARQUIVO DA EDITORA</v>
      </c>
      <c r="Z206" s="23"/>
      <c r="AA206" s="23" t="str">
        <f>Tabela2[[#This Row],[ILUSTRADOR CRIAÇÃO]]</f>
        <v>RODRIGO CORDEIRO/ARQUIVO DA EDITORA</v>
      </c>
      <c r="AB206" s="22">
        <v>5</v>
      </c>
      <c r="AC206" s="20" t="s">
        <v>512</v>
      </c>
      <c r="AD206" s="20" t="s">
        <v>94</v>
      </c>
      <c r="AE206" s="4" t="str">
        <f t="shared" si="3"/>
        <v>EF1 E002 HGC</v>
      </c>
    </row>
    <row r="207" spans="1:31" s="12" customFormat="1" ht="30" x14ac:dyDescent="0.25">
      <c r="A207" s="23" t="s">
        <v>513</v>
      </c>
      <c r="B207" s="20" t="s">
        <v>32</v>
      </c>
      <c r="C207" s="20" t="s">
        <v>33</v>
      </c>
      <c r="D207" s="20" t="s">
        <v>34</v>
      </c>
      <c r="E207" s="22">
        <v>23</v>
      </c>
      <c r="F207" s="22">
        <v>2</v>
      </c>
      <c r="G207" s="22">
        <v>1</v>
      </c>
      <c r="H207" s="22"/>
      <c r="I207" s="23" t="s">
        <v>35</v>
      </c>
      <c r="J207" s="23"/>
      <c r="K207" s="22"/>
      <c r="L207" s="22"/>
      <c r="M207" s="23"/>
      <c r="N207" s="23"/>
      <c r="O207" s="26" t="s">
        <v>514</v>
      </c>
      <c r="P207" s="26"/>
      <c r="Q207" s="26"/>
      <c r="R207" s="22"/>
      <c r="S207" s="24"/>
      <c r="T207" s="24"/>
      <c r="U207" s="24"/>
      <c r="V207" s="24"/>
      <c r="W207" s="24"/>
      <c r="X207" s="22" t="s">
        <v>268</v>
      </c>
      <c r="Y207" s="4" t="str">
        <f>IF(Tabela2[[#This Row],[SIGLA]]="","",VLOOKUP(Tabela2[[#This Row],[SIGLA]],Tabela1[[#All],[Sigla Arte]:[Crédito]],2,0))</f>
        <v>RODRIGO CORDEIRO/ARQUIVO DA EDITORA</v>
      </c>
      <c r="Z207" s="23"/>
      <c r="AA207" s="23" t="str">
        <f>Tabela2[[#This Row],[ILUSTRADOR CRIAÇÃO]]</f>
        <v>RODRIGO CORDEIRO/ARQUIVO DA EDITORA</v>
      </c>
      <c r="AB207" s="22"/>
      <c r="AC207" s="20"/>
      <c r="AD207" s="20"/>
      <c r="AE207" s="4" t="str">
        <f t="shared" si="3"/>
        <v>EF1 E002 HGC</v>
      </c>
    </row>
    <row r="208" spans="1:31" s="12" customFormat="1" ht="30" x14ac:dyDescent="0.25">
      <c r="A208" s="23" t="s">
        <v>515</v>
      </c>
      <c r="B208" s="20" t="s">
        <v>32</v>
      </c>
      <c r="C208" s="20" t="s">
        <v>33</v>
      </c>
      <c r="D208" s="20" t="s">
        <v>34</v>
      </c>
      <c r="E208" s="22">
        <v>26</v>
      </c>
      <c r="F208" s="22">
        <v>2</v>
      </c>
      <c r="G208" s="22">
        <v>1</v>
      </c>
      <c r="H208" s="22"/>
      <c r="I208" s="23" t="s">
        <v>35</v>
      </c>
      <c r="J208" s="23"/>
      <c r="K208" s="22"/>
      <c r="L208" s="22"/>
      <c r="M208" s="23"/>
      <c r="N208" s="23"/>
      <c r="O208" s="26" t="s">
        <v>516</v>
      </c>
      <c r="P208" s="26"/>
      <c r="Q208" s="26"/>
      <c r="R208" s="22"/>
      <c r="S208" s="24"/>
      <c r="T208" s="24"/>
      <c r="U208" s="24"/>
      <c r="V208" s="24"/>
      <c r="W208" s="24"/>
      <c r="X208" s="22" t="s">
        <v>139</v>
      </c>
      <c r="Y208" s="4" t="str">
        <f>IF(Tabela2[[#This Row],[SIGLA]]="","",VLOOKUP(Tabela2[[#This Row],[SIGLA]],Tabela1[[#All],[Sigla Arte]:[Crédito]],2,0))</f>
        <v>HELOÍSA PINTARELLI/ARQUIVO DA EDITORA</v>
      </c>
      <c r="Z208" s="23"/>
      <c r="AA208" s="23" t="str">
        <f>Tabela2[[#This Row],[ILUSTRADOR CRIAÇÃO]]</f>
        <v>HELOÍSA PINTARELLI/ARQUIVO DA EDITORA</v>
      </c>
      <c r="AB208" s="22"/>
      <c r="AC208" s="20"/>
      <c r="AD208" s="20"/>
      <c r="AE208" s="4" t="str">
        <f t="shared" si="3"/>
        <v>EF1 E002 HGC</v>
      </c>
    </row>
    <row r="209" spans="1:31" s="12" customFormat="1" ht="30" x14ac:dyDescent="0.25">
      <c r="A209" s="23" t="s">
        <v>517</v>
      </c>
      <c r="B209" s="20" t="s">
        <v>32</v>
      </c>
      <c r="C209" s="20" t="s">
        <v>33</v>
      </c>
      <c r="D209" s="20" t="s">
        <v>34</v>
      </c>
      <c r="E209" s="22">
        <v>26</v>
      </c>
      <c r="F209" s="22">
        <v>2</v>
      </c>
      <c r="G209" s="22">
        <v>1</v>
      </c>
      <c r="H209" s="22"/>
      <c r="I209" s="23" t="s">
        <v>35</v>
      </c>
      <c r="J209" s="23"/>
      <c r="K209" s="22"/>
      <c r="L209" s="22"/>
      <c r="M209" s="23"/>
      <c r="N209" s="23"/>
      <c r="O209" s="26" t="s">
        <v>518</v>
      </c>
      <c r="P209" s="26"/>
      <c r="Q209" s="26"/>
      <c r="R209" s="22"/>
      <c r="S209" s="24"/>
      <c r="T209" s="24"/>
      <c r="U209" s="24"/>
      <c r="V209" s="24"/>
      <c r="W209" s="24"/>
      <c r="X209" s="22" t="s">
        <v>139</v>
      </c>
      <c r="Y209" s="4" t="str">
        <f>IF(Tabela2[[#This Row],[SIGLA]]="","",VLOOKUP(Tabela2[[#This Row],[SIGLA]],Tabela1[[#All],[Sigla Arte]:[Crédito]],2,0))</f>
        <v>HELOÍSA PINTARELLI/ARQUIVO DA EDITORA</v>
      </c>
      <c r="Z209" s="23"/>
      <c r="AA209" s="23" t="str">
        <f>Tabela2[[#This Row],[ILUSTRADOR CRIAÇÃO]]</f>
        <v>HELOÍSA PINTARELLI/ARQUIVO DA EDITORA</v>
      </c>
      <c r="AB209" s="22"/>
      <c r="AC209" s="20"/>
      <c r="AD209" s="20"/>
      <c r="AE209" s="4" t="str">
        <f t="shared" si="3"/>
        <v>EF1 E002 HGC</v>
      </c>
    </row>
    <row r="210" spans="1:31" s="12" customFormat="1" ht="45" x14ac:dyDescent="0.25">
      <c r="A210" s="23" t="s">
        <v>519</v>
      </c>
      <c r="B210" s="20" t="s">
        <v>32</v>
      </c>
      <c r="C210" s="20" t="s">
        <v>33</v>
      </c>
      <c r="D210" s="20" t="s">
        <v>34</v>
      </c>
      <c r="E210" s="22">
        <v>26</v>
      </c>
      <c r="F210" s="22">
        <v>2</v>
      </c>
      <c r="G210" s="22">
        <v>1</v>
      </c>
      <c r="H210" s="22"/>
      <c r="I210" s="23" t="s">
        <v>35</v>
      </c>
      <c r="J210" s="23"/>
      <c r="K210" s="22"/>
      <c r="L210" s="22"/>
      <c r="M210" s="23"/>
      <c r="N210" s="23"/>
      <c r="O210" s="26" t="s">
        <v>520</v>
      </c>
      <c r="P210" s="26"/>
      <c r="Q210" s="26"/>
      <c r="R210" s="22"/>
      <c r="S210" s="24"/>
      <c r="T210" s="24"/>
      <c r="U210" s="24"/>
      <c r="V210" s="24"/>
      <c r="W210" s="24"/>
      <c r="X210" s="22" t="s">
        <v>139</v>
      </c>
      <c r="Y210" s="4" t="str">
        <f>IF(Tabela2[[#This Row],[SIGLA]]="","",VLOOKUP(Tabela2[[#This Row],[SIGLA]],Tabela1[[#All],[Sigla Arte]:[Crédito]],2,0))</f>
        <v>HELOÍSA PINTARELLI/ARQUIVO DA EDITORA</v>
      </c>
      <c r="Z210" s="23"/>
      <c r="AA210" s="23" t="str">
        <f>Tabela2[[#This Row],[ILUSTRADOR CRIAÇÃO]]</f>
        <v>HELOÍSA PINTARELLI/ARQUIVO DA EDITORA</v>
      </c>
      <c r="AB210" s="22"/>
      <c r="AC210" s="20"/>
      <c r="AD210" s="20"/>
      <c r="AE210" s="4" t="str">
        <f t="shared" si="3"/>
        <v>EF1 E002 HGC</v>
      </c>
    </row>
    <row r="211" spans="1:31" s="12" customFormat="1" ht="30" x14ac:dyDescent="0.25">
      <c r="A211" s="23" t="s">
        <v>521</v>
      </c>
      <c r="B211" s="20" t="s">
        <v>32</v>
      </c>
      <c r="C211" s="20" t="s">
        <v>33</v>
      </c>
      <c r="D211" s="20" t="s">
        <v>34</v>
      </c>
      <c r="E211" s="22">
        <v>62</v>
      </c>
      <c r="F211" s="22">
        <v>2</v>
      </c>
      <c r="G211" s="22">
        <v>2</v>
      </c>
      <c r="H211" s="22"/>
      <c r="I211" s="23" t="s">
        <v>35</v>
      </c>
      <c r="J211" s="23"/>
      <c r="K211" s="22"/>
      <c r="L211" s="22"/>
      <c r="M211" s="23"/>
      <c r="N211" s="23"/>
      <c r="O211" s="26" t="s">
        <v>522</v>
      </c>
      <c r="P211" s="26"/>
      <c r="Q211" s="26"/>
      <c r="R211" s="22"/>
      <c r="S211" s="24"/>
      <c r="T211" s="24"/>
      <c r="U211" s="24"/>
      <c r="V211" s="24"/>
      <c r="W211" s="24"/>
      <c r="X211" s="22" t="s">
        <v>475</v>
      </c>
      <c r="Y211" s="4" t="str">
        <f>IF(Tabela2[[#This Row],[SIGLA]]="","",VLOOKUP(Tabela2[[#This Row],[SIGLA]],Tabela1[[#All],[Sigla Arte]:[Crédito]],2,0))</f>
        <v>KATHARINE FROTA/ARQUIVO DA EDITORA</v>
      </c>
      <c r="Z211" s="23"/>
      <c r="AA211" s="23" t="str">
        <f>Tabela2[[#This Row],[ILUSTRADOR CRIAÇÃO]]</f>
        <v>KATHARINE FROTA/ARQUIVO DA EDITORA</v>
      </c>
      <c r="AB211" s="22"/>
      <c r="AC211" s="20"/>
      <c r="AD211" s="20"/>
      <c r="AE211" s="4" t="str">
        <f t="shared" si="3"/>
        <v>EF1 E002 HGC</v>
      </c>
    </row>
    <row r="212" spans="1:31" s="12" customFormat="1" ht="30" x14ac:dyDescent="0.25">
      <c r="A212" s="23" t="s">
        <v>523</v>
      </c>
      <c r="B212" s="20" t="s">
        <v>32</v>
      </c>
      <c r="C212" s="20" t="s">
        <v>33</v>
      </c>
      <c r="D212" s="20" t="s">
        <v>34</v>
      </c>
      <c r="E212" s="22">
        <v>62</v>
      </c>
      <c r="F212" s="22">
        <v>2</v>
      </c>
      <c r="G212" s="22">
        <v>2</v>
      </c>
      <c r="H212" s="22"/>
      <c r="I212" s="23" t="s">
        <v>35</v>
      </c>
      <c r="J212" s="23"/>
      <c r="K212" s="22"/>
      <c r="L212" s="22"/>
      <c r="M212" s="23"/>
      <c r="N212" s="23"/>
      <c r="O212" s="26" t="s">
        <v>524</v>
      </c>
      <c r="P212" s="26"/>
      <c r="Q212" s="26"/>
      <c r="R212" s="22"/>
      <c r="S212" s="24"/>
      <c r="T212" s="24"/>
      <c r="U212" s="24"/>
      <c r="V212" s="24"/>
      <c r="W212" s="24"/>
      <c r="X212" s="22" t="s">
        <v>475</v>
      </c>
      <c r="Y212" s="4" t="str">
        <f>IF(Tabela2[[#This Row],[SIGLA]]="","",VLOOKUP(Tabela2[[#This Row],[SIGLA]],Tabela1[[#All],[Sigla Arte]:[Crédito]],2,0))</f>
        <v>KATHARINE FROTA/ARQUIVO DA EDITORA</v>
      </c>
      <c r="Z212" s="23"/>
      <c r="AA212" s="23" t="str">
        <f>Tabela2[[#This Row],[ILUSTRADOR CRIAÇÃO]]</f>
        <v>KATHARINE FROTA/ARQUIVO DA EDITORA</v>
      </c>
      <c r="AB212" s="22"/>
      <c r="AC212" s="20"/>
      <c r="AD212" s="20"/>
      <c r="AE212" s="4" t="str">
        <f t="shared" si="3"/>
        <v>EF1 E002 HGC</v>
      </c>
    </row>
    <row r="213" spans="1:31" s="12" customFormat="1" ht="30" x14ac:dyDescent="0.25">
      <c r="A213" s="23" t="s">
        <v>525</v>
      </c>
      <c r="B213" s="20" t="s">
        <v>32</v>
      </c>
      <c r="C213" s="20" t="s">
        <v>33</v>
      </c>
      <c r="D213" s="20" t="s">
        <v>34</v>
      </c>
      <c r="E213" s="22">
        <v>62</v>
      </c>
      <c r="F213" s="22">
        <v>2</v>
      </c>
      <c r="G213" s="22">
        <v>2</v>
      </c>
      <c r="H213" s="22"/>
      <c r="I213" s="23" t="s">
        <v>35</v>
      </c>
      <c r="J213" s="23"/>
      <c r="K213" s="22"/>
      <c r="L213" s="22"/>
      <c r="M213" s="23"/>
      <c r="N213" s="23"/>
      <c r="O213" s="26" t="s">
        <v>526</v>
      </c>
      <c r="P213" s="26"/>
      <c r="Q213" s="26"/>
      <c r="R213" s="22"/>
      <c r="S213" s="24"/>
      <c r="T213" s="24"/>
      <c r="U213" s="24"/>
      <c r="V213" s="24"/>
      <c r="W213" s="24"/>
      <c r="X213" s="22" t="s">
        <v>475</v>
      </c>
      <c r="Y213" s="4" t="str">
        <f>IF(Tabela2[[#This Row],[SIGLA]]="","",VLOOKUP(Tabela2[[#This Row],[SIGLA]],Tabela1[[#All],[Sigla Arte]:[Crédito]],2,0))</f>
        <v>KATHARINE FROTA/ARQUIVO DA EDITORA</v>
      </c>
      <c r="Z213" s="23"/>
      <c r="AA213" s="23" t="str">
        <f>Tabela2[[#This Row],[ILUSTRADOR CRIAÇÃO]]</f>
        <v>KATHARINE FROTA/ARQUIVO DA EDITORA</v>
      </c>
      <c r="AB213" s="22"/>
      <c r="AC213" s="20"/>
      <c r="AD213" s="20"/>
      <c r="AE213" s="4" t="str">
        <f t="shared" si="3"/>
        <v>EF1 E002 HGC</v>
      </c>
    </row>
    <row r="214" spans="1:31" s="12" customFormat="1" ht="45" x14ac:dyDescent="0.25">
      <c r="A214" s="23" t="s">
        <v>527</v>
      </c>
      <c r="B214" s="20" t="s">
        <v>32</v>
      </c>
      <c r="C214" s="20" t="s">
        <v>33</v>
      </c>
      <c r="D214" s="20" t="s">
        <v>34</v>
      </c>
      <c r="E214" s="22">
        <v>63</v>
      </c>
      <c r="F214" s="22">
        <v>2</v>
      </c>
      <c r="G214" s="22">
        <v>2</v>
      </c>
      <c r="H214" s="22"/>
      <c r="I214" s="23" t="s">
        <v>35</v>
      </c>
      <c r="J214" s="23"/>
      <c r="K214" s="22"/>
      <c r="L214" s="22"/>
      <c r="M214" s="23"/>
      <c r="N214" s="23"/>
      <c r="O214" s="26" t="s">
        <v>528</v>
      </c>
      <c r="P214" s="26"/>
      <c r="Q214" s="26"/>
      <c r="R214" s="22"/>
      <c r="S214" s="24"/>
      <c r="T214" s="24"/>
      <c r="U214" s="24"/>
      <c r="V214" s="24"/>
      <c r="W214" s="24"/>
      <c r="X214" s="22" t="s">
        <v>475</v>
      </c>
      <c r="Y214" s="4" t="str">
        <f>IF(Tabela2[[#This Row],[SIGLA]]="","",VLOOKUP(Tabela2[[#This Row],[SIGLA]],Tabela1[[#All],[Sigla Arte]:[Crédito]],2,0))</f>
        <v>KATHARINE FROTA/ARQUIVO DA EDITORA</v>
      </c>
      <c r="Z214" s="23"/>
      <c r="AA214" s="23" t="str">
        <f>Tabela2[[#This Row],[ILUSTRADOR CRIAÇÃO]]</f>
        <v>KATHARINE FROTA/ARQUIVO DA EDITORA</v>
      </c>
      <c r="AB214" s="22"/>
      <c r="AC214" s="20"/>
      <c r="AD214" s="20"/>
      <c r="AE214" s="4" t="str">
        <f t="shared" si="3"/>
        <v>EF1 E002 HGC</v>
      </c>
    </row>
    <row r="215" spans="1:31" s="12" customFormat="1" ht="30" x14ac:dyDescent="0.25">
      <c r="A215" s="23" t="s">
        <v>529</v>
      </c>
      <c r="B215" s="20" t="s">
        <v>32</v>
      </c>
      <c r="C215" s="20" t="s">
        <v>33</v>
      </c>
      <c r="D215" s="20" t="s">
        <v>34</v>
      </c>
      <c r="E215" s="22">
        <v>63</v>
      </c>
      <c r="F215" s="22">
        <v>2</v>
      </c>
      <c r="G215" s="22">
        <v>2</v>
      </c>
      <c r="H215" s="22"/>
      <c r="I215" s="23" t="s">
        <v>35</v>
      </c>
      <c r="J215" s="23"/>
      <c r="K215" s="22"/>
      <c r="L215" s="22"/>
      <c r="M215" s="23"/>
      <c r="N215" s="23"/>
      <c r="O215" s="26" t="s">
        <v>530</v>
      </c>
      <c r="P215" s="26"/>
      <c r="Q215" s="26"/>
      <c r="R215" s="22"/>
      <c r="S215" s="24"/>
      <c r="T215" s="24"/>
      <c r="U215" s="24"/>
      <c r="V215" s="24"/>
      <c r="W215" s="24"/>
      <c r="X215" s="22" t="s">
        <v>475</v>
      </c>
      <c r="Y215" s="4" t="str">
        <f>IF(Tabela2[[#This Row],[SIGLA]]="","",VLOOKUP(Tabela2[[#This Row],[SIGLA]],Tabela1[[#All],[Sigla Arte]:[Crédito]],2,0))</f>
        <v>KATHARINE FROTA/ARQUIVO DA EDITORA</v>
      </c>
      <c r="Z215" s="23"/>
      <c r="AA215" s="23" t="str">
        <f>Tabela2[[#This Row],[ILUSTRADOR CRIAÇÃO]]</f>
        <v>KATHARINE FROTA/ARQUIVO DA EDITORA</v>
      </c>
      <c r="AB215" s="22"/>
      <c r="AC215" s="20"/>
      <c r="AD215" s="20"/>
      <c r="AE215" s="4" t="str">
        <f t="shared" si="3"/>
        <v>EF1 E002 HGC</v>
      </c>
    </row>
    <row r="216" spans="1:31" s="12" customFormat="1" ht="30" x14ac:dyDescent="0.25">
      <c r="A216" s="23" t="s">
        <v>531</v>
      </c>
      <c r="B216" s="20" t="s">
        <v>32</v>
      </c>
      <c r="C216" s="20" t="s">
        <v>33</v>
      </c>
      <c r="D216" s="20" t="s">
        <v>34</v>
      </c>
      <c r="E216" s="22">
        <v>63</v>
      </c>
      <c r="F216" s="22">
        <v>2</v>
      </c>
      <c r="G216" s="22">
        <v>2</v>
      </c>
      <c r="H216" s="22"/>
      <c r="I216" s="23" t="s">
        <v>35</v>
      </c>
      <c r="J216" s="23"/>
      <c r="K216" s="22"/>
      <c r="L216" s="22"/>
      <c r="M216" s="23"/>
      <c r="N216" s="23"/>
      <c r="O216" s="26" t="s">
        <v>532</v>
      </c>
      <c r="P216" s="26"/>
      <c r="Q216" s="26"/>
      <c r="R216" s="22"/>
      <c r="S216" s="24"/>
      <c r="T216" s="24"/>
      <c r="U216" s="24"/>
      <c r="V216" s="24"/>
      <c r="W216" s="24"/>
      <c r="X216" s="22" t="s">
        <v>475</v>
      </c>
      <c r="Y216" s="4" t="str">
        <f>IF(Tabela2[[#This Row],[SIGLA]]="","",VLOOKUP(Tabela2[[#This Row],[SIGLA]],Tabela1[[#All],[Sigla Arte]:[Crédito]],2,0))</f>
        <v>KATHARINE FROTA/ARQUIVO DA EDITORA</v>
      </c>
      <c r="Z216" s="23"/>
      <c r="AA216" s="23" t="str">
        <f>Tabela2[[#This Row],[ILUSTRADOR CRIAÇÃO]]</f>
        <v>KATHARINE FROTA/ARQUIVO DA EDITORA</v>
      </c>
      <c r="AB216" s="22"/>
      <c r="AC216" s="20"/>
      <c r="AD216" s="20"/>
      <c r="AE216" s="4" t="str">
        <f t="shared" si="3"/>
        <v>EF1 E002 HGC</v>
      </c>
    </row>
    <row r="217" spans="1:31" s="12" customFormat="1" ht="120" x14ac:dyDescent="0.25">
      <c r="A217" s="23" t="s">
        <v>533</v>
      </c>
      <c r="B217" s="20" t="s">
        <v>183</v>
      </c>
      <c r="C217" s="20" t="s">
        <v>33</v>
      </c>
      <c r="D217" s="20" t="s">
        <v>34</v>
      </c>
      <c r="E217" s="22">
        <v>68</v>
      </c>
      <c r="F217" s="22">
        <v>2</v>
      </c>
      <c r="G217" s="22">
        <v>2</v>
      </c>
      <c r="H217" s="22"/>
      <c r="I217" s="23" t="s">
        <v>39</v>
      </c>
      <c r="J217" s="23"/>
      <c r="K217" s="22"/>
      <c r="L217" s="22"/>
      <c r="M217" s="23"/>
      <c r="N217" s="23"/>
      <c r="O217" s="26" t="s">
        <v>534</v>
      </c>
      <c r="P217" s="26"/>
      <c r="Q217" s="26"/>
      <c r="R217" s="22">
        <v>4</v>
      </c>
      <c r="S217" s="24">
        <v>45800</v>
      </c>
      <c r="T217" s="24">
        <v>45800</v>
      </c>
      <c r="U217" s="24"/>
      <c r="V217" s="24"/>
      <c r="W217" s="24">
        <v>45807</v>
      </c>
      <c r="X217" s="22" t="s">
        <v>139</v>
      </c>
      <c r="Y217" s="4" t="str">
        <f>IF(Tabela2[[#This Row],[SIGLA]]="","",VLOOKUP(Tabela2[[#This Row],[SIGLA]],Tabela1[[#All],[Sigla Arte]:[Crédito]],2,0))</f>
        <v>HELOÍSA PINTARELLI/ARQUIVO DA EDITORA</v>
      </c>
      <c r="Z217" s="23" t="s">
        <v>82</v>
      </c>
      <c r="AA217" s="23" t="str">
        <f>Tabela2[[#This Row],[ILUSTRADOR CRIAÇÃO]]</f>
        <v>HELOÍSA PINTARELLI/ARQUIVO DA EDITORA</v>
      </c>
      <c r="AB217" s="22">
        <v>13</v>
      </c>
      <c r="AC217" s="20" t="s">
        <v>535</v>
      </c>
      <c r="AD217" s="20" t="s">
        <v>44</v>
      </c>
      <c r="AE217" s="4" t="str">
        <f t="shared" si="3"/>
        <v>EF1 E002 HGC</v>
      </c>
    </row>
    <row r="218" spans="1:31" s="12" customFormat="1" ht="105" x14ac:dyDescent="0.25">
      <c r="A218" s="23" t="s">
        <v>536</v>
      </c>
      <c r="B218" s="20" t="s">
        <v>136</v>
      </c>
      <c r="C218" s="20" t="s">
        <v>33</v>
      </c>
      <c r="D218" s="20" t="s">
        <v>34</v>
      </c>
      <c r="E218" s="22">
        <v>69</v>
      </c>
      <c r="F218" s="22">
        <v>2</v>
      </c>
      <c r="G218" s="22">
        <v>2</v>
      </c>
      <c r="H218" s="22"/>
      <c r="I218" s="23" t="s">
        <v>39</v>
      </c>
      <c r="J218" s="23"/>
      <c r="K218" s="22"/>
      <c r="L218" s="22"/>
      <c r="M218" s="23"/>
      <c r="N218" s="23"/>
      <c r="O218" s="26" t="s">
        <v>537</v>
      </c>
      <c r="P218" s="26"/>
      <c r="Q218" s="26"/>
      <c r="R218" s="22">
        <v>4</v>
      </c>
      <c r="S218" s="24">
        <v>45800</v>
      </c>
      <c r="T218" s="24">
        <v>45800</v>
      </c>
      <c r="U218" s="24"/>
      <c r="V218" s="24"/>
      <c r="W218" s="24">
        <v>45807</v>
      </c>
      <c r="X218" s="22" t="s">
        <v>139</v>
      </c>
      <c r="Y218" s="4" t="str">
        <f>IF(Tabela2[[#This Row],[SIGLA]]="","",VLOOKUP(Tabela2[[#This Row],[SIGLA]],Tabela1[[#All],[Sigla Arte]:[Crédito]],2,0))</f>
        <v>HELOÍSA PINTARELLI/ARQUIVO DA EDITORA</v>
      </c>
      <c r="Z218" s="23" t="s">
        <v>82</v>
      </c>
      <c r="AA218" s="23" t="str">
        <f>Tabela2[[#This Row],[ILUSTRADOR CRIAÇÃO]]</f>
        <v>HELOÍSA PINTARELLI/ARQUIVO DA EDITORA</v>
      </c>
      <c r="AB218" s="22">
        <v>13</v>
      </c>
      <c r="AC218" s="20" t="s">
        <v>535</v>
      </c>
      <c r="AD218" s="20" t="s">
        <v>44</v>
      </c>
      <c r="AE218" s="4" t="str">
        <f t="shared" si="3"/>
        <v>EF1 E002 HGC</v>
      </c>
    </row>
    <row r="219" spans="1:31" s="12" customFormat="1" ht="60" x14ac:dyDescent="0.25">
      <c r="A219" s="23" t="s">
        <v>538</v>
      </c>
      <c r="B219" s="20" t="s">
        <v>32</v>
      </c>
      <c r="C219" s="20" t="s">
        <v>33</v>
      </c>
      <c r="D219" s="20" t="s">
        <v>34</v>
      </c>
      <c r="E219" s="22">
        <v>70</v>
      </c>
      <c r="F219" s="22">
        <v>2</v>
      </c>
      <c r="G219" s="22">
        <v>2</v>
      </c>
      <c r="H219" s="22"/>
      <c r="I219" s="23" t="s">
        <v>39</v>
      </c>
      <c r="J219" s="23"/>
      <c r="K219" s="22"/>
      <c r="L219" s="22"/>
      <c r="M219" s="23"/>
      <c r="N219" s="23"/>
      <c r="O219" s="26" t="s">
        <v>539</v>
      </c>
      <c r="P219" s="26"/>
      <c r="Q219" s="26"/>
      <c r="R219" s="22">
        <v>4</v>
      </c>
      <c r="S219" s="24">
        <v>45800</v>
      </c>
      <c r="T219" s="24">
        <v>45800</v>
      </c>
      <c r="U219" s="24"/>
      <c r="V219" s="24"/>
      <c r="W219" s="24">
        <v>45807</v>
      </c>
      <c r="X219" s="22" t="s">
        <v>316</v>
      </c>
      <c r="Y219" s="4" t="str">
        <f>IF(Tabela2[[#This Row],[SIGLA]]="","",VLOOKUP(Tabela2[[#This Row],[SIGLA]],Tabela1[[#All],[Sigla Arte]:[Crédito]],2,0))</f>
        <v>MINNA MINÁ/ARQUIVO DA EDITORA</v>
      </c>
      <c r="Z219" s="23" t="s">
        <v>82</v>
      </c>
      <c r="AA219" s="23" t="str">
        <f>Tabela2[[#This Row],[ILUSTRADOR CRIAÇÃO]]</f>
        <v>MINNA MINÁ/ARQUIVO DA EDITORA</v>
      </c>
      <c r="AB219" s="22">
        <v>13</v>
      </c>
      <c r="AC219" s="20" t="s">
        <v>535</v>
      </c>
      <c r="AD219" s="20" t="s">
        <v>44</v>
      </c>
      <c r="AE219" s="4" t="str">
        <f t="shared" si="3"/>
        <v>EF1 E002 HGC</v>
      </c>
    </row>
    <row r="220" spans="1:31" s="12" customFormat="1" ht="45" x14ac:dyDescent="0.25">
      <c r="A220" s="23" t="s">
        <v>540</v>
      </c>
      <c r="B220" s="20" t="s">
        <v>32</v>
      </c>
      <c r="C220" s="20" t="s">
        <v>33</v>
      </c>
      <c r="D220" s="20" t="s">
        <v>34</v>
      </c>
      <c r="E220" s="22">
        <v>71</v>
      </c>
      <c r="F220" s="22">
        <v>2</v>
      </c>
      <c r="G220" s="22">
        <v>2</v>
      </c>
      <c r="H220" s="22"/>
      <c r="I220" s="23" t="s">
        <v>35</v>
      </c>
      <c r="J220" s="23"/>
      <c r="K220" s="22"/>
      <c r="L220" s="22"/>
      <c r="M220" s="23"/>
      <c r="N220" s="23"/>
      <c r="O220" s="26" t="s">
        <v>541</v>
      </c>
      <c r="P220" s="26"/>
      <c r="Q220" s="26"/>
      <c r="R220" s="22"/>
      <c r="S220" s="24"/>
      <c r="T220" s="24"/>
      <c r="U220" s="24"/>
      <c r="V220" s="24"/>
      <c r="W220" s="24"/>
      <c r="X220" s="22" t="s">
        <v>475</v>
      </c>
      <c r="Y220" s="4" t="str">
        <f>IF(Tabela2[[#This Row],[SIGLA]]="","",VLOOKUP(Tabela2[[#This Row],[SIGLA]],Tabela1[[#All],[Sigla Arte]:[Crédito]],2,0))</f>
        <v>KATHARINE FROTA/ARQUIVO DA EDITORA</v>
      </c>
      <c r="Z220" s="23"/>
      <c r="AA220" s="23" t="str">
        <f>Tabela2[[#This Row],[ILUSTRADOR CRIAÇÃO]]</f>
        <v>KATHARINE FROTA/ARQUIVO DA EDITORA</v>
      </c>
      <c r="AB220" s="22"/>
      <c r="AC220" s="20"/>
      <c r="AD220" s="20"/>
      <c r="AE220" s="4" t="str">
        <f t="shared" si="3"/>
        <v>EF1 E002 HGC</v>
      </c>
    </row>
    <row r="221" spans="1:31" s="12" customFormat="1" ht="45" x14ac:dyDescent="0.25">
      <c r="A221" s="23" t="s">
        <v>542</v>
      </c>
      <c r="B221" s="20" t="s">
        <v>32</v>
      </c>
      <c r="C221" s="20" t="s">
        <v>33</v>
      </c>
      <c r="D221" s="20" t="s">
        <v>34</v>
      </c>
      <c r="E221" s="22">
        <v>71</v>
      </c>
      <c r="F221" s="22">
        <v>2</v>
      </c>
      <c r="G221" s="22">
        <v>2</v>
      </c>
      <c r="H221" s="22"/>
      <c r="I221" s="23" t="s">
        <v>35</v>
      </c>
      <c r="J221" s="23"/>
      <c r="K221" s="22"/>
      <c r="L221" s="22"/>
      <c r="M221" s="23"/>
      <c r="N221" s="23"/>
      <c r="O221" s="26" t="s">
        <v>543</v>
      </c>
      <c r="P221" s="26"/>
      <c r="Q221" s="26"/>
      <c r="R221" s="22"/>
      <c r="S221" s="24"/>
      <c r="T221" s="24"/>
      <c r="U221" s="24"/>
      <c r="V221" s="24"/>
      <c r="W221" s="24"/>
      <c r="X221" s="22" t="s">
        <v>475</v>
      </c>
      <c r="Y221" s="4" t="str">
        <f>IF(Tabela2[[#This Row],[SIGLA]]="","",VLOOKUP(Tabela2[[#This Row],[SIGLA]],Tabela1[[#All],[Sigla Arte]:[Crédito]],2,0))</f>
        <v>KATHARINE FROTA/ARQUIVO DA EDITORA</v>
      </c>
      <c r="Z221" s="23"/>
      <c r="AA221" s="23" t="str">
        <f>Tabela2[[#This Row],[ILUSTRADOR CRIAÇÃO]]</f>
        <v>KATHARINE FROTA/ARQUIVO DA EDITORA</v>
      </c>
      <c r="AB221" s="22"/>
      <c r="AC221" s="20"/>
      <c r="AD221" s="20"/>
      <c r="AE221" s="4" t="str">
        <f t="shared" si="3"/>
        <v>EF1 E002 HGC</v>
      </c>
    </row>
    <row r="222" spans="1:31" s="12" customFormat="1" ht="60" x14ac:dyDescent="0.25">
      <c r="A222" s="23" t="s">
        <v>544</v>
      </c>
      <c r="B222" s="20" t="s">
        <v>32</v>
      </c>
      <c r="C222" s="20" t="s">
        <v>33</v>
      </c>
      <c r="D222" s="20" t="s">
        <v>34</v>
      </c>
      <c r="E222" s="22">
        <v>71</v>
      </c>
      <c r="F222" s="22">
        <v>2</v>
      </c>
      <c r="G222" s="22">
        <v>2</v>
      </c>
      <c r="H222" s="22"/>
      <c r="I222" s="23" t="s">
        <v>39</v>
      </c>
      <c r="J222" s="23"/>
      <c r="K222" s="22"/>
      <c r="L222" s="22"/>
      <c r="M222" s="23"/>
      <c r="N222" s="23"/>
      <c r="O222" s="26" t="s">
        <v>545</v>
      </c>
      <c r="P222" s="26"/>
      <c r="Q222" s="26"/>
      <c r="R222" s="22">
        <v>4</v>
      </c>
      <c r="S222" s="24">
        <v>45800</v>
      </c>
      <c r="T222" s="24">
        <v>45800</v>
      </c>
      <c r="U222" s="24"/>
      <c r="V222" s="24"/>
      <c r="W222" s="24">
        <v>45807</v>
      </c>
      <c r="X222" s="22" t="s">
        <v>475</v>
      </c>
      <c r="Y222" s="4" t="str">
        <f>IF(Tabela2[[#This Row],[SIGLA]]="","",VLOOKUP(Tabela2[[#This Row],[SIGLA]],Tabela1[[#All],[Sigla Arte]:[Crédito]],2,0))</f>
        <v>KATHARINE FROTA/ARQUIVO DA EDITORA</v>
      </c>
      <c r="Z222" s="23" t="s">
        <v>82</v>
      </c>
      <c r="AA222" s="23" t="str">
        <f>Tabela2[[#This Row],[ILUSTRADOR CRIAÇÃO]]</f>
        <v>KATHARINE FROTA/ARQUIVO DA EDITORA</v>
      </c>
      <c r="AB222" s="22">
        <v>13</v>
      </c>
      <c r="AC222" s="20" t="s">
        <v>535</v>
      </c>
      <c r="AD222" s="20" t="s">
        <v>44</v>
      </c>
      <c r="AE222" s="4" t="str">
        <f t="shared" si="3"/>
        <v>EF1 E002 HGC</v>
      </c>
    </row>
    <row r="223" spans="1:31" s="12" customFormat="1" ht="30" x14ac:dyDescent="0.25">
      <c r="A223" s="23" t="s">
        <v>546</v>
      </c>
      <c r="B223" s="20" t="s">
        <v>32</v>
      </c>
      <c r="C223" s="20" t="s">
        <v>33</v>
      </c>
      <c r="D223" s="20" t="s">
        <v>34</v>
      </c>
      <c r="E223" s="22">
        <v>71</v>
      </c>
      <c r="F223" s="22">
        <v>2</v>
      </c>
      <c r="G223" s="22">
        <v>2</v>
      </c>
      <c r="H223" s="22"/>
      <c r="I223" s="23" t="s">
        <v>35</v>
      </c>
      <c r="J223" s="23"/>
      <c r="K223" s="22"/>
      <c r="L223" s="22"/>
      <c r="M223" s="23"/>
      <c r="N223" s="23"/>
      <c r="O223" s="26" t="s">
        <v>547</v>
      </c>
      <c r="P223" s="26"/>
      <c r="Q223" s="26"/>
      <c r="R223" s="22"/>
      <c r="S223" s="24"/>
      <c r="T223" s="24"/>
      <c r="U223" s="24"/>
      <c r="V223" s="24"/>
      <c r="W223" s="24"/>
      <c r="X223" s="22" t="s">
        <v>475</v>
      </c>
      <c r="Y223" s="4" t="str">
        <f>IF(Tabela2[[#This Row],[SIGLA]]="","",VLOOKUP(Tabela2[[#This Row],[SIGLA]],Tabela1[[#All],[Sigla Arte]:[Crédito]],2,0))</f>
        <v>KATHARINE FROTA/ARQUIVO DA EDITORA</v>
      </c>
      <c r="Z223" s="23"/>
      <c r="AA223" s="23" t="str">
        <f>Tabela2[[#This Row],[ILUSTRADOR CRIAÇÃO]]</f>
        <v>KATHARINE FROTA/ARQUIVO DA EDITORA</v>
      </c>
      <c r="AB223" s="22"/>
      <c r="AC223" s="20"/>
      <c r="AD223" s="20"/>
      <c r="AE223" s="4" t="str">
        <f t="shared" si="3"/>
        <v>EF1 E002 HGC</v>
      </c>
    </row>
    <row r="224" spans="1:31" s="12" customFormat="1" ht="30" x14ac:dyDescent="0.25">
      <c r="A224" s="23" t="s">
        <v>548</v>
      </c>
      <c r="B224" s="20" t="s">
        <v>32</v>
      </c>
      <c r="C224" s="20" t="s">
        <v>33</v>
      </c>
      <c r="D224" s="20" t="s">
        <v>34</v>
      </c>
      <c r="E224" s="22">
        <v>72</v>
      </c>
      <c r="F224" s="22">
        <v>2</v>
      </c>
      <c r="G224" s="22">
        <v>2</v>
      </c>
      <c r="H224" s="22"/>
      <c r="I224" s="23" t="s">
        <v>35</v>
      </c>
      <c r="J224" s="23"/>
      <c r="K224" s="22"/>
      <c r="L224" s="22"/>
      <c r="M224" s="23"/>
      <c r="N224" s="23"/>
      <c r="O224" s="26" t="s">
        <v>549</v>
      </c>
      <c r="P224" s="26"/>
      <c r="Q224" s="26"/>
      <c r="R224" s="22"/>
      <c r="S224" s="24"/>
      <c r="T224" s="24"/>
      <c r="U224" s="24"/>
      <c r="V224" s="24"/>
      <c r="W224" s="24"/>
      <c r="X224" s="22" t="s">
        <v>475</v>
      </c>
      <c r="Y224" s="4" t="str">
        <f>IF(Tabela2[[#This Row],[SIGLA]]="","",VLOOKUP(Tabela2[[#This Row],[SIGLA]],Tabela1[[#All],[Sigla Arte]:[Crédito]],2,0))</f>
        <v>KATHARINE FROTA/ARQUIVO DA EDITORA</v>
      </c>
      <c r="Z224" s="23"/>
      <c r="AA224" s="23" t="str">
        <f>Tabela2[[#This Row],[ILUSTRADOR CRIAÇÃO]]</f>
        <v>KATHARINE FROTA/ARQUIVO DA EDITORA</v>
      </c>
      <c r="AB224" s="22"/>
      <c r="AC224" s="20"/>
      <c r="AD224" s="20"/>
      <c r="AE224" s="4" t="str">
        <f t="shared" si="3"/>
        <v>EF1 E002 HGC</v>
      </c>
    </row>
    <row r="225" spans="1:31" s="12" customFormat="1" ht="90" x14ac:dyDescent="0.25">
      <c r="A225" s="23" t="s">
        <v>550</v>
      </c>
      <c r="B225" s="20" t="s">
        <v>32</v>
      </c>
      <c r="C225" s="20" t="s">
        <v>33</v>
      </c>
      <c r="D225" s="20" t="s">
        <v>34</v>
      </c>
      <c r="E225" s="22">
        <v>72</v>
      </c>
      <c r="F225" s="22">
        <v>2</v>
      </c>
      <c r="G225" s="22">
        <v>2</v>
      </c>
      <c r="H225" s="22"/>
      <c r="I225" s="23" t="s">
        <v>39</v>
      </c>
      <c r="J225" s="23"/>
      <c r="K225" s="22"/>
      <c r="L225" s="22"/>
      <c r="M225" s="23"/>
      <c r="N225" s="23"/>
      <c r="O225" s="26" t="s">
        <v>551</v>
      </c>
      <c r="P225" s="26"/>
      <c r="Q225" s="26"/>
      <c r="R225" s="22">
        <v>4</v>
      </c>
      <c r="S225" s="24">
        <v>45800</v>
      </c>
      <c r="T225" s="24">
        <v>45800</v>
      </c>
      <c r="U225" s="24"/>
      <c r="V225" s="24"/>
      <c r="W225" s="24">
        <v>45807</v>
      </c>
      <c r="X225" s="22" t="s">
        <v>475</v>
      </c>
      <c r="Y225" s="4" t="str">
        <f>IF(Tabela2[[#This Row],[SIGLA]]="","",VLOOKUP(Tabela2[[#This Row],[SIGLA]],Tabela1[[#All],[Sigla Arte]:[Crédito]],2,0))</f>
        <v>KATHARINE FROTA/ARQUIVO DA EDITORA</v>
      </c>
      <c r="Z225" s="23" t="s">
        <v>82</v>
      </c>
      <c r="AA225" s="23" t="str">
        <f>Tabela2[[#This Row],[ILUSTRADOR CRIAÇÃO]]</f>
        <v>KATHARINE FROTA/ARQUIVO DA EDITORA</v>
      </c>
      <c r="AB225" s="22">
        <v>13</v>
      </c>
      <c r="AC225" s="20" t="s">
        <v>535</v>
      </c>
      <c r="AD225" s="20" t="s">
        <v>44</v>
      </c>
      <c r="AE225" s="4" t="str">
        <f t="shared" si="3"/>
        <v>EF1 E002 HGC</v>
      </c>
    </row>
    <row r="226" spans="1:31" s="12" customFormat="1" ht="30" x14ac:dyDescent="0.25">
      <c r="A226" s="23" t="s">
        <v>552</v>
      </c>
      <c r="B226" s="20" t="s">
        <v>32</v>
      </c>
      <c r="C226" s="20" t="s">
        <v>33</v>
      </c>
      <c r="D226" s="20" t="s">
        <v>34</v>
      </c>
      <c r="E226" s="22">
        <v>72</v>
      </c>
      <c r="F226" s="22">
        <v>2</v>
      </c>
      <c r="G226" s="22">
        <v>2</v>
      </c>
      <c r="H226" s="22"/>
      <c r="I226" s="23" t="s">
        <v>35</v>
      </c>
      <c r="J226" s="23"/>
      <c r="K226" s="22"/>
      <c r="L226" s="22"/>
      <c r="M226" s="23"/>
      <c r="N226" s="23"/>
      <c r="O226" s="26" t="s">
        <v>553</v>
      </c>
      <c r="P226" s="26"/>
      <c r="Q226" s="26"/>
      <c r="R226" s="22"/>
      <c r="S226" s="24"/>
      <c r="T226" s="24"/>
      <c r="U226" s="24"/>
      <c r="V226" s="24"/>
      <c r="W226" s="24"/>
      <c r="X226" s="22" t="s">
        <v>475</v>
      </c>
      <c r="Y226" s="4" t="str">
        <f>IF(Tabela2[[#This Row],[SIGLA]]="","",VLOOKUP(Tabela2[[#This Row],[SIGLA]],Tabela1[[#All],[Sigla Arte]:[Crédito]],2,0))</f>
        <v>KATHARINE FROTA/ARQUIVO DA EDITORA</v>
      </c>
      <c r="Z226" s="23"/>
      <c r="AA226" s="23" t="str">
        <f>Tabela2[[#This Row],[ILUSTRADOR CRIAÇÃO]]</f>
        <v>KATHARINE FROTA/ARQUIVO DA EDITORA</v>
      </c>
      <c r="AB226" s="22"/>
      <c r="AC226" s="20"/>
      <c r="AD226" s="20"/>
      <c r="AE226" s="4" t="str">
        <f t="shared" si="3"/>
        <v>EF1 E002 HGC</v>
      </c>
    </row>
    <row r="227" spans="1:31" s="12" customFormat="1" ht="45" x14ac:dyDescent="0.25">
      <c r="A227" s="23" t="s">
        <v>554</v>
      </c>
      <c r="B227" s="20" t="s">
        <v>32</v>
      </c>
      <c r="C227" s="20" t="s">
        <v>33</v>
      </c>
      <c r="D227" s="20" t="s">
        <v>34</v>
      </c>
      <c r="E227" s="22">
        <v>72</v>
      </c>
      <c r="F227" s="22">
        <v>2</v>
      </c>
      <c r="G227" s="22">
        <v>2</v>
      </c>
      <c r="H227" s="22"/>
      <c r="I227" s="23" t="s">
        <v>35</v>
      </c>
      <c r="J227" s="23"/>
      <c r="K227" s="22"/>
      <c r="L227" s="22"/>
      <c r="M227" s="23"/>
      <c r="N227" s="23"/>
      <c r="O227" s="26" t="s">
        <v>555</v>
      </c>
      <c r="P227" s="26"/>
      <c r="Q227" s="26"/>
      <c r="R227" s="22"/>
      <c r="S227" s="24"/>
      <c r="T227" s="24"/>
      <c r="U227" s="24"/>
      <c r="V227" s="24"/>
      <c r="W227" s="24"/>
      <c r="X227" s="22" t="s">
        <v>475</v>
      </c>
      <c r="Y227" s="4" t="str">
        <f>IF(Tabela2[[#This Row],[SIGLA]]="","",VLOOKUP(Tabela2[[#This Row],[SIGLA]],Tabela1[[#All],[Sigla Arte]:[Crédito]],2,0))</f>
        <v>KATHARINE FROTA/ARQUIVO DA EDITORA</v>
      </c>
      <c r="Z227" s="23"/>
      <c r="AA227" s="23" t="str">
        <f>Tabela2[[#This Row],[ILUSTRADOR CRIAÇÃO]]</f>
        <v>KATHARINE FROTA/ARQUIVO DA EDITORA</v>
      </c>
      <c r="AB227" s="22"/>
      <c r="AC227" s="20"/>
      <c r="AD227" s="20"/>
      <c r="AE227" s="4" t="str">
        <f t="shared" si="3"/>
        <v>EF1 E002 HGC</v>
      </c>
    </row>
    <row r="228" spans="1:31" s="12" customFormat="1" ht="165" x14ac:dyDescent="0.25">
      <c r="A228" s="23" t="s">
        <v>556</v>
      </c>
      <c r="B228" s="20" t="s">
        <v>32</v>
      </c>
      <c r="C228" s="20" t="s">
        <v>33</v>
      </c>
      <c r="D228" s="20" t="s">
        <v>34</v>
      </c>
      <c r="E228" s="22">
        <v>73</v>
      </c>
      <c r="F228" s="22">
        <v>2</v>
      </c>
      <c r="G228" s="22">
        <v>2</v>
      </c>
      <c r="H228" s="22"/>
      <c r="I228" s="23" t="s">
        <v>39</v>
      </c>
      <c r="J228" s="23"/>
      <c r="K228" s="22"/>
      <c r="L228" s="22"/>
      <c r="M228" s="23"/>
      <c r="N228" s="23"/>
      <c r="O228" s="26" t="s">
        <v>557</v>
      </c>
      <c r="P228" s="26"/>
      <c r="Q228" s="26"/>
      <c r="R228" s="22">
        <v>4</v>
      </c>
      <c r="S228" s="24">
        <v>45800</v>
      </c>
      <c r="T228" s="24">
        <v>45800</v>
      </c>
      <c r="U228" s="24"/>
      <c r="V228" s="24"/>
      <c r="W228" s="24">
        <v>45807</v>
      </c>
      <c r="X228" s="22" t="s">
        <v>475</v>
      </c>
      <c r="Y228" s="4" t="str">
        <f>IF(Tabela2[[#This Row],[SIGLA]]="","",VLOOKUP(Tabela2[[#This Row],[SIGLA]],Tabela1[[#All],[Sigla Arte]:[Crédito]],2,0))</f>
        <v>KATHARINE FROTA/ARQUIVO DA EDITORA</v>
      </c>
      <c r="Z228" s="23" t="s">
        <v>82</v>
      </c>
      <c r="AA228" s="23" t="str">
        <f>Tabela2[[#This Row],[ILUSTRADOR CRIAÇÃO]]</f>
        <v>KATHARINE FROTA/ARQUIVO DA EDITORA</v>
      </c>
      <c r="AB228" s="22">
        <v>13</v>
      </c>
      <c r="AC228" s="20" t="s">
        <v>535</v>
      </c>
      <c r="AD228" s="20" t="s">
        <v>44</v>
      </c>
      <c r="AE228" s="4" t="str">
        <f t="shared" si="3"/>
        <v>EF1 E002 HGC</v>
      </c>
    </row>
    <row r="229" spans="1:31" s="12" customFormat="1" ht="75" x14ac:dyDescent="0.25">
      <c r="A229" s="23" t="s">
        <v>558</v>
      </c>
      <c r="B229" s="20" t="s">
        <v>32</v>
      </c>
      <c r="C229" s="20" t="s">
        <v>33</v>
      </c>
      <c r="D229" s="20" t="s">
        <v>34</v>
      </c>
      <c r="E229" s="22">
        <v>155</v>
      </c>
      <c r="F229" s="22">
        <v>1</v>
      </c>
      <c r="G229" s="22">
        <v>4</v>
      </c>
      <c r="H229" s="22"/>
      <c r="I229" s="23" t="s">
        <v>39</v>
      </c>
      <c r="J229" s="23"/>
      <c r="K229" s="22"/>
      <c r="L229" s="22"/>
      <c r="M229" s="23"/>
      <c r="N229" s="23"/>
      <c r="O229" s="26" t="s">
        <v>559</v>
      </c>
      <c r="P229" s="26"/>
      <c r="Q229" s="26"/>
      <c r="R229" s="22">
        <v>13</v>
      </c>
      <c r="S229" s="24">
        <v>45803</v>
      </c>
      <c r="T229" s="24">
        <v>45804</v>
      </c>
      <c r="U229" s="24"/>
      <c r="V229" s="24"/>
      <c r="W229" s="24">
        <v>45805</v>
      </c>
      <c r="X229" s="22" t="s">
        <v>293</v>
      </c>
      <c r="Y229" s="4" t="str">
        <f>IF(Tabela2[[#This Row],[SIGLA]]="","",VLOOKUP(Tabela2[[#This Row],[SIGLA]],Tabela1[[#All],[Sigla Arte]:[Crédito]],2,0))</f>
        <v>MARIA GABRIELA GAMA/ARQUIVO DA EDITORA</v>
      </c>
      <c r="Z229" s="23" t="s">
        <v>74</v>
      </c>
      <c r="AA229" s="23" t="str">
        <f>Tabela2[[#This Row],[ILUSTRADOR CRIAÇÃO]]</f>
        <v>MARIA GABRIELA GAMA/ARQUIVO DA EDITORA</v>
      </c>
      <c r="AB229" s="22">
        <v>13</v>
      </c>
      <c r="AC229" s="20" t="s">
        <v>43</v>
      </c>
      <c r="AD229" s="20" t="s">
        <v>44</v>
      </c>
      <c r="AE229" s="4" t="str">
        <f t="shared" si="3"/>
        <v>EF1 E002 HGC</v>
      </c>
    </row>
    <row r="230" spans="1:31" s="12" customFormat="1" ht="135" x14ac:dyDescent="0.25">
      <c r="A230" s="23" t="s">
        <v>560</v>
      </c>
      <c r="B230" s="20" t="s">
        <v>32</v>
      </c>
      <c r="C230" s="20" t="s">
        <v>33</v>
      </c>
      <c r="D230" s="20" t="s">
        <v>34</v>
      </c>
      <c r="E230" s="22">
        <v>156</v>
      </c>
      <c r="F230" s="22">
        <v>1</v>
      </c>
      <c r="G230" s="22">
        <v>4</v>
      </c>
      <c r="H230" s="22"/>
      <c r="I230" s="23" t="s">
        <v>39</v>
      </c>
      <c r="J230" s="23"/>
      <c r="K230" s="22"/>
      <c r="L230" s="22"/>
      <c r="M230" s="23"/>
      <c r="N230" s="23"/>
      <c r="O230" s="26" t="s">
        <v>561</v>
      </c>
      <c r="P230" s="26"/>
      <c r="Q230" s="26"/>
      <c r="R230" s="22">
        <v>13</v>
      </c>
      <c r="S230" s="24">
        <v>45803</v>
      </c>
      <c r="T230" s="24">
        <v>45803</v>
      </c>
      <c r="U230" s="24"/>
      <c r="V230" s="24"/>
      <c r="W230" s="24">
        <v>45805</v>
      </c>
      <c r="X230" s="22" t="s">
        <v>293</v>
      </c>
      <c r="Y230" s="4" t="str">
        <f>IF(Tabela2[[#This Row],[SIGLA]]="","",VLOOKUP(Tabela2[[#This Row],[SIGLA]],Tabela1[[#All],[Sigla Arte]:[Crédito]],2,0))</f>
        <v>MARIA GABRIELA GAMA/ARQUIVO DA EDITORA</v>
      </c>
      <c r="Z230" s="23" t="s">
        <v>74</v>
      </c>
      <c r="AA230" s="23" t="str">
        <f>Tabela2[[#This Row],[ILUSTRADOR CRIAÇÃO]]</f>
        <v>MARIA GABRIELA GAMA/ARQUIVO DA EDITORA</v>
      </c>
      <c r="AB230" s="22">
        <v>13</v>
      </c>
      <c r="AC230" s="20" t="s">
        <v>43</v>
      </c>
      <c r="AD230" s="20" t="s">
        <v>44</v>
      </c>
      <c r="AE230" s="4" t="str">
        <f t="shared" si="3"/>
        <v>EF1 E002 HGC</v>
      </c>
    </row>
    <row r="231" spans="1:31" s="12" customFormat="1" ht="30" x14ac:dyDescent="0.25">
      <c r="A231" s="23" t="s">
        <v>562</v>
      </c>
      <c r="B231" s="20" t="s">
        <v>32</v>
      </c>
      <c r="C231" s="20" t="s">
        <v>33</v>
      </c>
      <c r="D231" s="20" t="s">
        <v>34</v>
      </c>
      <c r="E231" s="22">
        <v>157</v>
      </c>
      <c r="F231" s="22">
        <v>1</v>
      </c>
      <c r="G231" s="22">
        <v>4</v>
      </c>
      <c r="H231" s="22"/>
      <c r="I231" s="23" t="s">
        <v>35</v>
      </c>
      <c r="J231" s="23"/>
      <c r="K231" s="22"/>
      <c r="L231" s="22"/>
      <c r="M231" s="23"/>
      <c r="N231" s="23"/>
      <c r="O231" s="26" t="s">
        <v>563</v>
      </c>
      <c r="P231" s="26"/>
      <c r="Q231" s="26"/>
      <c r="R231" s="22"/>
      <c r="S231" s="24"/>
      <c r="T231" s="24"/>
      <c r="U231" s="24"/>
      <c r="V231" s="24"/>
      <c r="W231" s="24"/>
      <c r="X231" s="22" t="s">
        <v>37</v>
      </c>
      <c r="Y231" s="4" t="str">
        <f>IF(Tabela2[[#This Row],[SIGLA]]="","",VLOOKUP(Tabela2[[#This Row],[SIGLA]],Tabela1[[#All],[Sigla Arte]:[Crédito]],2,0))</f>
        <v>GUILHERME RODRIGUES/ARQUIVO DA EDITORA</v>
      </c>
      <c r="Z231" s="23"/>
      <c r="AA231" s="23" t="str">
        <f>Tabela2[[#This Row],[ILUSTRADOR CRIAÇÃO]]</f>
        <v>GUILHERME RODRIGUES/ARQUIVO DA EDITORA</v>
      </c>
      <c r="AB231" s="22"/>
      <c r="AC231" s="20"/>
      <c r="AD231" s="20"/>
      <c r="AE231" s="4" t="str">
        <f t="shared" si="3"/>
        <v>EF1 E002 HGC</v>
      </c>
    </row>
    <row r="232" spans="1:31" s="12" customFormat="1" x14ac:dyDescent="0.25">
      <c r="A232" s="23" t="s">
        <v>564</v>
      </c>
      <c r="B232" s="20" t="s">
        <v>32</v>
      </c>
      <c r="C232" s="20" t="s">
        <v>33</v>
      </c>
      <c r="D232" s="20" t="s">
        <v>34</v>
      </c>
      <c r="E232" s="22">
        <v>157</v>
      </c>
      <c r="F232" s="22">
        <v>1</v>
      </c>
      <c r="G232" s="22">
        <v>4</v>
      </c>
      <c r="H232" s="22"/>
      <c r="I232" s="23" t="s">
        <v>35</v>
      </c>
      <c r="J232" s="23"/>
      <c r="K232" s="22"/>
      <c r="L232" s="22"/>
      <c r="M232" s="23"/>
      <c r="N232" s="23"/>
      <c r="O232" s="26" t="s">
        <v>565</v>
      </c>
      <c r="P232" s="26"/>
      <c r="Q232" s="26"/>
      <c r="R232" s="22"/>
      <c r="S232" s="24"/>
      <c r="T232" s="24"/>
      <c r="U232" s="24"/>
      <c r="V232" s="24"/>
      <c r="W232" s="24"/>
      <c r="X232" s="22" t="s">
        <v>37</v>
      </c>
      <c r="Y232" s="4" t="str">
        <f>IF(Tabela2[[#This Row],[SIGLA]]="","",VLOOKUP(Tabela2[[#This Row],[SIGLA]],Tabela1[[#All],[Sigla Arte]:[Crédito]],2,0))</f>
        <v>GUILHERME RODRIGUES/ARQUIVO DA EDITORA</v>
      </c>
      <c r="Z232" s="23"/>
      <c r="AA232" s="23" t="str">
        <f>Tabela2[[#This Row],[ILUSTRADOR CRIAÇÃO]]</f>
        <v>GUILHERME RODRIGUES/ARQUIVO DA EDITORA</v>
      </c>
      <c r="AB232" s="22"/>
      <c r="AC232" s="20"/>
      <c r="AD232" s="20"/>
      <c r="AE232" s="4" t="str">
        <f t="shared" si="3"/>
        <v>EF1 E002 HGC</v>
      </c>
    </row>
    <row r="233" spans="1:31" s="12" customFormat="1" ht="30" x14ac:dyDescent="0.25">
      <c r="A233" s="23" t="s">
        <v>566</v>
      </c>
      <c r="B233" s="20" t="s">
        <v>32</v>
      </c>
      <c r="C233" s="20" t="s">
        <v>33</v>
      </c>
      <c r="D233" s="20" t="s">
        <v>34</v>
      </c>
      <c r="E233" s="22">
        <v>157</v>
      </c>
      <c r="F233" s="22">
        <v>1</v>
      </c>
      <c r="G233" s="22">
        <v>4</v>
      </c>
      <c r="H233" s="22"/>
      <c r="I233" s="23" t="s">
        <v>35</v>
      </c>
      <c r="J233" s="23"/>
      <c r="K233" s="22"/>
      <c r="L233" s="22"/>
      <c r="M233" s="23"/>
      <c r="N233" s="23"/>
      <c r="O233" s="26" t="s">
        <v>567</v>
      </c>
      <c r="P233" s="26"/>
      <c r="Q233" s="26"/>
      <c r="R233" s="22"/>
      <c r="S233" s="24"/>
      <c r="T233" s="24"/>
      <c r="U233" s="24"/>
      <c r="V233" s="24"/>
      <c r="W233" s="24"/>
      <c r="X233" s="22" t="s">
        <v>37</v>
      </c>
      <c r="Y233" s="4" t="str">
        <f>IF(Tabela2[[#This Row],[SIGLA]]="","",VLOOKUP(Tabela2[[#This Row],[SIGLA]],Tabela1[[#All],[Sigla Arte]:[Crédito]],2,0))</f>
        <v>GUILHERME RODRIGUES/ARQUIVO DA EDITORA</v>
      </c>
      <c r="Z233" s="23"/>
      <c r="AA233" s="23" t="str">
        <f>Tabela2[[#This Row],[ILUSTRADOR CRIAÇÃO]]</f>
        <v>GUILHERME RODRIGUES/ARQUIVO DA EDITORA</v>
      </c>
      <c r="AB233" s="22"/>
      <c r="AC233" s="20"/>
      <c r="AD233" s="20"/>
      <c r="AE233" s="4" t="str">
        <f t="shared" si="3"/>
        <v>EF1 E002 HGC</v>
      </c>
    </row>
    <row r="234" spans="1:31" s="12" customFormat="1" x14ac:dyDescent="0.25">
      <c r="A234" s="23" t="s">
        <v>568</v>
      </c>
      <c r="B234" s="20" t="s">
        <v>32</v>
      </c>
      <c r="C234" s="20" t="s">
        <v>33</v>
      </c>
      <c r="D234" s="20" t="s">
        <v>34</v>
      </c>
      <c r="E234" s="22">
        <v>157</v>
      </c>
      <c r="F234" s="22">
        <v>1</v>
      </c>
      <c r="G234" s="22">
        <v>4</v>
      </c>
      <c r="H234" s="22"/>
      <c r="I234" s="23" t="s">
        <v>35</v>
      </c>
      <c r="J234" s="23"/>
      <c r="K234" s="22"/>
      <c r="L234" s="22"/>
      <c r="M234" s="23"/>
      <c r="N234" s="23"/>
      <c r="O234" s="26" t="s">
        <v>569</v>
      </c>
      <c r="P234" s="26"/>
      <c r="Q234" s="26"/>
      <c r="R234" s="22"/>
      <c r="S234" s="24"/>
      <c r="T234" s="24"/>
      <c r="U234" s="24"/>
      <c r="V234" s="24"/>
      <c r="W234" s="24"/>
      <c r="X234" s="22" t="s">
        <v>37</v>
      </c>
      <c r="Y234" s="4" t="str">
        <f>IF(Tabela2[[#This Row],[SIGLA]]="","",VLOOKUP(Tabela2[[#This Row],[SIGLA]],Tabela1[[#All],[Sigla Arte]:[Crédito]],2,0))</f>
        <v>GUILHERME RODRIGUES/ARQUIVO DA EDITORA</v>
      </c>
      <c r="Z234" s="23"/>
      <c r="AA234" s="23" t="str">
        <f>Tabela2[[#This Row],[ILUSTRADOR CRIAÇÃO]]</f>
        <v>GUILHERME RODRIGUES/ARQUIVO DA EDITORA</v>
      </c>
      <c r="AB234" s="22"/>
      <c r="AC234" s="20"/>
      <c r="AD234" s="20"/>
      <c r="AE234" s="4" t="str">
        <f t="shared" si="3"/>
        <v>EF1 E002 HGC</v>
      </c>
    </row>
    <row r="235" spans="1:31" s="12" customFormat="1" x14ac:dyDescent="0.25">
      <c r="A235" s="23" t="s">
        <v>570</v>
      </c>
      <c r="B235" s="20" t="s">
        <v>32</v>
      </c>
      <c r="C235" s="20" t="s">
        <v>33</v>
      </c>
      <c r="D235" s="20" t="s">
        <v>34</v>
      </c>
      <c r="E235" s="22">
        <v>157</v>
      </c>
      <c r="F235" s="22">
        <v>1</v>
      </c>
      <c r="G235" s="22">
        <v>4</v>
      </c>
      <c r="H235" s="22"/>
      <c r="I235" s="23" t="s">
        <v>35</v>
      </c>
      <c r="J235" s="23"/>
      <c r="K235" s="22"/>
      <c r="L235" s="22"/>
      <c r="M235" s="23"/>
      <c r="N235" s="23"/>
      <c r="O235" s="26" t="s">
        <v>571</v>
      </c>
      <c r="P235" s="26"/>
      <c r="Q235" s="26"/>
      <c r="R235" s="22"/>
      <c r="S235" s="24"/>
      <c r="T235" s="24"/>
      <c r="U235" s="24"/>
      <c r="V235" s="24"/>
      <c r="W235" s="24"/>
      <c r="X235" s="22" t="s">
        <v>37</v>
      </c>
      <c r="Y235" s="4" t="str">
        <f>IF(Tabela2[[#This Row],[SIGLA]]="","",VLOOKUP(Tabela2[[#This Row],[SIGLA]],Tabela1[[#All],[Sigla Arte]:[Crédito]],2,0))</f>
        <v>GUILHERME RODRIGUES/ARQUIVO DA EDITORA</v>
      </c>
      <c r="Z235" s="23"/>
      <c r="AA235" s="23" t="str">
        <f>Tabela2[[#This Row],[ILUSTRADOR CRIAÇÃO]]</f>
        <v>GUILHERME RODRIGUES/ARQUIVO DA EDITORA</v>
      </c>
      <c r="AB235" s="22"/>
      <c r="AC235" s="20"/>
      <c r="AD235" s="20"/>
      <c r="AE235" s="4" t="str">
        <f t="shared" si="3"/>
        <v>EF1 E002 HGC</v>
      </c>
    </row>
    <row r="236" spans="1:31" s="12" customFormat="1" ht="30" x14ac:dyDescent="0.25">
      <c r="A236" s="23" t="s">
        <v>572</v>
      </c>
      <c r="B236" s="20" t="s">
        <v>32</v>
      </c>
      <c r="C236" s="20" t="s">
        <v>33</v>
      </c>
      <c r="D236" s="20" t="s">
        <v>34</v>
      </c>
      <c r="E236" s="22">
        <v>157</v>
      </c>
      <c r="F236" s="22">
        <v>1</v>
      </c>
      <c r="G236" s="22">
        <v>4</v>
      </c>
      <c r="H236" s="22"/>
      <c r="I236" s="23" t="s">
        <v>35</v>
      </c>
      <c r="J236" s="23"/>
      <c r="K236" s="22"/>
      <c r="L236" s="22"/>
      <c r="M236" s="23"/>
      <c r="N236" s="23"/>
      <c r="O236" s="26" t="s">
        <v>573</v>
      </c>
      <c r="P236" s="26"/>
      <c r="Q236" s="26"/>
      <c r="R236" s="22"/>
      <c r="S236" s="24"/>
      <c r="T236" s="24"/>
      <c r="U236" s="24"/>
      <c r="V236" s="24"/>
      <c r="W236" s="24"/>
      <c r="X236" s="22" t="s">
        <v>37</v>
      </c>
      <c r="Y236" s="4" t="str">
        <f>IF(Tabela2[[#This Row],[SIGLA]]="","",VLOOKUP(Tabela2[[#This Row],[SIGLA]],Tabela1[[#All],[Sigla Arte]:[Crédito]],2,0))</f>
        <v>GUILHERME RODRIGUES/ARQUIVO DA EDITORA</v>
      </c>
      <c r="Z236" s="23"/>
      <c r="AA236" s="23" t="str">
        <f>Tabela2[[#This Row],[ILUSTRADOR CRIAÇÃO]]</f>
        <v>GUILHERME RODRIGUES/ARQUIVO DA EDITORA</v>
      </c>
      <c r="AB236" s="22"/>
      <c r="AC236" s="20"/>
      <c r="AD236" s="20"/>
      <c r="AE236" s="4" t="str">
        <f t="shared" si="3"/>
        <v>EF1 E002 HGC</v>
      </c>
    </row>
    <row r="237" spans="1:31" s="12" customFormat="1" ht="30" x14ac:dyDescent="0.25">
      <c r="A237" s="23" t="s">
        <v>574</v>
      </c>
      <c r="B237" s="20" t="s">
        <v>32</v>
      </c>
      <c r="C237" s="20" t="s">
        <v>33</v>
      </c>
      <c r="D237" s="20" t="s">
        <v>34</v>
      </c>
      <c r="E237" s="22">
        <v>157</v>
      </c>
      <c r="F237" s="22">
        <v>1</v>
      </c>
      <c r="G237" s="22">
        <v>4</v>
      </c>
      <c r="H237" s="22"/>
      <c r="I237" s="23" t="s">
        <v>35</v>
      </c>
      <c r="J237" s="23"/>
      <c r="K237" s="22"/>
      <c r="L237" s="22"/>
      <c r="M237" s="23"/>
      <c r="N237" s="23"/>
      <c r="O237" s="26" t="s">
        <v>575</v>
      </c>
      <c r="P237" s="26"/>
      <c r="Q237" s="26"/>
      <c r="R237" s="22"/>
      <c r="S237" s="24"/>
      <c r="T237" s="24"/>
      <c r="U237" s="24"/>
      <c r="V237" s="24"/>
      <c r="W237" s="24"/>
      <c r="X237" s="22" t="s">
        <v>37</v>
      </c>
      <c r="Y237" s="4" t="str">
        <f>IF(Tabela2[[#This Row],[SIGLA]]="","",VLOOKUP(Tabela2[[#This Row],[SIGLA]],Tabela1[[#All],[Sigla Arte]:[Crédito]],2,0))</f>
        <v>GUILHERME RODRIGUES/ARQUIVO DA EDITORA</v>
      </c>
      <c r="Z237" s="23"/>
      <c r="AA237" s="23" t="str">
        <f>Tabela2[[#This Row],[ILUSTRADOR CRIAÇÃO]]</f>
        <v>GUILHERME RODRIGUES/ARQUIVO DA EDITORA</v>
      </c>
      <c r="AB237" s="22"/>
      <c r="AC237" s="20"/>
      <c r="AD237" s="20"/>
      <c r="AE237" s="4" t="str">
        <f t="shared" si="3"/>
        <v>EF1 E002 HGC</v>
      </c>
    </row>
    <row r="238" spans="1:31" s="12" customFormat="1" ht="30" x14ac:dyDescent="0.25">
      <c r="A238" s="23" t="s">
        <v>576</v>
      </c>
      <c r="B238" s="20" t="s">
        <v>32</v>
      </c>
      <c r="C238" s="20" t="s">
        <v>33</v>
      </c>
      <c r="D238" s="20" t="s">
        <v>34</v>
      </c>
      <c r="E238" s="22">
        <v>157</v>
      </c>
      <c r="F238" s="22">
        <v>1</v>
      </c>
      <c r="G238" s="22">
        <v>4</v>
      </c>
      <c r="H238" s="22"/>
      <c r="I238" s="23" t="s">
        <v>35</v>
      </c>
      <c r="J238" s="23"/>
      <c r="K238" s="22"/>
      <c r="L238" s="22"/>
      <c r="M238" s="23"/>
      <c r="N238" s="23"/>
      <c r="O238" s="26" t="s">
        <v>575</v>
      </c>
      <c r="P238" s="26"/>
      <c r="Q238" s="26"/>
      <c r="R238" s="22"/>
      <c r="S238" s="24"/>
      <c r="T238" s="24"/>
      <c r="U238" s="24"/>
      <c r="V238" s="24"/>
      <c r="W238" s="24"/>
      <c r="X238" s="22" t="s">
        <v>37</v>
      </c>
      <c r="Y238" s="4" t="str">
        <f>IF(Tabela2[[#This Row],[SIGLA]]="","",VLOOKUP(Tabela2[[#This Row],[SIGLA]],Tabela1[[#All],[Sigla Arte]:[Crédito]],2,0))</f>
        <v>GUILHERME RODRIGUES/ARQUIVO DA EDITORA</v>
      </c>
      <c r="Z238" s="23"/>
      <c r="AA238" s="23" t="str">
        <f>Tabela2[[#This Row],[ILUSTRADOR CRIAÇÃO]]</f>
        <v>GUILHERME RODRIGUES/ARQUIVO DA EDITORA</v>
      </c>
      <c r="AB238" s="22"/>
      <c r="AC238" s="20"/>
      <c r="AD238" s="20"/>
      <c r="AE238" s="4" t="str">
        <f t="shared" si="3"/>
        <v>EF1 E002 HGC</v>
      </c>
    </row>
    <row r="239" spans="1:31" s="12" customFormat="1" ht="30" x14ac:dyDescent="0.25">
      <c r="A239" s="23" t="s">
        <v>577</v>
      </c>
      <c r="B239" s="20" t="s">
        <v>32</v>
      </c>
      <c r="C239" s="20" t="s">
        <v>33</v>
      </c>
      <c r="D239" s="20" t="s">
        <v>34</v>
      </c>
      <c r="E239" s="22">
        <v>157</v>
      </c>
      <c r="F239" s="22">
        <v>1</v>
      </c>
      <c r="G239" s="22">
        <v>4</v>
      </c>
      <c r="H239" s="22"/>
      <c r="I239" s="23" t="s">
        <v>35</v>
      </c>
      <c r="J239" s="23"/>
      <c r="K239" s="22"/>
      <c r="L239" s="22"/>
      <c r="M239" s="23"/>
      <c r="N239" s="23"/>
      <c r="O239" s="26" t="s">
        <v>578</v>
      </c>
      <c r="P239" s="26"/>
      <c r="Q239" s="26"/>
      <c r="R239" s="22"/>
      <c r="S239" s="24"/>
      <c r="T239" s="24"/>
      <c r="U239" s="24"/>
      <c r="V239" s="24"/>
      <c r="W239" s="24"/>
      <c r="X239" s="22" t="s">
        <v>37</v>
      </c>
      <c r="Y239" s="4" t="str">
        <f>IF(Tabela2[[#This Row],[SIGLA]]="","",VLOOKUP(Tabela2[[#This Row],[SIGLA]],Tabela1[[#All],[Sigla Arte]:[Crédito]],2,0))</f>
        <v>GUILHERME RODRIGUES/ARQUIVO DA EDITORA</v>
      </c>
      <c r="Z239" s="23"/>
      <c r="AA239" s="23" t="str">
        <f>Tabela2[[#This Row],[ILUSTRADOR CRIAÇÃO]]</f>
        <v>GUILHERME RODRIGUES/ARQUIVO DA EDITORA</v>
      </c>
      <c r="AB239" s="22"/>
      <c r="AC239" s="20"/>
      <c r="AD239" s="20"/>
      <c r="AE239" s="4" t="str">
        <f t="shared" si="3"/>
        <v>EF1 E002 HGC</v>
      </c>
    </row>
    <row r="240" spans="1:31" s="12" customFormat="1" ht="105" x14ac:dyDescent="0.25">
      <c r="A240" s="23" t="s">
        <v>579</v>
      </c>
      <c r="B240" s="20" t="s">
        <v>32</v>
      </c>
      <c r="C240" s="20" t="s">
        <v>33</v>
      </c>
      <c r="D240" s="20" t="s">
        <v>34</v>
      </c>
      <c r="E240" s="22">
        <v>175</v>
      </c>
      <c r="F240" s="22">
        <v>1</v>
      </c>
      <c r="G240" s="22">
        <v>4</v>
      </c>
      <c r="H240" s="22"/>
      <c r="I240" s="23" t="s">
        <v>39</v>
      </c>
      <c r="J240" s="23"/>
      <c r="K240" s="22"/>
      <c r="L240" s="22"/>
      <c r="M240" s="23"/>
      <c r="N240" s="23"/>
      <c r="O240" s="26" t="s">
        <v>580</v>
      </c>
      <c r="P240" s="26"/>
      <c r="Q240" s="26"/>
      <c r="R240" s="22">
        <v>13</v>
      </c>
      <c r="S240" s="24">
        <v>45803</v>
      </c>
      <c r="T240" s="24">
        <v>45804</v>
      </c>
      <c r="U240" s="24"/>
      <c r="V240" s="24"/>
      <c r="W240" s="24">
        <v>45805</v>
      </c>
      <c r="X240" s="22" t="s">
        <v>62</v>
      </c>
      <c r="Y240" s="4" t="str">
        <f>IF(Tabela2[[#This Row],[SIGLA]]="","",VLOOKUP(Tabela2[[#This Row],[SIGLA]],Tabela1[[#All],[Sigla Arte]:[Crédito]],2,0))</f>
        <v>IVY NUNES/ARQUIVO DA EDITORA</v>
      </c>
      <c r="Z240" s="23" t="s">
        <v>74</v>
      </c>
      <c r="AA240" s="23" t="str">
        <f>Tabela2[[#This Row],[ILUSTRADOR CRIAÇÃO]]</f>
        <v>IVY NUNES/ARQUIVO DA EDITORA</v>
      </c>
      <c r="AB240" s="22">
        <v>13</v>
      </c>
      <c r="AC240" s="20" t="s">
        <v>43</v>
      </c>
      <c r="AD240" s="20" t="s">
        <v>44</v>
      </c>
      <c r="AE240" s="4" t="str">
        <f t="shared" si="3"/>
        <v>EF1 E002 HGC</v>
      </c>
    </row>
    <row r="241" spans="1:31" s="12" customFormat="1" ht="60" x14ac:dyDescent="0.25">
      <c r="A241" s="23" t="s">
        <v>581</v>
      </c>
      <c r="B241" s="20" t="s">
        <v>32</v>
      </c>
      <c r="C241" s="20" t="s">
        <v>33</v>
      </c>
      <c r="D241" s="20" t="s">
        <v>34</v>
      </c>
      <c r="E241" s="22">
        <v>21</v>
      </c>
      <c r="F241" s="22">
        <v>1</v>
      </c>
      <c r="G241" s="22">
        <v>1</v>
      </c>
      <c r="H241" s="22"/>
      <c r="I241" s="23" t="s">
        <v>35</v>
      </c>
      <c r="J241" s="23"/>
      <c r="K241" s="22"/>
      <c r="L241" s="22"/>
      <c r="M241" s="23"/>
      <c r="N241" s="23"/>
      <c r="O241" s="26" t="s">
        <v>582</v>
      </c>
      <c r="P241" s="26"/>
      <c r="Q241" s="26"/>
      <c r="R241" s="22"/>
      <c r="S241" s="24"/>
      <c r="T241" s="24"/>
      <c r="U241" s="24"/>
      <c r="V241" s="24"/>
      <c r="W241" s="24"/>
      <c r="X241" s="22" t="s">
        <v>37</v>
      </c>
      <c r="Y241" s="4" t="str">
        <f>IF(Tabela2[[#This Row],[SIGLA]]="","",VLOOKUP(Tabela2[[#This Row],[SIGLA]],Tabela1[[#All],[Sigla Arte]:[Crédito]],2,0))</f>
        <v>GUILHERME RODRIGUES/ARQUIVO DA EDITORA</v>
      </c>
      <c r="Z241" s="23"/>
      <c r="AA241" s="23" t="str">
        <f>Tabela2[[#This Row],[ILUSTRADOR CRIAÇÃO]]</f>
        <v>GUILHERME RODRIGUES/ARQUIVO DA EDITORA</v>
      </c>
      <c r="AB241" s="22"/>
      <c r="AC241" s="20"/>
      <c r="AD241" s="20"/>
      <c r="AE241" s="4" t="str">
        <f t="shared" si="3"/>
        <v>EF1 E002 HGC</v>
      </c>
    </row>
    <row r="242" spans="1:31" s="12" customFormat="1" ht="30" x14ac:dyDescent="0.25">
      <c r="A242" s="23" t="s">
        <v>583</v>
      </c>
      <c r="B242" s="20" t="s">
        <v>32</v>
      </c>
      <c r="C242" s="20" t="s">
        <v>33</v>
      </c>
      <c r="D242" s="20" t="s">
        <v>34</v>
      </c>
      <c r="E242" s="22">
        <v>105</v>
      </c>
      <c r="F242" s="22">
        <v>2</v>
      </c>
      <c r="G242" s="22">
        <v>3</v>
      </c>
      <c r="H242" s="22"/>
      <c r="I242" s="23" t="s">
        <v>35</v>
      </c>
      <c r="J242" s="23"/>
      <c r="K242" s="22"/>
      <c r="L242" s="22"/>
      <c r="M242" s="23"/>
      <c r="N242" s="23"/>
      <c r="O242" s="26" t="s">
        <v>584</v>
      </c>
      <c r="P242" s="26"/>
      <c r="Q242" s="26"/>
      <c r="R242" s="22"/>
      <c r="S242" s="24"/>
      <c r="T242" s="24"/>
      <c r="U242" s="24"/>
      <c r="V242" s="24"/>
      <c r="W242" s="24"/>
      <c r="X242" s="22" t="s">
        <v>139</v>
      </c>
      <c r="Y242" s="4" t="str">
        <f>IF(Tabela2[[#This Row],[SIGLA]]="","",VLOOKUP(Tabela2[[#This Row],[SIGLA]],Tabela1[[#All],[Sigla Arte]:[Crédito]],2,0))</f>
        <v>HELOÍSA PINTARELLI/ARQUIVO DA EDITORA</v>
      </c>
      <c r="Z242" s="23"/>
      <c r="AA242" s="23" t="str">
        <f>Tabela2[[#This Row],[ILUSTRADOR CRIAÇÃO]]</f>
        <v>HELOÍSA PINTARELLI/ARQUIVO DA EDITORA</v>
      </c>
      <c r="AB242" s="22"/>
      <c r="AC242" s="20"/>
      <c r="AD242" s="20"/>
      <c r="AE242" s="4" t="str">
        <f t="shared" si="3"/>
        <v>EF1 E002 HGC</v>
      </c>
    </row>
    <row r="243" spans="1:31" s="12" customFormat="1" ht="30" x14ac:dyDescent="0.25">
      <c r="A243" s="23" t="s">
        <v>585</v>
      </c>
      <c r="B243" s="20" t="s">
        <v>32</v>
      </c>
      <c r="C243" s="20" t="s">
        <v>33</v>
      </c>
      <c r="D243" s="20" t="s">
        <v>34</v>
      </c>
      <c r="E243" s="22">
        <v>105</v>
      </c>
      <c r="F243" s="22">
        <v>2</v>
      </c>
      <c r="G243" s="22">
        <v>3</v>
      </c>
      <c r="H243" s="22"/>
      <c r="I243" s="23" t="s">
        <v>35</v>
      </c>
      <c r="J243" s="23"/>
      <c r="K243" s="22"/>
      <c r="L243" s="22"/>
      <c r="M243" s="23"/>
      <c r="N243" s="23"/>
      <c r="O243" s="26" t="s">
        <v>586</v>
      </c>
      <c r="P243" s="26"/>
      <c r="Q243" s="26"/>
      <c r="R243" s="22"/>
      <c r="S243" s="24"/>
      <c r="T243" s="24"/>
      <c r="U243" s="24"/>
      <c r="V243" s="24"/>
      <c r="W243" s="24"/>
      <c r="X243" s="22" t="s">
        <v>139</v>
      </c>
      <c r="Y243" s="4" t="str">
        <f>IF(Tabela2[[#This Row],[SIGLA]]="","",VLOOKUP(Tabela2[[#This Row],[SIGLA]],Tabela1[[#All],[Sigla Arte]:[Crédito]],2,0))</f>
        <v>HELOÍSA PINTARELLI/ARQUIVO DA EDITORA</v>
      </c>
      <c r="Z243" s="23"/>
      <c r="AA243" s="23" t="str">
        <f>Tabela2[[#This Row],[ILUSTRADOR CRIAÇÃO]]</f>
        <v>HELOÍSA PINTARELLI/ARQUIVO DA EDITORA</v>
      </c>
      <c r="AB243" s="22"/>
      <c r="AC243" s="20"/>
      <c r="AD243" s="20"/>
      <c r="AE243" s="4" t="str">
        <f t="shared" si="3"/>
        <v>EF1 E002 HGC</v>
      </c>
    </row>
    <row r="244" spans="1:31" s="12" customFormat="1" ht="45" x14ac:dyDescent="0.25">
      <c r="A244" s="23" t="s">
        <v>587</v>
      </c>
      <c r="B244" s="20" t="s">
        <v>32</v>
      </c>
      <c r="C244" s="20" t="s">
        <v>33</v>
      </c>
      <c r="D244" s="20" t="s">
        <v>34</v>
      </c>
      <c r="E244" s="22">
        <v>108</v>
      </c>
      <c r="F244" s="22">
        <v>2</v>
      </c>
      <c r="G244" s="22">
        <v>3</v>
      </c>
      <c r="H244" s="22"/>
      <c r="I244" s="23" t="s">
        <v>35</v>
      </c>
      <c r="J244" s="23"/>
      <c r="K244" s="22"/>
      <c r="L244" s="22"/>
      <c r="M244" s="23"/>
      <c r="N244" s="23"/>
      <c r="O244" s="26" t="s">
        <v>588</v>
      </c>
      <c r="P244" s="26"/>
      <c r="Q244" s="26"/>
      <c r="R244" s="22"/>
      <c r="S244" s="24"/>
      <c r="T244" s="24"/>
      <c r="U244" s="24"/>
      <c r="V244" s="24"/>
      <c r="W244" s="24"/>
      <c r="X244" s="22" t="s">
        <v>258</v>
      </c>
      <c r="Y244" s="4" t="str">
        <f>IF(Tabela2[[#This Row],[SIGLA]]="","",VLOOKUP(Tabela2[[#This Row],[SIGLA]],Tabela1[[#All],[Sigla Arte]:[Crédito]],2,0))</f>
        <v>CAROL SARTORI/ARQUIVO DA EDITORA</v>
      </c>
      <c r="Z244" s="23"/>
      <c r="AA244" s="23" t="str">
        <f>Tabela2[[#This Row],[ILUSTRADOR CRIAÇÃO]]</f>
        <v>CAROL SARTORI/ARQUIVO DA EDITORA</v>
      </c>
      <c r="AB244" s="22"/>
      <c r="AC244" s="20"/>
      <c r="AD244" s="20"/>
      <c r="AE244" s="4" t="str">
        <f t="shared" si="3"/>
        <v>EF1 E002 HGC</v>
      </c>
    </row>
    <row r="245" spans="1:31" s="12" customFormat="1" ht="75" x14ac:dyDescent="0.25">
      <c r="A245" s="23" t="s">
        <v>589</v>
      </c>
      <c r="B245" s="20" t="s">
        <v>183</v>
      </c>
      <c r="C245" s="20" t="s">
        <v>33</v>
      </c>
      <c r="D245" s="20" t="s">
        <v>34</v>
      </c>
      <c r="E245" s="22">
        <v>109</v>
      </c>
      <c r="F245" s="22">
        <v>2</v>
      </c>
      <c r="G245" s="22">
        <v>3</v>
      </c>
      <c r="H245" s="22"/>
      <c r="I245" s="23" t="s">
        <v>39</v>
      </c>
      <c r="J245" s="23"/>
      <c r="K245" s="22"/>
      <c r="L245" s="22"/>
      <c r="M245" s="23"/>
      <c r="N245" s="23"/>
      <c r="O245" s="26" t="s">
        <v>590</v>
      </c>
      <c r="P245" s="26"/>
      <c r="Q245" s="26"/>
      <c r="R245" s="22">
        <v>5</v>
      </c>
      <c r="S245" s="24">
        <v>45807</v>
      </c>
      <c r="T245" s="24">
        <v>45876</v>
      </c>
      <c r="U245" s="24"/>
      <c r="V245" s="24"/>
      <c r="W245" s="24">
        <v>45877</v>
      </c>
      <c r="X245" s="22" t="s">
        <v>258</v>
      </c>
      <c r="Y245" s="4" t="str">
        <f>IF(Tabela2[[#This Row],[SIGLA]]="","",VLOOKUP(Tabela2[[#This Row],[SIGLA]],Tabela1[[#All],[Sigla Arte]:[Crédito]],2,0))</f>
        <v>CAROL SARTORI/ARQUIVO DA EDITORA</v>
      </c>
      <c r="Z245" s="23" t="s">
        <v>504</v>
      </c>
      <c r="AA245" s="23" t="str">
        <f>Tabela2[[#This Row],[ILUSTRADOR CRIAÇÃO]]</f>
        <v>CAROL SARTORI/ARQUIVO DA EDITORA</v>
      </c>
      <c r="AB245" s="22">
        <v>13</v>
      </c>
      <c r="AC245" s="20" t="s">
        <v>43</v>
      </c>
      <c r="AD245" s="20" t="s">
        <v>44</v>
      </c>
      <c r="AE245" s="4" t="str">
        <f t="shared" si="3"/>
        <v>EF1 E002 HGC</v>
      </c>
    </row>
    <row r="246" spans="1:31" s="12" customFormat="1" ht="45" x14ac:dyDescent="0.25">
      <c r="A246" s="23" t="s">
        <v>591</v>
      </c>
      <c r="B246" s="20" t="s">
        <v>32</v>
      </c>
      <c r="C246" s="20" t="s">
        <v>33</v>
      </c>
      <c r="D246" s="20" t="s">
        <v>34</v>
      </c>
      <c r="E246" s="22">
        <v>112</v>
      </c>
      <c r="F246" s="22">
        <v>2</v>
      </c>
      <c r="G246" s="22">
        <v>3</v>
      </c>
      <c r="H246" s="22"/>
      <c r="I246" s="23" t="s">
        <v>35</v>
      </c>
      <c r="J246" s="23"/>
      <c r="K246" s="22"/>
      <c r="L246" s="22"/>
      <c r="M246" s="23"/>
      <c r="N246" s="23"/>
      <c r="O246" s="26" t="s">
        <v>592</v>
      </c>
      <c r="P246" s="26"/>
      <c r="Q246" s="26"/>
      <c r="R246" s="22"/>
      <c r="S246" s="24"/>
      <c r="T246" s="24"/>
      <c r="U246" s="24"/>
      <c r="V246" s="24"/>
      <c r="W246" s="24"/>
      <c r="X246" s="22" t="s">
        <v>258</v>
      </c>
      <c r="Y246" s="4" t="str">
        <f>IF(Tabela2[[#This Row],[SIGLA]]="","",VLOOKUP(Tabela2[[#This Row],[SIGLA]],Tabela1[[#All],[Sigla Arte]:[Crédito]],2,0))</f>
        <v>CAROL SARTORI/ARQUIVO DA EDITORA</v>
      </c>
      <c r="Z246" s="23"/>
      <c r="AA246" s="23" t="str">
        <f>Tabela2[[#This Row],[ILUSTRADOR CRIAÇÃO]]</f>
        <v>CAROL SARTORI/ARQUIVO DA EDITORA</v>
      </c>
      <c r="AB246" s="22"/>
      <c r="AC246" s="20"/>
      <c r="AD246" s="20"/>
      <c r="AE246" s="4" t="str">
        <f t="shared" si="3"/>
        <v>EF1 E002 HGC</v>
      </c>
    </row>
    <row r="247" spans="1:31" s="12" customFormat="1" ht="60" x14ac:dyDescent="0.25">
      <c r="A247" s="23" t="s">
        <v>593</v>
      </c>
      <c r="B247" s="20" t="s">
        <v>32</v>
      </c>
      <c r="C247" s="20" t="s">
        <v>33</v>
      </c>
      <c r="D247" s="20" t="s">
        <v>34</v>
      </c>
      <c r="E247" s="22">
        <v>117</v>
      </c>
      <c r="F247" s="22">
        <v>2</v>
      </c>
      <c r="G247" s="22">
        <v>3</v>
      </c>
      <c r="H247" s="22"/>
      <c r="I247" s="23" t="s">
        <v>35</v>
      </c>
      <c r="J247" s="23"/>
      <c r="K247" s="22"/>
      <c r="L247" s="22"/>
      <c r="M247" s="23"/>
      <c r="N247" s="23"/>
      <c r="O247" s="26" t="s">
        <v>594</v>
      </c>
      <c r="P247" s="26"/>
      <c r="Q247" s="26"/>
      <c r="R247" s="22"/>
      <c r="S247" s="24"/>
      <c r="T247" s="24"/>
      <c r="U247" s="24"/>
      <c r="V247" s="24"/>
      <c r="W247" s="24"/>
      <c r="X247" s="22" t="s">
        <v>595</v>
      </c>
      <c r="Y247" s="4" t="str">
        <f>IF(Tabela2[[#This Row],[SIGLA]]="","",VLOOKUP(Tabela2[[#This Row],[SIGLA]],Tabela1[[#All],[Sigla Arte]:[Crédito]],2,0))</f>
        <v>LUCAS PALMA/ARQUIVO DA EDITORA</v>
      </c>
      <c r="Z247" s="23"/>
      <c r="AA247" s="23" t="str">
        <f>Tabela2[[#This Row],[ILUSTRADOR CRIAÇÃO]]</f>
        <v>LUCAS PALMA/ARQUIVO DA EDITORA</v>
      </c>
      <c r="AB247" s="22"/>
      <c r="AC247" s="20"/>
      <c r="AD247" s="20"/>
      <c r="AE247" s="4" t="str">
        <f t="shared" si="3"/>
        <v>EF1 E002 HGC</v>
      </c>
    </row>
    <row r="248" spans="1:31" s="12" customFormat="1" ht="45" x14ac:dyDescent="0.25">
      <c r="A248" s="23" t="s">
        <v>596</v>
      </c>
      <c r="B248" s="20" t="s">
        <v>32</v>
      </c>
      <c r="C248" s="20" t="s">
        <v>33</v>
      </c>
      <c r="D248" s="20" t="s">
        <v>34</v>
      </c>
      <c r="E248" s="22">
        <v>118</v>
      </c>
      <c r="F248" s="22">
        <v>2</v>
      </c>
      <c r="G248" s="22">
        <v>3</v>
      </c>
      <c r="H248" s="22"/>
      <c r="I248" s="23" t="s">
        <v>35</v>
      </c>
      <c r="J248" s="23"/>
      <c r="K248" s="22"/>
      <c r="L248" s="22"/>
      <c r="M248" s="23"/>
      <c r="N248" s="23"/>
      <c r="O248" s="26" t="s">
        <v>597</v>
      </c>
      <c r="P248" s="26"/>
      <c r="Q248" s="26"/>
      <c r="R248" s="22"/>
      <c r="S248" s="24"/>
      <c r="T248" s="24"/>
      <c r="U248" s="24"/>
      <c r="V248" s="24"/>
      <c r="W248" s="24"/>
      <c r="X248" s="22" t="s">
        <v>595</v>
      </c>
      <c r="Y248" s="4" t="str">
        <f>IF(Tabela2[[#This Row],[SIGLA]]="","",VLOOKUP(Tabela2[[#This Row],[SIGLA]],Tabela1[[#All],[Sigla Arte]:[Crédito]],2,0))</f>
        <v>LUCAS PALMA/ARQUIVO DA EDITORA</v>
      </c>
      <c r="Z248" s="23"/>
      <c r="AA248" s="23" t="str">
        <f>Tabela2[[#This Row],[ILUSTRADOR CRIAÇÃO]]</f>
        <v>LUCAS PALMA/ARQUIVO DA EDITORA</v>
      </c>
      <c r="AB248" s="22"/>
      <c r="AC248" s="20"/>
      <c r="AD248" s="20"/>
      <c r="AE248" s="4" t="str">
        <f t="shared" si="3"/>
        <v>EF1 E002 HGC</v>
      </c>
    </row>
    <row r="249" spans="1:31" s="12" customFormat="1" ht="30" x14ac:dyDescent="0.25">
      <c r="A249" s="23" t="s">
        <v>598</v>
      </c>
      <c r="B249" s="20" t="s">
        <v>32</v>
      </c>
      <c r="C249" s="20" t="s">
        <v>33</v>
      </c>
      <c r="D249" s="20" t="s">
        <v>34</v>
      </c>
      <c r="E249" s="22">
        <v>118</v>
      </c>
      <c r="F249" s="22">
        <v>2</v>
      </c>
      <c r="G249" s="22">
        <v>3</v>
      </c>
      <c r="H249" s="22"/>
      <c r="I249" s="23" t="s">
        <v>35</v>
      </c>
      <c r="J249" s="23"/>
      <c r="K249" s="22"/>
      <c r="L249" s="22"/>
      <c r="M249" s="23"/>
      <c r="N249" s="23"/>
      <c r="O249" s="26" t="s">
        <v>599</v>
      </c>
      <c r="P249" s="26"/>
      <c r="Q249" s="26"/>
      <c r="R249" s="22"/>
      <c r="S249" s="24"/>
      <c r="T249" s="24"/>
      <c r="U249" s="24"/>
      <c r="V249" s="24"/>
      <c r="W249" s="24"/>
      <c r="X249" s="22" t="s">
        <v>595</v>
      </c>
      <c r="Y249" s="4" t="str">
        <f>IF(Tabela2[[#This Row],[SIGLA]]="","",VLOOKUP(Tabela2[[#This Row],[SIGLA]],Tabela1[[#All],[Sigla Arte]:[Crédito]],2,0))</f>
        <v>LUCAS PALMA/ARQUIVO DA EDITORA</v>
      </c>
      <c r="Z249" s="23"/>
      <c r="AA249" s="23" t="str">
        <f>Tabela2[[#This Row],[ILUSTRADOR CRIAÇÃO]]</f>
        <v>LUCAS PALMA/ARQUIVO DA EDITORA</v>
      </c>
      <c r="AB249" s="22"/>
      <c r="AC249" s="20"/>
      <c r="AD249" s="20"/>
      <c r="AE249" s="4" t="str">
        <f t="shared" si="3"/>
        <v>EF1 E002 HGC</v>
      </c>
    </row>
    <row r="250" spans="1:31" s="12" customFormat="1" ht="45" x14ac:dyDescent="0.25">
      <c r="A250" s="23" t="s">
        <v>600</v>
      </c>
      <c r="B250" s="20" t="s">
        <v>32</v>
      </c>
      <c r="C250" s="20" t="s">
        <v>33</v>
      </c>
      <c r="D250" s="20" t="s">
        <v>34</v>
      </c>
      <c r="E250" s="22">
        <v>118</v>
      </c>
      <c r="F250" s="22">
        <v>2</v>
      </c>
      <c r="G250" s="22">
        <v>3</v>
      </c>
      <c r="H250" s="22"/>
      <c r="I250" s="23" t="s">
        <v>35</v>
      </c>
      <c r="J250" s="23"/>
      <c r="K250" s="22"/>
      <c r="L250" s="22"/>
      <c r="M250" s="23"/>
      <c r="N250" s="23"/>
      <c r="O250" s="26" t="s">
        <v>601</v>
      </c>
      <c r="P250" s="26"/>
      <c r="Q250" s="26"/>
      <c r="R250" s="22"/>
      <c r="S250" s="24"/>
      <c r="T250" s="24"/>
      <c r="U250" s="24"/>
      <c r="V250" s="24"/>
      <c r="W250" s="24"/>
      <c r="X250" s="22" t="s">
        <v>595</v>
      </c>
      <c r="Y250" s="4" t="str">
        <f>IF(Tabela2[[#This Row],[SIGLA]]="","",VLOOKUP(Tabela2[[#This Row],[SIGLA]],Tabela1[[#All],[Sigla Arte]:[Crédito]],2,0))</f>
        <v>LUCAS PALMA/ARQUIVO DA EDITORA</v>
      </c>
      <c r="Z250" s="23"/>
      <c r="AA250" s="23" t="str">
        <f>Tabela2[[#This Row],[ILUSTRADOR CRIAÇÃO]]</f>
        <v>LUCAS PALMA/ARQUIVO DA EDITORA</v>
      </c>
      <c r="AB250" s="22"/>
      <c r="AC250" s="20"/>
      <c r="AD250" s="20"/>
      <c r="AE250" s="4" t="str">
        <f t="shared" si="3"/>
        <v>EF1 E002 HGC</v>
      </c>
    </row>
    <row r="251" spans="1:31" s="12" customFormat="1" ht="45" x14ac:dyDescent="0.25">
      <c r="A251" s="23" t="s">
        <v>602</v>
      </c>
      <c r="B251" s="20" t="s">
        <v>32</v>
      </c>
      <c r="C251" s="20" t="s">
        <v>33</v>
      </c>
      <c r="D251" s="20" t="s">
        <v>34</v>
      </c>
      <c r="E251" s="22">
        <v>119</v>
      </c>
      <c r="F251" s="22">
        <v>2</v>
      </c>
      <c r="G251" s="22">
        <v>3</v>
      </c>
      <c r="H251" s="22"/>
      <c r="I251" s="23" t="s">
        <v>35</v>
      </c>
      <c r="J251" s="23"/>
      <c r="K251" s="22"/>
      <c r="L251" s="22"/>
      <c r="M251" s="23"/>
      <c r="N251" s="23"/>
      <c r="O251" s="26" t="s">
        <v>603</v>
      </c>
      <c r="P251" s="26"/>
      <c r="Q251" s="26"/>
      <c r="R251" s="22"/>
      <c r="S251" s="24"/>
      <c r="T251" s="24"/>
      <c r="U251" s="24"/>
      <c r="V251" s="24"/>
      <c r="W251" s="24"/>
      <c r="X251" s="22" t="s">
        <v>604</v>
      </c>
      <c r="Y251" s="4" t="str">
        <f>IF(Tabela2[[#This Row],[SIGLA]]="","",VLOOKUP(Tabela2[[#This Row],[SIGLA]],Tabela1[[#All],[Sigla Arte]:[Crédito]],2,0))</f>
        <v>CÁTIA GERMANI/ARQUIVO DA EDITORA</v>
      </c>
      <c r="Z251" s="23"/>
      <c r="AA251" s="23" t="str">
        <f>Tabela2[[#This Row],[ILUSTRADOR CRIAÇÃO]]</f>
        <v>CÁTIA GERMANI/ARQUIVO DA EDITORA</v>
      </c>
      <c r="AB251" s="22"/>
      <c r="AC251" s="20"/>
      <c r="AD251" s="20"/>
      <c r="AE251" s="4" t="str">
        <f t="shared" si="3"/>
        <v>EF1 E002 HGC</v>
      </c>
    </row>
    <row r="252" spans="1:31" s="12" customFormat="1" ht="30" x14ac:dyDescent="0.25">
      <c r="A252" s="23" t="s">
        <v>605</v>
      </c>
      <c r="B252" s="20" t="s">
        <v>32</v>
      </c>
      <c r="C252" s="20" t="s">
        <v>33</v>
      </c>
      <c r="D252" s="20" t="s">
        <v>34</v>
      </c>
      <c r="E252" s="22">
        <v>127</v>
      </c>
      <c r="F252" s="22">
        <v>2</v>
      </c>
      <c r="G252" s="22">
        <v>3</v>
      </c>
      <c r="H252" s="22"/>
      <c r="I252" s="23" t="s">
        <v>35</v>
      </c>
      <c r="J252" s="23"/>
      <c r="K252" s="22"/>
      <c r="L252" s="22"/>
      <c r="M252" s="23"/>
      <c r="N252" s="23"/>
      <c r="O252" s="26" t="s">
        <v>606</v>
      </c>
      <c r="P252" s="26"/>
      <c r="Q252" s="26"/>
      <c r="R252" s="22"/>
      <c r="S252" s="24"/>
      <c r="T252" s="24"/>
      <c r="U252" s="24"/>
      <c r="V252" s="24"/>
      <c r="W252" s="24"/>
      <c r="X252" s="22" t="s">
        <v>62</v>
      </c>
      <c r="Y252" s="4" t="str">
        <f>IF(Tabela2[[#This Row],[SIGLA]]="","",VLOOKUP(Tabela2[[#This Row],[SIGLA]],Tabela1[[#All],[Sigla Arte]:[Crédito]],2,0))</f>
        <v>IVY NUNES/ARQUIVO DA EDITORA</v>
      </c>
      <c r="Z252" s="23"/>
      <c r="AA252" s="23" t="str">
        <f>Tabela2[[#This Row],[ILUSTRADOR CRIAÇÃO]]</f>
        <v>IVY NUNES/ARQUIVO DA EDITORA</v>
      </c>
      <c r="AB252" s="22"/>
      <c r="AC252" s="20"/>
      <c r="AD252" s="20"/>
      <c r="AE252" s="4" t="str">
        <f t="shared" si="3"/>
        <v>EF1 E002 HGC</v>
      </c>
    </row>
    <row r="253" spans="1:31" s="12" customFormat="1" ht="60" x14ac:dyDescent="0.25">
      <c r="A253" s="23" t="s">
        <v>607</v>
      </c>
      <c r="B253" s="20" t="s">
        <v>32</v>
      </c>
      <c r="C253" s="20" t="s">
        <v>33</v>
      </c>
      <c r="D253" s="20" t="s">
        <v>34</v>
      </c>
      <c r="E253" s="22">
        <v>127</v>
      </c>
      <c r="F253" s="22">
        <v>2</v>
      </c>
      <c r="G253" s="22">
        <v>3</v>
      </c>
      <c r="H253" s="22"/>
      <c r="I253" s="23" t="s">
        <v>39</v>
      </c>
      <c r="J253" s="23"/>
      <c r="K253" s="22"/>
      <c r="L253" s="22"/>
      <c r="M253" s="23"/>
      <c r="N253" s="23"/>
      <c r="O253" s="26" t="s">
        <v>608</v>
      </c>
      <c r="P253" s="26"/>
      <c r="Q253" s="26"/>
      <c r="R253" s="22">
        <v>5</v>
      </c>
      <c r="S253" s="24">
        <v>45807</v>
      </c>
      <c r="T253" s="24">
        <v>45810</v>
      </c>
      <c r="U253" s="24"/>
      <c r="V253" s="24"/>
      <c r="W253" s="24">
        <v>45811</v>
      </c>
      <c r="X253" s="22" t="s">
        <v>62</v>
      </c>
      <c r="Y253" s="4" t="str">
        <f>IF(Tabela2[[#This Row],[SIGLA]]="","",VLOOKUP(Tabela2[[#This Row],[SIGLA]],Tabela1[[#All],[Sigla Arte]:[Crédito]],2,0))</f>
        <v>IVY NUNES/ARQUIVO DA EDITORA</v>
      </c>
      <c r="Z253" s="23" t="s">
        <v>74</v>
      </c>
      <c r="AA253" s="23" t="str">
        <f>Tabela2[[#This Row],[ILUSTRADOR CRIAÇÃO]]</f>
        <v>IVY NUNES/ARQUIVO DA EDITORA</v>
      </c>
      <c r="AB253" s="22">
        <v>14</v>
      </c>
      <c r="AC253" s="20" t="s">
        <v>43</v>
      </c>
      <c r="AD253" s="20" t="s">
        <v>44</v>
      </c>
      <c r="AE253" s="4" t="str">
        <f t="shared" si="3"/>
        <v>EF1 E002 HGC</v>
      </c>
    </row>
    <row r="254" spans="1:31" s="12" customFormat="1" ht="45" x14ac:dyDescent="0.25">
      <c r="A254" s="23" t="s">
        <v>609</v>
      </c>
      <c r="B254" s="20" t="s">
        <v>32</v>
      </c>
      <c r="C254" s="20" t="s">
        <v>33</v>
      </c>
      <c r="D254" s="20" t="s">
        <v>34</v>
      </c>
      <c r="E254" s="22">
        <v>127</v>
      </c>
      <c r="F254" s="22">
        <v>2</v>
      </c>
      <c r="G254" s="22">
        <v>3</v>
      </c>
      <c r="H254" s="22"/>
      <c r="I254" s="23" t="s">
        <v>35</v>
      </c>
      <c r="J254" s="23"/>
      <c r="K254" s="22"/>
      <c r="L254" s="22"/>
      <c r="M254" s="23"/>
      <c r="N254" s="23"/>
      <c r="O254" s="26" t="s">
        <v>610</v>
      </c>
      <c r="P254" s="26"/>
      <c r="Q254" s="26"/>
      <c r="R254" s="22"/>
      <c r="S254" s="24"/>
      <c r="T254" s="24"/>
      <c r="U254" s="24"/>
      <c r="V254" s="24"/>
      <c r="W254" s="24"/>
      <c r="X254" s="22" t="s">
        <v>62</v>
      </c>
      <c r="Y254" s="4" t="str">
        <f>IF(Tabela2[[#This Row],[SIGLA]]="","",VLOOKUP(Tabela2[[#This Row],[SIGLA]],Tabela1[[#All],[Sigla Arte]:[Crédito]],2,0))</f>
        <v>IVY NUNES/ARQUIVO DA EDITORA</v>
      </c>
      <c r="Z254" s="23"/>
      <c r="AA254" s="23" t="str">
        <f>Tabela2[[#This Row],[ILUSTRADOR CRIAÇÃO]]</f>
        <v>IVY NUNES/ARQUIVO DA EDITORA</v>
      </c>
      <c r="AB254" s="22"/>
      <c r="AC254" s="20"/>
      <c r="AD254" s="20"/>
      <c r="AE254" s="4" t="str">
        <f t="shared" si="3"/>
        <v>EF1 E002 HGC</v>
      </c>
    </row>
    <row r="255" spans="1:31" s="12" customFormat="1" ht="45" x14ac:dyDescent="0.25">
      <c r="A255" s="23" t="s">
        <v>611</v>
      </c>
      <c r="B255" s="20" t="s">
        <v>32</v>
      </c>
      <c r="C255" s="20" t="s">
        <v>33</v>
      </c>
      <c r="D255" s="20" t="s">
        <v>34</v>
      </c>
      <c r="E255" s="22">
        <v>128</v>
      </c>
      <c r="F255" s="22">
        <v>2</v>
      </c>
      <c r="G255" s="22">
        <v>3</v>
      </c>
      <c r="H255" s="22"/>
      <c r="I255" s="23" t="s">
        <v>35</v>
      </c>
      <c r="J255" s="23"/>
      <c r="K255" s="22"/>
      <c r="L255" s="22"/>
      <c r="M255" s="23"/>
      <c r="N255" s="23"/>
      <c r="O255" s="26" t="s">
        <v>612</v>
      </c>
      <c r="P255" s="26"/>
      <c r="Q255" s="26"/>
      <c r="R255" s="22"/>
      <c r="S255" s="24"/>
      <c r="T255" s="24"/>
      <c r="U255" s="24"/>
      <c r="V255" s="24"/>
      <c r="W255" s="24"/>
      <c r="X255" s="22" t="s">
        <v>62</v>
      </c>
      <c r="Y255" s="4" t="str">
        <f>IF(Tabela2[[#This Row],[SIGLA]]="","",VLOOKUP(Tabela2[[#This Row],[SIGLA]],Tabela1[[#All],[Sigla Arte]:[Crédito]],2,0))</f>
        <v>IVY NUNES/ARQUIVO DA EDITORA</v>
      </c>
      <c r="Z255" s="23"/>
      <c r="AA255" s="23" t="str">
        <f>Tabela2[[#This Row],[ILUSTRADOR CRIAÇÃO]]</f>
        <v>IVY NUNES/ARQUIVO DA EDITORA</v>
      </c>
      <c r="AB255" s="22"/>
      <c r="AC255" s="20"/>
      <c r="AD255" s="20"/>
      <c r="AE255" s="4" t="str">
        <f t="shared" si="3"/>
        <v>EF1 E002 HGC</v>
      </c>
    </row>
    <row r="256" spans="1:31" s="12" customFormat="1" ht="30" x14ac:dyDescent="0.25">
      <c r="A256" s="23" t="s">
        <v>613</v>
      </c>
      <c r="B256" s="20" t="s">
        <v>32</v>
      </c>
      <c r="C256" s="20" t="s">
        <v>33</v>
      </c>
      <c r="D256" s="20" t="s">
        <v>34</v>
      </c>
      <c r="E256" s="22">
        <v>129</v>
      </c>
      <c r="F256" s="22">
        <v>2</v>
      </c>
      <c r="G256" s="22">
        <v>3</v>
      </c>
      <c r="H256" s="22"/>
      <c r="I256" s="23" t="s">
        <v>35</v>
      </c>
      <c r="J256" s="23"/>
      <c r="K256" s="22"/>
      <c r="L256" s="22"/>
      <c r="M256" s="23"/>
      <c r="N256" s="23"/>
      <c r="O256" s="26" t="s">
        <v>614</v>
      </c>
      <c r="P256" s="26"/>
      <c r="Q256" s="26"/>
      <c r="R256" s="22"/>
      <c r="S256" s="24"/>
      <c r="T256" s="24"/>
      <c r="U256" s="24"/>
      <c r="V256" s="24"/>
      <c r="W256" s="24"/>
      <c r="X256" s="22" t="s">
        <v>399</v>
      </c>
      <c r="Y256" s="4" t="str">
        <f>IF(Tabela2[[#This Row],[SIGLA]]="","",VLOOKUP(Tabela2[[#This Row],[SIGLA]],Tabela1[[#All],[Sigla Arte]:[Crédito]],2,0))</f>
        <v>KLEBER MAURÍCIO COELHO/ARQUIVO DA EDITORA</v>
      </c>
      <c r="Z256" s="23"/>
      <c r="AA256" s="23" t="str">
        <f>Tabela2[[#This Row],[ILUSTRADOR CRIAÇÃO]]</f>
        <v>KLEBER MAURÍCIO COELHO/ARQUIVO DA EDITORA</v>
      </c>
      <c r="AB256" s="22"/>
      <c r="AC256" s="20"/>
      <c r="AD256" s="20"/>
      <c r="AE256" s="4" t="str">
        <f t="shared" si="3"/>
        <v>EF1 E002 HGC</v>
      </c>
    </row>
    <row r="257" spans="1:31" s="12" customFormat="1" ht="60" x14ac:dyDescent="0.25">
      <c r="A257" s="23" t="s">
        <v>615</v>
      </c>
      <c r="B257" s="20" t="s">
        <v>32</v>
      </c>
      <c r="C257" s="20" t="s">
        <v>33</v>
      </c>
      <c r="D257" s="20" t="s">
        <v>34</v>
      </c>
      <c r="E257" s="22">
        <v>130</v>
      </c>
      <c r="F257" s="22">
        <v>2</v>
      </c>
      <c r="G257" s="22">
        <v>3</v>
      </c>
      <c r="H257" s="22"/>
      <c r="I257" s="23" t="s">
        <v>35</v>
      </c>
      <c r="J257" s="23"/>
      <c r="K257" s="22"/>
      <c r="L257" s="22"/>
      <c r="M257" s="23"/>
      <c r="N257" s="23"/>
      <c r="O257" s="26" t="s">
        <v>616</v>
      </c>
      <c r="P257" s="26"/>
      <c r="Q257" s="26"/>
      <c r="R257" s="22"/>
      <c r="S257" s="24"/>
      <c r="T257" s="24"/>
      <c r="U257" s="24"/>
      <c r="V257" s="24"/>
      <c r="W257" s="24"/>
      <c r="X257" s="22" t="s">
        <v>238</v>
      </c>
      <c r="Y257" s="4" t="str">
        <f>IF(Tabela2[[#This Row],[SIGLA]]="","",VLOOKUP(Tabela2[[#This Row],[SIGLA]],Tabela1[[#All],[Sigla Arte]:[Crédito]],2,0))</f>
        <v>CLARISSA FRANÇA/ARQUIVO DA EDITORA</v>
      </c>
      <c r="Z257" s="23"/>
      <c r="AA257" s="23" t="str">
        <f>Tabela2[[#This Row],[ILUSTRADOR CRIAÇÃO]]</f>
        <v>CLARISSA FRANÇA/ARQUIVO DA EDITORA</v>
      </c>
      <c r="AB257" s="22"/>
      <c r="AC257" s="20"/>
      <c r="AD257" s="20"/>
      <c r="AE257" s="4" t="str">
        <f t="shared" si="3"/>
        <v>EF1 E002 HGC</v>
      </c>
    </row>
    <row r="258" spans="1:31" s="12" customFormat="1" ht="75" x14ac:dyDescent="0.25">
      <c r="A258" s="23" t="s">
        <v>617</v>
      </c>
      <c r="B258" s="20" t="s">
        <v>32</v>
      </c>
      <c r="C258" s="20" t="s">
        <v>33</v>
      </c>
      <c r="D258" s="20" t="s">
        <v>34</v>
      </c>
      <c r="E258" s="22">
        <v>130</v>
      </c>
      <c r="F258" s="22">
        <v>2</v>
      </c>
      <c r="G258" s="22">
        <v>3</v>
      </c>
      <c r="H258" s="22"/>
      <c r="I258" s="23" t="s">
        <v>39</v>
      </c>
      <c r="J258" s="23"/>
      <c r="K258" s="22"/>
      <c r="L258" s="22"/>
      <c r="M258" s="23"/>
      <c r="N258" s="23"/>
      <c r="O258" s="26" t="s">
        <v>618</v>
      </c>
      <c r="P258" s="26"/>
      <c r="Q258" s="26"/>
      <c r="R258" s="22">
        <v>5</v>
      </c>
      <c r="S258" s="24">
        <v>45807</v>
      </c>
      <c r="T258" s="24">
        <v>45810</v>
      </c>
      <c r="U258" s="24"/>
      <c r="V258" s="24"/>
      <c r="W258" s="24">
        <v>45811</v>
      </c>
      <c r="X258" s="22" t="s">
        <v>238</v>
      </c>
      <c r="Y258" s="4" t="str">
        <f>IF(Tabela2[[#This Row],[SIGLA]]="","",VLOOKUP(Tabela2[[#This Row],[SIGLA]],Tabela1[[#All],[Sigla Arte]:[Crédito]],2,0))</f>
        <v>CLARISSA FRANÇA/ARQUIVO DA EDITORA</v>
      </c>
      <c r="Z258" s="23" t="s">
        <v>74</v>
      </c>
      <c r="AA258" s="23" t="str">
        <f>Tabela2[[#This Row],[ILUSTRADOR CRIAÇÃO]]</f>
        <v>CLARISSA FRANÇA/ARQUIVO DA EDITORA</v>
      </c>
      <c r="AB258" s="22">
        <v>13</v>
      </c>
      <c r="AC258" s="20" t="s">
        <v>43</v>
      </c>
      <c r="AD258" s="20" t="s">
        <v>44</v>
      </c>
      <c r="AE258" s="4" t="str">
        <f t="shared" ref="AE258:AE321" si="4">"EF1 E002 HGC"</f>
        <v>EF1 E002 HGC</v>
      </c>
    </row>
    <row r="259" spans="1:31" s="12" customFormat="1" ht="60" x14ac:dyDescent="0.25">
      <c r="A259" s="23" t="s">
        <v>619</v>
      </c>
      <c r="B259" s="20" t="s">
        <v>32</v>
      </c>
      <c r="C259" s="20" t="s">
        <v>33</v>
      </c>
      <c r="D259" s="20" t="s">
        <v>34</v>
      </c>
      <c r="E259" s="22">
        <v>130</v>
      </c>
      <c r="F259" s="22">
        <v>2</v>
      </c>
      <c r="G259" s="22">
        <v>3</v>
      </c>
      <c r="H259" s="22"/>
      <c r="I259" s="23" t="s">
        <v>39</v>
      </c>
      <c r="J259" s="23"/>
      <c r="K259" s="22"/>
      <c r="L259" s="22"/>
      <c r="M259" s="23"/>
      <c r="N259" s="23"/>
      <c r="O259" s="26" t="s">
        <v>620</v>
      </c>
      <c r="P259" s="26"/>
      <c r="Q259" s="26"/>
      <c r="R259" s="22">
        <v>5</v>
      </c>
      <c r="S259" s="24">
        <v>45807</v>
      </c>
      <c r="T259" s="24">
        <v>45810</v>
      </c>
      <c r="U259" s="24"/>
      <c r="V259" s="24"/>
      <c r="W259" s="24">
        <v>45811</v>
      </c>
      <c r="X259" s="22" t="s">
        <v>238</v>
      </c>
      <c r="Y259" s="4" t="str">
        <f>IF(Tabela2[[#This Row],[SIGLA]]="","",VLOOKUP(Tabela2[[#This Row],[SIGLA]],Tabela1[[#All],[Sigla Arte]:[Crédito]],2,0))</f>
        <v>CLARISSA FRANÇA/ARQUIVO DA EDITORA</v>
      </c>
      <c r="Z259" s="23" t="s">
        <v>74</v>
      </c>
      <c r="AA259" s="23" t="str">
        <f>Tabela2[[#This Row],[ILUSTRADOR CRIAÇÃO]]</f>
        <v>CLARISSA FRANÇA/ARQUIVO DA EDITORA</v>
      </c>
      <c r="AB259" s="22">
        <v>13</v>
      </c>
      <c r="AC259" s="20" t="s">
        <v>43</v>
      </c>
      <c r="AD259" s="20" t="s">
        <v>44</v>
      </c>
      <c r="AE259" s="4" t="str">
        <f t="shared" si="4"/>
        <v>EF1 E002 HGC</v>
      </c>
    </row>
    <row r="260" spans="1:31" s="12" customFormat="1" ht="90" x14ac:dyDescent="0.25">
      <c r="A260" s="23" t="s">
        <v>621</v>
      </c>
      <c r="B260" s="20" t="s">
        <v>32</v>
      </c>
      <c r="C260" s="20" t="s">
        <v>33</v>
      </c>
      <c r="D260" s="20" t="s">
        <v>34</v>
      </c>
      <c r="E260" s="22">
        <v>131</v>
      </c>
      <c r="F260" s="22">
        <v>2</v>
      </c>
      <c r="G260" s="22">
        <v>3</v>
      </c>
      <c r="H260" s="22"/>
      <c r="I260" s="23" t="s">
        <v>35</v>
      </c>
      <c r="J260" s="23"/>
      <c r="K260" s="22"/>
      <c r="L260" s="22"/>
      <c r="M260" s="23"/>
      <c r="N260" s="23"/>
      <c r="O260" s="26" t="s">
        <v>622</v>
      </c>
      <c r="P260" s="26"/>
      <c r="Q260" s="26"/>
      <c r="R260" s="22"/>
      <c r="S260" s="24"/>
      <c r="T260" s="24">
        <v>45910</v>
      </c>
      <c r="U260" s="24"/>
      <c r="V260" s="24"/>
      <c r="W260" s="24">
        <v>45910</v>
      </c>
      <c r="X260" s="22" t="s">
        <v>238</v>
      </c>
      <c r="Y260" s="4" t="str">
        <f>IF(Tabela2[[#This Row],[SIGLA]]="","",VLOOKUP(Tabela2[[#This Row],[SIGLA]],Tabela1[[#All],[Sigla Arte]:[Crédito]],2,0))</f>
        <v>CLARISSA FRANÇA/ARQUIVO DA EDITORA</v>
      </c>
      <c r="Z260" s="23" t="s">
        <v>623</v>
      </c>
      <c r="AA260" s="23" t="str">
        <f>Tabela2[[#This Row],[ILUSTRADOR CRIAÇÃO]]</f>
        <v>CLARISSA FRANÇA/ARQUIVO DA EDITORA</v>
      </c>
      <c r="AB260" s="22">
        <v>13</v>
      </c>
      <c r="AC260" s="20" t="s">
        <v>277</v>
      </c>
      <c r="AD260" s="20" t="s">
        <v>44</v>
      </c>
      <c r="AE260" s="4" t="str">
        <f t="shared" si="4"/>
        <v>EF1 E002 HGC</v>
      </c>
    </row>
    <row r="261" spans="1:31" s="12" customFormat="1" ht="75" x14ac:dyDescent="0.25">
      <c r="A261" s="23" t="s">
        <v>624</v>
      </c>
      <c r="B261" s="20" t="s">
        <v>32</v>
      </c>
      <c r="C261" s="20" t="s">
        <v>33</v>
      </c>
      <c r="D261" s="20" t="s">
        <v>34</v>
      </c>
      <c r="E261" s="22">
        <v>131</v>
      </c>
      <c r="F261" s="22">
        <v>2</v>
      </c>
      <c r="G261" s="22">
        <v>3</v>
      </c>
      <c r="H261" s="22"/>
      <c r="I261" s="23" t="s">
        <v>35</v>
      </c>
      <c r="J261" s="23"/>
      <c r="K261" s="22"/>
      <c r="L261" s="22"/>
      <c r="M261" s="23"/>
      <c r="N261" s="23"/>
      <c r="O261" s="26" t="s">
        <v>625</v>
      </c>
      <c r="P261" s="26"/>
      <c r="Q261" s="26"/>
      <c r="R261" s="22"/>
      <c r="S261" s="24"/>
      <c r="T261" s="24"/>
      <c r="U261" s="24"/>
      <c r="V261" s="24"/>
      <c r="W261" s="24"/>
      <c r="X261" s="22" t="s">
        <v>238</v>
      </c>
      <c r="Y261" s="4" t="str">
        <f>IF(Tabela2[[#This Row],[SIGLA]]="","",VLOOKUP(Tabela2[[#This Row],[SIGLA]],Tabela1[[#All],[Sigla Arte]:[Crédito]],2,0))</f>
        <v>CLARISSA FRANÇA/ARQUIVO DA EDITORA</v>
      </c>
      <c r="Z261" s="23"/>
      <c r="AA261" s="23" t="str">
        <f>Tabela2[[#This Row],[ILUSTRADOR CRIAÇÃO]]</f>
        <v>CLARISSA FRANÇA/ARQUIVO DA EDITORA</v>
      </c>
      <c r="AB261" s="22"/>
      <c r="AC261" s="20"/>
      <c r="AD261" s="20"/>
      <c r="AE261" s="4" t="str">
        <f t="shared" si="4"/>
        <v>EF1 E002 HGC</v>
      </c>
    </row>
    <row r="262" spans="1:31" s="12" customFormat="1" ht="45" x14ac:dyDescent="0.25">
      <c r="A262" s="23" t="s">
        <v>626</v>
      </c>
      <c r="B262" s="20" t="s">
        <v>32</v>
      </c>
      <c r="C262" s="20" t="s">
        <v>33</v>
      </c>
      <c r="D262" s="20" t="s">
        <v>34</v>
      </c>
      <c r="E262" s="22">
        <v>142</v>
      </c>
      <c r="F262" s="22">
        <v>2</v>
      </c>
      <c r="G262" s="22">
        <v>3</v>
      </c>
      <c r="H262" s="22"/>
      <c r="I262" s="23" t="s">
        <v>35</v>
      </c>
      <c r="J262" s="23"/>
      <c r="K262" s="22"/>
      <c r="L262" s="22"/>
      <c r="M262" s="23"/>
      <c r="N262" s="23"/>
      <c r="O262" s="26" t="s">
        <v>627</v>
      </c>
      <c r="P262" s="26"/>
      <c r="Q262" s="26"/>
      <c r="R262" s="22"/>
      <c r="S262" s="24"/>
      <c r="T262" s="24"/>
      <c r="U262" s="24"/>
      <c r="V262" s="24"/>
      <c r="W262" s="24"/>
      <c r="X262" s="22" t="s">
        <v>507</v>
      </c>
      <c r="Y262" s="4" t="str">
        <f>IF(Tabela2[[#This Row],[SIGLA]]="","",VLOOKUP(Tabela2[[#This Row],[SIGLA]],Tabela1[[#All],[Sigla Arte]:[Crédito]],2,0))</f>
        <v>MÁRCIO GUERRA/ARQUIVO DA EDITORA</v>
      </c>
      <c r="Z262" s="23"/>
      <c r="AA262" s="23" t="str">
        <f>Tabela2[[#This Row],[ILUSTRADOR CRIAÇÃO]]</f>
        <v>MÁRCIO GUERRA/ARQUIVO DA EDITORA</v>
      </c>
      <c r="AB262" s="22"/>
      <c r="AC262" s="20"/>
      <c r="AD262" s="20"/>
      <c r="AE262" s="4" t="str">
        <f t="shared" si="4"/>
        <v>EF1 E002 HGC</v>
      </c>
    </row>
    <row r="263" spans="1:31" s="12" customFormat="1" ht="90" x14ac:dyDescent="0.25">
      <c r="A263" s="23" t="s">
        <v>628</v>
      </c>
      <c r="B263" s="20" t="s">
        <v>32</v>
      </c>
      <c r="C263" s="20" t="s">
        <v>33</v>
      </c>
      <c r="D263" s="20" t="s">
        <v>34</v>
      </c>
      <c r="E263" s="22">
        <v>221</v>
      </c>
      <c r="F263" s="22">
        <v>1</v>
      </c>
      <c r="G263" s="22">
        <v>5</v>
      </c>
      <c r="H263" s="22"/>
      <c r="I263" s="23" t="s">
        <v>39</v>
      </c>
      <c r="J263" s="23"/>
      <c r="K263" s="22"/>
      <c r="L263" s="22"/>
      <c r="M263" s="23"/>
      <c r="N263" s="23"/>
      <c r="O263" s="26" t="s">
        <v>629</v>
      </c>
      <c r="P263" s="26"/>
      <c r="Q263" s="26"/>
      <c r="R263" s="22"/>
      <c r="S263" s="24"/>
      <c r="T263" s="24">
        <v>45811</v>
      </c>
      <c r="U263" s="24"/>
      <c r="V263" s="24"/>
      <c r="W263" s="24">
        <v>45812</v>
      </c>
      <c r="X263" s="22" t="s">
        <v>238</v>
      </c>
      <c r="Y263" s="4" t="str">
        <f>IF(Tabela2[[#This Row],[SIGLA]]="","",VLOOKUP(Tabela2[[#This Row],[SIGLA]],Tabela1[[#All],[Sigla Arte]:[Crédito]],2,0))</f>
        <v>CLARISSA FRANÇA/ARQUIVO DA EDITORA</v>
      </c>
      <c r="Z263" s="23" t="s">
        <v>82</v>
      </c>
      <c r="AA263" s="23" t="str">
        <f>Tabela2[[#This Row],[ILUSTRADOR CRIAÇÃO]]</f>
        <v>CLARISSA FRANÇA/ARQUIVO DA EDITORA</v>
      </c>
      <c r="AB263" s="22">
        <v>13</v>
      </c>
      <c r="AC263" s="20" t="s">
        <v>277</v>
      </c>
      <c r="AD263" s="20" t="s">
        <v>44</v>
      </c>
      <c r="AE263" s="4" t="str">
        <f t="shared" si="4"/>
        <v>EF1 E002 HGC</v>
      </c>
    </row>
    <row r="264" spans="1:31" s="12" customFormat="1" ht="60" x14ac:dyDescent="0.25">
      <c r="A264" s="23" t="s">
        <v>630</v>
      </c>
      <c r="B264" s="20" t="s">
        <v>32</v>
      </c>
      <c r="C264" s="20" t="s">
        <v>33</v>
      </c>
      <c r="D264" s="20" t="s">
        <v>34</v>
      </c>
      <c r="E264" s="22">
        <v>223</v>
      </c>
      <c r="F264" s="22">
        <v>1</v>
      </c>
      <c r="G264" s="22">
        <v>5</v>
      </c>
      <c r="H264" s="22"/>
      <c r="I264" s="23" t="s">
        <v>35</v>
      </c>
      <c r="J264" s="23"/>
      <c r="K264" s="22"/>
      <c r="L264" s="22"/>
      <c r="M264" s="23"/>
      <c r="N264" s="23"/>
      <c r="O264" s="26" t="s">
        <v>631</v>
      </c>
      <c r="P264" s="26"/>
      <c r="Q264" s="26"/>
      <c r="R264" s="22"/>
      <c r="S264" s="24"/>
      <c r="T264" s="24"/>
      <c r="U264" s="24"/>
      <c r="V264" s="24"/>
      <c r="W264" s="24"/>
      <c r="X264" s="22" t="s">
        <v>37</v>
      </c>
      <c r="Y264" s="4" t="str">
        <f>IF(Tabela2[[#This Row],[SIGLA]]="","",VLOOKUP(Tabela2[[#This Row],[SIGLA]],Tabela1[[#All],[Sigla Arte]:[Crédito]],2,0))</f>
        <v>GUILHERME RODRIGUES/ARQUIVO DA EDITORA</v>
      </c>
      <c r="Z264" s="23"/>
      <c r="AA264" s="23" t="str">
        <f>Tabela2[[#This Row],[ILUSTRADOR CRIAÇÃO]]</f>
        <v>GUILHERME RODRIGUES/ARQUIVO DA EDITORA</v>
      </c>
      <c r="AB264" s="22"/>
      <c r="AC264" s="20"/>
      <c r="AD264" s="20"/>
      <c r="AE264" s="4" t="str">
        <f t="shared" si="4"/>
        <v>EF1 E002 HGC</v>
      </c>
    </row>
    <row r="265" spans="1:31" s="12" customFormat="1" ht="90" x14ac:dyDescent="0.25">
      <c r="A265" s="23" t="s">
        <v>632</v>
      </c>
      <c r="B265" s="20" t="s">
        <v>32</v>
      </c>
      <c r="C265" s="20" t="s">
        <v>33</v>
      </c>
      <c r="D265" s="20" t="s">
        <v>34</v>
      </c>
      <c r="E265" s="22">
        <v>233</v>
      </c>
      <c r="F265" s="22">
        <v>1</v>
      </c>
      <c r="G265" s="22">
        <v>5</v>
      </c>
      <c r="H265" s="22"/>
      <c r="I265" s="23" t="s">
        <v>39</v>
      </c>
      <c r="J265" s="23"/>
      <c r="K265" s="22"/>
      <c r="L265" s="22"/>
      <c r="M265" s="23"/>
      <c r="N265" s="23"/>
      <c r="O265" s="26" t="s">
        <v>633</v>
      </c>
      <c r="P265" s="26"/>
      <c r="Q265" s="26"/>
      <c r="R265" s="22">
        <v>15</v>
      </c>
      <c r="S265" s="24">
        <v>45811</v>
      </c>
      <c r="T265" s="24">
        <v>45811</v>
      </c>
      <c r="U265" s="24"/>
      <c r="V265" s="24"/>
      <c r="W265" s="24">
        <v>45812</v>
      </c>
      <c r="X265" s="22" t="s">
        <v>139</v>
      </c>
      <c r="Y265" s="4" t="str">
        <f>IF(Tabela2[[#This Row],[SIGLA]]="","",VLOOKUP(Tabela2[[#This Row],[SIGLA]],Tabela1[[#All],[Sigla Arte]:[Crédito]],2,0))</f>
        <v>HELOÍSA PINTARELLI/ARQUIVO DA EDITORA</v>
      </c>
      <c r="Z265" s="23" t="s">
        <v>82</v>
      </c>
      <c r="AA265" s="23" t="str">
        <f>Tabela2[[#This Row],[ILUSTRADOR CRIAÇÃO]]</f>
        <v>HELOÍSA PINTARELLI/ARQUIVO DA EDITORA</v>
      </c>
      <c r="AB265" s="22">
        <v>13</v>
      </c>
      <c r="AC265" s="20" t="s">
        <v>277</v>
      </c>
      <c r="AD265" s="20" t="s">
        <v>44</v>
      </c>
      <c r="AE265" s="4" t="str">
        <f t="shared" si="4"/>
        <v>EF1 E002 HGC</v>
      </c>
    </row>
    <row r="266" spans="1:31" s="12" customFormat="1" ht="45" x14ac:dyDescent="0.25">
      <c r="A266" s="23" t="s">
        <v>634</v>
      </c>
      <c r="B266" s="20" t="s">
        <v>32</v>
      </c>
      <c r="C266" s="20" t="s">
        <v>33</v>
      </c>
      <c r="D266" s="20" t="s">
        <v>34</v>
      </c>
      <c r="E266" s="22">
        <v>253</v>
      </c>
      <c r="F266" s="22">
        <v>1</v>
      </c>
      <c r="G266" s="22">
        <v>6</v>
      </c>
      <c r="H266" s="22"/>
      <c r="I266" s="23" t="s">
        <v>35</v>
      </c>
      <c r="J266" s="23"/>
      <c r="K266" s="22"/>
      <c r="L266" s="22"/>
      <c r="M266" s="23"/>
      <c r="N266" s="23"/>
      <c r="O266" s="26" t="s">
        <v>635</v>
      </c>
      <c r="P266" s="26"/>
      <c r="Q266" s="26"/>
      <c r="R266" s="22"/>
      <c r="S266" s="24"/>
      <c r="T266" s="24"/>
      <c r="U266" s="24"/>
      <c r="V266" s="24"/>
      <c r="W266" s="24"/>
      <c r="X266" s="22" t="s">
        <v>200</v>
      </c>
      <c r="Y266" s="4" t="str">
        <f>IF(Tabela2[[#This Row],[SIGLA]]="","",VLOOKUP(Tabela2[[#This Row],[SIGLA]],Tabela1[[#All],[Sigla Arte]:[Crédito]],2,0))</f>
        <v>KÉZIA TRENTINI/ARQUIVO DA EDITORA</v>
      </c>
      <c r="Z266" s="23"/>
      <c r="AA266" s="23" t="str">
        <f>Tabela2[[#This Row],[ILUSTRADOR CRIAÇÃO]]</f>
        <v>KÉZIA TRENTINI/ARQUIVO DA EDITORA</v>
      </c>
      <c r="AB266" s="22"/>
      <c r="AC266" s="20"/>
      <c r="AD266" s="20"/>
      <c r="AE266" s="4" t="str">
        <f t="shared" si="4"/>
        <v>EF1 E002 HGC</v>
      </c>
    </row>
    <row r="267" spans="1:31" s="12" customFormat="1" ht="30" x14ac:dyDescent="0.25">
      <c r="A267" s="23" t="s">
        <v>636</v>
      </c>
      <c r="B267" s="20" t="s">
        <v>32</v>
      </c>
      <c r="C267" s="20" t="s">
        <v>33</v>
      </c>
      <c r="D267" s="20" t="s">
        <v>34</v>
      </c>
      <c r="E267" s="22">
        <v>275</v>
      </c>
      <c r="F267" s="22">
        <v>1</v>
      </c>
      <c r="G267" s="22">
        <v>6</v>
      </c>
      <c r="H267" s="22"/>
      <c r="I267" s="23" t="s">
        <v>35</v>
      </c>
      <c r="J267" s="23"/>
      <c r="K267" s="22"/>
      <c r="L267" s="22"/>
      <c r="M267" s="23"/>
      <c r="N267" s="23"/>
      <c r="O267" s="26" t="s">
        <v>637</v>
      </c>
      <c r="P267" s="26"/>
      <c r="Q267" s="26"/>
      <c r="R267" s="22"/>
      <c r="S267" s="24"/>
      <c r="T267" s="24"/>
      <c r="U267" s="24"/>
      <c r="V267" s="24"/>
      <c r="W267" s="24"/>
      <c r="X267" s="22" t="s">
        <v>59</v>
      </c>
      <c r="Y267" s="4" t="str">
        <f>IF(Tabela2[[#This Row],[SIGLA]]="","",VLOOKUP(Tabela2[[#This Row],[SIGLA]],Tabela1[[#All],[Sigla Arte]:[Crédito]],2,0))</f>
        <v>RAQUEL SILVA/ARQUIVO DA EDITORA</v>
      </c>
      <c r="Z267" s="23"/>
      <c r="AA267" s="23" t="str">
        <f>Tabela2[[#This Row],[ILUSTRADOR CRIAÇÃO]]</f>
        <v>RAQUEL SILVA/ARQUIVO DA EDITORA</v>
      </c>
      <c r="AB267" s="22"/>
      <c r="AC267" s="20"/>
      <c r="AD267" s="20"/>
      <c r="AE267" s="4" t="str">
        <f t="shared" si="4"/>
        <v>EF1 E002 HGC</v>
      </c>
    </row>
    <row r="268" spans="1:31" s="12" customFormat="1" ht="45" x14ac:dyDescent="0.25">
      <c r="A268" s="23" t="s">
        <v>638</v>
      </c>
      <c r="B268" s="20" t="s">
        <v>32</v>
      </c>
      <c r="C268" s="20" t="s">
        <v>33</v>
      </c>
      <c r="D268" s="20" t="s">
        <v>34</v>
      </c>
      <c r="E268" s="22">
        <v>275</v>
      </c>
      <c r="F268" s="22">
        <v>1</v>
      </c>
      <c r="G268" s="22">
        <v>6</v>
      </c>
      <c r="H268" s="22"/>
      <c r="I268" s="23" t="s">
        <v>35</v>
      </c>
      <c r="J268" s="23"/>
      <c r="K268" s="22"/>
      <c r="L268" s="22"/>
      <c r="M268" s="23"/>
      <c r="N268" s="23"/>
      <c r="O268" s="26" t="s">
        <v>639</v>
      </c>
      <c r="P268" s="26"/>
      <c r="Q268" s="26"/>
      <c r="R268" s="22"/>
      <c r="S268" s="24"/>
      <c r="T268" s="24"/>
      <c r="U268" s="24"/>
      <c r="V268" s="24"/>
      <c r="W268" s="24"/>
      <c r="X268" s="22" t="s">
        <v>59</v>
      </c>
      <c r="Y268" s="4" t="str">
        <f>IF(Tabela2[[#This Row],[SIGLA]]="","",VLOOKUP(Tabela2[[#This Row],[SIGLA]],Tabela1[[#All],[Sigla Arte]:[Crédito]],2,0))</f>
        <v>RAQUEL SILVA/ARQUIVO DA EDITORA</v>
      </c>
      <c r="Z268" s="23"/>
      <c r="AA268" s="23" t="str">
        <f>Tabela2[[#This Row],[ILUSTRADOR CRIAÇÃO]]</f>
        <v>RAQUEL SILVA/ARQUIVO DA EDITORA</v>
      </c>
      <c r="AB268" s="22"/>
      <c r="AC268" s="20"/>
      <c r="AD268" s="20"/>
      <c r="AE268" s="4" t="str">
        <f t="shared" si="4"/>
        <v>EF1 E002 HGC</v>
      </c>
    </row>
    <row r="269" spans="1:31" s="12" customFormat="1" ht="30" x14ac:dyDescent="0.25">
      <c r="A269" s="23" t="s">
        <v>640</v>
      </c>
      <c r="B269" s="20" t="s">
        <v>32</v>
      </c>
      <c r="C269" s="20" t="s">
        <v>33</v>
      </c>
      <c r="D269" s="20" t="s">
        <v>34</v>
      </c>
      <c r="E269" s="22">
        <v>275</v>
      </c>
      <c r="F269" s="22">
        <v>1</v>
      </c>
      <c r="G269" s="22">
        <v>6</v>
      </c>
      <c r="H269" s="22"/>
      <c r="I269" s="23" t="s">
        <v>35</v>
      </c>
      <c r="J269" s="23"/>
      <c r="K269" s="22"/>
      <c r="L269" s="22"/>
      <c r="M269" s="23"/>
      <c r="N269" s="23"/>
      <c r="O269" s="26" t="s">
        <v>641</v>
      </c>
      <c r="P269" s="26"/>
      <c r="Q269" s="26"/>
      <c r="R269" s="22"/>
      <c r="S269" s="24"/>
      <c r="T269" s="24"/>
      <c r="U269" s="24"/>
      <c r="V269" s="24"/>
      <c r="W269" s="24"/>
      <c r="X269" s="22" t="s">
        <v>59</v>
      </c>
      <c r="Y269" s="4" t="str">
        <f>IF(Tabela2[[#This Row],[SIGLA]]="","",VLOOKUP(Tabela2[[#This Row],[SIGLA]],Tabela1[[#All],[Sigla Arte]:[Crédito]],2,0))</f>
        <v>RAQUEL SILVA/ARQUIVO DA EDITORA</v>
      </c>
      <c r="Z269" s="23"/>
      <c r="AA269" s="23" t="str">
        <f>Tabela2[[#This Row],[ILUSTRADOR CRIAÇÃO]]</f>
        <v>RAQUEL SILVA/ARQUIVO DA EDITORA</v>
      </c>
      <c r="AB269" s="22"/>
      <c r="AC269" s="20"/>
      <c r="AD269" s="20"/>
      <c r="AE269" s="4" t="str">
        <f t="shared" si="4"/>
        <v>EF1 E002 HGC</v>
      </c>
    </row>
    <row r="270" spans="1:31" s="12" customFormat="1" ht="30" x14ac:dyDescent="0.25">
      <c r="A270" s="23" t="s">
        <v>642</v>
      </c>
      <c r="B270" s="20" t="s">
        <v>32</v>
      </c>
      <c r="C270" s="20" t="s">
        <v>33</v>
      </c>
      <c r="D270" s="20" t="s">
        <v>34</v>
      </c>
      <c r="E270" s="22">
        <v>275</v>
      </c>
      <c r="F270" s="22">
        <v>1</v>
      </c>
      <c r="G270" s="22">
        <v>6</v>
      </c>
      <c r="H270" s="22"/>
      <c r="I270" s="23" t="s">
        <v>35</v>
      </c>
      <c r="J270" s="23"/>
      <c r="K270" s="22"/>
      <c r="L270" s="22"/>
      <c r="M270" s="23"/>
      <c r="N270" s="23"/>
      <c r="O270" s="26" t="s">
        <v>643</v>
      </c>
      <c r="P270" s="26"/>
      <c r="Q270" s="26"/>
      <c r="R270" s="22"/>
      <c r="S270" s="24"/>
      <c r="T270" s="24"/>
      <c r="U270" s="24"/>
      <c r="V270" s="24"/>
      <c r="W270" s="24"/>
      <c r="X270" s="22" t="s">
        <v>59</v>
      </c>
      <c r="Y270" s="4" t="str">
        <f>IF(Tabela2[[#This Row],[SIGLA]]="","",VLOOKUP(Tabela2[[#This Row],[SIGLA]],Tabela1[[#All],[Sigla Arte]:[Crédito]],2,0))</f>
        <v>RAQUEL SILVA/ARQUIVO DA EDITORA</v>
      </c>
      <c r="Z270" s="23"/>
      <c r="AA270" s="23" t="str">
        <f>Tabela2[[#This Row],[ILUSTRADOR CRIAÇÃO]]</f>
        <v>RAQUEL SILVA/ARQUIVO DA EDITORA</v>
      </c>
      <c r="AB270" s="22"/>
      <c r="AC270" s="20"/>
      <c r="AD270" s="20"/>
      <c r="AE270" s="4" t="str">
        <f t="shared" si="4"/>
        <v>EF1 E002 HGC</v>
      </c>
    </row>
    <row r="271" spans="1:31" s="12" customFormat="1" ht="75" x14ac:dyDescent="0.25">
      <c r="A271" s="23" t="s">
        <v>644</v>
      </c>
      <c r="B271" s="20" t="s">
        <v>136</v>
      </c>
      <c r="C271" s="20" t="s">
        <v>33</v>
      </c>
      <c r="D271" s="20" t="s">
        <v>34</v>
      </c>
      <c r="E271" s="22">
        <v>96</v>
      </c>
      <c r="F271" s="22">
        <v>1</v>
      </c>
      <c r="G271" s="22">
        <v>2</v>
      </c>
      <c r="H271" s="22"/>
      <c r="I271" s="23" t="s">
        <v>35</v>
      </c>
      <c r="J271" s="23"/>
      <c r="K271" s="22"/>
      <c r="L271" s="22"/>
      <c r="M271" s="23"/>
      <c r="N271" s="23"/>
      <c r="O271" s="26" t="s">
        <v>645</v>
      </c>
      <c r="P271" s="26"/>
      <c r="Q271" s="26"/>
      <c r="R271" s="22"/>
      <c r="S271" s="24"/>
      <c r="T271" s="24"/>
      <c r="U271" s="24"/>
      <c r="V271" s="24"/>
      <c r="W271" s="24"/>
      <c r="X271" s="22" t="s">
        <v>646</v>
      </c>
      <c r="Y271" s="4" t="str">
        <f>IF(Tabela2[[#This Row],[SIGLA]]="","",VLOOKUP(Tabela2[[#This Row],[SIGLA]],Tabela1[[#All],[Sigla Arte]:[Crédito]],2,0))</f>
        <v>BEATRIZ MAYUMI/ARQUIVO DA EDITORA</v>
      </c>
      <c r="Z271" s="23"/>
      <c r="AA271" s="23" t="str">
        <f>Tabela2[[#This Row],[ILUSTRADOR CRIAÇÃO]]</f>
        <v>BEATRIZ MAYUMI/ARQUIVO DA EDITORA</v>
      </c>
      <c r="AB271" s="22"/>
      <c r="AC271" s="20" t="s">
        <v>136</v>
      </c>
      <c r="AD271" s="20"/>
      <c r="AE271" s="4" t="str">
        <f t="shared" si="4"/>
        <v>EF1 E002 HGC</v>
      </c>
    </row>
    <row r="272" spans="1:31" s="12" customFormat="1" ht="105" x14ac:dyDescent="0.25">
      <c r="A272" s="23" t="s">
        <v>647</v>
      </c>
      <c r="B272" s="20" t="s">
        <v>32</v>
      </c>
      <c r="C272" s="20" t="s">
        <v>33</v>
      </c>
      <c r="D272" s="20" t="s">
        <v>34</v>
      </c>
      <c r="E272" s="22">
        <v>13</v>
      </c>
      <c r="F272" s="22">
        <v>1</v>
      </c>
      <c r="G272" s="22"/>
      <c r="H272" s="22" t="s">
        <v>648</v>
      </c>
      <c r="I272" s="23" t="s">
        <v>39</v>
      </c>
      <c r="J272" s="23"/>
      <c r="K272" s="22"/>
      <c r="L272" s="22"/>
      <c r="M272" s="23"/>
      <c r="N272" s="23"/>
      <c r="O272" s="26" t="s">
        <v>649</v>
      </c>
      <c r="P272" s="26"/>
      <c r="Q272" s="26"/>
      <c r="R272" s="22">
        <v>17</v>
      </c>
      <c r="S272" s="24">
        <v>45832</v>
      </c>
      <c r="T272" s="24">
        <v>45832</v>
      </c>
      <c r="U272" s="24"/>
      <c r="V272" s="24"/>
      <c r="W272" s="24">
        <v>45832</v>
      </c>
      <c r="X272" s="22" t="s">
        <v>293</v>
      </c>
      <c r="Y272" s="4" t="str">
        <f>IF(Tabela2[[#This Row],[SIGLA]]="","",VLOOKUP(Tabela2[[#This Row],[SIGLA]],Tabela1[[#All],[Sigla Arte]:[Crédito]],2,0))</f>
        <v>MARIA GABRIELA GAMA/ARQUIVO DA EDITORA</v>
      </c>
      <c r="Z272" s="23" t="s">
        <v>82</v>
      </c>
      <c r="AA272" s="23" t="str">
        <f>Tabela2[[#This Row],[ILUSTRADOR CRIAÇÃO]]</f>
        <v>MARIA GABRIELA GAMA/ARQUIVO DA EDITORA</v>
      </c>
      <c r="AB272" s="22">
        <v>13</v>
      </c>
      <c r="AC272" s="20" t="s">
        <v>277</v>
      </c>
      <c r="AD272" s="20" t="s">
        <v>44</v>
      </c>
      <c r="AE272" s="4" t="str">
        <f t="shared" si="4"/>
        <v>EF1 E002 HGC</v>
      </c>
    </row>
    <row r="273" spans="1:31" s="12" customFormat="1" ht="30" x14ac:dyDescent="0.25">
      <c r="A273" s="23" t="s">
        <v>650</v>
      </c>
      <c r="B273" s="20" t="s">
        <v>32</v>
      </c>
      <c r="C273" s="20" t="s">
        <v>33</v>
      </c>
      <c r="D273" s="20" t="s">
        <v>34</v>
      </c>
      <c r="E273" s="22">
        <v>13</v>
      </c>
      <c r="F273" s="22">
        <v>1</v>
      </c>
      <c r="G273" s="22"/>
      <c r="H273" s="22" t="s">
        <v>648</v>
      </c>
      <c r="I273" s="23" t="s">
        <v>35</v>
      </c>
      <c r="J273" s="23"/>
      <c r="K273" s="22"/>
      <c r="L273" s="22"/>
      <c r="M273" s="23"/>
      <c r="N273" s="23"/>
      <c r="O273" s="26" t="s">
        <v>651</v>
      </c>
      <c r="P273" s="26"/>
      <c r="Q273" s="26"/>
      <c r="R273" s="22"/>
      <c r="S273" s="24"/>
      <c r="T273" s="24"/>
      <c r="U273" s="24"/>
      <c r="V273" s="24"/>
      <c r="W273" s="24"/>
      <c r="X273" s="22" t="s">
        <v>139</v>
      </c>
      <c r="Y273" s="4" t="str">
        <f>IF(Tabela2[[#This Row],[SIGLA]]="","",VLOOKUP(Tabela2[[#This Row],[SIGLA]],Tabela1[[#All],[Sigla Arte]:[Crédito]],2,0))</f>
        <v>HELOÍSA PINTARELLI/ARQUIVO DA EDITORA</v>
      </c>
      <c r="Z273" s="23"/>
      <c r="AA273" s="23" t="str">
        <f>Tabela2[[#This Row],[ILUSTRADOR CRIAÇÃO]]</f>
        <v>HELOÍSA PINTARELLI/ARQUIVO DA EDITORA</v>
      </c>
      <c r="AB273" s="22"/>
      <c r="AC273" s="20"/>
      <c r="AD273" s="20"/>
      <c r="AE273" s="4" t="str">
        <f t="shared" si="4"/>
        <v>EF1 E002 HGC</v>
      </c>
    </row>
    <row r="274" spans="1:31" s="12" customFormat="1" ht="30" x14ac:dyDescent="0.25">
      <c r="A274" s="23" t="s">
        <v>652</v>
      </c>
      <c r="B274" s="20" t="s">
        <v>32</v>
      </c>
      <c r="C274" s="20" t="s">
        <v>33</v>
      </c>
      <c r="D274" s="20" t="s">
        <v>34</v>
      </c>
      <c r="E274" s="22">
        <v>13</v>
      </c>
      <c r="F274" s="22">
        <v>1</v>
      </c>
      <c r="G274" s="22"/>
      <c r="H274" s="22" t="s">
        <v>648</v>
      </c>
      <c r="I274" s="23" t="s">
        <v>35</v>
      </c>
      <c r="J274" s="23"/>
      <c r="K274" s="22"/>
      <c r="L274" s="22"/>
      <c r="M274" s="23"/>
      <c r="N274" s="23"/>
      <c r="O274" s="26" t="s">
        <v>653</v>
      </c>
      <c r="P274" s="26"/>
      <c r="Q274" s="26"/>
      <c r="R274" s="22"/>
      <c r="S274" s="24"/>
      <c r="T274" s="24"/>
      <c r="U274" s="24"/>
      <c r="V274" s="24"/>
      <c r="W274" s="24"/>
      <c r="X274" s="22" t="s">
        <v>139</v>
      </c>
      <c r="Y274" s="4" t="str">
        <f>IF(Tabela2[[#This Row],[SIGLA]]="","",VLOOKUP(Tabela2[[#This Row],[SIGLA]],Tabela1[[#All],[Sigla Arte]:[Crédito]],2,0))</f>
        <v>HELOÍSA PINTARELLI/ARQUIVO DA EDITORA</v>
      </c>
      <c r="Z274" s="23"/>
      <c r="AA274" s="23" t="str">
        <f>Tabela2[[#This Row],[ILUSTRADOR CRIAÇÃO]]</f>
        <v>HELOÍSA PINTARELLI/ARQUIVO DA EDITORA</v>
      </c>
      <c r="AB274" s="22"/>
      <c r="AC274" s="20"/>
      <c r="AD274" s="20"/>
      <c r="AE274" s="4" t="str">
        <f t="shared" si="4"/>
        <v>EF1 E002 HGC</v>
      </c>
    </row>
    <row r="275" spans="1:31" s="12" customFormat="1" ht="30" x14ac:dyDescent="0.25">
      <c r="A275" s="23" t="s">
        <v>654</v>
      </c>
      <c r="B275" s="20" t="s">
        <v>32</v>
      </c>
      <c r="C275" s="20" t="s">
        <v>33</v>
      </c>
      <c r="D275" s="20" t="s">
        <v>34</v>
      </c>
      <c r="E275" s="22">
        <v>278</v>
      </c>
      <c r="F275" s="22">
        <v>1</v>
      </c>
      <c r="G275" s="22"/>
      <c r="H275" s="22" t="s">
        <v>655</v>
      </c>
      <c r="I275" s="23" t="s">
        <v>35</v>
      </c>
      <c r="J275" s="23"/>
      <c r="K275" s="22"/>
      <c r="L275" s="22"/>
      <c r="M275" s="23"/>
      <c r="N275" s="23"/>
      <c r="O275" s="26" t="s">
        <v>656</v>
      </c>
      <c r="P275" s="26"/>
      <c r="Q275" s="26"/>
      <c r="R275" s="22"/>
      <c r="S275" s="24"/>
      <c r="T275" s="24"/>
      <c r="U275" s="24"/>
      <c r="V275" s="24"/>
      <c r="W275" s="24"/>
      <c r="X275" s="22" t="s">
        <v>139</v>
      </c>
      <c r="Y275" s="4" t="str">
        <f>IF(Tabela2[[#This Row],[SIGLA]]="","",VLOOKUP(Tabela2[[#This Row],[SIGLA]],Tabela1[[#All],[Sigla Arte]:[Crédito]],2,0))</f>
        <v>HELOÍSA PINTARELLI/ARQUIVO DA EDITORA</v>
      </c>
      <c r="Z275" s="23"/>
      <c r="AA275" s="23" t="str">
        <f>Tabela2[[#This Row],[ILUSTRADOR CRIAÇÃO]]</f>
        <v>HELOÍSA PINTARELLI/ARQUIVO DA EDITORA</v>
      </c>
      <c r="AB275" s="22"/>
      <c r="AC275" s="20"/>
      <c r="AD275" s="20"/>
      <c r="AE275" s="4" t="str">
        <f t="shared" si="4"/>
        <v>EF1 E002 HGC</v>
      </c>
    </row>
    <row r="276" spans="1:31" s="12" customFormat="1" ht="30" x14ac:dyDescent="0.25">
      <c r="A276" s="23" t="s">
        <v>657</v>
      </c>
      <c r="B276" s="20" t="s">
        <v>32</v>
      </c>
      <c r="C276" s="20" t="s">
        <v>33</v>
      </c>
      <c r="D276" s="20" t="s">
        <v>34</v>
      </c>
      <c r="E276" s="22">
        <v>278</v>
      </c>
      <c r="F276" s="22">
        <v>1</v>
      </c>
      <c r="G276" s="22"/>
      <c r="H276" s="22" t="s">
        <v>655</v>
      </c>
      <c r="I276" s="23" t="s">
        <v>35</v>
      </c>
      <c r="J276" s="23"/>
      <c r="K276" s="22"/>
      <c r="L276" s="22"/>
      <c r="M276" s="23"/>
      <c r="N276" s="23"/>
      <c r="O276" s="26" t="s">
        <v>658</v>
      </c>
      <c r="P276" s="26"/>
      <c r="Q276" s="26"/>
      <c r="R276" s="22"/>
      <c r="S276" s="24"/>
      <c r="T276" s="24"/>
      <c r="U276" s="24"/>
      <c r="V276" s="24"/>
      <c r="W276" s="24"/>
      <c r="X276" s="22" t="s">
        <v>139</v>
      </c>
      <c r="Y276" s="4" t="str">
        <f>IF(Tabela2[[#This Row],[SIGLA]]="","",VLOOKUP(Tabela2[[#This Row],[SIGLA]],Tabela1[[#All],[Sigla Arte]:[Crédito]],2,0))</f>
        <v>HELOÍSA PINTARELLI/ARQUIVO DA EDITORA</v>
      </c>
      <c r="Z276" s="23"/>
      <c r="AA276" s="23" t="str">
        <f>Tabela2[[#This Row],[ILUSTRADOR CRIAÇÃO]]</f>
        <v>HELOÍSA PINTARELLI/ARQUIVO DA EDITORA</v>
      </c>
      <c r="AB276" s="22"/>
      <c r="AC276" s="20"/>
      <c r="AD276" s="20"/>
      <c r="AE276" s="4" t="str">
        <f t="shared" si="4"/>
        <v>EF1 E002 HGC</v>
      </c>
    </row>
    <row r="277" spans="1:31" s="12" customFormat="1" ht="30" x14ac:dyDescent="0.25">
      <c r="A277" s="23" t="s">
        <v>659</v>
      </c>
      <c r="B277" s="20" t="s">
        <v>32</v>
      </c>
      <c r="C277" s="20" t="s">
        <v>33</v>
      </c>
      <c r="D277" s="20" t="s">
        <v>34</v>
      </c>
      <c r="E277" s="22">
        <v>278</v>
      </c>
      <c r="F277" s="22">
        <v>1</v>
      </c>
      <c r="G277" s="22"/>
      <c r="H277" s="22" t="s">
        <v>655</v>
      </c>
      <c r="I277" s="23" t="s">
        <v>35</v>
      </c>
      <c r="J277" s="23"/>
      <c r="K277" s="22"/>
      <c r="L277" s="22"/>
      <c r="M277" s="23"/>
      <c r="N277" s="23"/>
      <c r="O277" s="26" t="s">
        <v>660</v>
      </c>
      <c r="P277" s="26"/>
      <c r="Q277" s="26"/>
      <c r="R277" s="22"/>
      <c r="S277" s="24"/>
      <c r="T277" s="24"/>
      <c r="U277" s="24"/>
      <c r="V277" s="24"/>
      <c r="W277" s="24"/>
      <c r="X277" s="22" t="s">
        <v>139</v>
      </c>
      <c r="Y277" s="4" t="str">
        <f>IF(Tabela2[[#This Row],[SIGLA]]="","",VLOOKUP(Tabela2[[#This Row],[SIGLA]],Tabela1[[#All],[Sigla Arte]:[Crédito]],2,0))</f>
        <v>HELOÍSA PINTARELLI/ARQUIVO DA EDITORA</v>
      </c>
      <c r="Z277" s="23"/>
      <c r="AA277" s="23" t="str">
        <f>Tabela2[[#This Row],[ILUSTRADOR CRIAÇÃO]]</f>
        <v>HELOÍSA PINTARELLI/ARQUIVO DA EDITORA</v>
      </c>
      <c r="AB277" s="22"/>
      <c r="AC277" s="20"/>
      <c r="AD277" s="20"/>
      <c r="AE277" s="4" t="str">
        <f t="shared" si="4"/>
        <v>EF1 E002 HGC</v>
      </c>
    </row>
    <row r="278" spans="1:31" s="12" customFormat="1" ht="30" x14ac:dyDescent="0.25">
      <c r="A278" s="23" t="s">
        <v>661</v>
      </c>
      <c r="B278" s="20" t="s">
        <v>32</v>
      </c>
      <c r="C278" s="20" t="s">
        <v>33</v>
      </c>
      <c r="D278" s="20" t="s">
        <v>34</v>
      </c>
      <c r="E278" s="22">
        <v>278</v>
      </c>
      <c r="F278" s="22">
        <v>1</v>
      </c>
      <c r="G278" s="22"/>
      <c r="H278" s="22" t="s">
        <v>655</v>
      </c>
      <c r="I278" s="23" t="s">
        <v>35</v>
      </c>
      <c r="J278" s="23"/>
      <c r="K278" s="22"/>
      <c r="L278" s="22"/>
      <c r="M278" s="23"/>
      <c r="N278" s="23"/>
      <c r="O278" s="26" t="s">
        <v>662</v>
      </c>
      <c r="P278" s="26"/>
      <c r="Q278" s="26"/>
      <c r="R278" s="22"/>
      <c r="S278" s="24"/>
      <c r="T278" s="24"/>
      <c r="U278" s="24"/>
      <c r="V278" s="24"/>
      <c r="W278" s="24"/>
      <c r="X278" s="22" t="s">
        <v>139</v>
      </c>
      <c r="Y278" s="4" t="str">
        <f>IF(Tabela2[[#This Row],[SIGLA]]="","",VLOOKUP(Tabela2[[#This Row],[SIGLA]],Tabela1[[#All],[Sigla Arte]:[Crédito]],2,0))</f>
        <v>HELOÍSA PINTARELLI/ARQUIVO DA EDITORA</v>
      </c>
      <c r="Z278" s="23"/>
      <c r="AA278" s="23" t="str">
        <f>Tabela2[[#This Row],[ILUSTRADOR CRIAÇÃO]]</f>
        <v>HELOÍSA PINTARELLI/ARQUIVO DA EDITORA</v>
      </c>
      <c r="AB278" s="22"/>
      <c r="AC278" s="20"/>
      <c r="AD278" s="20"/>
      <c r="AE278" s="4" t="str">
        <f t="shared" si="4"/>
        <v>EF1 E002 HGC</v>
      </c>
    </row>
    <row r="279" spans="1:31" s="12" customFormat="1" ht="30" x14ac:dyDescent="0.25">
      <c r="A279" s="23" t="s">
        <v>663</v>
      </c>
      <c r="B279" s="20" t="s">
        <v>32</v>
      </c>
      <c r="C279" s="20" t="s">
        <v>664</v>
      </c>
      <c r="D279" s="20" t="s">
        <v>34</v>
      </c>
      <c r="E279" s="22">
        <v>121</v>
      </c>
      <c r="F279" s="22">
        <v>1</v>
      </c>
      <c r="G279" s="22">
        <v>3</v>
      </c>
      <c r="H279" s="22"/>
      <c r="I279" s="23" t="s">
        <v>35</v>
      </c>
      <c r="J279" s="23"/>
      <c r="K279" s="22"/>
      <c r="L279" s="22"/>
      <c r="M279" s="23"/>
      <c r="N279" s="23"/>
      <c r="O279" s="26" t="s">
        <v>665</v>
      </c>
      <c r="P279" s="26"/>
      <c r="Q279" s="26"/>
      <c r="R279" s="22"/>
      <c r="S279" s="24"/>
      <c r="T279" s="24"/>
      <c r="U279" s="24"/>
      <c r="V279" s="24"/>
      <c r="W279" s="24"/>
      <c r="X279" s="22" t="s">
        <v>366</v>
      </c>
      <c r="Y279" s="4" t="str">
        <f>IF(Tabela2[[#This Row],[SIGLA]]="","",VLOOKUP(Tabela2[[#This Row],[SIGLA]],Tabela1[[#All],[Sigla Arte]:[Crédito]],2,0))</f>
        <v>VER DOCUMENTO DE ILS. TÉCNICAS</v>
      </c>
      <c r="Z279" s="23"/>
      <c r="AA279" s="41" t="s">
        <v>372</v>
      </c>
      <c r="AB279" s="22"/>
      <c r="AC279" s="20"/>
      <c r="AD279" s="20"/>
      <c r="AE279" s="4" t="str">
        <f t="shared" si="4"/>
        <v>EF1 E002 HGC</v>
      </c>
    </row>
    <row r="280" spans="1:31" s="12" customFormat="1" ht="30" x14ac:dyDescent="0.25">
      <c r="A280" s="23" t="s">
        <v>666</v>
      </c>
      <c r="B280" s="20" t="s">
        <v>136</v>
      </c>
      <c r="C280" s="20" t="s">
        <v>33</v>
      </c>
      <c r="D280" s="20" t="s">
        <v>34</v>
      </c>
      <c r="E280" s="22">
        <v>150</v>
      </c>
      <c r="F280" s="22">
        <v>2</v>
      </c>
      <c r="G280" s="22">
        <v>4</v>
      </c>
      <c r="H280" s="22"/>
      <c r="I280" s="23" t="s">
        <v>35</v>
      </c>
      <c r="J280" s="23"/>
      <c r="K280" s="22"/>
      <c r="L280" s="22"/>
      <c r="M280" s="23"/>
      <c r="N280" s="23"/>
      <c r="O280" s="26" t="s">
        <v>667</v>
      </c>
      <c r="P280" s="26"/>
      <c r="Q280" s="26"/>
      <c r="R280" s="22"/>
      <c r="S280" s="24"/>
      <c r="T280" s="24"/>
      <c r="U280" s="24"/>
      <c r="V280" s="24"/>
      <c r="W280" s="24"/>
      <c r="X280" s="22" t="s">
        <v>200</v>
      </c>
      <c r="Y280" s="4" t="str">
        <f>IF(Tabela2[[#This Row],[SIGLA]]="","",VLOOKUP(Tabela2[[#This Row],[SIGLA]],Tabela1[[#All],[Sigla Arte]:[Crédito]],2,0))</f>
        <v>KÉZIA TRENTINI/ARQUIVO DA EDITORA</v>
      </c>
      <c r="Z280" s="23"/>
      <c r="AA280" s="23" t="str">
        <f>Tabela2[[#This Row],[ILUSTRADOR CRIAÇÃO]]</f>
        <v>KÉZIA TRENTINI/ARQUIVO DA EDITORA</v>
      </c>
      <c r="AB280" s="22"/>
      <c r="AC280" s="20"/>
      <c r="AD280" s="20"/>
      <c r="AE280" s="4" t="str">
        <f t="shared" si="4"/>
        <v>EF1 E002 HGC</v>
      </c>
    </row>
    <row r="281" spans="1:31" s="12" customFormat="1" ht="45" x14ac:dyDescent="0.25">
      <c r="A281" s="23" t="s">
        <v>668</v>
      </c>
      <c r="B281" s="20" t="s">
        <v>183</v>
      </c>
      <c r="C281" s="20" t="s">
        <v>33</v>
      </c>
      <c r="D281" s="20" t="s">
        <v>34</v>
      </c>
      <c r="E281" s="22">
        <v>158</v>
      </c>
      <c r="F281" s="22">
        <v>2</v>
      </c>
      <c r="G281" s="22">
        <v>4</v>
      </c>
      <c r="H281" s="22"/>
      <c r="I281" s="23" t="s">
        <v>35</v>
      </c>
      <c r="J281" s="23"/>
      <c r="K281" s="22"/>
      <c r="L281" s="22"/>
      <c r="M281" s="23"/>
      <c r="N281" s="23"/>
      <c r="O281" s="26" t="s">
        <v>669</v>
      </c>
      <c r="P281" s="26"/>
      <c r="Q281" s="26"/>
      <c r="R281" s="22"/>
      <c r="S281" s="24"/>
      <c r="T281" s="24"/>
      <c r="U281" s="24"/>
      <c r="V281" s="24"/>
      <c r="W281" s="24"/>
      <c r="X281" s="22" t="s">
        <v>112</v>
      </c>
      <c r="Y281" s="4" t="str">
        <f>IF(Tabela2[[#This Row],[SIGLA]]="","",VLOOKUP(Tabela2[[#This Row],[SIGLA]],Tabela1[[#All],[Sigla Arte]:[Crédito]],2,0))</f>
        <v>LISLLEY GOMES FEIGE/ARQUIVO DA EDITORA</v>
      </c>
      <c r="Z281" s="23"/>
      <c r="AA281" s="23" t="str">
        <f>Tabela2[[#This Row],[ILUSTRADOR CRIAÇÃO]]</f>
        <v>LISLLEY GOMES FEIGE/ARQUIVO DA EDITORA</v>
      </c>
      <c r="AB281" s="22"/>
      <c r="AC281" s="20"/>
      <c r="AD281" s="20"/>
      <c r="AE281" s="4" t="str">
        <f t="shared" si="4"/>
        <v>EF1 E002 HGC</v>
      </c>
    </row>
    <row r="282" spans="1:31" s="12" customFormat="1" ht="45" x14ac:dyDescent="0.25">
      <c r="A282" s="23" t="s">
        <v>670</v>
      </c>
      <c r="B282" s="20" t="s">
        <v>183</v>
      </c>
      <c r="C282" s="20" t="s">
        <v>33</v>
      </c>
      <c r="D282" s="20" t="s">
        <v>34</v>
      </c>
      <c r="E282" s="22">
        <v>158</v>
      </c>
      <c r="F282" s="22">
        <v>2</v>
      </c>
      <c r="G282" s="22">
        <v>4</v>
      </c>
      <c r="H282" s="22"/>
      <c r="I282" s="23" t="s">
        <v>35</v>
      </c>
      <c r="J282" s="23"/>
      <c r="K282" s="22"/>
      <c r="L282" s="22"/>
      <c r="M282" s="23"/>
      <c r="N282" s="23"/>
      <c r="O282" s="26" t="s">
        <v>671</v>
      </c>
      <c r="P282" s="26"/>
      <c r="Q282" s="26"/>
      <c r="R282" s="22"/>
      <c r="S282" s="24"/>
      <c r="T282" s="24"/>
      <c r="U282" s="24"/>
      <c r="V282" s="24"/>
      <c r="W282" s="24"/>
      <c r="X282" s="22" t="s">
        <v>112</v>
      </c>
      <c r="Y282" s="4" t="str">
        <f>IF(Tabela2[[#This Row],[SIGLA]]="","",VLOOKUP(Tabela2[[#This Row],[SIGLA]],Tabela1[[#All],[Sigla Arte]:[Crédito]],2,0))</f>
        <v>LISLLEY GOMES FEIGE/ARQUIVO DA EDITORA</v>
      </c>
      <c r="Z282" s="23"/>
      <c r="AA282" s="23" t="str">
        <f>Tabela2[[#This Row],[ILUSTRADOR CRIAÇÃO]]</f>
        <v>LISLLEY GOMES FEIGE/ARQUIVO DA EDITORA</v>
      </c>
      <c r="AB282" s="22"/>
      <c r="AC282" s="20"/>
      <c r="AD282" s="20"/>
      <c r="AE282" s="4" t="str">
        <f t="shared" si="4"/>
        <v>EF1 E002 HGC</v>
      </c>
    </row>
    <row r="283" spans="1:31" s="12" customFormat="1" ht="45" x14ac:dyDescent="0.25">
      <c r="A283" s="23" t="s">
        <v>672</v>
      </c>
      <c r="B283" s="20" t="s">
        <v>183</v>
      </c>
      <c r="C283" s="20" t="s">
        <v>33</v>
      </c>
      <c r="D283" s="20" t="s">
        <v>34</v>
      </c>
      <c r="E283" s="22">
        <v>159</v>
      </c>
      <c r="F283" s="22">
        <v>2</v>
      </c>
      <c r="G283" s="22">
        <v>4</v>
      </c>
      <c r="H283" s="22"/>
      <c r="I283" s="23" t="s">
        <v>35</v>
      </c>
      <c r="J283" s="23"/>
      <c r="K283" s="22"/>
      <c r="L283" s="22"/>
      <c r="M283" s="23"/>
      <c r="N283" s="23"/>
      <c r="O283" s="26" t="s">
        <v>673</v>
      </c>
      <c r="P283" s="26"/>
      <c r="Q283" s="26"/>
      <c r="R283" s="22"/>
      <c r="S283" s="24"/>
      <c r="T283" s="24"/>
      <c r="U283" s="24"/>
      <c r="V283" s="24"/>
      <c r="W283" s="24"/>
      <c r="X283" s="22" t="s">
        <v>112</v>
      </c>
      <c r="Y283" s="4" t="str">
        <f>IF(Tabela2[[#This Row],[SIGLA]]="","",VLOOKUP(Tabela2[[#This Row],[SIGLA]],Tabela1[[#All],[Sigla Arte]:[Crédito]],2,0))</f>
        <v>LISLLEY GOMES FEIGE/ARQUIVO DA EDITORA</v>
      </c>
      <c r="Z283" s="23"/>
      <c r="AA283" s="23" t="str">
        <f>Tabela2[[#This Row],[ILUSTRADOR CRIAÇÃO]]</f>
        <v>LISLLEY GOMES FEIGE/ARQUIVO DA EDITORA</v>
      </c>
      <c r="AB283" s="22"/>
      <c r="AC283" s="20"/>
      <c r="AD283" s="20"/>
      <c r="AE283" s="4" t="str">
        <f t="shared" si="4"/>
        <v>EF1 E002 HGC</v>
      </c>
    </row>
    <row r="284" spans="1:31" s="12" customFormat="1" ht="60" x14ac:dyDescent="0.25">
      <c r="A284" s="23" t="s">
        <v>674</v>
      </c>
      <c r="B284" s="20" t="s">
        <v>183</v>
      </c>
      <c r="C284" s="20" t="s">
        <v>33</v>
      </c>
      <c r="D284" s="20" t="s">
        <v>34</v>
      </c>
      <c r="E284" s="22">
        <v>159</v>
      </c>
      <c r="F284" s="22">
        <v>2</v>
      </c>
      <c r="G284" s="22">
        <v>4</v>
      </c>
      <c r="H284" s="22"/>
      <c r="I284" s="23" t="s">
        <v>35</v>
      </c>
      <c r="J284" s="23"/>
      <c r="K284" s="22"/>
      <c r="L284" s="22"/>
      <c r="M284" s="23"/>
      <c r="N284" s="23"/>
      <c r="O284" s="26" t="s">
        <v>675</v>
      </c>
      <c r="P284" s="26"/>
      <c r="Q284" s="26"/>
      <c r="R284" s="22"/>
      <c r="S284" s="24"/>
      <c r="T284" s="24"/>
      <c r="U284" s="24"/>
      <c r="V284" s="24"/>
      <c r="W284" s="24"/>
      <c r="X284" s="22" t="s">
        <v>112</v>
      </c>
      <c r="Y284" s="4" t="str">
        <f>IF(Tabela2[[#This Row],[SIGLA]]="","",VLOOKUP(Tabela2[[#This Row],[SIGLA]],Tabela1[[#All],[Sigla Arte]:[Crédito]],2,0))</f>
        <v>LISLLEY GOMES FEIGE/ARQUIVO DA EDITORA</v>
      </c>
      <c r="Z284" s="23"/>
      <c r="AA284" s="23" t="str">
        <f>Tabela2[[#This Row],[ILUSTRADOR CRIAÇÃO]]</f>
        <v>LISLLEY GOMES FEIGE/ARQUIVO DA EDITORA</v>
      </c>
      <c r="AB284" s="22"/>
      <c r="AC284" s="20"/>
      <c r="AD284" s="20"/>
      <c r="AE284" s="4" t="str">
        <f t="shared" si="4"/>
        <v>EF1 E002 HGC</v>
      </c>
    </row>
    <row r="285" spans="1:31" s="12" customFormat="1" ht="75" x14ac:dyDescent="0.25">
      <c r="A285" s="23" t="s">
        <v>676</v>
      </c>
      <c r="B285" s="20" t="s">
        <v>183</v>
      </c>
      <c r="C285" s="20" t="s">
        <v>33</v>
      </c>
      <c r="D285" s="20" t="s">
        <v>34</v>
      </c>
      <c r="E285" s="22">
        <v>171</v>
      </c>
      <c r="F285" s="22">
        <v>2</v>
      </c>
      <c r="G285" s="22">
        <v>4</v>
      </c>
      <c r="H285" s="22"/>
      <c r="I285" s="23" t="s">
        <v>35</v>
      </c>
      <c r="J285" s="23"/>
      <c r="K285" s="22"/>
      <c r="L285" s="22"/>
      <c r="M285" s="23"/>
      <c r="N285" s="23"/>
      <c r="O285" s="26" t="s">
        <v>677</v>
      </c>
      <c r="P285" s="26"/>
      <c r="Q285" s="26"/>
      <c r="R285" s="22"/>
      <c r="S285" s="24"/>
      <c r="T285" s="24"/>
      <c r="U285" s="24"/>
      <c r="V285" s="24"/>
      <c r="W285" s="24"/>
      <c r="X285" s="22" t="s">
        <v>139</v>
      </c>
      <c r="Y285" s="4" t="str">
        <f>IF(Tabela2[[#This Row],[SIGLA]]="","",VLOOKUP(Tabela2[[#This Row],[SIGLA]],Tabela1[[#All],[Sigla Arte]:[Crédito]],2,0))</f>
        <v>HELOÍSA PINTARELLI/ARQUIVO DA EDITORA</v>
      </c>
      <c r="Z285" s="23"/>
      <c r="AA285" s="23" t="str">
        <f>Tabela2[[#This Row],[ILUSTRADOR CRIAÇÃO]]</f>
        <v>HELOÍSA PINTARELLI/ARQUIVO DA EDITORA</v>
      </c>
      <c r="AB285" s="22"/>
      <c r="AC285" s="20"/>
      <c r="AD285" s="20"/>
      <c r="AE285" s="4" t="str">
        <f t="shared" si="4"/>
        <v>EF1 E002 HGC</v>
      </c>
    </row>
    <row r="286" spans="1:31" s="12" customFormat="1" ht="75" x14ac:dyDescent="0.25">
      <c r="A286" s="23" t="s">
        <v>678</v>
      </c>
      <c r="B286" s="20" t="s">
        <v>183</v>
      </c>
      <c r="C286" s="20" t="s">
        <v>33</v>
      </c>
      <c r="D286" s="20" t="s">
        <v>34</v>
      </c>
      <c r="E286" s="22">
        <v>171</v>
      </c>
      <c r="F286" s="22">
        <v>2</v>
      </c>
      <c r="G286" s="22">
        <v>4</v>
      </c>
      <c r="H286" s="22"/>
      <c r="I286" s="23" t="s">
        <v>35</v>
      </c>
      <c r="J286" s="23"/>
      <c r="K286" s="22"/>
      <c r="L286" s="22"/>
      <c r="M286" s="23"/>
      <c r="N286" s="23"/>
      <c r="O286" s="26" t="s">
        <v>679</v>
      </c>
      <c r="P286" s="26"/>
      <c r="Q286" s="26"/>
      <c r="R286" s="22"/>
      <c r="S286" s="24"/>
      <c r="T286" s="24"/>
      <c r="U286" s="24"/>
      <c r="V286" s="24"/>
      <c r="W286" s="24"/>
      <c r="X286" s="22" t="s">
        <v>139</v>
      </c>
      <c r="Y286" s="4" t="str">
        <f>IF(Tabela2[[#This Row],[SIGLA]]="","",VLOOKUP(Tabela2[[#This Row],[SIGLA]],Tabela1[[#All],[Sigla Arte]:[Crédito]],2,0))</f>
        <v>HELOÍSA PINTARELLI/ARQUIVO DA EDITORA</v>
      </c>
      <c r="Z286" s="23"/>
      <c r="AA286" s="23" t="str">
        <f>Tabela2[[#This Row],[ILUSTRADOR CRIAÇÃO]]</f>
        <v>HELOÍSA PINTARELLI/ARQUIVO DA EDITORA</v>
      </c>
      <c r="AB286" s="22"/>
      <c r="AC286" s="20"/>
      <c r="AD286" s="20"/>
      <c r="AE286" s="4" t="str">
        <f t="shared" si="4"/>
        <v>EF1 E002 HGC</v>
      </c>
    </row>
    <row r="287" spans="1:31" s="12" customFormat="1" ht="75" x14ac:dyDescent="0.25">
      <c r="A287" s="23" t="s">
        <v>680</v>
      </c>
      <c r="B287" s="20" t="s">
        <v>183</v>
      </c>
      <c r="C287" s="20" t="s">
        <v>33</v>
      </c>
      <c r="D287" s="20" t="s">
        <v>34</v>
      </c>
      <c r="E287" s="22">
        <v>171</v>
      </c>
      <c r="F287" s="22">
        <v>2</v>
      </c>
      <c r="G287" s="22">
        <v>4</v>
      </c>
      <c r="H287" s="22"/>
      <c r="I287" s="23" t="s">
        <v>35</v>
      </c>
      <c r="J287" s="23"/>
      <c r="K287" s="22"/>
      <c r="L287" s="22"/>
      <c r="M287" s="23"/>
      <c r="N287" s="23"/>
      <c r="O287" s="26" t="s">
        <v>681</v>
      </c>
      <c r="P287" s="26"/>
      <c r="Q287" s="26"/>
      <c r="R287" s="22"/>
      <c r="S287" s="24"/>
      <c r="T287" s="24"/>
      <c r="U287" s="24"/>
      <c r="V287" s="24"/>
      <c r="W287" s="24"/>
      <c r="X287" s="22" t="s">
        <v>139</v>
      </c>
      <c r="Y287" s="4" t="str">
        <f>IF(Tabela2[[#This Row],[SIGLA]]="","",VLOOKUP(Tabela2[[#This Row],[SIGLA]],Tabela1[[#All],[Sigla Arte]:[Crédito]],2,0))</f>
        <v>HELOÍSA PINTARELLI/ARQUIVO DA EDITORA</v>
      </c>
      <c r="Z287" s="23"/>
      <c r="AA287" s="23" t="str">
        <f>Tabela2[[#This Row],[ILUSTRADOR CRIAÇÃO]]</f>
        <v>HELOÍSA PINTARELLI/ARQUIVO DA EDITORA</v>
      </c>
      <c r="AB287" s="22"/>
      <c r="AC287" s="20"/>
      <c r="AD287" s="20"/>
      <c r="AE287" s="4" t="str">
        <f t="shared" si="4"/>
        <v>EF1 E002 HGC</v>
      </c>
    </row>
    <row r="288" spans="1:31" s="12" customFormat="1" ht="75" x14ac:dyDescent="0.25">
      <c r="A288" s="23" t="s">
        <v>682</v>
      </c>
      <c r="B288" s="20" t="s">
        <v>183</v>
      </c>
      <c r="C288" s="20" t="s">
        <v>33</v>
      </c>
      <c r="D288" s="20" t="s">
        <v>34</v>
      </c>
      <c r="E288" s="22">
        <v>171</v>
      </c>
      <c r="F288" s="22">
        <v>2</v>
      </c>
      <c r="G288" s="22">
        <v>4</v>
      </c>
      <c r="H288" s="22"/>
      <c r="I288" s="23" t="s">
        <v>35</v>
      </c>
      <c r="J288" s="23"/>
      <c r="K288" s="22"/>
      <c r="L288" s="22"/>
      <c r="M288" s="23"/>
      <c r="N288" s="23"/>
      <c r="O288" s="26" t="s">
        <v>683</v>
      </c>
      <c r="P288" s="26"/>
      <c r="Q288" s="26"/>
      <c r="R288" s="22"/>
      <c r="S288" s="24"/>
      <c r="T288" s="24"/>
      <c r="U288" s="24"/>
      <c r="V288" s="24"/>
      <c r="W288" s="24"/>
      <c r="X288" s="22" t="s">
        <v>139</v>
      </c>
      <c r="Y288" s="4" t="str">
        <f>IF(Tabela2[[#This Row],[SIGLA]]="","",VLOOKUP(Tabela2[[#This Row],[SIGLA]],Tabela1[[#All],[Sigla Arte]:[Crédito]],2,0))</f>
        <v>HELOÍSA PINTARELLI/ARQUIVO DA EDITORA</v>
      </c>
      <c r="Z288" s="23"/>
      <c r="AA288" s="23" t="str">
        <f>Tabela2[[#This Row],[ILUSTRADOR CRIAÇÃO]]</f>
        <v>HELOÍSA PINTARELLI/ARQUIVO DA EDITORA</v>
      </c>
      <c r="AB288" s="22"/>
      <c r="AC288" s="20"/>
      <c r="AD288" s="20"/>
      <c r="AE288" s="4" t="str">
        <f t="shared" si="4"/>
        <v>EF1 E002 HGC</v>
      </c>
    </row>
    <row r="289" spans="1:31" s="12" customFormat="1" ht="75" x14ac:dyDescent="0.25">
      <c r="A289" s="23" t="s">
        <v>684</v>
      </c>
      <c r="B289" s="20" t="s">
        <v>183</v>
      </c>
      <c r="C289" s="20" t="s">
        <v>33</v>
      </c>
      <c r="D289" s="20" t="s">
        <v>34</v>
      </c>
      <c r="E289" s="22">
        <v>171</v>
      </c>
      <c r="F289" s="22">
        <v>2</v>
      </c>
      <c r="G289" s="22">
        <v>4</v>
      </c>
      <c r="H289" s="22"/>
      <c r="I289" s="23" t="s">
        <v>35</v>
      </c>
      <c r="J289" s="23"/>
      <c r="K289" s="22"/>
      <c r="L289" s="22"/>
      <c r="M289" s="23"/>
      <c r="N289" s="23"/>
      <c r="O289" s="26" t="s">
        <v>685</v>
      </c>
      <c r="P289" s="26"/>
      <c r="Q289" s="26"/>
      <c r="R289" s="22"/>
      <c r="S289" s="24"/>
      <c r="T289" s="24"/>
      <c r="U289" s="24"/>
      <c r="V289" s="24"/>
      <c r="W289" s="24"/>
      <c r="X289" s="22" t="s">
        <v>139</v>
      </c>
      <c r="Y289" s="4" t="str">
        <f>IF(Tabela2[[#This Row],[SIGLA]]="","",VLOOKUP(Tabela2[[#This Row],[SIGLA]],Tabela1[[#All],[Sigla Arte]:[Crédito]],2,0))</f>
        <v>HELOÍSA PINTARELLI/ARQUIVO DA EDITORA</v>
      </c>
      <c r="Z289" s="23"/>
      <c r="AA289" s="23" t="str">
        <f>Tabela2[[#This Row],[ILUSTRADOR CRIAÇÃO]]</f>
        <v>HELOÍSA PINTARELLI/ARQUIVO DA EDITORA</v>
      </c>
      <c r="AB289" s="22"/>
      <c r="AC289" s="20"/>
      <c r="AD289" s="20"/>
      <c r="AE289" s="4" t="str">
        <f t="shared" si="4"/>
        <v>EF1 E002 HGC</v>
      </c>
    </row>
    <row r="290" spans="1:31" s="12" customFormat="1" ht="75" x14ac:dyDescent="0.25">
      <c r="A290" s="23" t="s">
        <v>686</v>
      </c>
      <c r="B290" s="20" t="s">
        <v>183</v>
      </c>
      <c r="C290" s="20" t="s">
        <v>33</v>
      </c>
      <c r="D290" s="20" t="s">
        <v>34</v>
      </c>
      <c r="E290" s="22">
        <v>171</v>
      </c>
      <c r="F290" s="22">
        <v>2</v>
      </c>
      <c r="G290" s="22">
        <v>4</v>
      </c>
      <c r="H290" s="22"/>
      <c r="I290" s="23" t="s">
        <v>35</v>
      </c>
      <c r="J290" s="23"/>
      <c r="K290" s="22"/>
      <c r="L290" s="22"/>
      <c r="M290" s="23"/>
      <c r="N290" s="23"/>
      <c r="O290" s="26" t="s">
        <v>687</v>
      </c>
      <c r="P290" s="26"/>
      <c r="Q290" s="26"/>
      <c r="R290" s="22"/>
      <c r="S290" s="24"/>
      <c r="T290" s="24"/>
      <c r="U290" s="24"/>
      <c r="V290" s="24"/>
      <c r="W290" s="24"/>
      <c r="X290" s="22" t="s">
        <v>139</v>
      </c>
      <c r="Y290" s="4" t="str">
        <f>IF(Tabela2[[#This Row],[SIGLA]]="","",VLOOKUP(Tabela2[[#This Row],[SIGLA]],Tabela1[[#All],[Sigla Arte]:[Crédito]],2,0))</f>
        <v>HELOÍSA PINTARELLI/ARQUIVO DA EDITORA</v>
      </c>
      <c r="Z290" s="23"/>
      <c r="AA290" s="23" t="str">
        <f>Tabela2[[#This Row],[ILUSTRADOR CRIAÇÃO]]</f>
        <v>HELOÍSA PINTARELLI/ARQUIVO DA EDITORA</v>
      </c>
      <c r="AB290" s="22"/>
      <c r="AC290" s="20"/>
      <c r="AD290" s="20"/>
      <c r="AE290" s="4" t="str">
        <f t="shared" si="4"/>
        <v>EF1 E002 HGC</v>
      </c>
    </row>
    <row r="291" spans="1:31" s="12" customFormat="1" ht="75" x14ac:dyDescent="0.25">
      <c r="A291" s="23" t="s">
        <v>688</v>
      </c>
      <c r="B291" s="20" t="s">
        <v>183</v>
      </c>
      <c r="C291" s="20" t="s">
        <v>33</v>
      </c>
      <c r="D291" s="20" t="s">
        <v>34</v>
      </c>
      <c r="E291" s="22">
        <v>171</v>
      </c>
      <c r="F291" s="22">
        <v>2</v>
      </c>
      <c r="G291" s="22">
        <v>4</v>
      </c>
      <c r="H291" s="22"/>
      <c r="I291" s="23" t="s">
        <v>35</v>
      </c>
      <c r="J291" s="23"/>
      <c r="K291" s="22"/>
      <c r="L291" s="22"/>
      <c r="M291" s="23"/>
      <c r="N291" s="23"/>
      <c r="O291" s="26" t="s">
        <v>689</v>
      </c>
      <c r="P291" s="26"/>
      <c r="Q291" s="26"/>
      <c r="R291" s="22"/>
      <c r="S291" s="24"/>
      <c r="T291" s="24"/>
      <c r="U291" s="24"/>
      <c r="V291" s="24"/>
      <c r="W291" s="24"/>
      <c r="X291" s="22" t="s">
        <v>139</v>
      </c>
      <c r="Y291" s="4" t="str">
        <f>IF(Tabela2[[#This Row],[SIGLA]]="","",VLOOKUP(Tabela2[[#This Row],[SIGLA]],Tabela1[[#All],[Sigla Arte]:[Crédito]],2,0))</f>
        <v>HELOÍSA PINTARELLI/ARQUIVO DA EDITORA</v>
      </c>
      <c r="Z291" s="23"/>
      <c r="AA291" s="23" t="str">
        <f>Tabela2[[#This Row],[ILUSTRADOR CRIAÇÃO]]</f>
        <v>HELOÍSA PINTARELLI/ARQUIVO DA EDITORA</v>
      </c>
      <c r="AB291" s="22"/>
      <c r="AC291" s="20"/>
      <c r="AD291" s="20"/>
      <c r="AE291" s="4" t="str">
        <f t="shared" si="4"/>
        <v>EF1 E002 HGC</v>
      </c>
    </row>
    <row r="292" spans="1:31" s="12" customFormat="1" ht="75" x14ac:dyDescent="0.25">
      <c r="A292" s="23" t="s">
        <v>690</v>
      </c>
      <c r="B292" s="20" t="s">
        <v>183</v>
      </c>
      <c r="C292" s="20" t="s">
        <v>33</v>
      </c>
      <c r="D292" s="20" t="s">
        <v>34</v>
      </c>
      <c r="E292" s="22">
        <v>171</v>
      </c>
      <c r="F292" s="22">
        <v>2</v>
      </c>
      <c r="G292" s="22">
        <v>4</v>
      </c>
      <c r="H292" s="22"/>
      <c r="I292" s="23" t="s">
        <v>35</v>
      </c>
      <c r="J292" s="23"/>
      <c r="K292" s="22"/>
      <c r="L292" s="22"/>
      <c r="M292" s="23"/>
      <c r="N292" s="23"/>
      <c r="O292" s="26" t="s">
        <v>691</v>
      </c>
      <c r="P292" s="26"/>
      <c r="Q292" s="26"/>
      <c r="R292" s="22"/>
      <c r="S292" s="24"/>
      <c r="T292" s="24"/>
      <c r="U292" s="24"/>
      <c r="V292" s="24"/>
      <c r="W292" s="24"/>
      <c r="X292" s="22" t="s">
        <v>139</v>
      </c>
      <c r="Y292" s="4" t="str">
        <f>IF(Tabela2[[#This Row],[SIGLA]]="","",VLOOKUP(Tabela2[[#This Row],[SIGLA]],Tabela1[[#All],[Sigla Arte]:[Crédito]],2,0))</f>
        <v>HELOÍSA PINTARELLI/ARQUIVO DA EDITORA</v>
      </c>
      <c r="Z292" s="23"/>
      <c r="AA292" s="23" t="str">
        <f>Tabela2[[#This Row],[ILUSTRADOR CRIAÇÃO]]</f>
        <v>HELOÍSA PINTARELLI/ARQUIVO DA EDITORA</v>
      </c>
      <c r="AB292" s="22"/>
      <c r="AC292" s="20"/>
      <c r="AD292" s="20"/>
      <c r="AE292" s="4" t="str">
        <f t="shared" si="4"/>
        <v>EF1 E002 HGC</v>
      </c>
    </row>
    <row r="293" spans="1:31" s="12" customFormat="1" ht="90" x14ac:dyDescent="0.25">
      <c r="A293" s="23" t="s">
        <v>692</v>
      </c>
      <c r="B293" s="20" t="s">
        <v>136</v>
      </c>
      <c r="C293" s="20" t="s">
        <v>33</v>
      </c>
      <c r="D293" s="20" t="s">
        <v>34</v>
      </c>
      <c r="E293" s="22">
        <v>173</v>
      </c>
      <c r="F293" s="22">
        <v>2</v>
      </c>
      <c r="G293" s="22">
        <v>4</v>
      </c>
      <c r="H293" s="22"/>
      <c r="I293" s="23" t="s">
        <v>35</v>
      </c>
      <c r="J293" s="23"/>
      <c r="K293" s="22"/>
      <c r="L293" s="22"/>
      <c r="M293" s="23"/>
      <c r="N293" s="23"/>
      <c r="O293" s="26" t="s">
        <v>693</v>
      </c>
      <c r="P293" s="26"/>
      <c r="Q293" s="26"/>
      <c r="R293" s="22"/>
      <c r="S293" s="24"/>
      <c r="T293" s="24"/>
      <c r="U293" s="24"/>
      <c r="V293" s="24"/>
      <c r="W293" s="24"/>
      <c r="X293" s="22" t="s">
        <v>200</v>
      </c>
      <c r="Y293" s="4" t="str">
        <f>IF(Tabela2[[#This Row],[SIGLA]]="","",VLOOKUP(Tabela2[[#This Row],[SIGLA]],Tabela1[[#All],[Sigla Arte]:[Crédito]],2,0))</f>
        <v>KÉZIA TRENTINI/ARQUIVO DA EDITORA</v>
      </c>
      <c r="Z293" s="23"/>
      <c r="AA293" s="23" t="str">
        <f>Tabela2[[#This Row],[ILUSTRADOR CRIAÇÃO]]</f>
        <v>KÉZIA TRENTINI/ARQUIVO DA EDITORA</v>
      </c>
      <c r="AB293" s="22"/>
      <c r="AC293" s="20"/>
      <c r="AD293" s="20"/>
      <c r="AE293" s="4" t="str">
        <f t="shared" si="4"/>
        <v>EF1 E002 HGC</v>
      </c>
    </row>
    <row r="294" spans="1:31" s="12" customFormat="1" ht="90" x14ac:dyDescent="0.25">
      <c r="A294" s="23" t="s">
        <v>694</v>
      </c>
      <c r="B294" s="20" t="s">
        <v>136</v>
      </c>
      <c r="C294" s="20" t="s">
        <v>33</v>
      </c>
      <c r="D294" s="20" t="s">
        <v>34</v>
      </c>
      <c r="E294" s="22">
        <v>173</v>
      </c>
      <c r="F294" s="22">
        <v>2</v>
      </c>
      <c r="G294" s="22">
        <v>4</v>
      </c>
      <c r="H294" s="22"/>
      <c r="I294" s="23" t="s">
        <v>35</v>
      </c>
      <c r="J294" s="23"/>
      <c r="K294" s="22"/>
      <c r="L294" s="22"/>
      <c r="M294" s="23"/>
      <c r="N294" s="23"/>
      <c r="O294" s="26" t="s">
        <v>695</v>
      </c>
      <c r="P294" s="26"/>
      <c r="Q294" s="26"/>
      <c r="R294" s="22"/>
      <c r="S294" s="24"/>
      <c r="T294" s="24"/>
      <c r="U294" s="24"/>
      <c r="V294" s="24"/>
      <c r="W294" s="24"/>
      <c r="X294" s="22" t="s">
        <v>200</v>
      </c>
      <c r="Y294" s="4" t="str">
        <f>IF(Tabela2[[#This Row],[SIGLA]]="","",VLOOKUP(Tabela2[[#This Row],[SIGLA]],Tabela1[[#All],[Sigla Arte]:[Crédito]],2,0))</f>
        <v>KÉZIA TRENTINI/ARQUIVO DA EDITORA</v>
      </c>
      <c r="Z294" s="23"/>
      <c r="AA294" s="23" t="str">
        <f>Tabela2[[#This Row],[ILUSTRADOR CRIAÇÃO]]</f>
        <v>KÉZIA TRENTINI/ARQUIVO DA EDITORA</v>
      </c>
      <c r="AB294" s="22"/>
      <c r="AC294" s="20"/>
      <c r="AD294" s="20"/>
      <c r="AE294" s="4" t="str">
        <f t="shared" si="4"/>
        <v>EF1 E002 HGC</v>
      </c>
    </row>
    <row r="295" spans="1:31" s="12" customFormat="1" ht="105" x14ac:dyDescent="0.25">
      <c r="A295" s="23" t="s">
        <v>696</v>
      </c>
      <c r="B295" s="20" t="s">
        <v>136</v>
      </c>
      <c r="C295" s="20" t="s">
        <v>33</v>
      </c>
      <c r="D295" s="20" t="s">
        <v>34</v>
      </c>
      <c r="E295" s="22">
        <v>173</v>
      </c>
      <c r="F295" s="22">
        <v>2</v>
      </c>
      <c r="G295" s="22">
        <v>4</v>
      </c>
      <c r="H295" s="22"/>
      <c r="I295" s="23" t="s">
        <v>35</v>
      </c>
      <c r="J295" s="23"/>
      <c r="K295" s="22"/>
      <c r="L295" s="22"/>
      <c r="M295" s="23"/>
      <c r="N295" s="23"/>
      <c r="O295" s="26" t="s">
        <v>697</v>
      </c>
      <c r="P295" s="26"/>
      <c r="Q295" s="26"/>
      <c r="R295" s="22"/>
      <c r="S295" s="24"/>
      <c r="T295" s="24"/>
      <c r="U295" s="24"/>
      <c r="V295" s="24"/>
      <c r="W295" s="24"/>
      <c r="X295" s="22" t="s">
        <v>200</v>
      </c>
      <c r="Y295" s="4" t="str">
        <f>IF(Tabela2[[#This Row],[SIGLA]]="","",VLOOKUP(Tabela2[[#This Row],[SIGLA]],Tabela1[[#All],[Sigla Arte]:[Crédito]],2,0))</f>
        <v>KÉZIA TRENTINI/ARQUIVO DA EDITORA</v>
      </c>
      <c r="Z295" s="23"/>
      <c r="AA295" s="23" t="str">
        <f>Tabela2[[#This Row],[ILUSTRADOR CRIAÇÃO]]</f>
        <v>KÉZIA TRENTINI/ARQUIVO DA EDITORA</v>
      </c>
      <c r="AB295" s="22"/>
      <c r="AC295" s="20"/>
      <c r="AD295" s="20"/>
      <c r="AE295" s="4" t="str">
        <f t="shared" si="4"/>
        <v>EF1 E002 HGC</v>
      </c>
    </row>
    <row r="296" spans="1:31" s="12" customFormat="1" ht="90" x14ac:dyDescent="0.25">
      <c r="A296" s="23" t="s">
        <v>698</v>
      </c>
      <c r="B296" s="20" t="s">
        <v>136</v>
      </c>
      <c r="C296" s="20" t="s">
        <v>33</v>
      </c>
      <c r="D296" s="20" t="s">
        <v>34</v>
      </c>
      <c r="E296" s="22">
        <v>173</v>
      </c>
      <c r="F296" s="22">
        <v>2</v>
      </c>
      <c r="G296" s="22">
        <v>4</v>
      </c>
      <c r="H296" s="22"/>
      <c r="I296" s="23" t="s">
        <v>35</v>
      </c>
      <c r="J296" s="23"/>
      <c r="K296" s="22"/>
      <c r="L296" s="22"/>
      <c r="M296" s="23"/>
      <c r="N296" s="23"/>
      <c r="O296" s="26" t="s">
        <v>699</v>
      </c>
      <c r="P296" s="26"/>
      <c r="Q296" s="26"/>
      <c r="R296" s="22"/>
      <c r="S296" s="24"/>
      <c r="T296" s="24"/>
      <c r="U296" s="24"/>
      <c r="V296" s="24"/>
      <c r="W296" s="24"/>
      <c r="X296" s="22" t="s">
        <v>200</v>
      </c>
      <c r="Y296" s="4" t="str">
        <f>IF(Tabela2[[#This Row],[SIGLA]]="","",VLOOKUP(Tabela2[[#This Row],[SIGLA]],Tabela1[[#All],[Sigla Arte]:[Crédito]],2,0))</f>
        <v>KÉZIA TRENTINI/ARQUIVO DA EDITORA</v>
      </c>
      <c r="Z296" s="23"/>
      <c r="AA296" s="23" t="str">
        <f>Tabela2[[#This Row],[ILUSTRADOR CRIAÇÃO]]</f>
        <v>KÉZIA TRENTINI/ARQUIVO DA EDITORA</v>
      </c>
      <c r="AB296" s="22"/>
      <c r="AC296" s="20"/>
      <c r="AD296" s="20"/>
      <c r="AE296" s="4" t="str">
        <f t="shared" si="4"/>
        <v>EF1 E002 HGC</v>
      </c>
    </row>
    <row r="297" spans="1:31" s="12" customFormat="1" ht="105" x14ac:dyDescent="0.25">
      <c r="A297" s="23" t="s">
        <v>700</v>
      </c>
      <c r="B297" s="20" t="s">
        <v>136</v>
      </c>
      <c r="C297" s="20" t="s">
        <v>33</v>
      </c>
      <c r="D297" s="20" t="s">
        <v>34</v>
      </c>
      <c r="E297" s="22">
        <v>192</v>
      </c>
      <c r="F297" s="22">
        <v>2</v>
      </c>
      <c r="G297" s="22">
        <v>5</v>
      </c>
      <c r="H297" s="22"/>
      <c r="I297" s="23" t="s">
        <v>39</v>
      </c>
      <c r="J297" s="23"/>
      <c r="K297" s="22"/>
      <c r="L297" s="22"/>
      <c r="M297" s="23"/>
      <c r="N297" s="23"/>
      <c r="O297" s="26" t="s">
        <v>701</v>
      </c>
      <c r="P297" s="26"/>
      <c r="Q297" s="26"/>
      <c r="R297" s="22">
        <v>6</v>
      </c>
      <c r="S297" s="24">
        <v>45833</v>
      </c>
      <c r="T297" s="24">
        <v>45839</v>
      </c>
      <c r="U297" s="24"/>
      <c r="V297" s="24"/>
      <c r="W297" s="24">
        <v>45839</v>
      </c>
      <c r="X297" s="22" t="s">
        <v>103</v>
      </c>
      <c r="Y297" s="4" t="str">
        <f>IF(Tabela2[[#This Row],[SIGLA]]="","",VLOOKUP(Tabela2[[#This Row],[SIGLA]],Tabela1[[#All],[Sigla Arte]:[Crédito]],2,0))</f>
        <v>NELSON COSENTINO/ARQUIVO DA EDITORA</v>
      </c>
      <c r="Z297" s="23" t="s">
        <v>329</v>
      </c>
      <c r="AA297" s="23" t="str">
        <f>Tabela2[[#This Row],[ILUSTRADOR CRIAÇÃO]]</f>
        <v>NELSON COSENTINO/ARQUIVO DA EDITORA</v>
      </c>
      <c r="AB297" s="22">
        <v>14</v>
      </c>
      <c r="AC297" s="20" t="s">
        <v>43</v>
      </c>
      <c r="AD297" s="20" t="s">
        <v>44</v>
      </c>
      <c r="AE297" s="4" t="str">
        <f t="shared" si="4"/>
        <v>EF1 E002 HGC</v>
      </c>
    </row>
    <row r="298" spans="1:31" s="12" customFormat="1" ht="30" x14ac:dyDescent="0.25">
      <c r="A298" s="23" t="s">
        <v>702</v>
      </c>
      <c r="B298" s="20" t="s">
        <v>136</v>
      </c>
      <c r="C298" s="20" t="s">
        <v>33</v>
      </c>
      <c r="D298" s="20" t="s">
        <v>34</v>
      </c>
      <c r="E298" s="22">
        <v>195</v>
      </c>
      <c r="F298" s="22">
        <v>2</v>
      </c>
      <c r="G298" s="22">
        <v>5</v>
      </c>
      <c r="H298" s="22"/>
      <c r="I298" s="23" t="s">
        <v>35</v>
      </c>
      <c r="J298" s="23"/>
      <c r="K298" s="22"/>
      <c r="L298" s="22"/>
      <c r="M298" s="23"/>
      <c r="N298" s="23"/>
      <c r="O298" s="26" t="s">
        <v>703</v>
      </c>
      <c r="P298" s="26"/>
      <c r="Q298" s="26"/>
      <c r="R298" s="22"/>
      <c r="S298" s="24"/>
      <c r="T298" s="24"/>
      <c r="U298" s="24"/>
      <c r="V298" s="24"/>
      <c r="W298" s="24"/>
      <c r="X298" s="22" t="s">
        <v>139</v>
      </c>
      <c r="Y298" s="4" t="str">
        <f>IF(Tabela2[[#This Row],[SIGLA]]="","",VLOOKUP(Tabela2[[#This Row],[SIGLA]],Tabela1[[#All],[Sigla Arte]:[Crédito]],2,0))</f>
        <v>HELOÍSA PINTARELLI/ARQUIVO DA EDITORA</v>
      </c>
      <c r="Z298" s="23"/>
      <c r="AA298" s="23" t="str">
        <f>Tabela2[[#This Row],[ILUSTRADOR CRIAÇÃO]]</f>
        <v>HELOÍSA PINTARELLI/ARQUIVO DA EDITORA</v>
      </c>
      <c r="AB298" s="22"/>
      <c r="AC298" s="20"/>
      <c r="AD298" s="20"/>
      <c r="AE298" s="4" t="str">
        <f t="shared" si="4"/>
        <v>EF1 E002 HGC</v>
      </c>
    </row>
    <row r="299" spans="1:31" s="12" customFormat="1" ht="375" x14ac:dyDescent="0.25">
      <c r="A299" s="23" t="s">
        <v>704</v>
      </c>
      <c r="B299" s="20" t="s">
        <v>32</v>
      </c>
      <c r="C299" s="20" t="s">
        <v>33</v>
      </c>
      <c r="D299" s="20" t="s">
        <v>34</v>
      </c>
      <c r="E299" s="22">
        <v>196</v>
      </c>
      <c r="F299" s="22">
        <v>2</v>
      </c>
      <c r="G299" s="22">
        <v>5</v>
      </c>
      <c r="H299" s="22"/>
      <c r="I299" s="23" t="s">
        <v>39</v>
      </c>
      <c r="J299" s="23"/>
      <c r="K299" s="22"/>
      <c r="L299" s="22"/>
      <c r="M299" s="23"/>
      <c r="N299" s="23"/>
      <c r="O299" s="26" t="s">
        <v>705</v>
      </c>
      <c r="P299" s="26"/>
      <c r="Q299" s="26"/>
      <c r="R299" s="22">
        <v>6</v>
      </c>
      <c r="S299" s="24">
        <v>45833</v>
      </c>
      <c r="T299" s="24">
        <v>45839</v>
      </c>
      <c r="U299" s="24"/>
      <c r="V299" s="24"/>
      <c r="W299" s="24">
        <v>45839</v>
      </c>
      <c r="X299" s="22" t="s">
        <v>41</v>
      </c>
      <c r="Y299" s="4" t="str">
        <f>IF(Tabela2[[#This Row],[SIGLA]]="","",VLOOKUP(Tabela2[[#This Row],[SIGLA]],Tabela1[[#All],[Sigla Arte]:[Crédito]],2,0))</f>
        <v>CARLITOS PINHEIRO/ARQUIVO DA EDITORA</v>
      </c>
      <c r="Z299" s="23" t="s">
        <v>329</v>
      </c>
      <c r="AA299" s="23" t="str">
        <f>Tabela2[[#This Row],[ILUSTRADOR CRIAÇÃO]]</f>
        <v>CARLITOS PINHEIRO/ARQUIVO DA EDITORA</v>
      </c>
      <c r="AB299" s="22">
        <v>13</v>
      </c>
      <c r="AC299" s="20" t="s">
        <v>43</v>
      </c>
      <c r="AD299" s="20" t="s">
        <v>44</v>
      </c>
      <c r="AE299" s="4" t="str">
        <f t="shared" si="4"/>
        <v>EF1 E002 HGC</v>
      </c>
    </row>
    <row r="300" spans="1:31" s="12" customFormat="1" ht="90" x14ac:dyDescent="0.25">
      <c r="A300" s="23" t="s">
        <v>706</v>
      </c>
      <c r="B300" s="20" t="s">
        <v>32</v>
      </c>
      <c r="C300" s="20" t="s">
        <v>33</v>
      </c>
      <c r="D300" s="20" t="s">
        <v>34</v>
      </c>
      <c r="E300" s="22">
        <v>198</v>
      </c>
      <c r="F300" s="22">
        <v>2</v>
      </c>
      <c r="G300" s="22">
        <v>5</v>
      </c>
      <c r="H300" s="22"/>
      <c r="I300" s="23" t="s">
        <v>39</v>
      </c>
      <c r="J300" s="23"/>
      <c r="K300" s="22"/>
      <c r="L300" s="22"/>
      <c r="M300" s="23"/>
      <c r="N300" s="23"/>
      <c r="O300" s="26" t="s">
        <v>707</v>
      </c>
      <c r="P300" s="26"/>
      <c r="Q300" s="26"/>
      <c r="R300" s="22">
        <v>6</v>
      </c>
      <c r="S300" s="24">
        <v>45833</v>
      </c>
      <c r="T300" s="24">
        <v>45839</v>
      </c>
      <c r="U300" s="24"/>
      <c r="V300" s="24"/>
      <c r="W300" s="24">
        <v>45839</v>
      </c>
      <c r="X300" s="22" t="s">
        <v>708</v>
      </c>
      <c r="Y300" s="4" t="str">
        <f>IF(Tabela2[[#This Row],[SIGLA]]="","",VLOOKUP(Tabela2[[#This Row],[SIGLA]],Tabela1[[#All],[Sigla Arte]:[Crédito]],2,0))</f>
        <v>SABRINA ERAS/ARQUIVO DA EDITORA</v>
      </c>
      <c r="Z300" s="23" t="s">
        <v>329</v>
      </c>
      <c r="AA300" s="23" t="str">
        <f>Tabela2[[#This Row],[ILUSTRADOR CRIAÇÃO]]</f>
        <v>SABRINA ERAS/ARQUIVO DA EDITORA</v>
      </c>
      <c r="AB300" s="22">
        <v>13</v>
      </c>
      <c r="AC300" s="20" t="s">
        <v>43</v>
      </c>
      <c r="AD300" s="20" t="s">
        <v>44</v>
      </c>
      <c r="AE300" s="4" t="str">
        <f t="shared" si="4"/>
        <v>EF1 E002 HGC</v>
      </c>
    </row>
    <row r="301" spans="1:31" s="12" customFormat="1" ht="90" x14ac:dyDescent="0.25">
      <c r="A301" s="23" t="s">
        <v>709</v>
      </c>
      <c r="B301" s="20" t="s">
        <v>136</v>
      </c>
      <c r="C301" s="20" t="s">
        <v>33</v>
      </c>
      <c r="D301" s="20" t="s">
        <v>34</v>
      </c>
      <c r="E301" s="22">
        <v>200</v>
      </c>
      <c r="F301" s="22">
        <v>2</v>
      </c>
      <c r="G301" s="22">
        <v>5</v>
      </c>
      <c r="H301" s="22"/>
      <c r="I301" s="23" t="s">
        <v>35</v>
      </c>
      <c r="J301" s="23"/>
      <c r="K301" s="22"/>
      <c r="L301" s="22"/>
      <c r="M301" s="23"/>
      <c r="N301" s="23"/>
      <c r="O301" s="26" t="s">
        <v>710</v>
      </c>
      <c r="P301" s="26"/>
      <c r="Q301" s="26"/>
      <c r="R301" s="22"/>
      <c r="S301" s="24"/>
      <c r="T301" s="24"/>
      <c r="U301" s="24"/>
      <c r="V301" s="24"/>
      <c r="W301" s="24"/>
      <c r="X301" s="22" t="s">
        <v>708</v>
      </c>
      <c r="Y301" s="4" t="str">
        <f>IF(Tabela2[[#This Row],[SIGLA]]="","",VLOOKUP(Tabela2[[#This Row],[SIGLA]],Tabela1[[#All],[Sigla Arte]:[Crédito]],2,0))</f>
        <v>SABRINA ERAS/ARQUIVO DA EDITORA</v>
      </c>
      <c r="Z301" s="23"/>
      <c r="AA301" s="23" t="str">
        <f>Tabela2[[#This Row],[ILUSTRADOR CRIAÇÃO]]</f>
        <v>SABRINA ERAS/ARQUIVO DA EDITORA</v>
      </c>
      <c r="AB301" s="22"/>
      <c r="AC301" s="20"/>
      <c r="AD301" s="20"/>
      <c r="AE301" s="4" t="str">
        <f t="shared" si="4"/>
        <v>EF1 E002 HGC</v>
      </c>
    </row>
    <row r="302" spans="1:31" s="12" customFormat="1" ht="60" x14ac:dyDescent="0.25">
      <c r="A302" s="23" t="s">
        <v>711</v>
      </c>
      <c r="B302" s="20" t="s">
        <v>32</v>
      </c>
      <c r="C302" s="20" t="s">
        <v>33</v>
      </c>
      <c r="D302" s="20" t="s">
        <v>34</v>
      </c>
      <c r="E302" s="22">
        <v>222</v>
      </c>
      <c r="F302" s="22">
        <v>2</v>
      </c>
      <c r="G302" s="22">
        <v>5</v>
      </c>
      <c r="H302" s="22"/>
      <c r="I302" s="23" t="s">
        <v>39</v>
      </c>
      <c r="J302" s="23"/>
      <c r="K302" s="22"/>
      <c r="L302" s="22"/>
      <c r="M302" s="23"/>
      <c r="N302" s="23"/>
      <c r="O302" s="26" t="s">
        <v>712</v>
      </c>
      <c r="P302" s="26"/>
      <c r="Q302" s="26"/>
      <c r="R302" s="22">
        <v>6</v>
      </c>
      <c r="S302" s="24">
        <v>45833</v>
      </c>
      <c r="T302" s="24">
        <v>45839</v>
      </c>
      <c r="U302" s="24"/>
      <c r="V302" s="24"/>
      <c r="W302" s="24">
        <v>45839</v>
      </c>
      <c r="X302" s="22" t="s">
        <v>200</v>
      </c>
      <c r="Y302" s="4" t="str">
        <f>IF(Tabela2[[#This Row],[SIGLA]]="","",VLOOKUP(Tabela2[[#This Row],[SIGLA]],Tabela1[[#All],[Sigla Arte]:[Crédito]],2,0))</f>
        <v>KÉZIA TRENTINI/ARQUIVO DA EDITORA</v>
      </c>
      <c r="Z302" s="23" t="s">
        <v>329</v>
      </c>
      <c r="AA302" s="23" t="str">
        <f>Tabela2[[#This Row],[ILUSTRADOR CRIAÇÃO]]</f>
        <v>KÉZIA TRENTINI/ARQUIVO DA EDITORA</v>
      </c>
      <c r="AB302" s="22">
        <v>13</v>
      </c>
      <c r="AC302" s="20" t="s">
        <v>43</v>
      </c>
      <c r="AD302" s="20" t="s">
        <v>44</v>
      </c>
      <c r="AE302" s="4" t="str">
        <f t="shared" si="4"/>
        <v>EF1 E002 HGC</v>
      </c>
    </row>
    <row r="303" spans="1:31" s="12" customFormat="1" ht="30" x14ac:dyDescent="0.25">
      <c r="A303" s="23" t="s">
        <v>713</v>
      </c>
      <c r="B303" s="20" t="s">
        <v>32</v>
      </c>
      <c r="C303" s="20" t="s">
        <v>33</v>
      </c>
      <c r="D303" s="20" t="s">
        <v>34</v>
      </c>
      <c r="E303" s="22">
        <v>222</v>
      </c>
      <c r="F303" s="22">
        <v>2</v>
      </c>
      <c r="G303" s="22">
        <v>5</v>
      </c>
      <c r="H303" s="22"/>
      <c r="I303" s="23" t="s">
        <v>35</v>
      </c>
      <c r="J303" s="23"/>
      <c r="K303" s="22"/>
      <c r="L303" s="22"/>
      <c r="M303" s="23"/>
      <c r="N303" s="23"/>
      <c r="O303" s="26" t="s">
        <v>714</v>
      </c>
      <c r="P303" s="26"/>
      <c r="Q303" s="26"/>
      <c r="R303" s="22"/>
      <c r="S303" s="24"/>
      <c r="T303" s="24"/>
      <c r="U303" s="24"/>
      <c r="V303" s="24"/>
      <c r="W303" s="24"/>
      <c r="X303" s="22" t="s">
        <v>200</v>
      </c>
      <c r="Y303" s="4" t="str">
        <f>IF(Tabela2[[#This Row],[SIGLA]]="","",VLOOKUP(Tabela2[[#This Row],[SIGLA]],Tabela1[[#All],[Sigla Arte]:[Crédito]],2,0))</f>
        <v>KÉZIA TRENTINI/ARQUIVO DA EDITORA</v>
      </c>
      <c r="Z303" s="23"/>
      <c r="AA303" s="23" t="str">
        <f>Tabela2[[#This Row],[ILUSTRADOR CRIAÇÃO]]</f>
        <v>KÉZIA TRENTINI/ARQUIVO DA EDITORA</v>
      </c>
      <c r="AB303" s="22"/>
      <c r="AC303" s="20"/>
      <c r="AD303" s="20"/>
      <c r="AE303" s="4" t="str">
        <f t="shared" si="4"/>
        <v>EF1 E002 HGC</v>
      </c>
    </row>
    <row r="304" spans="1:31" s="12" customFormat="1" ht="30" x14ac:dyDescent="0.25">
      <c r="A304" s="23" t="s">
        <v>715</v>
      </c>
      <c r="B304" s="20" t="s">
        <v>32</v>
      </c>
      <c r="C304" s="20" t="s">
        <v>33</v>
      </c>
      <c r="D304" s="20" t="s">
        <v>34</v>
      </c>
      <c r="E304" s="22">
        <v>223</v>
      </c>
      <c r="F304" s="22">
        <v>2</v>
      </c>
      <c r="G304" s="22">
        <v>5</v>
      </c>
      <c r="H304" s="22"/>
      <c r="I304" s="23" t="s">
        <v>35</v>
      </c>
      <c r="J304" s="23"/>
      <c r="K304" s="22"/>
      <c r="L304" s="22"/>
      <c r="M304" s="23"/>
      <c r="N304" s="23"/>
      <c r="O304" s="26" t="s">
        <v>716</v>
      </c>
      <c r="P304" s="26"/>
      <c r="Q304" s="26"/>
      <c r="R304" s="22"/>
      <c r="S304" s="24"/>
      <c r="T304" s="24"/>
      <c r="U304" s="24"/>
      <c r="V304" s="24"/>
      <c r="W304" s="24"/>
      <c r="X304" s="22" t="s">
        <v>200</v>
      </c>
      <c r="Y304" s="4" t="str">
        <f>IF(Tabela2[[#This Row],[SIGLA]]="","",VLOOKUP(Tabela2[[#This Row],[SIGLA]],Tabela1[[#All],[Sigla Arte]:[Crédito]],2,0))</f>
        <v>KÉZIA TRENTINI/ARQUIVO DA EDITORA</v>
      </c>
      <c r="Z304" s="23"/>
      <c r="AA304" s="23" t="str">
        <f>Tabela2[[#This Row],[ILUSTRADOR CRIAÇÃO]]</f>
        <v>KÉZIA TRENTINI/ARQUIVO DA EDITORA</v>
      </c>
      <c r="AB304" s="22"/>
      <c r="AC304" s="20"/>
      <c r="AD304" s="20"/>
      <c r="AE304" s="4" t="str">
        <f t="shared" si="4"/>
        <v>EF1 E002 HGC</v>
      </c>
    </row>
    <row r="305" spans="1:31" s="12" customFormat="1" ht="105" x14ac:dyDescent="0.25">
      <c r="A305" s="23" t="s">
        <v>717</v>
      </c>
      <c r="B305" s="20" t="s">
        <v>32</v>
      </c>
      <c r="C305" s="20" t="s">
        <v>33</v>
      </c>
      <c r="D305" s="20" t="s">
        <v>34</v>
      </c>
      <c r="E305" s="22">
        <v>237</v>
      </c>
      <c r="F305" s="22">
        <v>2</v>
      </c>
      <c r="G305" s="22">
        <v>6</v>
      </c>
      <c r="H305" s="22"/>
      <c r="I305" s="23" t="s">
        <v>39</v>
      </c>
      <c r="J305" s="23"/>
      <c r="K305" s="22"/>
      <c r="L305" s="22"/>
      <c r="M305" s="23"/>
      <c r="N305" s="23"/>
      <c r="O305" s="26" t="s">
        <v>718</v>
      </c>
      <c r="P305" s="26"/>
      <c r="Q305" s="26"/>
      <c r="R305" s="22">
        <v>7</v>
      </c>
      <c r="S305" s="24">
        <v>45835</v>
      </c>
      <c r="T305" s="24">
        <v>45839</v>
      </c>
      <c r="U305" s="24"/>
      <c r="V305" s="24"/>
      <c r="W305" s="24">
        <v>45840</v>
      </c>
      <c r="X305" s="22" t="s">
        <v>238</v>
      </c>
      <c r="Y305" s="4" t="str">
        <f>IF(Tabela2[[#This Row],[SIGLA]]="","",VLOOKUP(Tabela2[[#This Row],[SIGLA]],Tabela1[[#All],[Sigla Arte]:[Crédito]],2,0))</f>
        <v>CLARISSA FRANÇA/ARQUIVO DA EDITORA</v>
      </c>
      <c r="Z305" s="23" t="s">
        <v>329</v>
      </c>
      <c r="AA305" s="23" t="str">
        <f>Tabela2[[#This Row],[ILUSTRADOR CRIAÇÃO]]</f>
        <v>CLARISSA FRANÇA/ARQUIVO DA EDITORA</v>
      </c>
      <c r="AB305" s="22">
        <v>14</v>
      </c>
      <c r="AC305" s="20"/>
      <c r="AD305" s="20" t="s">
        <v>44</v>
      </c>
      <c r="AE305" s="4" t="str">
        <f t="shared" si="4"/>
        <v>EF1 E002 HGC</v>
      </c>
    </row>
    <row r="306" spans="1:31" s="12" customFormat="1" ht="120" x14ac:dyDescent="0.25">
      <c r="A306" s="23" t="s">
        <v>719</v>
      </c>
      <c r="B306" s="20" t="s">
        <v>32</v>
      </c>
      <c r="C306" s="20" t="s">
        <v>33</v>
      </c>
      <c r="D306" s="20" t="s">
        <v>34</v>
      </c>
      <c r="E306" s="22">
        <v>237</v>
      </c>
      <c r="F306" s="22">
        <v>2</v>
      </c>
      <c r="G306" s="22">
        <v>6</v>
      </c>
      <c r="H306" s="22"/>
      <c r="I306" s="23" t="s">
        <v>39</v>
      </c>
      <c r="J306" s="23"/>
      <c r="K306" s="22"/>
      <c r="L306" s="22"/>
      <c r="M306" s="23"/>
      <c r="N306" s="23"/>
      <c r="O306" s="26" t="s">
        <v>720</v>
      </c>
      <c r="P306" s="26"/>
      <c r="Q306" s="26"/>
      <c r="R306" s="22">
        <v>7</v>
      </c>
      <c r="S306" s="24">
        <v>45835</v>
      </c>
      <c r="T306" s="24">
        <v>45839</v>
      </c>
      <c r="U306" s="24"/>
      <c r="V306" s="24"/>
      <c r="W306" s="24">
        <v>45840</v>
      </c>
      <c r="X306" s="22" t="s">
        <v>238</v>
      </c>
      <c r="Y306" s="4" t="str">
        <f>IF(Tabela2[[#This Row],[SIGLA]]="","",VLOOKUP(Tabela2[[#This Row],[SIGLA]],Tabela1[[#All],[Sigla Arte]:[Crédito]],2,0))</f>
        <v>CLARISSA FRANÇA/ARQUIVO DA EDITORA</v>
      </c>
      <c r="Z306" s="23" t="s">
        <v>329</v>
      </c>
      <c r="AA306" s="23" t="str">
        <f>Tabela2[[#This Row],[ILUSTRADOR CRIAÇÃO]]</f>
        <v>CLARISSA FRANÇA/ARQUIVO DA EDITORA</v>
      </c>
      <c r="AB306" s="22">
        <v>14</v>
      </c>
      <c r="AC306" s="20"/>
      <c r="AD306" s="20" t="s">
        <v>44</v>
      </c>
      <c r="AE306" s="4" t="str">
        <f t="shared" si="4"/>
        <v>EF1 E002 HGC</v>
      </c>
    </row>
    <row r="307" spans="1:31" s="12" customFormat="1" ht="30" x14ac:dyDescent="0.25">
      <c r="A307" s="23" t="s">
        <v>721</v>
      </c>
      <c r="B307" s="20" t="s">
        <v>32</v>
      </c>
      <c r="C307" s="20" t="s">
        <v>33</v>
      </c>
      <c r="D307" s="20" t="s">
        <v>34</v>
      </c>
      <c r="E307" s="22">
        <v>246</v>
      </c>
      <c r="F307" s="22">
        <v>2</v>
      </c>
      <c r="G307" s="22">
        <v>6</v>
      </c>
      <c r="H307" s="22"/>
      <c r="I307" s="23" t="s">
        <v>35</v>
      </c>
      <c r="J307" s="23"/>
      <c r="K307" s="22"/>
      <c r="L307" s="22"/>
      <c r="M307" s="23"/>
      <c r="N307" s="23"/>
      <c r="O307" s="26" t="s">
        <v>722</v>
      </c>
      <c r="P307" s="26"/>
      <c r="Q307" s="26"/>
      <c r="R307" s="22"/>
      <c r="S307" s="24"/>
      <c r="T307" s="24"/>
      <c r="U307" s="24"/>
      <c r="V307" s="24"/>
      <c r="W307" s="24"/>
      <c r="X307" s="22" t="s">
        <v>103</v>
      </c>
      <c r="Y307" s="4" t="str">
        <f>IF(Tabela2[[#This Row],[SIGLA]]="","",VLOOKUP(Tabela2[[#This Row],[SIGLA]],Tabela1[[#All],[Sigla Arte]:[Crédito]],2,0))</f>
        <v>NELSON COSENTINO/ARQUIVO DA EDITORA</v>
      </c>
      <c r="Z307" s="23"/>
      <c r="AA307" s="23" t="str">
        <f>Tabela2[[#This Row],[ILUSTRADOR CRIAÇÃO]]</f>
        <v>NELSON COSENTINO/ARQUIVO DA EDITORA</v>
      </c>
      <c r="AB307" s="22"/>
      <c r="AC307" s="20"/>
      <c r="AD307" s="20"/>
      <c r="AE307" s="4" t="str">
        <f t="shared" si="4"/>
        <v>EF1 E002 HGC</v>
      </c>
    </row>
    <row r="308" spans="1:31" s="12" customFormat="1" ht="45" x14ac:dyDescent="0.25">
      <c r="A308" s="23" t="s">
        <v>723</v>
      </c>
      <c r="B308" s="20" t="s">
        <v>32</v>
      </c>
      <c r="C308" s="20" t="s">
        <v>33</v>
      </c>
      <c r="D308" s="20" t="s">
        <v>34</v>
      </c>
      <c r="E308" s="22">
        <v>246</v>
      </c>
      <c r="F308" s="22">
        <v>2</v>
      </c>
      <c r="G308" s="22">
        <v>6</v>
      </c>
      <c r="H308" s="22"/>
      <c r="I308" s="23" t="s">
        <v>35</v>
      </c>
      <c r="J308" s="23"/>
      <c r="K308" s="22"/>
      <c r="L308" s="22"/>
      <c r="M308" s="23"/>
      <c r="N308" s="23"/>
      <c r="O308" s="26" t="s">
        <v>724</v>
      </c>
      <c r="P308" s="26"/>
      <c r="Q308" s="26"/>
      <c r="R308" s="22"/>
      <c r="S308" s="24"/>
      <c r="T308" s="24"/>
      <c r="U308" s="24"/>
      <c r="V308" s="24"/>
      <c r="W308" s="24"/>
      <c r="X308" s="22" t="s">
        <v>103</v>
      </c>
      <c r="Y308" s="4" t="str">
        <f>IF(Tabela2[[#This Row],[SIGLA]]="","",VLOOKUP(Tabela2[[#This Row],[SIGLA]],Tabela1[[#All],[Sigla Arte]:[Crédito]],2,0))</f>
        <v>NELSON COSENTINO/ARQUIVO DA EDITORA</v>
      </c>
      <c r="Z308" s="23"/>
      <c r="AA308" s="23" t="str">
        <f>Tabela2[[#This Row],[ILUSTRADOR CRIAÇÃO]]</f>
        <v>NELSON COSENTINO/ARQUIVO DA EDITORA</v>
      </c>
      <c r="AB308" s="22"/>
      <c r="AC308" s="20"/>
      <c r="AD308" s="20"/>
      <c r="AE308" s="4" t="str">
        <f t="shared" si="4"/>
        <v>EF1 E002 HGC</v>
      </c>
    </row>
    <row r="309" spans="1:31" s="12" customFormat="1" ht="45" x14ac:dyDescent="0.25">
      <c r="A309" s="23" t="s">
        <v>725</v>
      </c>
      <c r="B309" s="20" t="s">
        <v>32</v>
      </c>
      <c r="C309" s="20" t="s">
        <v>33</v>
      </c>
      <c r="D309" s="20" t="s">
        <v>34</v>
      </c>
      <c r="E309" s="22">
        <v>246</v>
      </c>
      <c r="F309" s="22">
        <v>2</v>
      </c>
      <c r="G309" s="22">
        <v>6</v>
      </c>
      <c r="H309" s="22"/>
      <c r="I309" s="23" t="s">
        <v>35</v>
      </c>
      <c r="J309" s="23"/>
      <c r="K309" s="22"/>
      <c r="L309" s="22"/>
      <c r="M309" s="23"/>
      <c r="N309" s="23"/>
      <c r="O309" s="26" t="s">
        <v>726</v>
      </c>
      <c r="P309" s="26"/>
      <c r="Q309" s="26"/>
      <c r="R309" s="22"/>
      <c r="S309" s="24"/>
      <c r="T309" s="24"/>
      <c r="U309" s="24"/>
      <c r="V309" s="24"/>
      <c r="W309" s="24"/>
      <c r="X309" s="22" t="s">
        <v>103</v>
      </c>
      <c r="Y309" s="4" t="str">
        <f>IF(Tabela2[[#This Row],[SIGLA]]="","",VLOOKUP(Tabela2[[#This Row],[SIGLA]],Tabela1[[#All],[Sigla Arte]:[Crédito]],2,0))</f>
        <v>NELSON COSENTINO/ARQUIVO DA EDITORA</v>
      </c>
      <c r="Z309" s="23"/>
      <c r="AA309" s="23" t="str">
        <f>Tabela2[[#This Row],[ILUSTRADOR CRIAÇÃO]]</f>
        <v>NELSON COSENTINO/ARQUIVO DA EDITORA</v>
      </c>
      <c r="AB309" s="22"/>
      <c r="AC309" s="20"/>
      <c r="AD309" s="20"/>
      <c r="AE309" s="4" t="str">
        <f t="shared" si="4"/>
        <v>EF1 E002 HGC</v>
      </c>
    </row>
    <row r="310" spans="1:31" s="12" customFormat="1" ht="30" x14ac:dyDescent="0.25">
      <c r="A310" s="23" t="s">
        <v>727</v>
      </c>
      <c r="B310" s="20" t="s">
        <v>32</v>
      </c>
      <c r="C310" s="20" t="s">
        <v>33</v>
      </c>
      <c r="D310" s="20" t="s">
        <v>34</v>
      </c>
      <c r="E310" s="22">
        <v>246</v>
      </c>
      <c r="F310" s="22">
        <v>2</v>
      </c>
      <c r="G310" s="22">
        <v>6</v>
      </c>
      <c r="H310" s="22"/>
      <c r="I310" s="23" t="s">
        <v>35</v>
      </c>
      <c r="J310" s="23"/>
      <c r="K310" s="22"/>
      <c r="L310" s="22"/>
      <c r="M310" s="23"/>
      <c r="N310" s="23"/>
      <c r="O310" s="26" t="s">
        <v>728</v>
      </c>
      <c r="P310" s="26"/>
      <c r="Q310" s="26"/>
      <c r="R310" s="22"/>
      <c r="S310" s="24"/>
      <c r="T310" s="24"/>
      <c r="U310" s="24"/>
      <c r="V310" s="24"/>
      <c r="W310" s="24"/>
      <c r="X310" s="22" t="s">
        <v>103</v>
      </c>
      <c r="Y310" s="4" t="str">
        <f>IF(Tabela2[[#This Row],[SIGLA]]="","",VLOOKUP(Tabela2[[#This Row],[SIGLA]],Tabela1[[#All],[Sigla Arte]:[Crédito]],2,0))</f>
        <v>NELSON COSENTINO/ARQUIVO DA EDITORA</v>
      </c>
      <c r="Z310" s="23"/>
      <c r="AA310" s="23" t="str">
        <f>Tabela2[[#This Row],[ILUSTRADOR CRIAÇÃO]]</f>
        <v>NELSON COSENTINO/ARQUIVO DA EDITORA</v>
      </c>
      <c r="AB310" s="22"/>
      <c r="AC310" s="20"/>
      <c r="AD310" s="20"/>
      <c r="AE310" s="4" t="str">
        <f t="shared" si="4"/>
        <v>EF1 E002 HGC</v>
      </c>
    </row>
    <row r="311" spans="1:31" s="12" customFormat="1" ht="285" x14ac:dyDescent="0.25">
      <c r="A311" s="23" t="s">
        <v>729</v>
      </c>
      <c r="B311" s="20" t="s">
        <v>32</v>
      </c>
      <c r="C311" s="20" t="s">
        <v>33</v>
      </c>
      <c r="D311" s="20" t="s">
        <v>34</v>
      </c>
      <c r="E311" s="22">
        <v>250</v>
      </c>
      <c r="F311" s="22">
        <v>2</v>
      </c>
      <c r="G311" s="22">
        <v>6</v>
      </c>
      <c r="H311" s="22"/>
      <c r="I311" s="23" t="s">
        <v>39</v>
      </c>
      <c r="J311" s="23"/>
      <c r="K311" s="22"/>
      <c r="L311" s="22"/>
      <c r="M311" s="23"/>
      <c r="N311" s="23"/>
      <c r="O311" s="26" t="s">
        <v>730</v>
      </c>
      <c r="P311" s="26"/>
      <c r="Q311" s="26"/>
      <c r="R311" s="22">
        <v>7</v>
      </c>
      <c r="S311" s="24">
        <v>45835</v>
      </c>
      <c r="T311" s="24">
        <v>45839</v>
      </c>
      <c r="U311" s="24"/>
      <c r="V311" s="24"/>
      <c r="W311" s="24">
        <v>45840</v>
      </c>
      <c r="X311" s="22" t="s">
        <v>238</v>
      </c>
      <c r="Y311" s="4" t="str">
        <f>IF(Tabela2[[#This Row],[SIGLA]]="","",VLOOKUP(Tabela2[[#This Row],[SIGLA]],Tabela1[[#All],[Sigla Arte]:[Crédito]],2,0))</f>
        <v>CLARISSA FRANÇA/ARQUIVO DA EDITORA</v>
      </c>
      <c r="Z311" s="23" t="s">
        <v>329</v>
      </c>
      <c r="AA311" s="23" t="str">
        <f>Tabela2[[#This Row],[ILUSTRADOR CRIAÇÃO]]</f>
        <v>CLARISSA FRANÇA/ARQUIVO DA EDITORA</v>
      </c>
      <c r="AB311" s="22">
        <v>14</v>
      </c>
      <c r="AC311" s="20"/>
      <c r="AD311" s="20" t="s">
        <v>44</v>
      </c>
      <c r="AE311" s="4" t="str">
        <f t="shared" si="4"/>
        <v>EF1 E002 HGC</v>
      </c>
    </row>
    <row r="312" spans="1:31" s="12" customFormat="1" ht="105" x14ac:dyDescent="0.25">
      <c r="A312" s="23" t="s">
        <v>731</v>
      </c>
      <c r="B312" s="20" t="s">
        <v>32</v>
      </c>
      <c r="C312" s="20" t="s">
        <v>33</v>
      </c>
      <c r="D312" s="20" t="s">
        <v>34</v>
      </c>
      <c r="E312" s="22">
        <v>253</v>
      </c>
      <c r="F312" s="22">
        <v>2</v>
      </c>
      <c r="G312" s="22">
        <v>6</v>
      </c>
      <c r="H312" s="22"/>
      <c r="I312" s="23" t="s">
        <v>39</v>
      </c>
      <c r="J312" s="23"/>
      <c r="K312" s="22"/>
      <c r="L312" s="22"/>
      <c r="M312" s="23"/>
      <c r="N312" s="23"/>
      <c r="O312" s="26" t="s">
        <v>732</v>
      </c>
      <c r="P312" s="26"/>
      <c r="Q312" s="26"/>
      <c r="R312" s="22">
        <v>7</v>
      </c>
      <c r="S312" s="24">
        <v>45835</v>
      </c>
      <c r="T312" s="24">
        <v>45839</v>
      </c>
      <c r="U312" s="24"/>
      <c r="V312" s="24"/>
      <c r="W312" s="24">
        <v>45840</v>
      </c>
      <c r="X312" s="22" t="s">
        <v>103</v>
      </c>
      <c r="Y312" s="4" t="str">
        <f>IF(Tabela2[[#This Row],[SIGLA]]="","",VLOOKUP(Tabela2[[#This Row],[SIGLA]],Tabela1[[#All],[Sigla Arte]:[Crédito]],2,0))</f>
        <v>NELSON COSENTINO/ARQUIVO DA EDITORA</v>
      </c>
      <c r="Z312" s="23" t="s">
        <v>329</v>
      </c>
      <c r="AA312" s="23" t="str">
        <f>Tabela2[[#This Row],[ILUSTRADOR CRIAÇÃO]]</f>
        <v>NELSON COSENTINO/ARQUIVO DA EDITORA</v>
      </c>
      <c r="AB312" s="22">
        <v>14</v>
      </c>
      <c r="AC312" s="20"/>
      <c r="AD312" s="20" t="s">
        <v>44</v>
      </c>
      <c r="AE312" s="4" t="str">
        <f t="shared" si="4"/>
        <v>EF1 E002 HGC</v>
      </c>
    </row>
    <row r="313" spans="1:31" s="12" customFormat="1" ht="90" x14ac:dyDescent="0.25">
      <c r="A313" s="23" t="s">
        <v>733</v>
      </c>
      <c r="B313" s="20" t="s">
        <v>32</v>
      </c>
      <c r="C313" s="20" t="s">
        <v>33</v>
      </c>
      <c r="D313" s="20" t="s">
        <v>34</v>
      </c>
      <c r="E313" s="22">
        <v>253</v>
      </c>
      <c r="F313" s="22">
        <v>2</v>
      </c>
      <c r="G313" s="22">
        <v>6</v>
      </c>
      <c r="H313" s="22"/>
      <c r="I313" s="23" t="s">
        <v>39</v>
      </c>
      <c r="J313" s="23"/>
      <c r="K313" s="22"/>
      <c r="L313" s="22"/>
      <c r="M313" s="23"/>
      <c r="N313" s="23"/>
      <c r="O313" s="26" t="s">
        <v>734</v>
      </c>
      <c r="P313" s="26"/>
      <c r="Q313" s="26"/>
      <c r="R313" s="22">
        <v>7</v>
      </c>
      <c r="S313" s="24">
        <v>45835</v>
      </c>
      <c r="T313" s="24">
        <v>45839</v>
      </c>
      <c r="U313" s="24"/>
      <c r="V313" s="24"/>
      <c r="W313" s="24">
        <v>45840</v>
      </c>
      <c r="X313" s="22" t="s">
        <v>103</v>
      </c>
      <c r="Y313" s="4" t="str">
        <f>IF(Tabela2[[#This Row],[SIGLA]]="","",VLOOKUP(Tabela2[[#This Row],[SIGLA]],Tabela1[[#All],[Sigla Arte]:[Crédito]],2,0))</f>
        <v>NELSON COSENTINO/ARQUIVO DA EDITORA</v>
      </c>
      <c r="Z313" s="23" t="s">
        <v>329</v>
      </c>
      <c r="AA313" s="23" t="str">
        <f>Tabela2[[#This Row],[ILUSTRADOR CRIAÇÃO]]</f>
        <v>NELSON COSENTINO/ARQUIVO DA EDITORA</v>
      </c>
      <c r="AB313" s="22">
        <v>14</v>
      </c>
      <c r="AC313" s="20"/>
      <c r="AD313" s="20" t="s">
        <v>44</v>
      </c>
      <c r="AE313" s="4" t="str">
        <f t="shared" si="4"/>
        <v>EF1 E002 HGC</v>
      </c>
    </row>
    <row r="314" spans="1:31" s="12" customFormat="1" ht="120" x14ac:dyDescent="0.25">
      <c r="A314" s="23" t="s">
        <v>735</v>
      </c>
      <c r="B314" s="20" t="s">
        <v>32</v>
      </c>
      <c r="C314" s="20" t="s">
        <v>33</v>
      </c>
      <c r="D314" s="20" t="s">
        <v>34</v>
      </c>
      <c r="E314" s="22">
        <v>260</v>
      </c>
      <c r="F314" s="22">
        <v>2</v>
      </c>
      <c r="G314" s="22">
        <v>6</v>
      </c>
      <c r="H314" s="22"/>
      <c r="I314" s="23" t="s">
        <v>39</v>
      </c>
      <c r="J314" s="23"/>
      <c r="K314" s="22"/>
      <c r="L314" s="22"/>
      <c r="M314" s="23"/>
      <c r="N314" s="23"/>
      <c r="O314" s="26" t="s">
        <v>736</v>
      </c>
      <c r="P314" s="26"/>
      <c r="Q314" s="26"/>
      <c r="R314" s="22">
        <v>7</v>
      </c>
      <c r="S314" s="24">
        <v>45835</v>
      </c>
      <c r="T314" s="24">
        <v>45839</v>
      </c>
      <c r="U314" s="24"/>
      <c r="V314" s="24"/>
      <c r="W314" s="24">
        <v>45840</v>
      </c>
      <c r="X314" s="22" t="s">
        <v>475</v>
      </c>
      <c r="Y314" s="4" t="str">
        <f>IF(Tabela2[[#This Row],[SIGLA]]="","",VLOOKUP(Tabela2[[#This Row],[SIGLA]],Tabela1[[#All],[Sigla Arte]:[Crédito]],2,0))</f>
        <v>KATHARINE FROTA/ARQUIVO DA EDITORA</v>
      </c>
      <c r="Z314" s="23" t="s">
        <v>329</v>
      </c>
      <c r="AA314" s="23" t="str">
        <f>Tabela2[[#This Row],[ILUSTRADOR CRIAÇÃO]]</f>
        <v>KATHARINE FROTA/ARQUIVO DA EDITORA</v>
      </c>
      <c r="AB314" s="22">
        <v>13</v>
      </c>
      <c r="AC314" s="20"/>
      <c r="AD314" s="20" t="s">
        <v>44</v>
      </c>
      <c r="AE314" s="4" t="str">
        <f t="shared" si="4"/>
        <v>EF1 E002 HGC</v>
      </c>
    </row>
    <row r="315" spans="1:31" s="12" customFormat="1" ht="60" x14ac:dyDescent="0.25">
      <c r="A315" s="23" t="s">
        <v>737</v>
      </c>
      <c r="B315" s="20" t="s">
        <v>183</v>
      </c>
      <c r="C315" s="20" t="s">
        <v>33</v>
      </c>
      <c r="D315" s="20" t="s">
        <v>34</v>
      </c>
      <c r="E315" s="22">
        <v>207</v>
      </c>
      <c r="F315" s="22">
        <v>1</v>
      </c>
      <c r="G315" s="22">
        <v>5</v>
      </c>
      <c r="H315" s="22"/>
      <c r="I315" s="23" t="s">
        <v>35</v>
      </c>
      <c r="J315" s="23"/>
      <c r="K315" s="22"/>
      <c r="L315" s="22"/>
      <c r="M315" s="23"/>
      <c r="N315" s="23"/>
      <c r="O315" s="26" t="s">
        <v>738</v>
      </c>
      <c r="P315" s="26"/>
      <c r="Q315" s="26"/>
      <c r="R315" s="22"/>
      <c r="S315" s="24"/>
      <c r="T315" s="24"/>
      <c r="U315" s="24"/>
      <c r="V315" s="24"/>
      <c r="W315" s="24"/>
      <c r="X315" s="22" t="s">
        <v>139</v>
      </c>
      <c r="Y315" s="4" t="str">
        <f>IF(Tabela2[[#This Row],[SIGLA]]="","",VLOOKUP(Tabela2[[#This Row],[SIGLA]],Tabela1[[#All],[Sigla Arte]:[Crédito]],2,0))</f>
        <v>HELOÍSA PINTARELLI/ARQUIVO DA EDITORA</v>
      </c>
      <c r="Z315" s="23"/>
      <c r="AA315" s="23" t="str">
        <f>Tabela2[[#This Row],[ILUSTRADOR CRIAÇÃO]]</f>
        <v>HELOÍSA PINTARELLI/ARQUIVO DA EDITORA</v>
      </c>
      <c r="AB315" s="22"/>
      <c r="AC315" s="20"/>
      <c r="AD315" s="20"/>
      <c r="AE315" s="4" t="str">
        <f t="shared" si="4"/>
        <v>EF1 E002 HGC</v>
      </c>
    </row>
    <row r="316" spans="1:31" s="12" customFormat="1" ht="45" x14ac:dyDescent="0.25">
      <c r="A316" s="23" t="s">
        <v>739</v>
      </c>
      <c r="B316" s="20" t="s">
        <v>183</v>
      </c>
      <c r="C316" s="20" t="s">
        <v>33</v>
      </c>
      <c r="D316" s="20" t="s">
        <v>34</v>
      </c>
      <c r="E316" s="22">
        <v>207</v>
      </c>
      <c r="F316" s="22">
        <v>1</v>
      </c>
      <c r="G316" s="22">
        <v>5</v>
      </c>
      <c r="H316" s="22"/>
      <c r="I316" s="23" t="s">
        <v>35</v>
      </c>
      <c r="J316" s="23"/>
      <c r="K316" s="22"/>
      <c r="L316" s="22"/>
      <c r="M316" s="23"/>
      <c r="N316" s="23"/>
      <c r="O316" s="26" t="s">
        <v>740</v>
      </c>
      <c r="P316" s="26"/>
      <c r="Q316" s="26"/>
      <c r="R316" s="22"/>
      <c r="S316" s="24"/>
      <c r="T316" s="24"/>
      <c r="U316" s="24"/>
      <c r="V316" s="24"/>
      <c r="W316" s="24"/>
      <c r="X316" s="22" t="s">
        <v>139</v>
      </c>
      <c r="Y316" s="4" t="str">
        <f>IF(Tabela2[[#This Row],[SIGLA]]="","",VLOOKUP(Tabela2[[#This Row],[SIGLA]],Tabela1[[#All],[Sigla Arte]:[Crédito]],2,0))</f>
        <v>HELOÍSA PINTARELLI/ARQUIVO DA EDITORA</v>
      </c>
      <c r="Z316" s="23"/>
      <c r="AA316" s="23" t="str">
        <f>Tabela2[[#This Row],[ILUSTRADOR CRIAÇÃO]]</f>
        <v>HELOÍSA PINTARELLI/ARQUIVO DA EDITORA</v>
      </c>
      <c r="AB316" s="22"/>
      <c r="AC316" s="20"/>
      <c r="AD316" s="20"/>
      <c r="AE316" s="4" t="str">
        <f t="shared" si="4"/>
        <v>EF1 E002 HGC</v>
      </c>
    </row>
    <row r="317" spans="1:31" s="12" customFormat="1" ht="45" x14ac:dyDescent="0.25">
      <c r="A317" s="23" t="s">
        <v>741</v>
      </c>
      <c r="B317" s="20" t="s">
        <v>183</v>
      </c>
      <c r="C317" s="20" t="s">
        <v>33</v>
      </c>
      <c r="D317" s="20" t="s">
        <v>34</v>
      </c>
      <c r="E317" s="22">
        <v>207</v>
      </c>
      <c r="F317" s="22">
        <v>1</v>
      </c>
      <c r="G317" s="22">
        <v>5</v>
      </c>
      <c r="H317" s="22"/>
      <c r="I317" s="23" t="s">
        <v>35</v>
      </c>
      <c r="J317" s="23"/>
      <c r="K317" s="22"/>
      <c r="L317" s="22"/>
      <c r="M317" s="23"/>
      <c r="N317" s="23"/>
      <c r="O317" s="26" t="s">
        <v>742</v>
      </c>
      <c r="P317" s="26"/>
      <c r="Q317" s="26"/>
      <c r="R317" s="22"/>
      <c r="S317" s="24"/>
      <c r="T317" s="24"/>
      <c r="U317" s="24"/>
      <c r="V317" s="24"/>
      <c r="W317" s="24"/>
      <c r="X317" s="22" t="s">
        <v>139</v>
      </c>
      <c r="Y317" s="4" t="str">
        <f>IF(Tabela2[[#This Row],[SIGLA]]="","",VLOOKUP(Tabela2[[#This Row],[SIGLA]],Tabela1[[#All],[Sigla Arte]:[Crédito]],2,0))</f>
        <v>HELOÍSA PINTARELLI/ARQUIVO DA EDITORA</v>
      </c>
      <c r="Z317" s="23"/>
      <c r="AA317" s="23" t="str">
        <f>Tabela2[[#This Row],[ILUSTRADOR CRIAÇÃO]]</f>
        <v>HELOÍSA PINTARELLI/ARQUIVO DA EDITORA</v>
      </c>
      <c r="AB317" s="22"/>
      <c r="AC317" s="20"/>
      <c r="AD317" s="20"/>
      <c r="AE317" s="4" t="str">
        <f t="shared" si="4"/>
        <v>EF1 E002 HGC</v>
      </c>
    </row>
    <row r="318" spans="1:31" s="12" customFormat="1" ht="60" x14ac:dyDescent="0.25">
      <c r="A318" s="23" t="s">
        <v>743</v>
      </c>
      <c r="B318" s="20" t="s">
        <v>183</v>
      </c>
      <c r="C318" s="20" t="s">
        <v>33</v>
      </c>
      <c r="D318" s="20" t="s">
        <v>34</v>
      </c>
      <c r="E318" s="22">
        <v>207</v>
      </c>
      <c r="F318" s="22">
        <v>1</v>
      </c>
      <c r="G318" s="22">
        <v>5</v>
      </c>
      <c r="H318" s="22"/>
      <c r="I318" s="23" t="s">
        <v>35</v>
      </c>
      <c r="J318" s="23"/>
      <c r="K318" s="22"/>
      <c r="L318" s="22"/>
      <c r="M318" s="23"/>
      <c r="N318" s="23"/>
      <c r="O318" s="26" t="s">
        <v>744</v>
      </c>
      <c r="P318" s="26"/>
      <c r="Q318" s="26"/>
      <c r="R318" s="22"/>
      <c r="S318" s="24"/>
      <c r="T318" s="24"/>
      <c r="U318" s="24"/>
      <c r="V318" s="24"/>
      <c r="W318" s="24"/>
      <c r="X318" s="22" t="s">
        <v>139</v>
      </c>
      <c r="Y318" s="4" t="str">
        <f>IF(Tabela2[[#This Row],[SIGLA]]="","",VLOOKUP(Tabela2[[#This Row],[SIGLA]],Tabela1[[#All],[Sigla Arte]:[Crédito]],2,0))</f>
        <v>HELOÍSA PINTARELLI/ARQUIVO DA EDITORA</v>
      </c>
      <c r="Z318" s="23"/>
      <c r="AA318" s="23" t="str">
        <f>Tabela2[[#This Row],[ILUSTRADOR CRIAÇÃO]]</f>
        <v>HELOÍSA PINTARELLI/ARQUIVO DA EDITORA</v>
      </c>
      <c r="AB318" s="22"/>
      <c r="AC318" s="20"/>
      <c r="AD318" s="20"/>
      <c r="AE318" s="4" t="str">
        <f t="shared" si="4"/>
        <v>EF1 E002 HGC</v>
      </c>
    </row>
    <row r="319" spans="1:31" s="12" customFormat="1" x14ac:dyDescent="0.25">
      <c r="A319" s="23" t="s">
        <v>745</v>
      </c>
      <c r="B319" s="20" t="s">
        <v>32</v>
      </c>
      <c r="C319" s="20" t="s">
        <v>664</v>
      </c>
      <c r="D319" s="20" t="s">
        <v>34</v>
      </c>
      <c r="E319" s="22">
        <v>19</v>
      </c>
      <c r="F319" s="22">
        <v>2</v>
      </c>
      <c r="G319" s="22">
        <v>1</v>
      </c>
      <c r="H319" s="22"/>
      <c r="I319" s="23" t="s">
        <v>91</v>
      </c>
      <c r="J319" s="23"/>
      <c r="K319" s="22"/>
      <c r="L319" s="22"/>
      <c r="M319" s="23"/>
      <c r="N319" s="23"/>
      <c r="O319" s="26" t="s">
        <v>746</v>
      </c>
      <c r="P319" s="26"/>
      <c r="Q319" s="26"/>
      <c r="R319" s="22">
        <v>8</v>
      </c>
      <c r="S319" s="24">
        <v>45854</v>
      </c>
      <c r="T319" s="24">
        <v>45860</v>
      </c>
      <c r="U319" s="24"/>
      <c r="V319" s="24"/>
      <c r="W319" s="24">
        <v>45860</v>
      </c>
      <c r="X319" s="22" t="s">
        <v>747</v>
      </c>
      <c r="Y319" s="4" t="str">
        <f>IF(Tabela2[[#This Row],[SIGLA]]="","",VLOOKUP(Tabela2[[#This Row],[SIGLA]],Tabela1[[#All],[Sigla Arte]:[Crédito]],2,0))</f>
        <v>NICOLAS FURTADO/ARQUIVO DA EDITORA</v>
      </c>
      <c r="Z319" s="23"/>
      <c r="AA319" s="23" t="str">
        <f>Tabela2[[#This Row],[ILUSTRADOR CRIAÇÃO]]</f>
        <v>NICOLAS FURTADO/ARQUIVO DA EDITORA</v>
      </c>
      <c r="AB319" s="22">
        <v>8</v>
      </c>
      <c r="AC319" s="20" t="s">
        <v>748</v>
      </c>
      <c r="AD319" s="20" t="s">
        <v>44</v>
      </c>
      <c r="AE319" s="4" t="str">
        <f t="shared" si="4"/>
        <v>EF1 E002 HGC</v>
      </c>
    </row>
    <row r="320" spans="1:31" s="12" customFormat="1" ht="120" x14ac:dyDescent="0.25">
      <c r="A320" s="23" t="s">
        <v>749</v>
      </c>
      <c r="B320" s="20" t="s">
        <v>32</v>
      </c>
      <c r="C320" s="20" t="s">
        <v>33</v>
      </c>
      <c r="D320" s="20" t="s">
        <v>34</v>
      </c>
      <c r="E320" s="22">
        <v>43</v>
      </c>
      <c r="F320" s="22">
        <v>2</v>
      </c>
      <c r="G320" s="22">
        <v>1</v>
      </c>
      <c r="H320" s="22"/>
      <c r="I320" s="23" t="s">
        <v>35</v>
      </c>
      <c r="J320" s="23"/>
      <c r="K320" s="22"/>
      <c r="L320" s="22"/>
      <c r="M320" s="23"/>
      <c r="N320" s="23"/>
      <c r="O320" s="26" t="s">
        <v>750</v>
      </c>
      <c r="P320" s="26"/>
      <c r="Q320" s="26"/>
      <c r="R320" s="22"/>
      <c r="S320" s="24"/>
      <c r="T320" s="24"/>
      <c r="U320" s="24"/>
      <c r="V320" s="24"/>
      <c r="W320" s="24"/>
      <c r="X320" s="22" t="s">
        <v>139</v>
      </c>
      <c r="Y320" s="4" t="str">
        <f>IF(Tabela2[[#This Row],[SIGLA]]="","",VLOOKUP(Tabela2[[#This Row],[SIGLA]],Tabela1[[#All],[Sigla Arte]:[Crédito]],2,0))</f>
        <v>HELOÍSA PINTARELLI/ARQUIVO DA EDITORA</v>
      </c>
      <c r="Z320" s="23"/>
      <c r="AA320" s="23" t="str">
        <f>Tabela2[[#This Row],[ILUSTRADOR CRIAÇÃO]]</f>
        <v>HELOÍSA PINTARELLI/ARQUIVO DA EDITORA</v>
      </c>
      <c r="AB320" s="22"/>
      <c r="AC320" s="20"/>
      <c r="AD320" s="20"/>
      <c r="AE320" s="4" t="str">
        <f t="shared" si="4"/>
        <v>EF1 E002 HGC</v>
      </c>
    </row>
    <row r="321" spans="1:31" s="12" customFormat="1" x14ac:dyDescent="0.25">
      <c r="A321" s="23" t="s">
        <v>751</v>
      </c>
      <c r="B321" s="20" t="s">
        <v>445</v>
      </c>
      <c r="C321" s="20" t="s">
        <v>33</v>
      </c>
      <c r="D321" s="20" t="s">
        <v>752</v>
      </c>
      <c r="E321" s="22">
        <v>1</v>
      </c>
      <c r="F321" s="22">
        <v>1</v>
      </c>
      <c r="G321" s="22">
        <v>1</v>
      </c>
      <c r="H321" s="22"/>
      <c r="I321" s="23" t="s">
        <v>91</v>
      </c>
      <c r="J321" s="23"/>
      <c r="K321" s="22"/>
      <c r="L321" s="22"/>
      <c r="M321" s="23"/>
      <c r="N321" s="23"/>
      <c r="O321" s="26" t="s">
        <v>753</v>
      </c>
      <c r="P321" s="26"/>
      <c r="Q321" s="26"/>
      <c r="R321" s="22"/>
      <c r="S321" s="24"/>
      <c r="T321" s="24"/>
      <c r="U321" s="24"/>
      <c r="V321" s="24"/>
      <c r="W321" s="24"/>
      <c r="X321" s="22" t="s">
        <v>754</v>
      </c>
      <c r="Y321" s="4" t="str">
        <f>IF(Tabela2[[#This Row],[SIGLA]]="","",VLOOKUP(Tabela2[[#This Row],[SIGLA]],Tabela1[[#All],[Sigla Arte]:[Crédito]],2,0))</f>
        <v>CAJILA BARBOSA/ARQUIVO DA EDITORA</v>
      </c>
      <c r="Z321" s="23" t="s">
        <v>755</v>
      </c>
      <c r="AA321" s="23" t="str">
        <f>Tabela2[[#This Row],[ILUSTRADOR CRIAÇÃO]]</f>
        <v>CAJILA BARBOSA/ARQUIVO DA EDITORA</v>
      </c>
      <c r="AB321" s="22">
        <v>13</v>
      </c>
      <c r="AC321" s="20" t="s">
        <v>756</v>
      </c>
      <c r="AD321" s="20"/>
      <c r="AE321" s="4" t="str">
        <f t="shared" si="4"/>
        <v>EF1 E002 HGC</v>
      </c>
    </row>
    <row r="322" spans="1:31" s="12" customFormat="1" x14ac:dyDescent="0.25">
      <c r="A322" s="23" t="s">
        <v>757</v>
      </c>
      <c r="B322" s="20" t="s">
        <v>445</v>
      </c>
      <c r="C322" s="20" t="s">
        <v>33</v>
      </c>
      <c r="D322" s="20" t="s">
        <v>752</v>
      </c>
      <c r="E322" s="22">
        <v>1</v>
      </c>
      <c r="F322" s="22">
        <v>2</v>
      </c>
      <c r="G322" s="22">
        <v>1</v>
      </c>
      <c r="H322" s="22"/>
      <c r="I322" s="23" t="s">
        <v>91</v>
      </c>
      <c r="J322" s="23"/>
      <c r="K322" s="22"/>
      <c r="L322" s="22"/>
      <c r="M322" s="23"/>
      <c r="N322" s="23"/>
      <c r="O322" s="26" t="s">
        <v>753</v>
      </c>
      <c r="P322" s="26"/>
      <c r="Q322" s="26"/>
      <c r="R322" s="22"/>
      <c r="S322" s="24"/>
      <c r="T322" s="24"/>
      <c r="U322" s="24"/>
      <c r="V322" s="24"/>
      <c r="W322" s="24"/>
      <c r="X322" s="22"/>
      <c r="Y322" s="4" t="str">
        <f>IF(Tabela2[[#This Row],[SIGLA]]="","",VLOOKUP(Tabela2[[#This Row],[SIGLA]],Tabela1[[#All],[Sigla Arte]:[Crédito]],2,0))</f>
        <v/>
      </c>
      <c r="Z322" s="23"/>
      <c r="AA322" s="23" t="str">
        <f>Tabela2[[#This Row],[ILUSTRADOR CRIAÇÃO]]</f>
        <v/>
      </c>
      <c r="AB322" s="22"/>
      <c r="AC322" s="20"/>
      <c r="AD322" s="20"/>
      <c r="AE322" s="4" t="str">
        <f t="shared" ref="AE322:AE385" si="5">"EF1 E002 HGC"</f>
        <v>EF1 E002 HGC</v>
      </c>
    </row>
    <row r="323" spans="1:31" s="12" customFormat="1" ht="60" x14ac:dyDescent="0.25">
      <c r="A323" s="23" t="s">
        <v>758</v>
      </c>
      <c r="B323" s="20" t="s">
        <v>32</v>
      </c>
      <c r="C323" s="20" t="s">
        <v>33</v>
      </c>
      <c r="D323" s="20" t="s">
        <v>34</v>
      </c>
      <c r="E323" s="22">
        <v>64</v>
      </c>
      <c r="F323" s="22">
        <v>2</v>
      </c>
      <c r="G323" s="22">
        <v>2</v>
      </c>
      <c r="H323" s="22"/>
      <c r="I323" s="23" t="s">
        <v>35</v>
      </c>
      <c r="J323" s="23"/>
      <c r="K323" s="22"/>
      <c r="L323" s="22"/>
      <c r="M323" s="23"/>
      <c r="N323" s="23"/>
      <c r="O323" s="26" t="s">
        <v>759</v>
      </c>
      <c r="P323" s="26"/>
      <c r="Q323" s="26"/>
      <c r="R323" s="22"/>
      <c r="S323" s="24"/>
      <c r="T323" s="24"/>
      <c r="U323" s="24"/>
      <c r="V323" s="24"/>
      <c r="W323" s="24"/>
      <c r="X323" s="22" t="s">
        <v>200</v>
      </c>
      <c r="Y323" s="4" t="str">
        <f>IF(Tabela2[[#This Row],[SIGLA]]="","",VLOOKUP(Tabela2[[#This Row],[SIGLA]],Tabela1[[#All],[Sigla Arte]:[Crédito]],2,0))</f>
        <v>KÉZIA TRENTINI/ARQUIVO DA EDITORA</v>
      </c>
      <c r="Z323" s="23"/>
      <c r="AA323" s="23" t="str">
        <f>Tabela2[[#This Row],[ILUSTRADOR CRIAÇÃO]]</f>
        <v>KÉZIA TRENTINI/ARQUIVO DA EDITORA</v>
      </c>
      <c r="AB323" s="22"/>
      <c r="AC323" s="20"/>
      <c r="AD323" s="20"/>
      <c r="AE323" s="4" t="str">
        <f t="shared" si="5"/>
        <v>EF1 E002 HGC</v>
      </c>
    </row>
    <row r="324" spans="1:31" s="12" customFormat="1" ht="75" x14ac:dyDescent="0.25">
      <c r="A324" s="23" t="s">
        <v>760</v>
      </c>
      <c r="B324" s="20" t="s">
        <v>32</v>
      </c>
      <c r="C324" s="20" t="s">
        <v>33</v>
      </c>
      <c r="D324" s="20" t="s">
        <v>34</v>
      </c>
      <c r="E324" s="22">
        <v>64</v>
      </c>
      <c r="F324" s="22">
        <v>2</v>
      </c>
      <c r="G324" s="22">
        <v>2</v>
      </c>
      <c r="H324" s="22"/>
      <c r="I324" s="23" t="s">
        <v>35</v>
      </c>
      <c r="J324" s="23"/>
      <c r="K324" s="22"/>
      <c r="L324" s="22"/>
      <c r="M324" s="23"/>
      <c r="N324" s="23"/>
      <c r="O324" s="26" t="s">
        <v>761</v>
      </c>
      <c r="P324" s="26"/>
      <c r="Q324" s="26"/>
      <c r="R324" s="22"/>
      <c r="S324" s="24"/>
      <c r="T324" s="24"/>
      <c r="U324" s="24"/>
      <c r="V324" s="24"/>
      <c r="W324" s="24"/>
      <c r="X324" s="22" t="s">
        <v>200</v>
      </c>
      <c r="Y324" s="4" t="str">
        <f>IF(Tabela2[[#This Row],[SIGLA]]="","",VLOOKUP(Tabela2[[#This Row],[SIGLA]],Tabela1[[#All],[Sigla Arte]:[Crédito]],2,0))</f>
        <v>KÉZIA TRENTINI/ARQUIVO DA EDITORA</v>
      </c>
      <c r="Z324" s="23"/>
      <c r="AA324" s="23" t="str">
        <f>Tabela2[[#This Row],[ILUSTRADOR CRIAÇÃO]]</f>
        <v>KÉZIA TRENTINI/ARQUIVO DA EDITORA</v>
      </c>
      <c r="AB324" s="22"/>
      <c r="AC324" s="20"/>
      <c r="AD324" s="20"/>
      <c r="AE324" s="4" t="str">
        <f t="shared" si="5"/>
        <v>EF1 E002 HGC</v>
      </c>
    </row>
    <row r="325" spans="1:31" s="12" customFormat="1" ht="60" x14ac:dyDescent="0.25">
      <c r="A325" s="23" t="s">
        <v>762</v>
      </c>
      <c r="B325" s="20" t="s">
        <v>32</v>
      </c>
      <c r="C325" s="20" t="s">
        <v>33</v>
      </c>
      <c r="D325" s="20" t="s">
        <v>34</v>
      </c>
      <c r="E325" s="22">
        <v>64</v>
      </c>
      <c r="F325" s="22">
        <v>2</v>
      </c>
      <c r="G325" s="22">
        <v>2</v>
      </c>
      <c r="H325" s="22"/>
      <c r="I325" s="23" t="s">
        <v>35</v>
      </c>
      <c r="J325" s="23"/>
      <c r="K325" s="22"/>
      <c r="L325" s="22"/>
      <c r="M325" s="23"/>
      <c r="N325" s="23"/>
      <c r="O325" s="26" t="s">
        <v>763</v>
      </c>
      <c r="P325" s="26"/>
      <c r="Q325" s="26"/>
      <c r="R325" s="22"/>
      <c r="S325" s="24"/>
      <c r="T325" s="24"/>
      <c r="U325" s="24"/>
      <c r="V325" s="24"/>
      <c r="W325" s="24"/>
      <c r="X325" s="22" t="s">
        <v>200</v>
      </c>
      <c r="Y325" s="4" t="str">
        <f>IF(Tabela2[[#This Row],[SIGLA]]="","",VLOOKUP(Tabela2[[#This Row],[SIGLA]],Tabela1[[#All],[Sigla Arte]:[Crédito]],2,0))</f>
        <v>KÉZIA TRENTINI/ARQUIVO DA EDITORA</v>
      </c>
      <c r="Z325" s="23"/>
      <c r="AA325" s="23" t="str">
        <f>Tabela2[[#This Row],[ILUSTRADOR CRIAÇÃO]]</f>
        <v>KÉZIA TRENTINI/ARQUIVO DA EDITORA</v>
      </c>
      <c r="AB325" s="22"/>
      <c r="AC325" s="20"/>
      <c r="AD325" s="20"/>
      <c r="AE325" s="4" t="str">
        <f t="shared" si="5"/>
        <v>EF1 E002 HGC</v>
      </c>
    </row>
    <row r="326" spans="1:31" s="12" customFormat="1" ht="60" x14ac:dyDescent="0.25">
      <c r="A326" s="23" t="s">
        <v>764</v>
      </c>
      <c r="B326" s="20" t="s">
        <v>445</v>
      </c>
      <c r="C326" s="20" t="s">
        <v>33</v>
      </c>
      <c r="D326" s="20" t="s">
        <v>34</v>
      </c>
      <c r="E326" s="22">
        <v>129</v>
      </c>
      <c r="F326" s="22">
        <v>2</v>
      </c>
      <c r="G326" s="22">
        <v>3</v>
      </c>
      <c r="H326" s="22"/>
      <c r="I326" s="23" t="s">
        <v>35</v>
      </c>
      <c r="J326" s="23"/>
      <c r="K326" s="22"/>
      <c r="L326" s="22"/>
      <c r="M326" s="23"/>
      <c r="N326" s="23"/>
      <c r="O326" s="26" t="s">
        <v>765</v>
      </c>
      <c r="P326" s="26"/>
      <c r="Q326" s="26"/>
      <c r="R326" s="22">
        <v>25</v>
      </c>
      <c r="S326" s="24"/>
      <c r="T326" s="24">
        <v>45910</v>
      </c>
      <c r="U326" s="24"/>
      <c r="V326" s="24"/>
      <c r="W326" s="24">
        <v>45910</v>
      </c>
      <c r="X326" s="22" t="s">
        <v>238</v>
      </c>
      <c r="Y326" s="4" t="str">
        <f>IF(Tabela2[[#This Row],[SIGLA]]="","",VLOOKUP(Tabela2[[#This Row],[SIGLA]],Tabela1[[#All],[Sigla Arte]:[Crédito]],2,0))</f>
        <v>CLARISSA FRANÇA/ARQUIVO DA EDITORA</v>
      </c>
      <c r="Z326" s="23" t="s">
        <v>623</v>
      </c>
      <c r="AA326" s="23" t="str">
        <f>Tabela2[[#This Row],[ILUSTRADOR CRIAÇÃO]]</f>
        <v>CLARISSA FRANÇA/ARQUIVO DA EDITORA</v>
      </c>
      <c r="AB326" s="22">
        <v>13</v>
      </c>
      <c r="AC326" s="20" t="s">
        <v>277</v>
      </c>
      <c r="AD326" s="20" t="s">
        <v>44</v>
      </c>
      <c r="AE326" s="4" t="str">
        <f t="shared" si="5"/>
        <v>EF1 E002 HGC</v>
      </c>
    </row>
    <row r="327" spans="1:31" s="12" customFormat="1" ht="60" x14ac:dyDescent="0.25">
      <c r="A327" s="23" t="s">
        <v>766</v>
      </c>
      <c r="B327" s="20" t="s">
        <v>445</v>
      </c>
      <c r="C327" s="20" t="s">
        <v>33</v>
      </c>
      <c r="D327" s="20" t="s">
        <v>34</v>
      </c>
      <c r="E327" s="22">
        <v>129</v>
      </c>
      <c r="F327" s="22">
        <v>2</v>
      </c>
      <c r="G327" s="22">
        <v>3</v>
      </c>
      <c r="H327" s="22"/>
      <c r="I327" s="23" t="s">
        <v>35</v>
      </c>
      <c r="J327" s="23"/>
      <c r="K327" s="22"/>
      <c r="L327" s="22"/>
      <c r="M327" s="23"/>
      <c r="N327" s="23"/>
      <c r="O327" s="26" t="s">
        <v>767</v>
      </c>
      <c r="P327" s="26"/>
      <c r="Q327" s="26"/>
      <c r="R327" s="22">
        <v>25</v>
      </c>
      <c r="S327" s="24"/>
      <c r="T327" s="24">
        <v>45910</v>
      </c>
      <c r="U327" s="24"/>
      <c r="V327" s="24"/>
      <c r="W327" s="24">
        <v>45910</v>
      </c>
      <c r="X327" s="22" t="s">
        <v>238</v>
      </c>
      <c r="Y327" s="4" t="str">
        <f>IF(Tabela2[[#This Row],[SIGLA]]="","",VLOOKUP(Tabela2[[#This Row],[SIGLA]],Tabela1[[#All],[Sigla Arte]:[Crédito]],2,0))</f>
        <v>CLARISSA FRANÇA/ARQUIVO DA EDITORA</v>
      </c>
      <c r="Z327" s="23" t="s">
        <v>623</v>
      </c>
      <c r="AA327" s="23" t="str">
        <f>Tabela2[[#This Row],[ILUSTRADOR CRIAÇÃO]]</f>
        <v>CLARISSA FRANÇA/ARQUIVO DA EDITORA</v>
      </c>
      <c r="AB327" s="22">
        <v>13</v>
      </c>
      <c r="AC327" s="20" t="s">
        <v>277</v>
      </c>
      <c r="AD327" s="20" t="s">
        <v>44</v>
      </c>
      <c r="AE327" s="4" t="str">
        <f t="shared" si="5"/>
        <v>EF1 E002 HGC</v>
      </c>
    </row>
    <row r="328" spans="1:31" s="12" customFormat="1" ht="90" x14ac:dyDescent="0.25">
      <c r="A328" s="23" t="s">
        <v>768</v>
      </c>
      <c r="B328" s="20" t="s">
        <v>32</v>
      </c>
      <c r="C328" s="20" t="s">
        <v>33</v>
      </c>
      <c r="D328" s="20" t="s">
        <v>34</v>
      </c>
      <c r="E328" s="22">
        <v>129</v>
      </c>
      <c r="F328" s="22">
        <v>2</v>
      </c>
      <c r="G328" s="22">
        <v>3</v>
      </c>
      <c r="H328" s="22"/>
      <c r="I328" s="23" t="s">
        <v>39</v>
      </c>
      <c r="J328" s="23"/>
      <c r="K328" s="22"/>
      <c r="L328" s="22"/>
      <c r="M328" s="23"/>
      <c r="N328" s="23"/>
      <c r="O328" s="26" t="s">
        <v>769</v>
      </c>
      <c r="P328" s="26"/>
      <c r="Q328" s="26"/>
      <c r="R328" s="22">
        <v>9</v>
      </c>
      <c r="S328" s="24">
        <v>45859</v>
      </c>
      <c r="T328" s="24">
        <v>45861</v>
      </c>
      <c r="U328" s="24"/>
      <c r="V328" s="24"/>
      <c r="W328" s="24">
        <v>45861</v>
      </c>
      <c r="X328" s="22" t="s">
        <v>238</v>
      </c>
      <c r="Y328" s="4" t="str">
        <f>IF(Tabela2[[#This Row],[SIGLA]]="","",VLOOKUP(Tabela2[[#This Row],[SIGLA]],Tabela1[[#All],[Sigla Arte]:[Crédito]],2,0))</f>
        <v>CLARISSA FRANÇA/ARQUIVO DA EDITORA</v>
      </c>
      <c r="Z328" s="23" t="s">
        <v>74</v>
      </c>
      <c r="AA328" s="23" t="str">
        <f>Tabela2[[#This Row],[ILUSTRADOR CRIAÇÃO]]</f>
        <v>CLARISSA FRANÇA/ARQUIVO DA EDITORA</v>
      </c>
      <c r="AB328" s="22">
        <v>13</v>
      </c>
      <c r="AC328" s="20" t="s">
        <v>43</v>
      </c>
      <c r="AD328" s="20" t="s">
        <v>44</v>
      </c>
      <c r="AE328" s="4" t="str">
        <f t="shared" si="5"/>
        <v>EF1 E002 HGC</v>
      </c>
    </row>
    <row r="329" spans="1:31" s="12" customFormat="1" ht="90" x14ac:dyDescent="0.25">
      <c r="A329" s="23" t="s">
        <v>770</v>
      </c>
      <c r="B329" s="20" t="s">
        <v>32</v>
      </c>
      <c r="C329" s="20" t="s">
        <v>33</v>
      </c>
      <c r="D329" s="20" t="s">
        <v>34</v>
      </c>
      <c r="E329" s="22">
        <v>129</v>
      </c>
      <c r="F329" s="22">
        <v>2</v>
      </c>
      <c r="G329" s="22">
        <v>3</v>
      </c>
      <c r="H329" s="22"/>
      <c r="I329" s="23" t="s">
        <v>39</v>
      </c>
      <c r="J329" s="23"/>
      <c r="K329" s="22"/>
      <c r="L329" s="22"/>
      <c r="M329" s="23"/>
      <c r="N329" s="23"/>
      <c r="O329" s="26" t="s">
        <v>771</v>
      </c>
      <c r="P329" s="26"/>
      <c r="Q329" s="26"/>
      <c r="R329" s="22">
        <v>9</v>
      </c>
      <c r="S329" s="24">
        <v>45859</v>
      </c>
      <c r="T329" s="24">
        <v>45861</v>
      </c>
      <c r="U329" s="24"/>
      <c r="V329" s="24"/>
      <c r="W329" s="24">
        <v>45861</v>
      </c>
      <c r="X329" s="22" t="s">
        <v>238</v>
      </c>
      <c r="Y329" s="4" t="str">
        <f>IF(Tabela2[[#This Row],[SIGLA]]="","",VLOOKUP(Tabela2[[#This Row],[SIGLA]],Tabela1[[#All],[Sigla Arte]:[Crédito]],2,0))</f>
        <v>CLARISSA FRANÇA/ARQUIVO DA EDITORA</v>
      </c>
      <c r="Z329" s="23" t="s">
        <v>74</v>
      </c>
      <c r="AA329" s="23" t="str">
        <f>Tabela2[[#This Row],[ILUSTRADOR CRIAÇÃO]]</f>
        <v>CLARISSA FRANÇA/ARQUIVO DA EDITORA</v>
      </c>
      <c r="AB329" s="22">
        <v>13</v>
      </c>
      <c r="AC329" s="20" t="s">
        <v>43</v>
      </c>
      <c r="AD329" s="20" t="s">
        <v>44</v>
      </c>
      <c r="AE329" s="4" t="str">
        <f t="shared" si="5"/>
        <v>EF1 E002 HGC</v>
      </c>
    </row>
    <row r="330" spans="1:31" s="12" customFormat="1" ht="45" x14ac:dyDescent="0.25">
      <c r="A330" s="23" t="s">
        <v>772</v>
      </c>
      <c r="B330" s="20" t="s">
        <v>32</v>
      </c>
      <c r="C330" s="20" t="s">
        <v>33</v>
      </c>
      <c r="D330" s="20" t="s">
        <v>34</v>
      </c>
      <c r="E330" s="22">
        <v>130</v>
      </c>
      <c r="F330" s="22">
        <v>2</v>
      </c>
      <c r="G330" s="22">
        <v>3</v>
      </c>
      <c r="H330" s="22"/>
      <c r="I330" s="23" t="s">
        <v>91</v>
      </c>
      <c r="J330" s="23"/>
      <c r="K330" s="22"/>
      <c r="L330" s="22"/>
      <c r="M330" s="23"/>
      <c r="N330" s="23"/>
      <c r="O330" s="26" t="s">
        <v>773</v>
      </c>
      <c r="P330" s="26"/>
      <c r="Q330" s="26"/>
      <c r="R330" s="22">
        <v>9</v>
      </c>
      <c r="S330" s="24">
        <v>45859</v>
      </c>
      <c r="T330" s="24">
        <v>45861</v>
      </c>
      <c r="U330" s="24"/>
      <c r="V330" s="24"/>
      <c r="W330" s="24">
        <v>45861</v>
      </c>
      <c r="X330" s="22" t="s">
        <v>774</v>
      </c>
      <c r="Y330" s="4" t="str">
        <f>IF(Tabela2[[#This Row],[SIGLA]]="","",VLOOKUP(Tabela2[[#This Row],[SIGLA]],Tabela1[[#All],[Sigla Arte]:[Crédito]],2,0))</f>
        <v>MARYANE VIOTO SILVA/ARQUIVO DA EDITORA</v>
      </c>
      <c r="Z330" s="23"/>
      <c r="AA330" s="23" t="str">
        <f>Tabela2[[#This Row],[ILUSTRADOR CRIAÇÃO]]</f>
        <v>MARYANE VIOTO SILVA/ARQUIVO DA EDITORA</v>
      </c>
      <c r="AB330" s="22">
        <v>8</v>
      </c>
      <c r="AC330" s="20" t="s">
        <v>132</v>
      </c>
      <c r="AD330" s="20" t="s">
        <v>44</v>
      </c>
      <c r="AE330" s="4" t="str">
        <f t="shared" si="5"/>
        <v>EF1 E002 HGC</v>
      </c>
    </row>
    <row r="331" spans="1:31" s="12" customFormat="1" ht="75" x14ac:dyDescent="0.25">
      <c r="A331" s="23" t="s">
        <v>775</v>
      </c>
      <c r="B331" s="20" t="s">
        <v>32</v>
      </c>
      <c r="C331" s="20" t="s">
        <v>33</v>
      </c>
      <c r="D331" s="20" t="s">
        <v>34</v>
      </c>
      <c r="E331" s="22">
        <v>131</v>
      </c>
      <c r="F331" s="22">
        <v>2</v>
      </c>
      <c r="G331" s="22">
        <v>3</v>
      </c>
      <c r="H331" s="22"/>
      <c r="I331" s="23" t="s">
        <v>35</v>
      </c>
      <c r="J331" s="23"/>
      <c r="K331" s="22"/>
      <c r="L331" s="22"/>
      <c r="M331" s="23"/>
      <c r="N331" s="23"/>
      <c r="O331" s="26" t="s">
        <v>776</v>
      </c>
      <c r="P331" s="26"/>
      <c r="Q331" s="26"/>
      <c r="R331" s="22"/>
      <c r="S331" s="24"/>
      <c r="T331" s="24"/>
      <c r="U331" s="24"/>
      <c r="V331" s="24"/>
      <c r="W331" s="24"/>
      <c r="X331" s="22" t="s">
        <v>112</v>
      </c>
      <c r="Y331" s="4" t="str">
        <f>IF(Tabela2[[#This Row],[SIGLA]]="","",VLOOKUP(Tabela2[[#This Row],[SIGLA]],Tabela1[[#All],[Sigla Arte]:[Crédito]],2,0))</f>
        <v>LISLLEY GOMES FEIGE/ARQUIVO DA EDITORA</v>
      </c>
      <c r="Z331" s="23"/>
      <c r="AA331" s="23" t="str">
        <f>Tabela2[[#This Row],[ILUSTRADOR CRIAÇÃO]]</f>
        <v>LISLLEY GOMES FEIGE/ARQUIVO DA EDITORA</v>
      </c>
      <c r="AB331" s="22"/>
      <c r="AC331" s="20"/>
      <c r="AD331" s="20"/>
      <c r="AE331" s="4" t="str">
        <f t="shared" si="5"/>
        <v>EF1 E002 HGC</v>
      </c>
    </row>
    <row r="332" spans="1:31" s="12" customFormat="1" ht="75" x14ac:dyDescent="0.25">
      <c r="A332" s="50" t="s">
        <v>777</v>
      </c>
      <c r="B332" s="20" t="s">
        <v>32</v>
      </c>
      <c r="C332" s="20" t="s">
        <v>33</v>
      </c>
      <c r="D332" s="20" t="s">
        <v>34</v>
      </c>
      <c r="E332" s="22">
        <v>132</v>
      </c>
      <c r="F332" s="22">
        <v>2</v>
      </c>
      <c r="G332" s="22">
        <v>3</v>
      </c>
      <c r="H332" s="22"/>
      <c r="I332" s="23" t="s">
        <v>35</v>
      </c>
      <c r="J332" s="23"/>
      <c r="K332" s="22"/>
      <c r="L332" s="22"/>
      <c r="M332" s="23"/>
      <c r="N332" s="23"/>
      <c r="O332" s="26" t="s">
        <v>778</v>
      </c>
      <c r="P332" s="26"/>
      <c r="Q332" s="26"/>
      <c r="R332" s="22"/>
      <c r="S332" s="24"/>
      <c r="T332" s="24">
        <v>45910</v>
      </c>
      <c r="U332" s="24"/>
      <c r="V332" s="24"/>
      <c r="W332" s="24">
        <v>45910</v>
      </c>
      <c r="X332" s="22" t="s">
        <v>112</v>
      </c>
      <c r="Y332" s="4" t="str">
        <f>IF(Tabela2[[#This Row],[SIGLA]]="","",VLOOKUP(Tabela2[[#This Row],[SIGLA]],Tabela1[[#All],[Sigla Arte]:[Crédito]],2,0))</f>
        <v>LISLLEY GOMES FEIGE/ARQUIVO DA EDITORA</v>
      </c>
      <c r="Z332" s="23" t="s">
        <v>623</v>
      </c>
      <c r="AA332" s="23" t="str">
        <f>Tabela2[[#This Row],[ILUSTRADOR CRIAÇÃO]]</f>
        <v>LISLLEY GOMES FEIGE/ARQUIVO DA EDITORA</v>
      </c>
      <c r="AB332" s="22">
        <v>13</v>
      </c>
      <c r="AC332" s="20" t="s">
        <v>277</v>
      </c>
      <c r="AD332" s="20" t="s">
        <v>44</v>
      </c>
      <c r="AE332" s="4" t="str">
        <f t="shared" si="5"/>
        <v>EF1 E002 HGC</v>
      </c>
    </row>
    <row r="333" spans="1:31" s="12" customFormat="1" ht="75" x14ac:dyDescent="0.25">
      <c r="A333" s="23" t="s">
        <v>779</v>
      </c>
      <c r="B333" s="20" t="s">
        <v>32</v>
      </c>
      <c r="C333" s="20" t="s">
        <v>33</v>
      </c>
      <c r="D333" s="20" t="s">
        <v>34</v>
      </c>
      <c r="E333" s="22">
        <v>132</v>
      </c>
      <c r="F333" s="22">
        <v>2</v>
      </c>
      <c r="G333" s="22">
        <v>3</v>
      </c>
      <c r="H333" s="22"/>
      <c r="I333" s="23" t="s">
        <v>35</v>
      </c>
      <c r="J333" s="23"/>
      <c r="K333" s="22"/>
      <c r="L333" s="22"/>
      <c r="M333" s="23"/>
      <c r="N333" s="23"/>
      <c r="O333" s="26" t="s">
        <v>780</v>
      </c>
      <c r="P333" s="26"/>
      <c r="Q333" s="26"/>
      <c r="R333" s="22"/>
      <c r="S333" s="24"/>
      <c r="T333" s="24"/>
      <c r="U333" s="24"/>
      <c r="V333" s="24"/>
      <c r="W333" s="24"/>
      <c r="X333" s="22" t="s">
        <v>112</v>
      </c>
      <c r="Y333" s="4" t="str">
        <f>IF(Tabela2[[#This Row],[SIGLA]]="","",VLOOKUP(Tabela2[[#This Row],[SIGLA]],Tabela1[[#All],[Sigla Arte]:[Crédito]],2,0))</f>
        <v>LISLLEY GOMES FEIGE/ARQUIVO DA EDITORA</v>
      </c>
      <c r="Z333" s="23"/>
      <c r="AA333" s="23" t="str">
        <f>Tabela2[[#This Row],[ILUSTRADOR CRIAÇÃO]]</f>
        <v>LISLLEY GOMES FEIGE/ARQUIVO DA EDITORA</v>
      </c>
      <c r="AB333" s="22"/>
      <c r="AC333" s="20"/>
      <c r="AD333" s="20"/>
      <c r="AE333" s="4" t="str">
        <f t="shared" si="5"/>
        <v>EF1 E002 HGC</v>
      </c>
    </row>
    <row r="334" spans="1:31" s="12" customFormat="1" ht="60" x14ac:dyDescent="0.25">
      <c r="A334" s="23" t="s">
        <v>781</v>
      </c>
      <c r="B334" s="20" t="s">
        <v>32</v>
      </c>
      <c r="C334" s="20" t="s">
        <v>33</v>
      </c>
      <c r="D334" s="20" t="s">
        <v>34</v>
      </c>
      <c r="E334" s="22">
        <v>132</v>
      </c>
      <c r="F334" s="22">
        <v>2</v>
      </c>
      <c r="G334" s="22">
        <v>3</v>
      </c>
      <c r="H334" s="22"/>
      <c r="I334" s="23" t="s">
        <v>35</v>
      </c>
      <c r="J334" s="23"/>
      <c r="K334" s="22"/>
      <c r="L334" s="22"/>
      <c r="M334" s="23"/>
      <c r="N334" s="23"/>
      <c r="O334" s="26" t="s">
        <v>782</v>
      </c>
      <c r="P334" s="26"/>
      <c r="Q334" s="26"/>
      <c r="R334" s="22"/>
      <c r="S334" s="24"/>
      <c r="T334" s="24"/>
      <c r="U334" s="24"/>
      <c r="V334" s="24"/>
      <c r="W334" s="24"/>
      <c r="X334" s="22" t="s">
        <v>112</v>
      </c>
      <c r="Y334" s="4" t="str">
        <f>IF(Tabela2[[#This Row],[SIGLA]]="","",VLOOKUP(Tabela2[[#This Row],[SIGLA]],Tabela1[[#All],[Sigla Arte]:[Crédito]],2,0))</f>
        <v>LISLLEY GOMES FEIGE/ARQUIVO DA EDITORA</v>
      </c>
      <c r="Z334" s="23"/>
      <c r="AA334" s="23" t="str">
        <f>Tabela2[[#This Row],[ILUSTRADOR CRIAÇÃO]]</f>
        <v>LISLLEY GOMES FEIGE/ARQUIVO DA EDITORA</v>
      </c>
      <c r="AB334" s="22"/>
      <c r="AC334" s="20"/>
      <c r="AD334" s="20"/>
      <c r="AE334" s="4" t="str">
        <f t="shared" si="5"/>
        <v>EF1 E002 HGC</v>
      </c>
    </row>
    <row r="335" spans="1:31" s="12" customFormat="1" ht="30" x14ac:dyDescent="0.25">
      <c r="A335" s="23" t="s">
        <v>783</v>
      </c>
      <c r="B335" s="20" t="s">
        <v>183</v>
      </c>
      <c r="C335" s="20" t="s">
        <v>33</v>
      </c>
      <c r="D335" s="20" t="s">
        <v>34</v>
      </c>
      <c r="E335" s="22">
        <v>173</v>
      </c>
      <c r="F335" s="22">
        <v>2</v>
      </c>
      <c r="G335" s="22">
        <v>4</v>
      </c>
      <c r="H335" s="22"/>
      <c r="I335" s="23" t="s">
        <v>91</v>
      </c>
      <c r="J335" s="23"/>
      <c r="K335" s="22"/>
      <c r="L335" s="22"/>
      <c r="M335" s="23"/>
      <c r="N335" s="23"/>
      <c r="O335" s="26" t="s">
        <v>784</v>
      </c>
      <c r="P335" s="26"/>
      <c r="Q335" s="26"/>
      <c r="R335" s="22">
        <v>10</v>
      </c>
      <c r="S335" s="24">
        <v>45863</v>
      </c>
      <c r="T335" s="24">
        <v>45863</v>
      </c>
      <c r="U335" s="24">
        <v>45868</v>
      </c>
      <c r="V335" s="24">
        <v>45842</v>
      </c>
      <c r="W335" s="24">
        <v>45881</v>
      </c>
      <c r="X335" s="22" t="s">
        <v>112</v>
      </c>
      <c r="Y335" s="4" t="str">
        <f>IF(Tabela2[[#This Row],[SIGLA]]="","",VLOOKUP(Tabela2[[#This Row],[SIGLA]],Tabela1[[#All],[Sigla Arte]:[Crédito]],2,0))</f>
        <v>LISLLEY GOMES FEIGE/ARQUIVO DA EDITORA</v>
      </c>
      <c r="Z335" s="23"/>
      <c r="AA335" s="23" t="str">
        <f>Tabela2[[#This Row],[ILUSTRADOR CRIAÇÃO]]</f>
        <v>LISLLEY GOMES FEIGE/ARQUIVO DA EDITORA</v>
      </c>
      <c r="AB335" s="22">
        <v>5</v>
      </c>
      <c r="AC335" s="20" t="s">
        <v>785</v>
      </c>
      <c r="AD335" s="20" t="s">
        <v>94</v>
      </c>
      <c r="AE335" s="4" t="str">
        <f t="shared" si="5"/>
        <v>EF1 E002 HGC</v>
      </c>
    </row>
    <row r="336" spans="1:31" s="12" customFormat="1" ht="90" x14ac:dyDescent="0.25">
      <c r="A336" s="23" t="s">
        <v>786</v>
      </c>
      <c r="B336" s="20" t="s">
        <v>183</v>
      </c>
      <c r="C336" s="20" t="s">
        <v>33</v>
      </c>
      <c r="D336" s="20" t="s">
        <v>34</v>
      </c>
      <c r="E336" s="22">
        <v>173</v>
      </c>
      <c r="F336" s="22">
        <v>2</v>
      </c>
      <c r="G336" s="22">
        <v>4</v>
      </c>
      <c r="H336" s="22"/>
      <c r="I336" s="23" t="s">
        <v>35</v>
      </c>
      <c r="J336" s="23"/>
      <c r="K336" s="22"/>
      <c r="L336" s="22"/>
      <c r="M336" s="23"/>
      <c r="N336" s="23"/>
      <c r="O336" s="26" t="s">
        <v>787</v>
      </c>
      <c r="P336" s="26"/>
      <c r="Q336" s="26"/>
      <c r="R336" s="22"/>
      <c r="S336" s="24"/>
      <c r="T336" s="24"/>
      <c r="U336" s="24"/>
      <c r="V336" s="24"/>
      <c r="W336" s="24"/>
      <c r="X336" s="22" t="s">
        <v>112</v>
      </c>
      <c r="Y336" s="4" t="str">
        <f>IF(Tabela2[[#This Row],[SIGLA]]="","",VLOOKUP(Tabela2[[#This Row],[SIGLA]],Tabela1[[#All],[Sigla Arte]:[Crédito]],2,0))</f>
        <v>LISLLEY GOMES FEIGE/ARQUIVO DA EDITORA</v>
      </c>
      <c r="Z336" s="23"/>
      <c r="AA336" s="23" t="str">
        <f>Tabela2[[#This Row],[ILUSTRADOR CRIAÇÃO]]</f>
        <v>LISLLEY GOMES FEIGE/ARQUIVO DA EDITORA</v>
      </c>
      <c r="AB336" s="22"/>
      <c r="AC336" s="20"/>
      <c r="AD336" s="20"/>
      <c r="AE336" s="4" t="str">
        <f t="shared" si="5"/>
        <v>EF1 E002 HGC</v>
      </c>
    </row>
    <row r="337" spans="1:31" s="12" customFormat="1" ht="90" x14ac:dyDescent="0.25">
      <c r="A337" s="23" t="s">
        <v>788</v>
      </c>
      <c r="B337" s="20" t="s">
        <v>183</v>
      </c>
      <c r="C337" s="20" t="s">
        <v>33</v>
      </c>
      <c r="D337" s="20" t="s">
        <v>34</v>
      </c>
      <c r="E337" s="22">
        <v>173</v>
      </c>
      <c r="F337" s="22">
        <v>2</v>
      </c>
      <c r="G337" s="22">
        <v>4</v>
      </c>
      <c r="H337" s="22"/>
      <c r="I337" s="23" t="s">
        <v>35</v>
      </c>
      <c r="J337" s="23"/>
      <c r="K337" s="22"/>
      <c r="L337" s="22"/>
      <c r="M337" s="23"/>
      <c r="N337" s="23"/>
      <c r="O337" s="26" t="s">
        <v>789</v>
      </c>
      <c r="P337" s="26"/>
      <c r="Q337" s="26"/>
      <c r="R337" s="22"/>
      <c r="S337" s="24"/>
      <c r="T337" s="24"/>
      <c r="U337" s="24"/>
      <c r="V337" s="24"/>
      <c r="W337" s="24"/>
      <c r="X337" s="22" t="s">
        <v>112</v>
      </c>
      <c r="Y337" s="4" t="str">
        <f>IF(Tabela2[[#This Row],[SIGLA]]="","",VLOOKUP(Tabela2[[#This Row],[SIGLA]],Tabela1[[#All],[Sigla Arte]:[Crédito]],2,0))</f>
        <v>LISLLEY GOMES FEIGE/ARQUIVO DA EDITORA</v>
      </c>
      <c r="Z337" s="23"/>
      <c r="AA337" s="23" t="str">
        <f>Tabela2[[#This Row],[ILUSTRADOR CRIAÇÃO]]</f>
        <v>LISLLEY GOMES FEIGE/ARQUIVO DA EDITORA</v>
      </c>
      <c r="AB337" s="22"/>
      <c r="AC337" s="20"/>
      <c r="AD337" s="20"/>
      <c r="AE337" s="4" t="str">
        <f t="shared" si="5"/>
        <v>EF1 E002 HGC</v>
      </c>
    </row>
    <row r="338" spans="1:31" s="12" customFormat="1" ht="75" x14ac:dyDescent="0.25">
      <c r="A338" s="23" t="s">
        <v>790</v>
      </c>
      <c r="B338" s="20" t="s">
        <v>183</v>
      </c>
      <c r="C338" s="20" t="s">
        <v>33</v>
      </c>
      <c r="D338" s="20" t="s">
        <v>34</v>
      </c>
      <c r="E338" s="22">
        <v>173</v>
      </c>
      <c r="F338" s="22">
        <v>2</v>
      </c>
      <c r="G338" s="22">
        <v>4</v>
      </c>
      <c r="H338" s="22"/>
      <c r="I338" s="23" t="s">
        <v>35</v>
      </c>
      <c r="J338" s="23"/>
      <c r="K338" s="22"/>
      <c r="L338" s="22"/>
      <c r="M338" s="23"/>
      <c r="N338" s="23"/>
      <c r="O338" s="26" t="s">
        <v>791</v>
      </c>
      <c r="P338" s="26"/>
      <c r="Q338" s="26"/>
      <c r="R338" s="22"/>
      <c r="S338" s="24"/>
      <c r="T338" s="24"/>
      <c r="U338" s="24"/>
      <c r="V338" s="24"/>
      <c r="W338" s="24"/>
      <c r="X338" s="22" t="s">
        <v>112</v>
      </c>
      <c r="Y338" s="4" t="str">
        <f>IF(Tabela2[[#This Row],[SIGLA]]="","",VLOOKUP(Tabela2[[#This Row],[SIGLA]],Tabela1[[#All],[Sigla Arte]:[Crédito]],2,0))</f>
        <v>LISLLEY GOMES FEIGE/ARQUIVO DA EDITORA</v>
      </c>
      <c r="Z338" s="23"/>
      <c r="AA338" s="23" t="str">
        <f>Tabela2[[#This Row],[ILUSTRADOR CRIAÇÃO]]</f>
        <v>LISLLEY GOMES FEIGE/ARQUIVO DA EDITORA</v>
      </c>
      <c r="AB338" s="22"/>
      <c r="AC338" s="20"/>
      <c r="AD338" s="20"/>
      <c r="AE338" s="4" t="str">
        <f t="shared" si="5"/>
        <v>EF1 E002 HGC</v>
      </c>
    </row>
    <row r="339" spans="1:31" s="12" customFormat="1" ht="360" x14ac:dyDescent="0.25">
      <c r="A339" s="23" t="s">
        <v>792</v>
      </c>
      <c r="B339" s="20" t="s">
        <v>32</v>
      </c>
      <c r="C339" s="20" t="s">
        <v>33</v>
      </c>
      <c r="D339" s="20" t="s">
        <v>34</v>
      </c>
      <c r="E339" s="22" t="s">
        <v>793</v>
      </c>
      <c r="F339" s="22">
        <v>2</v>
      </c>
      <c r="G339" s="22">
        <v>5</v>
      </c>
      <c r="H339" s="22"/>
      <c r="I339" s="23" t="s">
        <v>39</v>
      </c>
      <c r="J339" s="23"/>
      <c r="K339" s="22"/>
      <c r="L339" s="22"/>
      <c r="M339" s="23"/>
      <c r="N339" s="23"/>
      <c r="O339" s="26" t="s">
        <v>794</v>
      </c>
      <c r="P339" s="26"/>
      <c r="Q339" s="26"/>
      <c r="R339" s="22">
        <v>11</v>
      </c>
      <c r="S339" s="24">
        <v>45873</v>
      </c>
      <c r="T339" s="24">
        <v>45873</v>
      </c>
      <c r="U339" s="24"/>
      <c r="V339" s="24"/>
      <c r="W339" s="24">
        <v>45873</v>
      </c>
      <c r="X339" s="22" t="s">
        <v>708</v>
      </c>
      <c r="Y339" s="4" t="str">
        <f>IF(Tabela2[[#This Row],[SIGLA]]="","",VLOOKUP(Tabela2[[#This Row],[SIGLA]],Tabela1[[#All],[Sigla Arte]:[Crédito]],2,0))</f>
        <v>SABRINA ERAS/ARQUIVO DA EDITORA</v>
      </c>
      <c r="Z339" s="23" t="s">
        <v>623</v>
      </c>
      <c r="AA339" s="23" t="str">
        <f>Tabela2[[#This Row],[ILUSTRADOR CRIAÇÃO]]</f>
        <v>SABRINA ERAS/ARQUIVO DA EDITORA</v>
      </c>
      <c r="AB339" s="22">
        <v>13</v>
      </c>
      <c r="AC339" s="20" t="s">
        <v>795</v>
      </c>
      <c r="AD339" s="20"/>
      <c r="AE339" s="4" t="str">
        <f t="shared" si="5"/>
        <v>EF1 E002 HGC</v>
      </c>
    </row>
    <row r="340" spans="1:31" s="12" customFormat="1" x14ac:dyDescent="0.25">
      <c r="A340" s="23" t="s">
        <v>796</v>
      </c>
      <c r="B340" s="20" t="s">
        <v>32</v>
      </c>
      <c r="C340" s="20" t="s">
        <v>33</v>
      </c>
      <c r="D340" s="20" t="s">
        <v>34</v>
      </c>
      <c r="E340" s="22">
        <v>211</v>
      </c>
      <c r="F340" s="22">
        <v>2</v>
      </c>
      <c r="G340" s="22">
        <v>5</v>
      </c>
      <c r="H340" s="22"/>
      <c r="I340" s="23" t="s">
        <v>35</v>
      </c>
      <c r="J340" s="23"/>
      <c r="K340" s="22"/>
      <c r="L340" s="22"/>
      <c r="M340" s="23"/>
      <c r="N340" s="23"/>
      <c r="O340" s="26" t="s">
        <v>797</v>
      </c>
      <c r="P340" s="26"/>
      <c r="Q340" s="26"/>
      <c r="R340" s="22"/>
      <c r="S340" s="24"/>
      <c r="T340" s="24"/>
      <c r="U340" s="24"/>
      <c r="V340" s="24"/>
      <c r="W340" s="24"/>
      <c r="X340" s="22" t="s">
        <v>293</v>
      </c>
      <c r="Y340" s="4" t="str">
        <f>IF(Tabela2[[#This Row],[SIGLA]]="","",VLOOKUP(Tabela2[[#This Row],[SIGLA]],Tabela1[[#All],[Sigla Arte]:[Crédito]],2,0))</f>
        <v>MARIA GABRIELA GAMA/ARQUIVO DA EDITORA</v>
      </c>
      <c r="Z340" s="23"/>
      <c r="AA340" s="23" t="str">
        <f>Tabela2[[#This Row],[ILUSTRADOR CRIAÇÃO]]</f>
        <v>MARIA GABRIELA GAMA/ARQUIVO DA EDITORA</v>
      </c>
      <c r="AB340" s="22"/>
      <c r="AC340" s="20"/>
      <c r="AD340" s="20"/>
      <c r="AE340" s="4" t="str">
        <f t="shared" si="5"/>
        <v>EF1 E002 HGC</v>
      </c>
    </row>
    <row r="341" spans="1:31" s="12" customFormat="1" x14ac:dyDescent="0.25">
      <c r="A341" s="23" t="s">
        <v>798</v>
      </c>
      <c r="B341" s="20" t="s">
        <v>32</v>
      </c>
      <c r="C341" s="20" t="s">
        <v>33</v>
      </c>
      <c r="D341" s="20" t="s">
        <v>34</v>
      </c>
      <c r="E341" s="22">
        <v>211</v>
      </c>
      <c r="F341" s="22">
        <v>2</v>
      </c>
      <c r="G341" s="22">
        <v>5</v>
      </c>
      <c r="H341" s="22"/>
      <c r="I341" s="23" t="s">
        <v>35</v>
      </c>
      <c r="J341" s="23"/>
      <c r="K341" s="22"/>
      <c r="L341" s="22"/>
      <c r="M341" s="23"/>
      <c r="N341" s="23"/>
      <c r="O341" s="26" t="s">
        <v>799</v>
      </c>
      <c r="P341" s="26"/>
      <c r="Q341" s="26"/>
      <c r="R341" s="22"/>
      <c r="S341" s="24"/>
      <c r="T341" s="24"/>
      <c r="U341" s="24"/>
      <c r="V341" s="24"/>
      <c r="W341" s="24"/>
      <c r="X341" s="22"/>
      <c r="Y341" s="4" t="str">
        <f>IF(Tabela2[[#This Row],[SIGLA]]="","",VLOOKUP(Tabela2[[#This Row],[SIGLA]],Tabela1[[#All],[Sigla Arte]:[Crédito]],2,0))</f>
        <v/>
      </c>
      <c r="Z341" s="23"/>
      <c r="AA341" s="23" t="str">
        <f>Tabela2[[#This Row],[ILUSTRADOR CRIAÇÃO]]</f>
        <v/>
      </c>
      <c r="AB341" s="22"/>
      <c r="AC341" s="20"/>
      <c r="AD341" s="20"/>
      <c r="AE341" s="4" t="str">
        <f t="shared" si="5"/>
        <v>EF1 E002 HGC</v>
      </c>
    </row>
    <row r="342" spans="1:31" s="12" customFormat="1" x14ac:dyDescent="0.25">
      <c r="A342" s="23" t="s">
        <v>800</v>
      </c>
      <c r="B342" s="20" t="s">
        <v>32</v>
      </c>
      <c r="C342" s="20" t="s">
        <v>33</v>
      </c>
      <c r="D342" s="20" t="s">
        <v>34</v>
      </c>
      <c r="E342" s="22">
        <v>211</v>
      </c>
      <c r="F342" s="22">
        <v>2</v>
      </c>
      <c r="G342" s="22">
        <v>5</v>
      </c>
      <c r="H342" s="22"/>
      <c r="I342" s="23" t="s">
        <v>35</v>
      </c>
      <c r="J342" s="23"/>
      <c r="K342" s="22"/>
      <c r="L342" s="22"/>
      <c r="M342" s="23"/>
      <c r="N342" s="23"/>
      <c r="O342" s="26" t="s">
        <v>801</v>
      </c>
      <c r="P342" s="26"/>
      <c r="Q342" s="26"/>
      <c r="R342" s="22"/>
      <c r="S342" s="24"/>
      <c r="T342" s="24"/>
      <c r="U342" s="24"/>
      <c r="V342" s="24"/>
      <c r="W342" s="24"/>
      <c r="X342" s="22"/>
      <c r="Y342" s="4" t="str">
        <f>IF(Tabela2[[#This Row],[SIGLA]]="","",VLOOKUP(Tabela2[[#This Row],[SIGLA]],Tabela1[[#All],[Sigla Arte]:[Crédito]],2,0))</f>
        <v/>
      </c>
      <c r="Z342" s="23"/>
      <c r="AA342" s="23" t="str">
        <f>Tabela2[[#This Row],[ILUSTRADOR CRIAÇÃO]]</f>
        <v/>
      </c>
      <c r="AB342" s="22"/>
      <c r="AC342" s="20"/>
      <c r="AD342" s="20"/>
      <c r="AE342" s="4" t="str">
        <f t="shared" si="5"/>
        <v>EF1 E002 HGC</v>
      </c>
    </row>
    <row r="343" spans="1:31" s="12" customFormat="1" ht="90" x14ac:dyDescent="0.25">
      <c r="A343" s="23" t="s">
        <v>802</v>
      </c>
      <c r="B343" s="20" t="s">
        <v>32</v>
      </c>
      <c r="C343" s="20" t="s">
        <v>33</v>
      </c>
      <c r="D343" s="20" t="s">
        <v>34</v>
      </c>
      <c r="E343" s="22">
        <v>223</v>
      </c>
      <c r="F343" s="22">
        <v>2</v>
      </c>
      <c r="G343" s="22">
        <v>5</v>
      </c>
      <c r="H343" s="22"/>
      <c r="I343" s="23" t="s">
        <v>39</v>
      </c>
      <c r="J343" s="23"/>
      <c r="K343" s="22"/>
      <c r="L343" s="22"/>
      <c r="M343" s="23"/>
      <c r="N343" s="23"/>
      <c r="O343" s="26" t="s">
        <v>803</v>
      </c>
      <c r="P343" s="26"/>
      <c r="Q343" s="26"/>
      <c r="R343" s="22">
        <v>11</v>
      </c>
      <c r="S343" s="24">
        <v>45873</v>
      </c>
      <c r="T343" s="24">
        <v>45873</v>
      </c>
      <c r="U343" s="24"/>
      <c r="V343" s="24"/>
      <c r="W343" s="24">
        <v>45873</v>
      </c>
      <c r="X343" s="22" t="s">
        <v>804</v>
      </c>
      <c r="Y343" s="4" t="str">
        <f>IF(Tabela2[[#This Row],[SIGLA]]="","",VLOOKUP(Tabela2[[#This Row],[SIGLA]],Tabela1[[#All],[Sigla Arte]:[Crédito]],2,0))</f>
        <v>LEANDRO LASSMAR/ARQUIVO DA EDITORA</v>
      </c>
      <c r="Z343" s="23" t="s">
        <v>623</v>
      </c>
      <c r="AA343" s="23" t="str">
        <f>Tabela2[[#This Row],[ILUSTRADOR CRIAÇÃO]]</f>
        <v>LEANDRO LASSMAR/ARQUIVO DA EDITORA</v>
      </c>
      <c r="AB343" s="22">
        <v>13</v>
      </c>
      <c r="AC343" s="52" t="s">
        <v>795</v>
      </c>
      <c r="AD343" s="20"/>
      <c r="AE343" s="4" t="str">
        <f t="shared" si="5"/>
        <v>EF1 E002 HGC</v>
      </c>
    </row>
    <row r="344" spans="1:31" s="12" customFormat="1" ht="165" x14ac:dyDescent="0.25">
      <c r="A344" s="23" t="s">
        <v>805</v>
      </c>
      <c r="B344" s="20" t="s">
        <v>32</v>
      </c>
      <c r="C344" s="20" t="s">
        <v>33</v>
      </c>
      <c r="D344" s="20" t="s">
        <v>34</v>
      </c>
      <c r="E344" s="22">
        <v>235</v>
      </c>
      <c r="F344" s="22">
        <v>2</v>
      </c>
      <c r="G344" s="22">
        <v>6</v>
      </c>
      <c r="H344" s="22"/>
      <c r="I344" s="23" t="s">
        <v>39</v>
      </c>
      <c r="J344" s="23"/>
      <c r="K344" s="22"/>
      <c r="L344" s="22"/>
      <c r="M344" s="23"/>
      <c r="N344" s="23"/>
      <c r="O344" s="26" t="s">
        <v>806</v>
      </c>
      <c r="P344" s="26"/>
      <c r="Q344" s="26"/>
      <c r="R344" s="22">
        <v>13</v>
      </c>
      <c r="S344" s="24">
        <v>45874</v>
      </c>
      <c r="T344" s="24">
        <v>45875</v>
      </c>
      <c r="U344" s="24"/>
      <c r="V344" s="24"/>
      <c r="W344" s="24">
        <v>45876</v>
      </c>
      <c r="X344" s="22" t="s">
        <v>103</v>
      </c>
      <c r="Y344" s="4" t="str">
        <f>IF(Tabela2[[#This Row],[SIGLA]]="","",VLOOKUP(Tabela2[[#This Row],[SIGLA]],Tabela1[[#All],[Sigla Arte]:[Crédito]],2,0))</f>
        <v>NELSON COSENTINO/ARQUIVO DA EDITORA</v>
      </c>
      <c r="Z344" s="23" t="s">
        <v>504</v>
      </c>
      <c r="AA344" s="23" t="str">
        <f>Tabela2[[#This Row],[ILUSTRADOR CRIAÇÃO]]</f>
        <v>NELSON COSENTINO/ARQUIVO DA EDITORA</v>
      </c>
      <c r="AB344" s="22">
        <v>13</v>
      </c>
      <c r="AC344" s="20" t="s">
        <v>43</v>
      </c>
      <c r="AD344" s="20"/>
      <c r="AE344" s="4" t="str">
        <f t="shared" si="5"/>
        <v>EF1 E002 HGC</v>
      </c>
    </row>
    <row r="345" spans="1:31" s="12" customFormat="1" ht="30" x14ac:dyDescent="0.25">
      <c r="A345" s="23" t="s">
        <v>807</v>
      </c>
      <c r="B345" s="20" t="s">
        <v>32</v>
      </c>
      <c r="C345" s="20" t="s">
        <v>33</v>
      </c>
      <c r="D345" s="20" t="s">
        <v>34</v>
      </c>
      <c r="E345" s="22">
        <v>258</v>
      </c>
      <c r="F345" s="22">
        <v>2</v>
      </c>
      <c r="G345" s="22">
        <v>6</v>
      </c>
      <c r="H345" s="22"/>
      <c r="I345" s="23" t="s">
        <v>39</v>
      </c>
      <c r="J345" s="23"/>
      <c r="K345" s="22"/>
      <c r="L345" s="22"/>
      <c r="M345" s="23"/>
      <c r="N345" s="23"/>
      <c r="O345" s="26" t="s">
        <v>808</v>
      </c>
      <c r="P345" s="26"/>
      <c r="Q345" s="26"/>
      <c r="R345" s="22">
        <v>13</v>
      </c>
      <c r="S345" s="24">
        <v>45874</v>
      </c>
      <c r="T345" s="24">
        <v>45875</v>
      </c>
      <c r="U345" s="24"/>
      <c r="V345" s="24"/>
      <c r="W345" s="24">
        <v>45876</v>
      </c>
      <c r="X345" s="22" t="s">
        <v>139</v>
      </c>
      <c r="Y345" s="4" t="str">
        <f>IF(Tabela2[[#This Row],[SIGLA]]="","",VLOOKUP(Tabela2[[#This Row],[SIGLA]],Tabela1[[#All],[Sigla Arte]:[Crédito]],2,0))</f>
        <v>HELOÍSA PINTARELLI/ARQUIVO DA EDITORA</v>
      </c>
      <c r="Z345" s="23" t="s">
        <v>504</v>
      </c>
      <c r="AA345" s="23" t="str">
        <f>Tabela2[[#This Row],[ILUSTRADOR CRIAÇÃO]]</f>
        <v>HELOÍSA PINTARELLI/ARQUIVO DA EDITORA</v>
      </c>
      <c r="AB345" s="22">
        <v>13</v>
      </c>
      <c r="AC345" s="20" t="s">
        <v>43</v>
      </c>
      <c r="AD345" s="20"/>
      <c r="AE345" s="4" t="str">
        <f t="shared" si="5"/>
        <v>EF1 E002 HGC</v>
      </c>
    </row>
    <row r="346" spans="1:31" s="12" customFormat="1" ht="75" x14ac:dyDescent="0.25">
      <c r="A346" s="23" t="s">
        <v>809</v>
      </c>
      <c r="B346" s="20" t="s">
        <v>32</v>
      </c>
      <c r="C346" s="20" t="s">
        <v>33</v>
      </c>
      <c r="D346" s="20" t="s">
        <v>34</v>
      </c>
      <c r="E346" s="22">
        <v>264</v>
      </c>
      <c r="F346" s="22">
        <v>2</v>
      </c>
      <c r="G346" s="22">
        <v>6</v>
      </c>
      <c r="H346" s="22"/>
      <c r="I346" s="23" t="s">
        <v>39</v>
      </c>
      <c r="J346" s="23"/>
      <c r="K346" s="22"/>
      <c r="L346" s="22"/>
      <c r="M346" s="23"/>
      <c r="N346" s="23"/>
      <c r="O346" s="26" t="s">
        <v>810</v>
      </c>
      <c r="P346" s="26"/>
      <c r="Q346" s="26"/>
      <c r="R346" s="22">
        <v>13</v>
      </c>
      <c r="S346" s="24">
        <v>45874</v>
      </c>
      <c r="T346" s="24">
        <v>45875</v>
      </c>
      <c r="U346" s="24"/>
      <c r="V346" s="24"/>
      <c r="W346" s="24">
        <v>45876</v>
      </c>
      <c r="X346" s="22" t="s">
        <v>811</v>
      </c>
      <c r="Y346" s="4" t="str">
        <f>IF(Tabela2[[#This Row],[SIGLA]]="","",VLOOKUP(Tabela2[[#This Row],[SIGLA]],Tabela1[[#All],[Sigla Arte]:[Crédito]],2,0))</f>
        <v>THAIS CASTRO/ARQUIVO DA EDITORA</v>
      </c>
      <c r="Z346" s="23" t="s">
        <v>504</v>
      </c>
      <c r="AA346" s="23" t="str">
        <f>Tabela2[[#This Row],[ILUSTRADOR CRIAÇÃO]]</f>
        <v>THAIS CASTRO/ARQUIVO DA EDITORA</v>
      </c>
      <c r="AB346" s="22">
        <v>13</v>
      </c>
      <c r="AC346" s="20" t="s">
        <v>43</v>
      </c>
      <c r="AD346" s="20"/>
      <c r="AE346" s="4" t="str">
        <f t="shared" si="5"/>
        <v>EF1 E002 HGC</v>
      </c>
    </row>
    <row r="347" spans="1:31" s="12" customFormat="1" ht="90" x14ac:dyDescent="0.25">
      <c r="A347" s="23" t="s">
        <v>812</v>
      </c>
      <c r="B347" s="20" t="s">
        <v>32</v>
      </c>
      <c r="C347" s="20" t="s">
        <v>33</v>
      </c>
      <c r="D347" s="20" t="s">
        <v>34</v>
      </c>
      <c r="E347" s="22">
        <v>265</v>
      </c>
      <c r="F347" s="22">
        <v>2</v>
      </c>
      <c r="G347" s="22">
        <v>6</v>
      </c>
      <c r="H347" s="22"/>
      <c r="I347" s="23" t="s">
        <v>39</v>
      </c>
      <c r="J347" s="23"/>
      <c r="K347" s="22"/>
      <c r="L347" s="22"/>
      <c r="M347" s="23"/>
      <c r="N347" s="23"/>
      <c r="O347" s="26" t="s">
        <v>813</v>
      </c>
      <c r="P347" s="26"/>
      <c r="Q347" s="26"/>
      <c r="R347" s="22">
        <v>13</v>
      </c>
      <c r="S347" s="24">
        <v>45874</v>
      </c>
      <c r="T347" s="24">
        <v>45875</v>
      </c>
      <c r="U347" s="24"/>
      <c r="V347" s="24"/>
      <c r="W347" s="24">
        <v>45876</v>
      </c>
      <c r="X347" s="22" t="s">
        <v>811</v>
      </c>
      <c r="Y347" s="4" t="str">
        <f>IF(Tabela2[[#This Row],[SIGLA]]="","",VLOOKUP(Tabela2[[#This Row],[SIGLA]],Tabela1[[#All],[Sigla Arte]:[Crédito]],2,0))</f>
        <v>THAIS CASTRO/ARQUIVO DA EDITORA</v>
      </c>
      <c r="Z347" s="23" t="s">
        <v>504</v>
      </c>
      <c r="AA347" s="23" t="str">
        <f>Tabela2[[#This Row],[ILUSTRADOR CRIAÇÃO]]</f>
        <v>THAIS CASTRO/ARQUIVO DA EDITORA</v>
      </c>
      <c r="AB347" s="22">
        <v>13</v>
      </c>
      <c r="AC347" s="20" t="s">
        <v>43</v>
      </c>
      <c r="AD347" s="20"/>
      <c r="AE347" s="4" t="str">
        <f t="shared" si="5"/>
        <v>EF1 E002 HGC</v>
      </c>
    </row>
    <row r="348" spans="1:31" s="12" customFormat="1" x14ac:dyDescent="0.25">
      <c r="A348" s="23" t="s">
        <v>814</v>
      </c>
      <c r="B348" s="20" t="s">
        <v>32</v>
      </c>
      <c r="C348" s="20" t="s">
        <v>33</v>
      </c>
      <c r="D348" s="20" t="s">
        <v>34</v>
      </c>
      <c r="E348" s="22">
        <v>271</v>
      </c>
      <c r="F348" s="22">
        <v>2</v>
      </c>
      <c r="G348" s="22">
        <v>6</v>
      </c>
      <c r="H348" s="22"/>
      <c r="I348" s="23" t="s">
        <v>35</v>
      </c>
      <c r="J348" s="23"/>
      <c r="K348" s="22"/>
      <c r="L348" s="22"/>
      <c r="M348" s="23"/>
      <c r="N348" s="23"/>
      <c r="O348" s="26" t="s">
        <v>815</v>
      </c>
      <c r="P348" s="26"/>
      <c r="Q348" s="26"/>
      <c r="R348" s="22"/>
      <c r="S348" s="24"/>
      <c r="T348" s="24"/>
      <c r="U348" s="24"/>
      <c r="V348" s="24"/>
      <c r="W348" s="24"/>
      <c r="X348" s="22" t="s">
        <v>139</v>
      </c>
      <c r="Y348" s="4" t="str">
        <f>IF(Tabela2[[#This Row],[SIGLA]]="","",VLOOKUP(Tabela2[[#This Row],[SIGLA]],Tabela1[[#All],[Sigla Arte]:[Crédito]],2,0))</f>
        <v>HELOÍSA PINTARELLI/ARQUIVO DA EDITORA</v>
      </c>
      <c r="Z348" s="23"/>
      <c r="AA348" s="23" t="str">
        <f>Tabela2[[#This Row],[ILUSTRADOR CRIAÇÃO]]</f>
        <v>HELOÍSA PINTARELLI/ARQUIVO DA EDITORA</v>
      </c>
      <c r="AB348" s="22"/>
      <c r="AC348" s="20"/>
      <c r="AD348" s="20"/>
      <c r="AE348" s="4" t="str">
        <f t="shared" si="5"/>
        <v>EF1 E002 HGC</v>
      </c>
    </row>
    <row r="349" spans="1:31" s="12" customFormat="1" ht="60" x14ac:dyDescent="0.25">
      <c r="A349" s="23" t="s">
        <v>816</v>
      </c>
      <c r="B349" s="20" t="s">
        <v>32</v>
      </c>
      <c r="C349" s="20" t="s">
        <v>33</v>
      </c>
      <c r="D349" s="20" t="s">
        <v>34</v>
      </c>
      <c r="E349" s="22">
        <v>272</v>
      </c>
      <c r="F349" s="22">
        <v>2</v>
      </c>
      <c r="G349" s="22">
        <v>6</v>
      </c>
      <c r="H349" s="22"/>
      <c r="I349" s="23" t="s">
        <v>35</v>
      </c>
      <c r="J349" s="23"/>
      <c r="K349" s="22"/>
      <c r="L349" s="22"/>
      <c r="M349" s="23"/>
      <c r="N349" s="23"/>
      <c r="O349" s="26" t="s">
        <v>817</v>
      </c>
      <c r="P349" s="26"/>
      <c r="Q349" s="26"/>
      <c r="R349" s="22"/>
      <c r="S349" s="24"/>
      <c r="T349" s="24"/>
      <c r="U349" s="24"/>
      <c r="V349" s="24"/>
      <c r="W349" s="24"/>
      <c r="X349" s="22" t="s">
        <v>139</v>
      </c>
      <c r="Y349" s="4" t="str">
        <f>IF(Tabela2[[#This Row],[SIGLA]]="","",VLOOKUP(Tabela2[[#This Row],[SIGLA]],Tabela1[[#All],[Sigla Arte]:[Crédito]],2,0))</f>
        <v>HELOÍSA PINTARELLI/ARQUIVO DA EDITORA</v>
      </c>
      <c r="Z349" s="23"/>
      <c r="AA349" s="23" t="str">
        <f>Tabela2[[#This Row],[ILUSTRADOR CRIAÇÃO]]</f>
        <v>HELOÍSA PINTARELLI/ARQUIVO DA EDITORA</v>
      </c>
      <c r="AB349" s="22"/>
      <c r="AC349" s="20"/>
      <c r="AD349" s="20"/>
      <c r="AE349" s="4" t="str">
        <f t="shared" si="5"/>
        <v>EF1 E002 HGC</v>
      </c>
    </row>
    <row r="350" spans="1:31" s="12" customFormat="1" ht="30" x14ac:dyDescent="0.25">
      <c r="A350" s="23" t="s">
        <v>818</v>
      </c>
      <c r="B350" s="20" t="s">
        <v>32</v>
      </c>
      <c r="C350" s="20" t="s">
        <v>33</v>
      </c>
      <c r="D350" s="20" t="s">
        <v>34</v>
      </c>
      <c r="E350" s="22">
        <v>273</v>
      </c>
      <c r="F350" s="22">
        <v>2</v>
      </c>
      <c r="G350" s="22">
        <v>6</v>
      </c>
      <c r="H350" s="22"/>
      <c r="I350" s="23" t="s">
        <v>39</v>
      </c>
      <c r="J350" s="23"/>
      <c r="K350" s="22"/>
      <c r="L350" s="22"/>
      <c r="M350" s="23"/>
      <c r="N350" s="23"/>
      <c r="O350" s="26" t="s">
        <v>819</v>
      </c>
      <c r="P350" s="26"/>
      <c r="Q350" s="26"/>
      <c r="R350" s="22">
        <v>13</v>
      </c>
      <c r="S350" s="24">
        <v>45874</v>
      </c>
      <c r="T350" s="24">
        <v>45875</v>
      </c>
      <c r="U350" s="24"/>
      <c r="V350" s="24"/>
      <c r="W350" s="24">
        <v>45876</v>
      </c>
      <c r="X350" s="22" t="s">
        <v>139</v>
      </c>
      <c r="Y350" s="4" t="str">
        <f>IF(Tabela2[[#This Row],[SIGLA]]="","",VLOOKUP(Tabela2[[#This Row],[SIGLA]],Tabela1[[#All],[Sigla Arte]:[Crédito]],2,0))</f>
        <v>HELOÍSA PINTARELLI/ARQUIVO DA EDITORA</v>
      </c>
      <c r="Z350" s="23" t="s">
        <v>504</v>
      </c>
      <c r="AA350" s="23" t="str">
        <f>Tabela2[[#This Row],[ILUSTRADOR CRIAÇÃO]]</f>
        <v>HELOÍSA PINTARELLI/ARQUIVO DA EDITORA</v>
      </c>
      <c r="AB350" s="22">
        <v>13</v>
      </c>
      <c r="AC350" s="20" t="s">
        <v>43</v>
      </c>
      <c r="AD350" s="20"/>
      <c r="AE350" s="4" t="str">
        <f t="shared" si="5"/>
        <v>EF1 E002 HGC</v>
      </c>
    </row>
    <row r="351" spans="1:31" s="12" customFormat="1" x14ac:dyDescent="0.25">
      <c r="A351" s="23" t="s">
        <v>820</v>
      </c>
      <c r="B351" s="20" t="s">
        <v>32</v>
      </c>
      <c r="C351" s="20" t="s">
        <v>33</v>
      </c>
      <c r="D351" s="20" t="s">
        <v>34</v>
      </c>
      <c r="E351" s="22">
        <v>83</v>
      </c>
      <c r="F351" s="22">
        <v>2</v>
      </c>
      <c r="G351" s="22">
        <v>2</v>
      </c>
      <c r="H351" s="22"/>
      <c r="I351" s="23" t="s">
        <v>35</v>
      </c>
      <c r="J351" s="23"/>
      <c r="K351" s="22"/>
      <c r="L351" s="22"/>
      <c r="M351" s="23"/>
      <c r="N351" s="23"/>
      <c r="O351" s="26" t="s">
        <v>821</v>
      </c>
      <c r="P351" s="26"/>
      <c r="Q351" s="26"/>
      <c r="R351" s="22"/>
      <c r="S351" s="24"/>
      <c r="T351" s="24"/>
      <c r="U351" s="24"/>
      <c r="V351" s="24"/>
      <c r="W351" s="24"/>
      <c r="X351" s="22" t="s">
        <v>139</v>
      </c>
      <c r="Y351" s="4" t="str">
        <f>IF(Tabela2[[#This Row],[SIGLA]]="","",VLOOKUP(Tabela2[[#This Row],[SIGLA]],Tabela1[[#All],[Sigla Arte]:[Crédito]],2,0))</f>
        <v>HELOÍSA PINTARELLI/ARQUIVO DA EDITORA</v>
      </c>
      <c r="Z351" s="23"/>
      <c r="AA351" s="23" t="str">
        <f>Tabela2[[#This Row],[ILUSTRADOR CRIAÇÃO]]</f>
        <v>HELOÍSA PINTARELLI/ARQUIVO DA EDITORA</v>
      </c>
      <c r="AB351" s="22"/>
      <c r="AC351" s="20"/>
      <c r="AD351" s="20"/>
      <c r="AE351" s="4" t="str">
        <f t="shared" si="5"/>
        <v>EF1 E002 HGC</v>
      </c>
    </row>
    <row r="352" spans="1:31" s="12" customFormat="1" ht="45" x14ac:dyDescent="0.25">
      <c r="A352" s="23" t="s">
        <v>822</v>
      </c>
      <c r="B352" s="20" t="s">
        <v>32</v>
      </c>
      <c r="C352" s="20" t="s">
        <v>33</v>
      </c>
      <c r="D352" s="20" t="s">
        <v>34</v>
      </c>
      <c r="E352" s="22">
        <v>55</v>
      </c>
      <c r="F352" s="22">
        <v>1</v>
      </c>
      <c r="G352" s="22">
        <v>1</v>
      </c>
      <c r="H352" s="22"/>
      <c r="I352" s="23" t="s">
        <v>39</v>
      </c>
      <c r="J352" s="23"/>
      <c r="K352" s="22"/>
      <c r="L352" s="22"/>
      <c r="M352" s="23"/>
      <c r="N352" s="23"/>
      <c r="O352" s="26" t="s">
        <v>823</v>
      </c>
      <c r="P352" s="26"/>
      <c r="Q352" s="26"/>
      <c r="R352" s="22">
        <v>21</v>
      </c>
      <c r="S352" s="24">
        <v>45878</v>
      </c>
      <c r="T352" s="24">
        <v>45880</v>
      </c>
      <c r="U352" s="24"/>
      <c r="V352" s="24"/>
      <c r="W352" s="24">
        <v>45880</v>
      </c>
      <c r="X352" s="22" t="s">
        <v>268</v>
      </c>
      <c r="Y352" s="4" t="str">
        <f>IF(Tabela2[[#This Row],[SIGLA]]="","",VLOOKUP(Tabela2[[#This Row],[SIGLA]],Tabela1[[#All],[Sigla Arte]:[Crédito]],2,0))</f>
        <v>RODRIGO CORDEIRO/ARQUIVO DA EDITORA</v>
      </c>
      <c r="Z352" s="23" t="s">
        <v>82</v>
      </c>
      <c r="AA352" s="23" t="str">
        <f>Tabela2[[#This Row],[ILUSTRADOR CRIAÇÃO]]</f>
        <v>RODRIGO CORDEIRO/ARQUIVO DA EDITORA</v>
      </c>
      <c r="AB352" s="22">
        <v>13</v>
      </c>
      <c r="AC352" s="20" t="s">
        <v>277</v>
      </c>
      <c r="AD352" s="20"/>
      <c r="AE352" s="4" t="str">
        <f t="shared" si="5"/>
        <v>EF1 E002 HGC</v>
      </c>
    </row>
    <row r="353" spans="1:31" s="12" customFormat="1" ht="30" x14ac:dyDescent="0.25">
      <c r="A353" s="23" t="s">
        <v>824</v>
      </c>
      <c r="B353" s="20" t="s">
        <v>183</v>
      </c>
      <c r="C353" s="20" t="s">
        <v>64</v>
      </c>
      <c r="D353" s="20" t="s">
        <v>34</v>
      </c>
      <c r="E353" s="22">
        <v>168</v>
      </c>
      <c r="F353" s="22">
        <v>2</v>
      </c>
      <c r="G353" s="22">
        <v>4</v>
      </c>
      <c r="H353" s="22"/>
      <c r="I353" s="23" t="s">
        <v>91</v>
      </c>
      <c r="J353" s="23"/>
      <c r="K353" s="22"/>
      <c r="L353" s="22"/>
      <c r="M353" s="23"/>
      <c r="N353" s="23"/>
      <c r="O353" s="26" t="s">
        <v>825</v>
      </c>
      <c r="P353" s="26"/>
      <c r="Q353" s="26"/>
      <c r="R353" s="22">
        <v>22</v>
      </c>
      <c r="S353" s="24">
        <v>45881</v>
      </c>
      <c r="T353" s="24">
        <v>45881</v>
      </c>
      <c r="U353" s="24"/>
      <c r="V353" s="24"/>
      <c r="W353" s="24">
        <v>45882</v>
      </c>
      <c r="X353" s="22" t="s">
        <v>826</v>
      </c>
      <c r="Y353" s="4" t="str">
        <f>IF(Tabela2[[#This Row],[SIGLA]]="","",VLOOKUP(Tabela2[[#This Row],[SIGLA]],Tabela1[[#All],[Sigla Arte]:[Crédito]],2,0))</f>
        <v>GABRIELLA IMAI/ARQUIVO DA EDITORA</v>
      </c>
      <c r="Z353" s="23"/>
      <c r="AA353" s="23" t="str">
        <f>Tabela2[[#This Row],[ILUSTRADOR CRIAÇÃO]]</f>
        <v>GABRIELLA IMAI/ARQUIVO DA EDITORA</v>
      </c>
      <c r="AB353" s="22">
        <v>12</v>
      </c>
      <c r="AC353" s="20" t="s">
        <v>748</v>
      </c>
      <c r="AD353" s="20"/>
      <c r="AE353" s="4" t="str">
        <f t="shared" si="5"/>
        <v>EF1 E002 HGC</v>
      </c>
    </row>
    <row r="354" spans="1:31" s="12" customFormat="1" ht="120" x14ac:dyDescent="0.25">
      <c r="A354" s="23" t="s">
        <v>827</v>
      </c>
      <c r="B354" s="20" t="s">
        <v>183</v>
      </c>
      <c r="C354" s="20" t="s">
        <v>64</v>
      </c>
      <c r="D354" s="20" t="s">
        <v>828</v>
      </c>
      <c r="E354" s="22">
        <v>88</v>
      </c>
      <c r="F354" s="22">
        <v>1</v>
      </c>
      <c r="G354" s="22">
        <v>2</v>
      </c>
      <c r="H354" s="22"/>
      <c r="I354" s="23" t="s">
        <v>91</v>
      </c>
      <c r="J354" s="23"/>
      <c r="K354" s="22"/>
      <c r="L354" s="22"/>
      <c r="M354" s="23"/>
      <c r="N354" s="23"/>
      <c r="O354" s="26" t="s">
        <v>829</v>
      </c>
      <c r="P354" s="26"/>
      <c r="Q354" s="26"/>
      <c r="R354" s="22">
        <v>23</v>
      </c>
      <c r="S354" s="24">
        <v>45897</v>
      </c>
      <c r="T354" s="24">
        <v>45897</v>
      </c>
      <c r="U354" s="24"/>
      <c r="V354" s="24"/>
      <c r="W354" s="24">
        <v>45898</v>
      </c>
      <c r="X354" s="22" t="s">
        <v>66</v>
      </c>
      <c r="Y354" s="4" t="str">
        <f>IF(Tabela2[[#This Row],[SIGLA]]="","",VLOOKUP(Tabela2[[#This Row],[SIGLA]],Tabela1[[#All],[Sigla Arte]:[Crédito]],2,0))</f>
        <v>VINÍCIUS COSTA/ARQUIVO DA EDITORA</v>
      </c>
      <c r="Z354" s="23"/>
      <c r="AA354" s="23" t="str">
        <f>Tabela2[[#This Row],[ILUSTRADOR CRIAÇÃO]]</f>
        <v>VINÍCIUS COSTA/ARQUIVO DA EDITORA</v>
      </c>
      <c r="AB354" s="22">
        <v>12</v>
      </c>
      <c r="AC354" s="20" t="s">
        <v>132</v>
      </c>
      <c r="AD354" s="20"/>
      <c r="AE354" s="4" t="str">
        <f t="shared" si="5"/>
        <v>EF1 E002 HGC</v>
      </c>
    </row>
    <row r="355" spans="1:31" s="12" customFormat="1" x14ac:dyDescent="0.25">
      <c r="A355" s="53" t="s">
        <v>830</v>
      </c>
      <c r="B355" s="54" t="s">
        <v>183</v>
      </c>
      <c r="C355" s="54" t="s">
        <v>33</v>
      </c>
      <c r="D355" s="54" t="s">
        <v>34</v>
      </c>
      <c r="E355" s="55">
        <v>191</v>
      </c>
      <c r="F355" s="55">
        <v>2</v>
      </c>
      <c r="G355" s="55">
        <v>5</v>
      </c>
      <c r="H355" s="55"/>
      <c r="I355" s="53" t="s">
        <v>91</v>
      </c>
      <c r="J355" s="53"/>
      <c r="K355" s="55"/>
      <c r="L355" s="55"/>
      <c r="M355" s="53"/>
      <c r="N355" s="53"/>
      <c r="O355" s="56" t="s">
        <v>831</v>
      </c>
      <c r="P355" s="26"/>
      <c r="Q355" s="26"/>
      <c r="R355" s="55">
        <v>26</v>
      </c>
      <c r="S355" s="24">
        <v>45913</v>
      </c>
      <c r="T355" s="24">
        <v>45915</v>
      </c>
      <c r="U355" s="24"/>
      <c r="V355" s="24"/>
      <c r="W355" s="24">
        <v>45915</v>
      </c>
      <c r="X355" s="22" t="s">
        <v>774</v>
      </c>
      <c r="Y355" s="4" t="str">
        <f>IF(Tabela2[[#This Row],[SIGLA]]="","",VLOOKUP(Tabela2[[#This Row],[SIGLA]],Tabela1[[#All],[Sigla Arte]:[Crédito]],2,0))</f>
        <v>MARYANE VIOTO SILVA/ARQUIVO DA EDITORA</v>
      </c>
      <c r="Z355" s="23"/>
      <c r="AA355" s="23" t="str">
        <f>Tabela2[[#This Row],[ILUSTRADOR CRIAÇÃO]]</f>
        <v>MARYANE VIOTO SILVA/ARQUIVO DA EDITORA</v>
      </c>
      <c r="AB355" s="22">
        <v>8</v>
      </c>
      <c r="AC355" s="20" t="s">
        <v>132</v>
      </c>
      <c r="AD355" s="20" t="s">
        <v>44</v>
      </c>
      <c r="AE355" s="4" t="str">
        <f t="shared" si="5"/>
        <v>EF1 E002 HGC</v>
      </c>
    </row>
    <row r="356" spans="1:31" s="12" customFormat="1" x14ac:dyDescent="0.25">
      <c r="A356" s="23" t="s">
        <v>832</v>
      </c>
      <c r="B356" s="20" t="s">
        <v>136</v>
      </c>
      <c r="C356" s="20" t="s">
        <v>33</v>
      </c>
      <c r="D356" s="20" t="s">
        <v>34</v>
      </c>
      <c r="E356" s="22">
        <v>246</v>
      </c>
      <c r="F356" s="22">
        <v>2</v>
      </c>
      <c r="G356" s="22">
        <v>6</v>
      </c>
      <c r="H356" s="22"/>
      <c r="I356" s="23" t="s">
        <v>91</v>
      </c>
      <c r="J356" s="23"/>
      <c r="K356" s="22"/>
      <c r="L356" s="22"/>
      <c r="M356" s="23"/>
      <c r="N356" s="23"/>
      <c r="O356" s="26" t="s">
        <v>833</v>
      </c>
      <c r="P356" s="26"/>
      <c r="Q356" s="26"/>
      <c r="R356" s="22">
        <v>27</v>
      </c>
      <c r="S356" s="24">
        <v>45913</v>
      </c>
      <c r="T356" s="24">
        <v>45915</v>
      </c>
      <c r="U356" s="24"/>
      <c r="V356" s="24"/>
      <c r="W356" s="24">
        <v>45915</v>
      </c>
      <c r="X356" s="22" t="s">
        <v>774</v>
      </c>
      <c r="Y356" s="4" t="str">
        <f>IF(Tabela2[[#This Row],[SIGLA]]="","",VLOOKUP(Tabela2[[#This Row],[SIGLA]],Tabela1[[#All],[Sigla Arte]:[Crédito]],2,0))</f>
        <v>MARYANE VIOTO SILVA/ARQUIVO DA EDITORA</v>
      </c>
      <c r="Z356" s="23"/>
      <c r="AA356" s="23" t="str">
        <f>Tabela2[[#This Row],[ILUSTRADOR CRIAÇÃO]]</f>
        <v>MARYANE VIOTO SILVA/ARQUIVO DA EDITORA</v>
      </c>
      <c r="AB356" s="22">
        <v>8</v>
      </c>
      <c r="AC356" s="20" t="s">
        <v>132</v>
      </c>
      <c r="AD356" s="20" t="s">
        <v>44</v>
      </c>
      <c r="AE356" s="4" t="str">
        <f t="shared" si="5"/>
        <v>EF1 E002 HGC</v>
      </c>
    </row>
    <row r="357" spans="1:31" s="12" customFormat="1" x14ac:dyDescent="0.25">
      <c r="A357" s="53" t="s">
        <v>834</v>
      </c>
      <c r="B357" s="20" t="s">
        <v>136</v>
      </c>
      <c r="C357" s="54" t="s">
        <v>33</v>
      </c>
      <c r="D357" s="54" t="s">
        <v>34</v>
      </c>
      <c r="E357" s="55">
        <v>246</v>
      </c>
      <c r="F357" s="55">
        <v>2</v>
      </c>
      <c r="G357" s="55">
        <v>6</v>
      </c>
      <c r="H357" s="55"/>
      <c r="I357" s="53" t="s">
        <v>91</v>
      </c>
      <c r="J357" s="53"/>
      <c r="K357" s="55"/>
      <c r="L357" s="55"/>
      <c r="M357" s="53"/>
      <c r="N357" s="53"/>
      <c r="O357" s="56" t="s">
        <v>835</v>
      </c>
      <c r="P357" s="26"/>
      <c r="Q357" s="26"/>
      <c r="R357" s="22">
        <v>27</v>
      </c>
      <c r="S357" s="24">
        <v>45913</v>
      </c>
      <c r="T357" s="24">
        <v>45915</v>
      </c>
      <c r="U357" s="24"/>
      <c r="V357" s="24"/>
      <c r="W357" s="24">
        <v>45915</v>
      </c>
      <c r="X357" s="22" t="s">
        <v>774</v>
      </c>
      <c r="Y357" s="4" t="str">
        <f>IF(Tabela2[[#This Row],[SIGLA]]="","",VLOOKUP(Tabela2[[#This Row],[SIGLA]],Tabela1[[#All],[Sigla Arte]:[Crédito]],2,0))</f>
        <v>MARYANE VIOTO SILVA/ARQUIVO DA EDITORA</v>
      </c>
      <c r="Z357" s="23"/>
      <c r="AA357" s="23" t="str">
        <f>Tabela2[[#This Row],[ILUSTRADOR CRIAÇÃO]]</f>
        <v>MARYANE VIOTO SILVA/ARQUIVO DA EDITORA</v>
      </c>
      <c r="AB357" s="22">
        <v>8</v>
      </c>
      <c r="AC357" s="20" t="s">
        <v>132</v>
      </c>
      <c r="AD357" s="20" t="s">
        <v>44</v>
      </c>
      <c r="AE357" s="4" t="str">
        <f t="shared" si="5"/>
        <v>EF1 E002 HGC</v>
      </c>
    </row>
    <row r="358" spans="1:31" s="12" customFormat="1" x14ac:dyDescent="0.25">
      <c r="A358" s="23" t="s">
        <v>836</v>
      </c>
      <c r="B358" s="20" t="s">
        <v>136</v>
      </c>
      <c r="C358" s="20" t="s">
        <v>33</v>
      </c>
      <c r="D358" s="20" t="s">
        <v>34</v>
      </c>
      <c r="E358" s="22">
        <v>246</v>
      </c>
      <c r="F358" s="22">
        <v>2</v>
      </c>
      <c r="G358" s="22">
        <v>6</v>
      </c>
      <c r="H358" s="22"/>
      <c r="I358" s="23" t="s">
        <v>91</v>
      </c>
      <c r="J358" s="23"/>
      <c r="K358" s="22"/>
      <c r="L358" s="22"/>
      <c r="M358" s="23"/>
      <c r="N358" s="23"/>
      <c r="O358" s="26" t="s">
        <v>837</v>
      </c>
      <c r="P358" s="26"/>
      <c r="Q358" s="26"/>
      <c r="R358" s="22">
        <v>27</v>
      </c>
      <c r="S358" s="24">
        <v>45913</v>
      </c>
      <c r="T358" s="24">
        <v>45915</v>
      </c>
      <c r="U358" s="24"/>
      <c r="V358" s="24"/>
      <c r="W358" s="24">
        <v>45915</v>
      </c>
      <c r="X358" s="22" t="s">
        <v>774</v>
      </c>
      <c r="Y358" s="4" t="str">
        <f>IF(Tabela2[[#This Row],[SIGLA]]="","",VLOOKUP(Tabela2[[#This Row],[SIGLA]],Tabela1[[#All],[Sigla Arte]:[Crédito]],2,0))</f>
        <v>MARYANE VIOTO SILVA/ARQUIVO DA EDITORA</v>
      </c>
      <c r="Z358" s="23"/>
      <c r="AA358" s="23" t="str">
        <f>Tabela2[[#This Row],[ILUSTRADOR CRIAÇÃO]]</f>
        <v>MARYANE VIOTO SILVA/ARQUIVO DA EDITORA</v>
      </c>
      <c r="AB358" s="22">
        <v>8</v>
      </c>
      <c r="AC358" s="20" t="s">
        <v>132</v>
      </c>
      <c r="AD358" s="20" t="s">
        <v>44</v>
      </c>
      <c r="AE358" s="4" t="str">
        <f t="shared" si="5"/>
        <v>EF1 E002 HGC</v>
      </c>
    </row>
    <row r="359" spans="1:31" s="12" customFormat="1" ht="45" x14ac:dyDescent="0.25">
      <c r="A359" s="23" t="s">
        <v>832</v>
      </c>
      <c r="B359" s="20" t="s">
        <v>32</v>
      </c>
      <c r="C359" s="20" t="s">
        <v>33</v>
      </c>
      <c r="D359" s="20" t="s">
        <v>34</v>
      </c>
      <c r="E359" s="22">
        <v>246</v>
      </c>
      <c r="F359" s="22">
        <v>2</v>
      </c>
      <c r="G359" s="22">
        <v>6</v>
      </c>
      <c r="H359" s="22"/>
      <c r="I359" s="23" t="s">
        <v>91</v>
      </c>
      <c r="J359" s="23"/>
      <c r="K359" s="22"/>
      <c r="L359" s="22"/>
      <c r="M359" s="23"/>
      <c r="N359" s="23"/>
      <c r="O359" s="26" t="s">
        <v>838</v>
      </c>
      <c r="P359" s="26"/>
      <c r="Q359" s="26" t="s">
        <v>839</v>
      </c>
      <c r="R359" s="22"/>
      <c r="S359" s="24"/>
      <c r="T359" s="24"/>
      <c r="U359" s="24"/>
      <c r="V359" s="24"/>
      <c r="W359" s="24"/>
      <c r="X359" s="22" t="s">
        <v>840</v>
      </c>
      <c r="Y359" s="4" t="str">
        <f>IF(Tabela2[[#This Row],[SIGLA]]="","",VLOOKUP(Tabela2[[#This Row],[SIGLA]],Tabela1[[#All],[Sigla Arte]:[Crédito]],2,0))</f>
        <v>CYNTHIA SEKIGUCHI/ARQUIVO DA EDITORA</v>
      </c>
      <c r="Z359" s="23"/>
      <c r="AA359" s="23" t="str">
        <f>Tabela2[[#This Row],[ILUSTRADOR CRIAÇÃO]]</f>
        <v>CYNTHIA SEKIGUCHI/ARQUIVO DA EDITORA</v>
      </c>
      <c r="AB359" s="22"/>
      <c r="AC359" s="20"/>
      <c r="AD359" s="20"/>
      <c r="AE359" s="4" t="str">
        <f t="shared" si="5"/>
        <v>EF1 E002 HGC</v>
      </c>
    </row>
    <row r="360" spans="1:31" s="12" customFormat="1" ht="45" x14ac:dyDescent="0.25">
      <c r="A360" s="53" t="s">
        <v>834</v>
      </c>
      <c r="B360" s="20" t="s">
        <v>32</v>
      </c>
      <c r="C360" s="20" t="s">
        <v>33</v>
      </c>
      <c r="D360" s="20" t="s">
        <v>34</v>
      </c>
      <c r="E360" s="55">
        <v>246</v>
      </c>
      <c r="F360" s="55">
        <v>2</v>
      </c>
      <c r="G360" s="55">
        <v>6</v>
      </c>
      <c r="H360" s="55"/>
      <c r="I360" s="53" t="s">
        <v>91</v>
      </c>
      <c r="J360" s="53"/>
      <c r="K360" s="55"/>
      <c r="L360" s="55"/>
      <c r="M360" s="53"/>
      <c r="N360" s="53"/>
      <c r="O360" s="56" t="s">
        <v>841</v>
      </c>
      <c r="P360" s="26"/>
      <c r="Q360" s="26" t="s">
        <v>839</v>
      </c>
      <c r="R360" s="22"/>
      <c r="S360" s="24"/>
      <c r="T360" s="24"/>
      <c r="U360" s="24"/>
      <c r="V360" s="24"/>
      <c r="W360" s="24"/>
      <c r="X360" s="22" t="s">
        <v>840</v>
      </c>
      <c r="Y360" s="4" t="str">
        <f>IF(Tabela2[[#This Row],[SIGLA]]="","",VLOOKUP(Tabela2[[#This Row],[SIGLA]],Tabela1[[#All],[Sigla Arte]:[Crédito]],2,0))</f>
        <v>CYNTHIA SEKIGUCHI/ARQUIVO DA EDITORA</v>
      </c>
      <c r="Z360" s="23"/>
      <c r="AA360" s="23" t="str">
        <f>Tabela2[[#This Row],[ILUSTRADOR CRIAÇÃO]]</f>
        <v>CYNTHIA SEKIGUCHI/ARQUIVO DA EDITORA</v>
      </c>
      <c r="AB360" s="22"/>
      <c r="AC360" s="20"/>
      <c r="AD360" s="20"/>
      <c r="AE360" s="4" t="str">
        <f t="shared" si="5"/>
        <v>EF1 E002 HGC</v>
      </c>
    </row>
    <row r="361" spans="1:31" s="12" customFormat="1" ht="45" x14ac:dyDescent="0.25">
      <c r="A361" s="23" t="s">
        <v>836</v>
      </c>
      <c r="B361" s="20" t="s">
        <v>32</v>
      </c>
      <c r="C361" s="20" t="s">
        <v>33</v>
      </c>
      <c r="D361" s="20" t="s">
        <v>34</v>
      </c>
      <c r="E361" s="22">
        <v>246</v>
      </c>
      <c r="F361" s="22">
        <v>2</v>
      </c>
      <c r="G361" s="22">
        <v>6</v>
      </c>
      <c r="H361" s="22"/>
      <c r="I361" s="23" t="s">
        <v>91</v>
      </c>
      <c r="J361" s="23"/>
      <c r="K361" s="22"/>
      <c r="L361" s="22"/>
      <c r="M361" s="23"/>
      <c r="N361" s="23"/>
      <c r="O361" s="26" t="s">
        <v>842</v>
      </c>
      <c r="P361" s="26"/>
      <c r="Q361" s="26" t="s">
        <v>839</v>
      </c>
      <c r="R361" s="22"/>
      <c r="S361" s="24"/>
      <c r="T361" s="24"/>
      <c r="U361" s="24"/>
      <c r="V361" s="24"/>
      <c r="W361" s="24"/>
      <c r="X361" s="22" t="s">
        <v>840</v>
      </c>
      <c r="Y361" s="4" t="str">
        <f>IF(Tabela2[[#This Row],[SIGLA]]="","",VLOOKUP(Tabela2[[#This Row],[SIGLA]],Tabela1[[#All],[Sigla Arte]:[Crédito]],2,0))</f>
        <v>CYNTHIA SEKIGUCHI/ARQUIVO DA EDITORA</v>
      </c>
      <c r="Z361" s="23"/>
      <c r="AA361" s="23" t="str">
        <f>Tabela2[[#This Row],[ILUSTRADOR CRIAÇÃO]]</f>
        <v>CYNTHIA SEKIGUCHI/ARQUIVO DA EDITORA</v>
      </c>
      <c r="AB361" s="22"/>
      <c r="AC361" s="20"/>
      <c r="AD361" s="20"/>
      <c r="AE361" s="4" t="str">
        <f t="shared" si="5"/>
        <v>EF1 E002 HGC</v>
      </c>
    </row>
    <row r="362" spans="1:31" s="12" customFormat="1" x14ac:dyDescent="0.25">
      <c r="A362" s="23"/>
      <c r="B362" s="20"/>
      <c r="C362" s="20"/>
      <c r="D362" s="20"/>
      <c r="E362" s="22"/>
      <c r="F362" s="22"/>
      <c r="G362" s="22"/>
      <c r="H362" s="22"/>
      <c r="I362" s="23"/>
      <c r="J362" s="23"/>
      <c r="K362" s="22"/>
      <c r="L362" s="22"/>
      <c r="M362" s="23"/>
      <c r="N362" s="23"/>
      <c r="O362" s="26"/>
      <c r="P362" s="26"/>
      <c r="Q362" s="26"/>
      <c r="R362" s="22"/>
      <c r="S362" s="24"/>
      <c r="T362" s="24"/>
      <c r="U362" s="24"/>
      <c r="V362" s="24"/>
      <c r="W362" s="24"/>
      <c r="X362" s="22"/>
      <c r="Y362" s="4" t="str">
        <f>IF(Tabela2[[#This Row],[SIGLA]]="","",VLOOKUP(Tabela2[[#This Row],[SIGLA]],Tabela1[[#All],[Sigla Arte]:[Crédito]],2,0))</f>
        <v/>
      </c>
      <c r="Z362" s="23"/>
      <c r="AA362" s="23" t="str">
        <f>Tabela2[[#This Row],[ILUSTRADOR CRIAÇÃO]]</f>
        <v/>
      </c>
      <c r="AB362" s="22"/>
      <c r="AC362" s="20"/>
      <c r="AD362" s="20"/>
      <c r="AE362" s="4" t="str">
        <f t="shared" si="5"/>
        <v>EF1 E002 HGC</v>
      </c>
    </row>
    <row r="363" spans="1:31" s="12" customFormat="1" x14ac:dyDescent="0.25">
      <c r="A363" s="23"/>
      <c r="B363" s="20"/>
      <c r="C363" s="20"/>
      <c r="D363" s="20"/>
      <c r="E363" s="22"/>
      <c r="F363" s="22"/>
      <c r="G363" s="22"/>
      <c r="H363" s="22"/>
      <c r="I363" s="23"/>
      <c r="J363" s="23"/>
      <c r="K363" s="22"/>
      <c r="L363" s="22"/>
      <c r="M363" s="23"/>
      <c r="N363" s="23"/>
      <c r="O363" s="26"/>
      <c r="P363" s="26"/>
      <c r="Q363" s="26"/>
      <c r="R363" s="22"/>
      <c r="S363" s="24"/>
      <c r="T363" s="24"/>
      <c r="U363" s="24"/>
      <c r="V363" s="24"/>
      <c r="W363" s="24"/>
      <c r="X363" s="22"/>
      <c r="Y363" s="4" t="str">
        <f>IF(Tabela2[[#This Row],[SIGLA]]="","",VLOOKUP(Tabela2[[#This Row],[SIGLA]],Tabela1[[#All],[Sigla Arte]:[Crédito]],2,0))</f>
        <v/>
      </c>
      <c r="Z363" s="23"/>
      <c r="AA363" s="23" t="str">
        <f>Tabela2[[#This Row],[ILUSTRADOR CRIAÇÃO]]</f>
        <v/>
      </c>
      <c r="AB363" s="22"/>
      <c r="AC363" s="20"/>
      <c r="AD363" s="20"/>
      <c r="AE363" s="4" t="str">
        <f t="shared" si="5"/>
        <v>EF1 E002 HGC</v>
      </c>
    </row>
    <row r="364" spans="1:31" s="12" customFormat="1" x14ac:dyDescent="0.25">
      <c r="A364" s="23"/>
      <c r="B364" s="20"/>
      <c r="C364" s="20"/>
      <c r="D364" s="20"/>
      <c r="E364" s="22"/>
      <c r="F364" s="22"/>
      <c r="G364" s="22"/>
      <c r="H364" s="22"/>
      <c r="I364" s="23"/>
      <c r="J364" s="23"/>
      <c r="K364" s="22"/>
      <c r="L364" s="22"/>
      <c r="M364" s="23"/>
      <c r="N364" s="23"/>
      <c r="O364" s="26"/>
      <c r="P364" s="26"/>
      <c r="Q364" s="26"/>
      <c r="R364" s="22"/>
      <c r="S364" s="24"/>
      <c r="T364" s="24"/>
      <c r="U364" s="24"/>
      <c r="V364" s="24"/>
      <c r="W364" s="24"/>
      <c r="X364" s="22"/>
      <c r="Y364" s="4" t="str">
        <f>IF(Tabela2[[#This Row],[SIGLA]]="","",VLOOKUP(Tabela2[[#This Row],[SIGLA]],Tabela1[[#All],[Sigla Arte]:[Crédito]],2,0))</f>
        <v/>
      </c>
      <c r="Z364" s="23"/>
      <c r="AA364" s="23" t="str">
        <f>Tabela2[[#This Row],[ILUSTRADOR CRIAÇÃO]]</f>
        <v/>
      </c>
      <c r="AB364" s="22"/>
      <c r="AC364" s="20"/>
      <c r="AD364" s="20"/>
      <c r="AE364" s="4" t="str">
        <f t="shared" si="5"/>
        <v>EF1 E002 HGC</v>
      </c>
    </row>
    <row r="365" spans="1:31" s="12" customFormat="1" x14ac:dyDescent="0.25">
      <c r="A365" s="23"/>
      <c r="B365" s="20"/>
      <c r="C365" s="20"/>
      <c r="D365" s="20"/>
      <c r="E365" s="22"/>
      <c r="F365" s="22"/>
      <c r="G365" s="22"/>
      <c r="H365" s="22"/>
      <c r="I365" s="23"/>
      <c r="J365" s="23"/>
      <c r="K365" s="22"/>
      <c r="L365" s="22"/>
      <c r="M365" s="23"/>
      <c r="N365" s="23"/>
      <c r="O365" s="26"/>
      <c r="P365" s="26"/>
      <c r="Q365" s="26"/>
      <c r="R365" s="22"/>
      <c r="S365" s="24"/>
      <c r="T365" s="24"/>
      <c r="U365" s="24"/>
      <c r="V365" s="24"/>
      <c r="W365" s="24"/>
      <c r="X365" s="22"/>
      <c r="Y365" s="4" t="str">
        <f>IF(Tabela2[[#This Row],[SIGLA]]="","",VLOOKUP(Tabela2[[#This Row],[SIGLA]],Tabela1[[#All],[Sigla Arte]:[Crédito]],2,0))</f>
        <v/>
      </c>
      <c r="Z365" s="23"/>
      <c r="AA365" s="23" t="str">
        <f>Tabela2[[#This Row],[ILUSTRADOR CRIAÇÃO]]</f>
        <v/>
      </c>
      <c r="AB365" s="22"/>
      <c r="AC365" s="20"/>
      <c r="AD365" s="20"/>
      <c r="AE365" s="4" t="str">
        <f t="shared" si="5"/>
        <v>EF1 E002 HGC</v>
      </c>
    </row>
    <row r="366" spans="1:31" s="12" customFormat="1" x14ac:dyDescent="0.25">
      <c r="A366" s="23"/>
      <c r="B366" s="20"/>
      <c r="C366" s="20"/>
      <c r="D366" s="20"/>
      <c r="E366" s="22"/>
      <c r="F366" s="22"/>
      <c r="G366" s="22"/>
      <c r="H366" s="22"/>
      <c r="I366" s="23"/>
      <c r="J366" s="23"/>
      <c r="K366" s="22"/>
      <c r="L366" s="22"/>
      <c r="M366" s="23"/>
      <c r="N366" s="23"/>
      <c r="O366" s="26"/>
      <c r="P366" s="26"/>
      <c r="Q366" s="26"/>
      <c r="R366" s="22"/>
      <c r="S366" s="24"/>
      <c r="T366" s="24"/>
      <c r="U366" s="24"/>
      <c r="V366" s="24"/>
      <c r="W366" s="24"/>
      <c r="X366" s="22"/>
      <c r="Y366" s="4" t="str">
        <f>IF(Tabela2[[#This Row],[SIGLA]]="","",VLOOKUP(Tabela2[[#This Row],[SIGLA]],Tabela1[[#All],[Sigla Arte]:[Crédito]],2,0))</f>
        <v/>
      </c>
      <c r="Z366" s="23"/>
      <c r="AA366" s="23" t="str">
        <f>Tabela2[[#This Row],[ILUSTRADOR CRIAÇÃO]]</f>
        <v/>
      </c>
      <c r="AB366" s="22"/>
      <c r="AC366" s="20"/>
      <c r="AD366" s="20"/>
      <c r="AE366" s="4" t="str">
        <f t="shared" si="5"/>
        <v>EF1 E002 HGC</v>
      </c>
    </row>
    <row r="367" spans="1:31" s="12" customFormat="1" x14ac:dyDescent="0.25">
      <c r="A367" s="23"/>
      <c r="B367" s="20"/>
      <c r="C367" s="20"/>
      <c r="D367" s="20"/>
      <c r="E367" s="22"/>
      <c r="F367" s="22"/>
      <c r="G367" s="22"/>
      <c r="H367" s="22"/>
      <c r="I367" s="23"/>
      <c r="J367" s="23"/>
      <c r="K367" s="22"/>
      <c r="L367" s="22"/>
      <c r="M367" s="23"/>
      <c r="N367" s="23"/>
      <c r="O367" s="26"/>
      <c r="P367" s="26"/>
      <c r="Q367" s="26"/>
      <c r="R367" s="22"/>
      <c r="S367" s="24"/>
      <c r="T367" s="24"/>
      <c r="U367" s="24"/>
      <c r="V367" s="24"/>
      <c r="W367" s="24"/>
      <c r="X367" s="22"/>
      <c r="Y367" s="4" t="str">
        <f>IF(Tabela2[[#This Row],[SIGLA]]="","",VLOOKUP(Tabela2[[#This Row],[SIGLA]],Tabela1[[#All],[Sigla Arte]:[Crédito]],2,0))</f>
        <v/>
      </c>
      <c r="Z367" s="23"/>
      <c r="AA367" s="23" t="str">
        <f>Tabela2[[#This Row],[ILUSTRADOR CRIAÇÃO]]</f>
        <v/>
      </c>
      <c r="AB367" s="22"/>
      <c r="AC367" s="20"/>
      <c r="AD367" s="20"/>
      <c r="AE367" s="4" t="str">
        <f t="shared" si="5"/>
        <v>EF1 E002 HGC</v>
      </c>
    </row>
    <row r="368" spans="1:31" s="12" customFormat="1" x14ac:dyDescent="0.25">
      <c r="A368" s="23"/>
      <c r="B368" s="20"/>
      <c r="C368" s="20"/>
      <c r="D368" s="20"/>
      <c r="E368" s="22"/>
      <c r="F368" s="22"/>
      <c r="G368" s="22"/>
      <c r="H368" s="22"/>
      <c r="I368" s="23"/>
      <c r="J368" s="23"/>
      <c r="K368" s="22"/>
      <c r="L368" s="22"/>
      <c r="M368" s="23"/>
      <c r="N368" s="23"/>
      <c r="O368" s="26"/>
      <c r="P368" s="26"/>
      <c r="Q368" s="26"/>
      <c r="R368" s="22"/>
      <c r="S368" s="24"/>
      <c r="T368" s="24"/>
      <c r="U368" s="24"/>
      <c r="V368" s="24"/>
      <c r="W368" s="24"/>
      <c r="X368" s="22"/>
      <c r="Y368" s="4" t="str">
        <f>IF(Tabela2[[#This Row],[SIGLA]]="","",VLOOKUP(Tabela2[[#This Row],[SIGLA]],Tabela1[[#All],[Sigla Arte]:[Crédito]],2,0))</f>
        <v/>
      </c>
      <c r="Z368" s="23"/>
      <c r="AA368" s="23" t="str">
        <f>Tabela2[[#This Row],[ILUSTRADOR CRIAÇÃO]]</f>
        <v/>
      </c>
      <c r="AB368" s="22"/>
      <c r="AC368" s="20"/>
      <c r="AD368" s="20"/>
      <c r="AE368" s="4" t="str">
        <f t="shared" si="5"/>
        <v>EF1 E002 HGC</v>
      </c>
    </row>
    <row r="369" spans="1:31" s="12" customFormat="1" x14ac:dyDescent="0.25">
      <c r="A369" s="23"/>
      <c r="B369" s="20"/>
      <c r="C369" s="20"/>
      <c r="D369" s="20"/>
      <c r="E369" s="22"/>
      <c r="F369" s="22"/>
      <c r="G369" s="22"/>
      <c r="H369" s="22"/>
      <c r="I369" s="23"/>
      <c r="J369" s="23"/>
      <c r="K369" s="22"/>
      <c r="L369" s="22"/>
      <c r="M369" s="23"/>
      <c r="N369" s="23"/>
      <c r="O369" s="26"/>
      <c r="P369" s="26"/>
      <c r="Q369" s="26"/>
      <c r="R369" s="22"/>
      <c r="S369" s="24"/>
      <c r="T369" s="24"/>
      <c r="U369" s="24"/>
      <c r="V369" s="24"/>
      <c r="W369" s="24"/>
      <c r="X369" s="22"/>
      <c r="Y369" s="4" t="str">
        <f>IF(Tabela2[[#This Row],[SIGLA]]="","",VLOOKUP(Tabela2[[#This Row],[SIGLA]],Tabela1[[#All],[Sigla Arte]:[Crédito]],2,0))</f>
        <v/>
      </c>
      <c r="Z369" s="23"/>
      <c r="AA369" s="23" t="str">
        <f>Tabela2[[#This Row],[ILUSTRADOR CRIAÇÃO]]</f>
        <v/>
      </c>
      <c r="AB369" s="22"/>
      <c r="AC369" s="20"/>
      <c r="AD369" s="20"/>
      <c r="AE369" s="4" t="str">
        <f t="shared" si="5"/>
        <v>EF1 E002 HGC</v>
      </c>
    </row>
    <row r="370" spans="1:31" s="12" customFormat="1" x14ac:dyDescent="0.25">
      <c r="A370" s="23"/>
      <c r="B370" s="20"/>
      <c r="C370" s="20"/>
      <c r="D370" s="20"/>
      <c r="E370" s="22"/>
      <c r="F370" s="22"/>
      <c r="G370" s="22"/>
      <c r="H370" s="22"/>
      <c r="I370" s="23"/>
      <c r="J370" s="23"/>
      <c r="K370" s="22"/>
      <c r="L370" s="22"/>
      <c r="M370" s="23"/>
      <c r="N370" s="23"/>
      <c r="O370" s="26"/>
      <c r="P370" s="26"/>
      <c r="Q370" s="26"/>
      <c r="R370" s="22"/>
      <c r="S370" s="24"/>
      <c r="T370" s="24"/>
      <c r="U370" s="24"/>
      <c r="V370" s="24"/>
      <c r="W370" s="24"/>
      <c r="X370" s="22"/>
      <c r="Y370" s="4" t="str">
        <f>IF(Tabela2[[#This Row],[SIGLA]]="","",VLOOKUP(Tabela2[[#This Row],[SIGLA]],Tabela1[[#All],[Sigla Arte]:[Crédito]],2,0))</f>
        <v/>
      </c>
      <c r="Z370" s="23"/>
      <c r="AA370" s="23" t="str">
        <f>Tabela2[[#This Row],[ILUSTRADOR CRIAÇÃO]]</f>
        <v/>
      </c>
      <c r="AB370" s="22"/>
      <c r="AC370" s="20"/>
      <c r="AD370" s="20"/>
      <c r="AE370" s="4" t="str">
        <f t="shared" si="5"/>
        <v>EF1 E002 HGC</v>
      </c>
    </row>
    <row r="371" spans="1:31" s="12" customFormat="1" x14ac:dyDescent="0.25">
      <c r="A371" s="23"/>
      <c r="B371" s="20"/>
      <c r="C371" s="20"/>
      <c r="D371" s="20"/>
      <c r="E371" s="22"/>
      <c r="F371" s="22"/>
      <c r="G371" s="22"/>
      <c r="H371" s="22"/>
      <c r="I371" s="23"/>
      <c r="J371" s="23"/>
      <c r="K371" s="22"/>
      <c r="L371" s="22"/>
      <c r="M371" s="23"/>
      <c r="N371" s="23"/>
      <c r="O371" s="26"/>
      <c r="P371" s="26"/>
      <c r="Q371" s="26"/>
      <c r="R371" s="22"/>
      <c r="S371" s="24"/>
      <c r="T371" s="24"/>
      <c r="U371" s="24"/>
      <c r="V371" s="24"/>
      <c r="W371" s="24"/>
      <c r="X371" s="22"/>
      <c r="Y371" s="4" t="str">
        <f>IF(Tabela2[[#This Row],[SIGLA]]="","",VLOOKUP(Tabela2[[#This Row],[SIGLA]],Tabela1[[#All],[Sigla Arte]:[Crédito]],2,0))</f>
        <v/>
      </c>
      <c r="Z371" s="23"/>
      <c r="AA371" s="23" t="str">
        <f>Tabela2[[#This Row],[ILUSTRADOR CRIAÇÃO]]</f>
        <v/>
      </c>
      <c r="AB371" s="22"/>
      <c r="AC371" s="20"/>
      <c r="AD371" s="20"/>
      <c r="AE371" s="4" t="str">
        <f t="shared" si="5"/>
        <v>EF1 E002 HGC</v>
      </c>
    </row>
    <row r="372" spans="1:31" s="12" customFormat="1" x14ac:dyDescent="0.25">
      <c r="A372" s="23"/>
      <c r="B372" s="20"/>
      <c r="C372" s="20"/>
      <c r="D372" s="20"/>
      <c r="E372" s="22"/>
      <c r="F372" s="22"/>
      <c r="G372" s="22"/>
      <c r="H372" s="22"/>
      <c r="I372" s="23"/>
      <c r="J372" s="23"/>
      <c r="K372" s="22"/>
      <c r="L372" s="22"/>
      <c r="M372" s="23"/>
      <c r="N372" s="23"/>
      <c r="O372" s="26"/>
      <c r="P372" s="26"/>
      <c r="Q372" s="26"/>
      <c r="R372" s="22"/>
      <c r="S372" s="24"/>
      <c r="T372" s="24"/>
      <c r="U372" s="24"/>
      <c r="V372" s="24"/>
      <c r="W372" s="24"/>
      <c r="X372" s="22"/>
      <c r="Y372" s="4" t="str">
        <f>IF(Tabela2[[#This Row],[SIGLA]]="","",VLOOKUP(Tabela2[[#This Row],[SIGLA]],Tabela1[[#All],[Sigla Arte]:[Crédito]],2,0))</f>
        <v/>
      </c>
      <c r="Z372" s="23"/>
      <c r="AA372" s="23" t="str">
        <f>Tabela2[[#This Row],[ILUSTRADOR CRIAÇÃO]]</f>
        <v/>
      </c>
      <c r="AB372" s="22"/>
      <c r="AC372" s="20"/>
      <c r="AD372" s="20"/>
      <c r="AE372" s="4" t="str">
        <f t="shared" si="5"/>
        <v>EF1 E002 HGC</v>
      </c>
    </row>
    <row r="373" spans="1:31" s="12" customFormat="1" x14ac:dyDescent="0.25">
      <c r="A373" s="23"/>
      <c r="B373" s="20"/>
      <c r="C373" s="20"/>
      <c r="D373" s="20"/>
      <c r="E373" s="22"/>
      <c r="F373" s="22"/>
      <c r="G373" s="22"/>
      <c r="H373" s="22"/>
      <c r="I373" s="23"/>
      <c r="J373" s="23"/>
      <c r="K373" s="22"/>
      <c r="L373" s="22"/>
      <c r="M373" s="23"/>
      <c r="N373" s="23"/>
      <c r="O373" s="26"/>
      <c r="P373" s="26"/>
      <c r="Q373" s="26"/>
      <c r="R373" s="22"/>
      <c r="S373" s="24"/>
      <c r="T373" s="24"/>
      <c r="U373" s="24"/>
      <c r="V373" s="24"/>
      <c r="W373" s="24"/>
      <c r="X373" s="22"/>
      <c r="Y373" s="4" t="str">
        <f>IF(Tabela2[[#This Row],[SIGLA]]="","",VLOOKUP(Tabela2[[#This Row],[SIGLA]],Tabela1[[#All],[Sigla Arte]:[Crédito]],2,0))</f>
        <v/>
      </c>
      <c r="Z373" s="23"/>
      <c r="AA373" s="23" t="str">
        <f>Tabela2[[#This Row],[ILUSTRADOR CRIAÇÃO]]</f>
        <v/>
      </c>
      <c r="AB373" s="22"/>
      <c r="AC373" s="20"/>
      <c r="AD373" s="20"/>
      <c r="AE373" s="4" t="str">
        <f t="shared" si="5"/>
        <v>EF1 E002 HGC</v>
      </c>
    </row>
    <row r="374" spans="1:31" s="12" customFormat="1" x14ac:dyDescent="0.25">
      <c r="A374" s="23"/>
      <c r="B374" s="20"/>
      <c r="C374" s="20"/>
      <c r="D374" s="20"/>
      <c r="E374" s="22"/>
      <c r="F374" s="22"/>
      <c r="G374" s="22"/>
      <c r="H374" s="22"/>
      <c r="I374" s="23"/>
      <c r="J374" s="23"/>
      <c r="K374" s="22"/>
      <c r="L374" s="22"/>
      <c r="M374" s="23"/>
      <c r="N374" s="23"/>
      <c r="O374" s="26"/>
      <c r="P374" s="26"/>
      <c r="Q374" s="26"/>
      <c r="R374" s="22"/>
      <c r="S374" s="24"/>
      <c r="T374" s="24"/>
      <c r="U374" s="24"/>
      <c r="V374" s="24"/>
      <c r="W374" s="24"/>
      <c r="X374" s="22"/>
      <c r="Y374" s="4" t="str">
        <f>IF(Tabela2[[#This Row],[SIGLA]]="","",VLOOKUP(Tabela2[[#This Row],[SIGLA]],Tabela1[[#All],[Sigla Arte]:[Crédito]],2,0))</f>
        <v/>
      </c>
      <c r="Z374" s="23"/>
      <c r="AA374" s="23" t="str">
        <f>Tabela2[[#This Row],[ILUSTRADOR CRIAÇÃO]]</f>
        <v/>
      </c>
      <c r="AB374" s="22"/>
      <c r="AC374" s="20"/>
      <c r="AD374" s="20"/>
      <c r="AE374" s="4" t="str">
        <f t="shared" si="5"/>
        <v>EF1 E002 HGC</v>
      </c>
    </row>
    <row r="375" spans="1:31" s="12" customFormat="1" x14ac:dyDescent="0.25">
      <c r="A375" s="23"/>
      <c r="B375" s="20"/>
      <c r="C375" s="20"/>
      <c r="D375" s="20"/>
      <c r="E375" s="22"/>
      <c r="F375" s="22"/>
      <c r="G375" s="22"/>
      <c r="H375" s="22"/>
      <c r="I375" s="23"/>
      <c r="J375" s="23"/>
      <c r="K375" s="22"/>
      <c r="L375" s="22"/>
      <c r="M375" s="23"/>
      <c r="N375" s="23"/>
      <c r="O375" s="26"/>
      <c r="P375" s="26"/>
      <c r="Q375" s="26"/>
      <c r="R375" s="22"/>
      <c r="S375" s="24"/>
      <c r="T375" s="24"/>
      <c r="U375" s="24"/>
      <c r="V375" s="24"/>
      <c r="W375" s="24"/>
      <c r="X375" s="22"/>
      <c r="Y375" s="4" t="str">
        <f>IF(Tabela2[[#This Row],[SIGLA]]="","",VLOOKUP(Tabela2[[#This Row],[SIGLA]],Tabela1[[#All],[Sigla Arte]:[Crédito]],2,0))</f>
        <v/>
      </c>
      <c r="Z375" s="23"/>
      <c r="AA375" s="23" t="str">
        <f>Tabela2[[#This Row],[ILUSTRADOR CRIAÇÃO]]</f>
        <v/>
      </c>
      <c r="AB375" s="22"/>
      <c r="AC375" s="20"/>
      <c r="AD375" s="20"/>
      <c r="AE375" s="4" t="str">
        <f t="shared" si="5"/>
        <v>EF1 E002 HGC</v>
      </c>
    </row>
    <row r="376" spans="1:31" s="12" customFormat="1" x14ac:dyDescent="0.25">
      <c r="A376" s="23"/>
      <c r="B376" s="20"/>
      <c r="C376" s="20"/>
      <c r="D376" s="20"/>
      <c r="E376" s="22"/>
      <c r="F376" s="22"/>
      <c r="G376" s="22"/>
      <c r="H376" s="22"/>
      <c r="I376" s="23"/>
      <c r="J376" s="23"/>
      <c r="K376" s="22"/>
      <c r="L376" s="22"/>
      <c r="M376" s="23"/>
      <c r="N376" s="23"/>
      <c r="O376" s="26"/>
      <c r="P376" s="26"/>
      <c r="Q376" s="26"/>
      <c r="R376" s="22"/>
      <c r="S376" s="24"/>
      <c r="T376" s="24"/>
      <c r="U376" s="24"/>
      <c r="V376" s="24"/>
      <c r="W376" s="24"/>
      <c r="X376" s="22"/>
      <c r="Y376" s="4" t="str">
        <f>IF(Tabela2[[#This Row],[SIGLA]]="","",VLOOKUP(Tabela2[[#This Row],[SIGLA]],Tabela1[[#All],[Sigla Arte]:[Crédito]],2,0))</f>
        <v/>
      </c>
      <c r="Z376" s="23"/>
      <c r="AA376" s="23" t="str">
        <f>Tabela2[[#This Row],[ILUSTRADOR CRIAÇÃO]]</f>
        <v/>
      </c>
      <c r="AB376" s="22"/>
      <c r="AC376" s="20"/>
      <c r="AD376" s="20"/>
      <c r="AE376" s="4" t="str">
        <f t="shared" si="5"/>
        <v>EF1 E002 HGC</v>
      </c>
    </row>
    <row r="377" spans="1:31" s="12" customFormat="1" x14ac:dyDescent="0.25">
      <c r="A377" s="23"/>
      <c r="B377" s="20"/>
      <c r="C377" s="20"/>
      <c r="D377" s="20"/>
      <c r="E377" s="22"/>
      <c r="F377" s="22"/>
      <c r="G377" s="22"/>
      <c r="H377" s="22"/>
      <c r="I377" s="23"/>
      <c r="J377" s="23"/>
      <c r="K377" s="22"/>
      <c r="L377" s="22"/>
      <c r="M377" s="23"/>
      <c r="N377" s="23"/>
      <c r="O377" s="26"/>
      <c r="P377" s="26"/>
      <c r="Q377" s="26"/>
      <c r="R377" s="22"/>
      <c r="S377" s="24"/>
      <c r="T377" s="24"/>
      <c r="U377" s="24"/>
      <c r="V377" s="24"/>
      <c r="W377" s="24"/>
      <c r="X377" s="22"/>
      <c r="Y377" s="4" t="str">
        <f>IF(Tabela2[[#This Row],[SIGLA]]="","",VLOOKUP(Tabela2[[#This Row],[SIGLA]],Tabela1[[#All],[Sigla Arte]:[Crédito]],2,0))</f>
        <v/>
      </c>
      <c r="Z377" s="23"/>
      <c r="AA377" s="23" t="str">
        <f>Tabela2[[#This Row],[ILUSTRADOR CRIAÇÃO]]</f>
        <v/>
      </c>
      <c r="AB377" s="22"/>
      <c r="AC377" s="20"/>
      <c r="AD377" s="20"/>
      <c r="AE377" s="4" t="str">
        <f t="shared" si="5"/>
        <v>EF1 E002 HGC</v>
      </c>
    </row>
    <row r="378" spans="1:31" s="12" customFormat="1" x14ac:dyDescent="0.25">
      <c r="A378" s="23"/>
      <c r="B378" s="20"/>
      <c r="C378" s="20"/>
      <c r="D378" s="20"/>
      <c r="E378" s="22"/>
      <c r="F378" s="22"/>
      <c r="G378" s="22"/>
      <c r="H378" s="22"/>
      <c r="I378" s="23"/>
      <c r="J378" s="23"/>
      <c r="K378" s="22"/>
      <c r="L378" s="22"/>
      <c r="M378" s="23"/>
      <c r="N378" s="23"/>
      <c r="O378" s="26"/>
      <c r="P378" s="26"/>
      <c r="Q378" s="26"/>
      <c r="R378" s="22"/>
      <c r="S378" s="24"/>
      <c r="T378" s="24"/>
      <c r="U378" s="24"/>
      <c r="V378" s="24"/>
      <c r="W378" s="24"/>
      <c r="X378" s="22"/>
      <c r="Y378" s="4" t="str">
        <f>IF(Tabela2[[#This Row],[SIGLA]]="","",VLOOKUP(Tabela2[[#This Row],[SIGLA]],Tabela1[[#All],[Sigla Arte]:[Crédito]],2,0))</f>
        <v/>
      </c>
      <c r="Z378" s="23"/>
      <c r="AA378" s="23" t="str">
        <f>Tabela2[[#This Row],[ILUSTRADOR CRIAÇÃO]]</f>
        <v/>
      </c>
      <c r="AB378" s="22"/>
      <c r="AC378" s="20"/>
      <c r="AD378" s="20"/>
      <c r="AE378" s="4" t="str">
        <f t="shared" si="5"/>
        <v>EF1 E002 HGC</v>
      </c>
    </row>
    <row r="379" spans="1:31" s="12" customFormat="1" x14ac:dyDescent="0.25">
      <c r="A379" s="23"/>
      <c r="B379" s="20"/>
      <c r="C379" s="20"/>
      <c r="D379" s="20"/>
      <c r="E379" s="22"/>
      <c r="F379" s="22"/>
      <c r="G379" s="22"/>
      <c r="H379" s="22"/>
      <c r="I379" s="23"/>
      <c r="J379" s="23"/>
      <c r="K379" s="22"/>
      <c r="L379" s="22"/>
      <c r="M379" s="23"/>
      <c r="N379" s="23"/>
      <c r="O379" s="26"/>
      <c r="P379" s="26"/>
      <c r="Q379" s="26"/>
      <c r="R379" s="22"/>
      <c r="S379" s="24"/>
      <c r="T379" s="24"/>
      <c r="U379" s="24"/>
      <c r="V379" s="24"/>
      <c r="W379" s="24"/>
      <c r="X379" s="22"/>
      <c r="Y379" s="4" t="str">
        <f>IF(Tabela2[[#This Row],[SIGLA]]="","",VLOOKUP(Tabela2[[#This Row],[SIGLA]],Tabela1[[#All],[Sigla Arte]:[Crédito]],2,0))</f>
        <v/>
      </c>
      <c r="Z379" s="23"/>
      <c r="AA379" s="23" t="str">
        <f>Tabela2[[#This Row],[ILUSTRADOR CRIAÇÃO]]</f>
        <v/>
      </c>
      <c r="AB379" s="22"/>
      <c r="AC379" s="20"/>
      <c r="AD379" s="20"/>
      <c r="AE379" s="4" t="str">
        <f t="shared" si="5"/>
        <v>EF1 E002 HGC</v>
      </c>
    </row>
    <row r="380" spans="1:31" s="12" customFormat="1" x14ac:dyDescent="0.25">
      <c r="A380" s="23"/>
      <c r="B380" s="20"/>
      <c r="C380" s="20"/>
      <c r="D380" s="20"/>
      <c r="E380" s="22"/>
      <c r="F380" s="22"/>
      <c r="G380" s="22"/>
      <c r="H380" s="22"/>
      <c r="I380" s="23"/>
      <c r="J380" s="23"/>
      <c r="K380" s="22"/>
      <c r="L380" s="22"/>
      <c r="M380" s="23"/>
      <c r="N380" s="23"/>
      <c r="O380" s="26"/>
      <c r="P380" s="26"/>
      <c r="Q380" s="26"/>
      <c r="R380" s="22"/>
      <c r="S380" s="24"/>
      <c r="T380" s="24"/>
      <c r="U380" s="24"/>
      <c r="V380" s="24"/>
      <c r="W380" s="24"/>
      <c r="X380" s="22"/>
      <c r="Y380" s="4" t="str">
        <f>IF(Tabela2[[#This Row],[SIGLA]]="","",VLOOKUP(Tabela2[[#This Row],[SIGLA]],Tabela1[[#All],[Sigla Arte]:[Crédito]],2,0))</f>
        <v/>
      </c>
      <c r="Z380" s="23"/>
      <c r="AA380" s="23" t="str">
        <f>Tabela2[[#This Row],[ILUSTRADOR CRIAÇÃO]]</f>
        <v/>
      </c>
      <c r="AB380" s="22"/>
      <c r="AC380" s="20"/>
      <c r="AD380" s="20"/>
      <c r="AE380" s="4" t="str">
        <f t="shared" si="5"/>
        <v>EF1 E002 HGC</v>
      </c>
    </row>
    <row r="381" spans="1:31" s="12" customFormat="1" x14ac:dyDescent="0.25">
      <c r="A381" s="23"/>
      <c r="B381" s="20"/>
      <c r="C381" s="20"/>
      <c r="D381" s="20"/>
      <c r="E381" s="22"/>
      <c r="F381" s="22"/>
      <c r="G381" s="22"/>
      <c r="H381" s="22"/>
      <c r="I381" s="23"/>
      <c r="J381" s="23"/>
      <c r="K381" s="22"/>
      <c r="L381" s="22"/>
      <c r="M381" s="23"/>
      <c r="N381" s="23"/>
      <c r="O381" s="26"/>
      <c r="P381" s="26"/>
      <c r="Q381" s="26"/>
      <c r="R381" s="22"/>
      <c r="S381" s="24"/>
      <c r="T381" s="24"/>
      <c r="U381" s="24"/>
      <c r="V381" s="24"/>
      <c r="W381" s="24"/>
      <c r="X381" s="22"/>
      <c r="Y381" s="4" t="str">
        <f>IF(Tabela2[[#This Row],[SIGLA]]="","",VLOOKUP(Tabela2[[#This Row],[SIGLA]],Tabela1[[#All],[Sigla Arte]:[Crédito]],2,0))</f>
        <v/>
      </c>
      <c r="Z381" s="23"/>
      <c r="AA381" s="23" t="str">
        <f>Tabela2[[#This Row],[ILUSTRADOR CRIAÇÃO]]</f>
        <v/>
      </c>
      <c r="AB381" s="22"/>
      <c r="AC381" s="20"/>
      <c r="AD381" s="20"/>
      <c r="AE381" s="4" t="str">
        <f t="shared" si="5"/>
        <v>EF1 E002 HGC</v>
      </c>
    </row>
    <row r="382" spans="1:31" s="12" customFormat="1" x14ac:dyDescent="0.25">
      <c r="A382" s="23"/>
      <c r="B382" s="20"/>
      <c r="C382" s="20"/>
      <c r="D382" s="20"/>
      <c r="E382" s="22"/>
      <c r="F382" s="22"/>
      <c r="G382" s="22"/>
      <c r="H382" s="22"/>
      <c r="I382" s="23"/>
      <c r="J382" s="23"/>
      <c r="K382" s="22"/>
      <c r="L382" s="22"/>
      <c r="M382" s="23"/>
      <c r="N382" s="23"/>
      <c r="O382" s="26"/>
      <c r="P382" s="26"/>
      <c r="Q382" s="26"/>
      <c r="R382" s="22"/>
      <c r="S382" s="24"/>
      <c r="T382" s="24"/>
      <c r="U382" s="24"/>
      <c r="V382" s="24"/>
      <c r="W382" s="24"/>
      <c r="X382" s="22"/>
      <c r="Y382" s="4" t="str">
        <f>IF(Tabela2[[#This Row],[SIGLA]]="","",VLOOKUP(Tabela2[[#This Row],[SIGLA]],Tabela1[[#All],[Sigla Arte]:[Crédito]],2,0))</f>
        <v/>
      </c>
      <c r="Z382" s="23"/>
      <c r="AA382" s="23" t="str">
        <f>Tabela2[[#This Row],[ILUSTRADOR CRIAÇÃO]]</f>
        <v/>
      </c>
      <c r="AB382" s="22"/>
      <c r="AC382" s="20"/>
      <c r="AD382" s="20"/>
      <c r="AE382" s="4" t="str">
        <f t="shared" si="5"/>
        <v>EF1 E002 HGC</v>
      </c>
    </row>
    <row r="383" spans="1:31" s="12" customFormat="1" x14ac:dyDescent="0.25">
      <c r="A383" s="23"/>
      <c r="B383" s="20"/>
      <c r="C383" s="20"/>
      <c r="D383" s="20"/>
      <c r="E383" s="22"/>
      <c r="F383" s="22"/>
      <c r="G383" s="22"/>
      <c r="H383" s="22"/>
      <c r="I383" s="23"/>
      <c r="J383" s="23"/>
      <c r="K383" s="22"/>
      <c r="L383" s="22"/>
      <c r="M383" s="23"/>
      <c r="N383" s="23"/>
      <c r="O383" s="26"/>
      <c r="P383" s="26"/>
      <c r="Q383" s="26"/>
      <c r="R383" s="22"/>
      <c r="S383" s="24"/>
      <c r="T383" s="24"/>
      <c r="U383" s="24"/>
      <c r="V383" s="24"/>
      <c r="W383" s="24"/>
      <c r="X383" s="22"/>
      <c r="Y383" s="4" t="str">
        <f>IF(Tabela2[[#This Row],[SIGLA]]="","",VLOOKUP(Tabela2[[#This Row],[SIGLA]],Tabela1[[#All],[Sigla Arte]:[Crédito]],2,0))</f>
        <v/>
      </c>
      <c r="Z383" s="23"/>
      <c r="AA383" s="23" t="str">
        <f>Tabela2[[#This Row],[ILUSTRADOR CRIAÇÃO]]</f>
        <v/>
      </c>
      <c r="AB383" s="22"/>
      <c r="AC383" s="20"/>
      <c r="AD383" s="20"/>
      <c r="AE383" s="4" t="str">
        <f t="shared" si="5"/>
        <v>EF1 E002 HGC</v>
      </c>
    </row>
    <row r="384" spans="1:31" s="12" customFormat="1" x14ac:dyDescent="0.25">
      <c r="A384" s="23"/>
      <c r="B384" s="20"/>
      <c r="C384" s="20"/>
      <c r="D384" s="20"/>
      <c r="E384" s="22"/>
      <c r="F384" s="22"/>
      <c r="G384" s="22"/>
      <c r="H384" s="22"/>
      <c r="I384" s="23"/>
      <c r="J384" s="23"/>
      <c r="K384" s="22"/>
      <c r="L384" s="22"/>
      <c r="M384" s="23"/>
      <c r="N384" s="23"/>
      <c r="O384" s="26"/>
      <c r="P384" s="26"/>
      <c r="Q384" s="26"/>
      <c r="R384" s="22"/>
      <c r="S384" s="24"/>
      <c r="T384" s="24"/>
      <c r="U384" s="24"/>
      <c r="V384" s="24"/>
      <c r="W384" s="24"/>
      <c r="X384" s="22"/>
      <c r="Y384" s="4" t="str">
        <f>IF(Tabela2[[#This Row],[SIGLA]]="","",VLOOKUP(Tabela2[[#This Row],[SIGLA]],Tabela1[[#All],[Sigla Arte]:[Crédito]],2,0))</f>
        <v/>
      </c>
      <c r="Z384" s="23"/>
      <c r="AA384" s="23" t="str">
        <f>Tabela2[[#This Row],[ILUSTRADOR CRIAÇÃO]]</f>
        <v/>
      </c>
      <c r="AB384" s="22"/>
      <c r="AC384" s="20"/>
      <c r="AD384" s="20"/>
      <c r="AE384" s="4" t="str">
        <f t="shared" si="5"/>
        <v>EF1 E002 HGC</v>
      </c>
    </row>
    <row r="385" spans="1:31" s="12" customFormat="1" x14ac:dyDescent="0.25">
      <c r="A385" s="23"/>
      <c r="B385" s="20"/>
      <c r="C385" s="20"/>
      <c r="D385" s="20"/>
      <c r="E385" s="22"/>
      <c r="F385" s="22"/>
      <c r="G385" s="22"/>
      <c r="H385" s="22"/>
      <c r="I385" s="23"/>
      <c r="J385" s="23"/>
      <c r="K385" s="22"/>
      <c r="L385" s="22"/>
      <c r="M385" s="23"/>
      <c r="N385" s="23"/>
      <c r="O385" s="26"/>
      <c r="P385" s="26"/>
      <c r="Q385" s="26"/>
      <c r="R385" s="22"/>
      <c r="S385" s="24"/>
      <c r="T385" s="24"/>
      <c r="U385" s="24"/>
      <c r="V385" s="24"/>
      <c r="W385" s="24"/>
      <c r="X385" s="22"/>
      <c r="Y385" s="4" t="str">
        <f>IF(Tabela2[[#This Row],[SIGLA]]="","",VLOOKUP(Tabela2[[#This Row],[SIGLA]],Tabela1[[#All],[Sigla Arte]:[Crédito]],2,0))</f>
        <v/>
      </c>
      <c r="Z385" s="23"/>
      <c r="AA385" s="23" t="str">
        <f>Tabela2[[#This Row],[ILUSTRADOR CRIAÇÃO]]</f>
        <v/>
      </c>
      <c r="AB385" s="22"/>
      <c r="AC385" s="20"/>
      <c r="AD385" s="20"/>
      <c r="AE385" s="4" t="str">
        <f t="shared" si="5"/>
        <v>EF1 E002 HGC</v>
      </c>
    </row>
    <row r="386" spans="1:31" s="12" customFormat="1" x14ac:dyDescent="0.25">
      <c r="A386" s="23"/>
      <c r="B386" s="20"/>
      <c r="C386" s="20"/>
      <c r="D386" s="20"/>
      <c r="E386" s="22"/>
      <c r="F386" s="22"/>
      <c r="G386" s="22"/>
      <c r="H386" s="22"/>
      <c r="I386" s="23"/>
      <c r="J386" s="23"/>
      <c r="K386" s="22"/>
      <c r="L386" s="22"/>
      <c r="M386" s="23"/>
      <c r="N386" s="23"/>
      <c r="O386" s="26"/>
      <c r="P386" s="26"/>
      <c r="Q386" s="26"/>
      <c r="R386" s="22"/>
      <c r="S386" s="24"/>
      <c r="T386" s="24"/>
      <c r="U386" s="24"/>
      <c r="V386" s="24"/>
      <c r="W386" s="24"/>
      <c r="X386" s="22"/>
      <c r="Y386" s="4" t="str">
        <f>IF(Tabela2[[#This Row],[SIGLA]]="","",VLOOKUP(Tabela2[[#This Row],[SIGLA]],Tabela1[[#All],[Sigla Arte]:[Crédito]],2,0))</f>
        <v/>
      </c>
      <c r="Z386" s="23"/>
      <c r="AA386" s="23" t="str">
        <f>Tabela2[[#This Row],[ILUSTRADOR CRIAÇÃO]]</f>
        <v/>
      </c>
      <c r="AB386" s="22"/>
      <c r="AC386" s="20"/>
      <c r="AD386" s="20"/>
      <c r="AE386" s="4" t="str">
        <f t="shared" ref="AE386:AE449" si="6">"EF1 E002 HGC"</f>
        <v>EF1 E002 HGC</v>
      </c>
    </row>
    <row r="387" spans="1:31" s="12" customFormat="1" x14ac:dyDescent="0.25">
      <c r="A387" s="23"/>
      <c r="B387" s="20"/>
      <c r="C387" s="20"/>
      <c r="D387" s="20"/>
      <c r="E387" s="22"/>
      <c r="F387" s="22"/>
      <c r="G387" s="22"/>
      <c r="H387" s="22"/>
      <c r="I387" s="23"/>
      <c r="J387" s="23"/>
      <c r="K387" s="22"/>
      <c r="L387" s="22"/>
      <c r="M387" s="23"/>
      <c r="N387" s="23"/>
      <c r="O387" s="26"/>
      <c r="P387" s="26"/>
      <c r="Q387" s="26"/>
      <c r="R387" s="22"/>
      <c r="S387" s="24"/>
      <c r="T387" s="24"/>
      <c r="U387" s="24"/>
      <c r="V387" s="24"/>
      <c r="W387" s="24"/>
      <c r="X387" s="22"/>
      <c r="Y387" s="4" t="str">
        <f>IF(Tabela2[[#This Row],[SIGLA]]="","",VLOOKUP(Tabela2[[#This Row],[SIGLA]],Tabela1[[#All],[Sigla Arte]:[Crédito]],2,0))</f>
        <v/>
      </c>
      <c r="Z387" s="23"/>
      <c r="AA387" s="23" t="str">
        <f>Tabela2[[#This Row],[ILUSTRADOR CRIAÇÃO]]</f>
        <v/>
      </c>
      <c r="AB387" s="22"/>
      <c r="AC387" s="20"/>
      <c r="AD387" s="20"/>
      <c r="AE387" s="4" t="str">
        <f t="shared" si="6"/>
        <v>EF1 E002 HGC</v>
      </c>
    </row>
    <row r="388" spans="1:31" s="12" customFormat="1" x14ac:dyDescent="0.25">
      <c r="A388" s="23"/>
      <c r="B388" s="20"/>
      <c r="C388" s="20"/>
      <c r="D388" s="20"/>
      <c r="E388" s="22"/>
      <c r="F388" s="22"/>
      <c r="G388" s="22"/>
      <c r="H388" s="22"/>
      <c r="I388" s="23"/>
      <c r="J388" s="23"/>
      <c r="K388" s="22"/>
      <c r="L388" s="22"/>
      <c r="M388" s="23"/>
      <c r="N388" s="23"/>
      <c r="O388" s="26"/>
      <c r="P388" s="26"/>
      <c r="Q388" s="26"/>
      <c r="R388" s="22"/>
      <c r="S388" s="24"/>
      <c r="T388" s="24"/>
      <c r="U388" s="24"/>
      <c r="V388" s="24"/>
      <c r="W388" s="24"/>
      <c r="X388" s="22"/>
      <c r="Y388" s="4" t="str">
        <f>IF(Tabela2[[#This Row],[SIGLA]]="","",VLOOKUP(Tabela2[[#This Row],[SIGLA]],Tabela1[[#All],[Sigla Arte]:[Crédito]],2,0))</f>
        <v/>
      </c>
      <c r="Z388" s="23"/>
      <c r="AA388" s="23" t="str">
        <f>Tabela2[[#This Row],[ILUSTRADOR CRIAÇÃO]]</f>
        <v/>
      </c>
      <c r="AB388" s="22"/>
      <c r="AC388" s="20"/>
      <c r="AD388" s="20"/>
      <c r="AE388" s="4" t="str">
        <f t="shared" si="6"/>
        <v>EF1 E002 HGC</v>
      </c>
    </row>
    <row r="389" spans="1:31" s="12" customFormat="1" x14ac:dyDescent="0.25">
      <c r="A389" s="23"/>
      <c r="B389" s="20"/>
      <c r="C389" s="20"/>
      <c r="D389" s="20"/>
      <c r="E389" s="22"/>
      <c r="F389" s="22"/>
      <c r="G389" s="22"/>
      <c r="H389" s="22"/>
      <c r="I389" s="23"/>
      <c r="J389" s="23"/>
      <c r="K389" s="22"/>
      <c r="L389" s="22"/>
      <c r="M389" s="23"/>
      <c r="N389" s="23"/>
      <c r="O389" s="26"/>
      <c r="P389" s="26"/>
      <c r="Q389" s="26"/>
      <c r="R389" s="22"/>
      <c r="S389" s="24"/>
      <c r="T389" s="24"/>
      <c r="U389" s="24"/>
      <c r="V389" s="24"/>
      <c r="W389" s="24"/>
      <c r="X389" s="22"/>
      <c r="Y389" s="4" t="str">
        <f>IF(Tabela2[[#This Row],[SIGLA]]="","",VLOOKUP(Tabela2[[#This Row],[SIGLA]],Tabela1[[#All],[Sigla Arte]:[Crédito]],2,0))</f>
        <v/>
      </c>
      <c r="Z389" s="23"/>
      <c r="AA389" s="23" t="str">
        <f>Tabela2[[#This Row],[ILUSTRADOR CRIAÇÃO]]</f>
        <v/>
      </c>
      <c r="AB389" s="22"/>
      <c r="AC389" s="20"/>
      <c r="AD389" s="20"/>
      <c r="AE389" s="4" t="str">
        <f t="shared" si="6"/>
        <v>EF1 E002 HGC</v>
      </c>
    </row>
    <row r="390" spans="1:31" s="12" customFormat="1" x14ac:dyDescent="0.25">
      <c r="A390" s="23"/>
      <c r="B390" s="20"/>
      <c r="C390" s="20"/>
      <c r="D390" s="20"/>
      <c r="E390" s="22"/>
      <c r="F390" s="22"/>
      <c r="G390" s="22"/>
      <c r="H390" s="22"/>
      <c r="I390" s="23"/>
      <c r="J390" s="23"/>
      <c r="K390" s="22"/>
      <c r="L390" s="22"/>
      <c r="M390" s="23"/>
      <c r="N390" s="23"/>
      <c r="O390" s="26"/>
      <c r="P390" s="26"/>
      <c r="Q390" s="26"/>
      <c r="R390" s="22"/>
      <c r="S390" s="24"/>
      <c r="T390" s="24"/>
      <c r="U390" s="24"/>
      <c r="V390" s="24"/>
      <c r="W390" s="24"/>
      <c r="X390" s="22"/>
      <c r="Y390" s="4" t="str">
        <f>IF(Tabela2[[#This Row],[SIGLA]]="","",VLOOKUP(Tabela2[[#This Row],[SIGLA]],Tabela1[[#All],[Sigla Arte]:[Crédito]],2,0))</f>
        <v/>
      </c>
      <c r="Z390" s="23"/>
      <c r="AA390" s="23" t="str">
        <f>Tabela2[[#This Row],[ILUSTRADOR CRIAÇÃO]]</f>
        <v/>
      </c>
      <c r="AB390" s="22"/>
      <c r="AC390" s="20"/>
      <c r="AD390" s="20"/>
      <c r="AE390" s="4" t="str">
        <f t="shared" si="6"/>
        <v>EF1 E002 HGC</v>
      </c>
    </row>
    <row r="391" spans="1:31" s="12" customFormat="1" x14ac:dyDescent="0.25">
      <c r="A391" s="23"/>
      <c r="B391" s="20"/>
      <c r="C391" s="20"/>
      <c r="D391" s="20"/>
      <c r="E391" s="22"/>
      <c r="F391" s="22"/>
      <c r="G391" s="22"/>
      <c r="H391" s="22"/>
      <c r="I391" s="23"/>
      <c r="J391" s="23"/>
      <c r="K391" s="22"/>
      <c r="L391" s="22"/>
      <c r="M391" s="23"/>
      <c r="N391" s="23"/>
      <c r="O391" s="26"/>
      <c r="P391" s="26"/>
      <c r="Q391" s="26"/>
      <c r="R391" s="22"/>
      <c r="S391" s="24"/>
      <c r="T391" s="24"/>
      <c r="U391" s="24"/>
      <c r="V391" s="24"/>
      <c r="W391" s="24"/>
      <c r="X391" s="22"/>
      <c r="Y391" s="4" t="str">
        <f>IF(Tabela2[[#This Row],[SIGLA]]="","",VLOOKUP(Tabela2[[#This Row],[SIGLA]],Tabela1[[#All],[Sigla Arte]:[Crédito]],2,0))</f>
        <v/>
      </c>
      <c r="Z391" s="23"/>
      <c r="AA391" s="23" t="str">
        <f>Tabela2[[#This Row],[ILUSTRADOR CRIAÇÃO]]</f>
        <v/>
      </c>
      <c r="AB391" s="22"/>
      <c r="AC391" s="20"/>
      <c r="AD391" s="20"/>
      <c r="AE391" s="4" t="str">
        <f t="shared" si="6"/>
        <v>EF1 E002 HGC</v>
      </c>
    </row>
    <row r="392" spans="1:31" s="12" customFormat="1" x14ac:dyDescent="0.25">
      <c r="A392" s="23"/>
      <c r="B392" s="20"/>
      <c r="C392" s="20"/>
      <c r="D392" s="20"/>
      <c r="E392" s="22"/>
      <c r="F392" s="22"/>
      <c r="G392" s="22"/>
      <c r="H392" s="22"/>
      <c r="I392" s="23"/>
      <c r="J392" s="23"/>
      <c r="K392" s="22"/>
      <c r="L392" s="22"/>
      <c r="M392" s="23"/>
      <c r="N392" s="23"/>
      <c r="O392" s="26"/>
      <c r="P392" s="26"/>
      <c r="Q392" s="26"/>
      <c r="R392" s="22"/>
      <c r="S392" s="24"/>
      <c r="T392" s="24"/>
      <c r="U392" s="24"/>
      <c r="V392" s="24"/>
      <c r="W392" s="24"/>
      <c r="X392" s="22"/>
      <c r="Y392" s="4" t="str">
        <f>IF(Tabela2[[#This Row],[SIGLA]]="","",VLOOKUP(Tabela2[[#This Row],[SIGLA]],Tabela1[[#All],[Sigla Arte]:[Crédito]],2,0))</f>
        <v/>
      </c>
      <c r="Z392" s="23"/>
      <c r="AA392" s="23" t="str">
        <f>Tabela2[[#This Row],[ILUSTRADOR CRIAÇÃO]]</f>
        <v/>
      </c>
      <c r="AB392" s="22"/>
      <c r="AC392" s="20"/>
      <c r="AD392" s="20"/>
      <c r="AE392" s="4" t="str">
        <f t="shared" si="6"/>
        <v>EF1 E002 HGC</v>
      </c>
    </row>
    <row r="393" spans="1:31" s="12" customFormat="1" x14ac:dyDescent="0.25">
      <c r="A393" s="23"/>
      <c r="B393" s="20"/>
      <c r="C393" s="20"/>
      <c r="D393" s="20"/>
      <c r="E393" s="22"/>
      <c r="F393" s="22"/>
      <c r="G393" s="22"/>
      <c r="H393" s="22"/>
      <c r="I393" s="23"/>
      <c r="J393" s="23"/>
      <c r="K393" s="22"/>
      <c r="L393" s="22"/>
      <c r="M393" s="23"/>
      <c r="N393" s="23"/>
      <c r="O393" s="26"/>
      <c r="P393" s="26"/>
      <c r="Q393" s="26"/>
      <c r="R393" s="22"/>
      <c r="S393" s="24"/>
      <c r="T393" s="24"/>
      <c r="U393" s="24"/>
      <c r="V393" s="24"/>
      <c r="W393" s="24"/>
      <c r="X393" s="22"/>
      <c r="Y393" s="4" t="str">
        <f>IF(Tabela2[[#This Row],[SIGLA]]="","",VLOOKUP(Tabela2[[#This Row],[SIGLA]],Tabela1[[#All],[Sigla Arte]:[Crédito]],2,0))</f>
        <v/>
      </c>
      <c r="Z393" s="23"/>
      <c r="AA393" s="23" t="str">
        <f>Tabela2[[#This Row],[ILUSTRADOR CRIAÇÃO]]</f>
        <v/>
      </c>
      <c r="AB393" s="22"/>
      <c r="AC393" s="20"/>
      <c r="AD393" s="20"/>
      <c r="AE393" s="4" t="str">
        <f t="shared" si="6"/>
        <v>EF1 E002 HGC</v>
      </c>
    </row>
    <row r="394" spans="1:31" s="12" customFormat="1" x14ac:dyDescent="0.25">
      <c r="A394" s="23"/>
      <c r="B394" s="20"/>
      <c r="C394" s="20"/>
      <c r="D394" s="20"/>
      <c r="E394" s="22"/>
      <c r="F394" s="22"/>
      <c r="G394" s="22"/>
      <c r="H394" s="22"/>
      <c r="I394" s="23"/>
      <c r="J394" s="23"/>
      <c r="K394" s="22"/>
      <c r="L394" s="22"/>
      <c r="M394" s="23"/>
      <c r="N394" s="23"/>
      <c r="O394" s="26"/>
      <c r="P394" s="26"/>
      <c r="Q394" s="26"/>
      <c r="R394" s="22"/>
      <c r="S394" s="24"/>
      <c r="T394" s="24"/>
      <c r="U394" s="24"/>
      <c r="V394" s="24"/>
      <c r="W394" s="24"/>
      <c r="X394" s="22"/>
      <c r="Y394" s="4" t="str">
        <f>IF(Tabela2[[#This Row],[SIGLA]]="","",VLOOKUP(Tabela2[[#This Row],[SIGLA]],Tabela1[[#All],[Sigla Arte]:[Crédito]],2,0))</f>
        <v/>
      </c>
      <c r="Z394" s="23"/>
      <c r="AA394" s="23" t="str">
        <f>Tabela2[[#This Row],[ILUSTRADOR CRIAÇÃO]]</f>
        <v/>
      </c>
      <c r="AB394" s="22"/>
      <c r="AC394" s="20"/>
      <c r="AD394" s="20"/>
      <c r="AE394" s="4" t="str">
        <f t="shared" si="6"/>
        <v>EF1 E002 HGC</v>
      </c>
    </row>
    <row r="395" spans="1:31" s="12" customFormat="1" x14ac:dyDescent="0.25">
      <c r="A395" s="23"/>
      <c r="B395" s="20"/>
      <c r="C395" s="20"/>
      <c r="D395" s="20"/>
      <c r="E395" s="22"/>
      <c r="F395" s="22"/>
      <c r="G395" s="22"/>
      <c r="H395" s="22"/>
      <c r="I395" s="23"/>
      <c r="J395" s="23"/>
      <c r="K395" s="22"/>
      <c r="L395" s="22"/>
      <c r="M395" s="23"/>
      <c r="N395" s="23"/>
      <c r="O395" s="26"/>
      <c r="P395" s="26"/>
      <c r="Q395" s="26"/>
      <c r="R395" s="22"/>
      <c r="S395" s="24"/>
      <c r="T395" s="24"/>
      <c r="U395" s="24"/>
      <c r="V395" s="24"/>
      <c r="W395" s="24"/>
      <c r="X395" s="22"/>
      <c r="Y395" s="4" t="str">
        <f>IF(Tabela2[[#This Row],[SIGLA]]="","",VLOOKUP(Tabela2[[#This Row],[SIGLA]],Tabela1[[#All],[Sigla Arte]:[Crédito]],2,0))</f>
        <v/>
      </c>
      <c r="Z395" s="23"/>
      <c r="AA395" s="23" t="str">
        <f>Tabela2[[#This Row],[ILUSTRADOR CRIAÇÃO]]</f>
        <v/>
      </c>
      <c r="AB395" s="22"/>
      <c r="AC395" s="20"/>
      <c r="AD395" s="20"/>
      <c r="AE395" s="4" t="str">
        <f t="shared" si="6"/>
        <v>EF1 E002 HGC</v>
      </c>
    </row>
    <row r="396" spans="1:31" s="12" customFormat="1" x14ac:dyDescent="0.25">
      <c r="A396" s="23"/>
      <c r="B396" s="20"/>
      <c r="C396" s="20"/>
      <c r="D396" s="20"/>
      <c r="E396" s="22"/>
      <c r="F396" s="22"/>
      <c r="G396" s="22"/>
      <c r="H396" s="22"/>
      <c r="I396" s="23"/>
      <c r="J396" s="23"/>
      <c r="K396" s="22"/>
      <c r="L396" s="22"/>
      <c r="M396" s="23"/>
      <c r="N396" s="23"/>
      <c r="O396" s="26"/>
      <c r="P396" s="26"/>
      <c r="Q396" s="26"/>
      <c r="R396" s="22"/>
      <c r="S396" s="24"/>
      <c r="T396" s="24"/>
      <c r="U396" s="24"/>
      <c r="V396" s="24"/>
      <c r="W396" s="24"/>
      <c r="X396" s="22"/>
      <c r="Y396" s="4" t="str">
        <f>IF(Tabela2[[#This Row],[SIGLA]]="","",VLOOKUP(Tabela2[[#This Row],[SIGLA]],Tabela1[[#All],[Sigla Arte]:[Crédito]],2,0))</f>
        <v/>
      </c>
      <c r="Z396" s="23"/>
      <c r="AA396" s="23" t="str">
        <f>Tabela2[[#This Row],[ILUSTRADOR CRIAÇÃO]]</f>
        <v/>
      </c>
      <c r="AB396" s="22"/>
      <c r="AC396" s="20"/>
      <c r="AD396" s="20"/>
      <c r="AE396" s="4" t="str">
        <f t="shared" si="6"/>
        <v>EF1 E002 HGC</v>
      </c>
    </row>
    <row r="397" spans="1:31" s="12" customFormat="1" x14ac:dyDescent="0.25">
      <c r="A397" s="23"/>
      <c r="B397" s="20"/>
      <c r="C397" s="20"/>
      <c r="D397" s="20"/>
      <c r="E397" s="22"/>
      <c r="F397" s="22"/>
      <c r="G397" s="22"/>
      <c r="H397" s="22"/>
      <c r="I397" s="23"/>
      <c r="J397" s="23"/>
      <c r="K397" s="22"/>
      <c r="L397" s="22"/>
      <c r="M397" s="23"/>
      <c r="N397" s="23"/>
      <c r="O397" s="26"/>
      <c r="P397" s="26"/>
      <c r="Q397" s="26"/>
      <c r="R397" s="22"/>
      <c r="S397" s="24"/>
      <c r="T397" s="24"/>
      <c r="U397" s="24"/>
      <c r="V397" s="24"/>
      <c r="W397" s="24"/>
      <c r="X397" s="22"/>
      <c r="Y397" s="4" t="str">
        <f>IF(Tabela2[[#This Row],[SIGLA]]="","",VLOOKUP(Tabela2[[#This Row],[SIGLA]],Tabela1[[#All],[Sigla Arte]:[Crédito]],2,0))</f>
        <v/>
      </c>
      <c r="Z397" s="23"/>
      <c r="AA397" s="23" t="str">
        <f>Tabela2[[#This Row],[ILUSTRADOR CRIAÇÃO]]</f>
        <v/>
      </c>
      <c r="AB397" s="22"/>
      <c r="AC397" s="20"/>
      <c r="AD397" s="20"/>
      <c r="AE397" s="4" t="str">
        <f t="shared" si="6"/>
        <v>EF1 E002 HGC</v>
      </c>
    </row>
    <row r="398" spans="1:31" s="12" customFormat="1" x14ac:dyDescent="0.25">
      <c r="A398" s="23"/>
      <c r="B398" s="20"/>
      <c r="C398" s="20"/>
      <c r="D398" s="20"/>
      <c r="E398" s="22"/>
      <c r="F398" s="22"/>
      <c r="G398" s="22"/>
      <c r="H398" s="22"/>
      <c r="I398" s="23"/>
      <c r="J398" s="23"/>
      <c r="K398" s="22"/>
      <c r="L398" s="22"/>
      <c r="M398" s="23"/>
      <c r="N398" s="23"/>
      <c r="O398" s="26"/>
      <c r="P398" s="26"/>
      <c r="Q398" s="26"/>
      <c r="R398" s="22"/>
      <c r="S398" s="24"/>
      <c r="T398" s="24"/>
      <c r="U398" s="24"/>
      <c r="V398" s="24"/>
      <c r="W398" s="24"/>
      <c r="X398" s="22"/>
      <c r="Y398" s="4" t="str">
        <f>IF(Tabela2[[#This Row],[SIGLA]]="","",VLOOKUP(Tabela2[[#This Row],[SIGLA]],Tabela1[[#All],[Sigla Arte]:[Crédito]],2,0))</f>
        <v/>
      </c>
      <c r="Z398" s="23"/>
      <c r="AA398" s="23" t="str">
        <f>Tabela2[[#This Row],[ILUSTRADOR CRIAÇÃO]]</f>
        <v/>
      </c>
      <c r="AB398" s="22"/>
      <c r="AC398" s="20"/>
      <c r="AD398" s="20"/>
      <c r="AE398" s="4" t="str">
        <f t="shared" si="6"/>
        <v>EF1 E002 HGC</v>
      </c>
    </row>
    <row r="399" spans="1:31" s="12" customFormat="1" x14ac:dyDescent="0.25">
      <c r="A399" s="23"/>
      <c r="B399" s="20"/>
      <c r="C399" s="20"/>
      <c r="D399" s="20"/>
      <c r="E399" s="22"/>
      <c r="F399" s="22"/>
      <c r="G399" s="22"/>
      <c r="H399" s="22"/>
      <c r="I399" s="23"/>
      <c r="J399" s="23"/>
      <c r="K399" s="22"/>
      <c r="L399" s="22"/>
      <c r="M399" s="23"/>
      <c r="N399" s="23"/>
      <c r="O399" s="26"/>
      <c r="P399" s="26"/>
      <c r="Q399" s="26"/>
      <c r="R399" s="22"/>
      <c r="S399" s="24"/>
      <c r="T399" s="24"/>
      <c r="U399" s="24"/>
      <c r="V399" s="24"/>
      <c r="W399" s="24"/>
      <c r="X399" s="22"/>
      <c r="Y399" s="4" t="str">
        <f>IF(Tabela2[[#This Row],[SIGLA]]="","",VLOOKUP(Tabela2[[#This Row],[SIGLA]],Tabela1[[#All],[Sigla Arte]:[Crédito]],2,0))</f>
        <v/>
      </c>
      <c r="Z399" s="23"/>
      <c r="AA399" s="23" t="str">
        <f>Tabela2[[#This Row],[ILUSTRADOR CRIAÇÃO]]</f>
        <v/>
      </c>
      <c r="AB399" s="22"/>
      <c r="AC399" s="20"/>
      <c r="AD399" s="20"/>
      <c r="AE399" s="4" t="str">
        <f t="shared" si="6"/>
        <v>EF1 E002 HGC</v>
      </c>
    </row>
    <row r="400" spans="1:31" s="12" customFormat="1" x14ac:dyDescent="0.25">
      <c r="A400" s="23"/>
      <c r="B400" s="20"/>
      <c r="C400" s="20"/>
      <c r="D400" s="20"/>
      <c r="E400" s="22"/>
      <c r="F400" s="22"/>
      <c r="G400" s="22"/>
      <c r="H400" s="22"/>
      <c r="I400" s="23"/>
      <c r="J400" s="23"/>
      <c r="K400" s="22"/>
      <c r="L400" s="22"/>
      <c r="M400" s="23"/>
      <c r="N400" s="23"/>
      <c r="O400" s="26"/>
      <c r="P400" s="26"/>
      <c r="Q400" s="26"/>
      <c r="R400" s="22"/>
      <c r="S400" s="24"/>
      <c r="T400" s="24"/>
      <c r="U400" s="24"/>
      <c r="V400" s="24"/>
      <c r="W400" s="24"/>
      <c r="X400" s="22"/>
      <c r="Y400" s="4" t="str">
        <f>IF(Tabela2[[#This Row],[SIGLA]]="","",VLOOKUP(Tabela2[[#This Row],[SIGLA]],Tabela1[[#All],[Sigla Arte]:[Crédito]],2,0))</f>
        <v/>
      </c>
      <c r="Z400" s="23"/>
      <c r="AA400" s="23" t="str">
        <f>Tabela2[[#This Row],[ILUSTRADOR CRIAÇÃO]]</f>
        <v/>
      </c>
      <c r="AB400" s="22"/>
      <c r="AC400" s="20"/>
      <c r="AD400" s="20"/>
      <c r="AE400" s="4" t="str">
        <f t="shared" si="6"/>
        <v>EF1 E002 HGC</v>
      </c>
    </row>
    <row r="401" spans="1:31" s="12" customFormat="1" x14ac:dyDescent="0.25">
      <c r="A401" s="23"/>
      <c r="B401" s="20"/>
      <c r="C401" s="20"/>
      <c r="D401" s="20"/>
      <c r="E401" s="22"/>
      <c r="F401" s="22"/>
      <c r="G401" s="22"/>
      <c r="H401" s="22"/>
      <c r="I401" s="23"/>
      <c r="J401" s="23"/>
      <c r="K401" s="22"/>
      <c r="L401" s="22"/>
      <c r="M401" s="23"/>
      <c r="N401" s="23"/>
      <c r="O401" s="26"/>
      <c r="P401" s="26"/>
      <c r="Q401" s="26"/>
      <c r="R401" s="22"/>
      <c r="S401" s="24"/>
      <c r="T401" s="24"/>
      <c r="U401" s="24"/>
      <c r="V401" s="24"/>
      <c r="W401" s="24"/>
      <c r="X401" s="22"/>
      <c r="Y401" s="4" t="str">
        <f>IF(Tabela2[[#This Row],[SIGLA]]="","",VLOOKUP(Tabela2[[#This Row],[SIGLA]],Tabela1[[#All],[Sigla Arte]:[Crédito]],2,0))</f>
        <v/>
      </c>
      <c r="Z401" s="23"/>
      <c r="AA401" s="23" t="str">
        <f>Tabela2[[#This Row],[ILUSTRADOR CRIAÇÃO]]</f>
        <v/>
      </c>
      <c r="AB401" s="22"/>
      <c r="AC401" s="20"/>
      <c r="AD401" s="20"/>
      <c r="AE401" s="4" t="str">
        <f t="shared" si="6"/>
        <v>EF1 E002 HGC</v>
      </c>
    </row>
    <row r="402" spans="1:31" s="12" customFormat="1" x14ac:dyDescent="0.25">
      <c r="A402" s="23"/>
      <c r="B402" s="20"/>
      <c r="C402" s="20"/>
      <c r="D402" s="20"/>
      <c r="E402" s="22"/>
      <c r="F402" s="22"/>
      <c r="G402" s="22"/>
      <c r="H402" s="22"/>
      <c r="I402" s="23"/>
      <c r="J402" s="23"/>
      <c r="K402" s="22"/>
      <c r="L402" s="22"/>
      <c r="M402" s="23"/>
      <c r="N402" s="23"/>
      <c r="O402" s="26"/>
      <c r="P402" s="26"/>
      <c r="Q402" s="26"/>
      <c r="R402" s="22"/>
      <c r="S402" s="24"/>
      <c r="T402" s="24"/>
      <c r="U402" s="24"/>
      <c r="V402" s="24"/>
      <c r="W402" s="24"/>
      <c r="X402" s="22"/>
      <c r="Y402" s="4" t="str">
        <f>IF(Tabela2[[#This Row],[SIGLA]]="","",VLOOKUP(Tabela2[[#This Row],[SIGLA]],Tabela1[[#All],[Sigla Arte]:[Crédito]],2,0))</f>
        <v/>
      </c>
      <c r="Z402" s="23"/>
      <c r="AA402" s="23" t="str">
        <f>Tabela2[[#This Row],[ILUSTRADOR CRIAÇÃO]]</f>
        <v/>
      </c>
      <c r="AB402" s="22"/>
      <c r="AC402" s="20"/>
      <c r="AD402" s="20"/>
      <c r="AE402" s="4" t="str">
        <f t="shared" si="6"/>
        <v>EF1 E002 HGC</v>
      </c>
    </row>
    <row r="403" spans="1:31" s="12" customFormat="1" x14ac:dyDescent="0.25">
      <c r="A403" s="23"/>
      <c r="B403" s="20"/>
      <c r="C403" s="20"/>
      <c r="D403" s="20"/>
      <c r="E403" s="22"/>
      <c r="F403" s="22"/>
      <c r="G403" s="22"/>
      <c r="H403" s="22"/>
      <c r="I403" s="23"/>
      <c r="J403" s="23"/>
      <c r="K403" s="22"/>
      <c r="L403" s="22"/>
      <c r="M403" s="23"/>
      <c r="N403" s="23"/>
      <c r="O403" s="26"/>
      <c r="P403" s="26"/>
      <c r="Q403" s="26"/>
      <c r="R403" s="22"/>
      <c r="S403" s="24"/>
      <c r="T403" s="24"/>
      <c r="U403" s="24"/>
      <c r="V403" s="24"/>
      <c r="W403" s="24"/>
      <c r="X403" s="22"/>
      <c r="Y403" s="4" t="str">
        <f>IF(Tabela2[[#This Row],[SIGLA]]="","",VLOOKUP(Tabela2[[#This Row],[SIGLA]],Tabela1[[#All],[Sigla Arte]:[Crédito]],2,0))</f>
        <v/>
      </c>
      <c r="Z403" s="23"/>
      <c r="AA403" s="23" t="str">
        <f>Tabela2[[#This Row],[ILUSTRADOR CRIAÇÃO]]</f>
        <v/>
      </c>
      <c r="AB403" s="22"/>
      <c r="AC403" s="20"/>
      <c r="AD403" s="20"/>
      <c r="AE403" s="4" t="str">
        <f t="shared" si="6"/>
        <v>EF1 E002 HGC</v>
      </c>
    </row>
    <row r="404" spans="1:31" s="12" customFormat="1" x14ac:dyDescent="0.25">
      <c r="A404" s="23"/>
      <c r="B404" s="20"/>
      <c r="C404" s="20"/>
      <c r="D404" s="20"/>
      <c r="E404" s="22"/>
      <c r="F404" s="22"/>
      <c r="G404" s="22"/>
      <c r="H404" s="22"/>
      <c r="I404" s="23"/>
      <c r="J404" s="23"/>
      <c r="K404" s="22"/>
      <c r="L404" s="22"/>
      <c r="M404" s="23"/>
      <c r="N404" s="23"/>
      <c r="O404" s="26"/>
      <c r="P404" s="26"/>
      <c r="Q404" s="26"/>
      <c r="R404" s="22"/>
      <c r="S404" s="24"/>
      <c r="T404" s="24"/>
      <c r="U404" s="24"/>
      <c r="V404" s="24"/>
      <c r="W404" s="24"/>
      <c r="X404" s="22"/>
      <c r="Y404" s="4" t="str">
        <f>IF(Tabela2[[#This Row],[SIGLA]]="","",VLOOKUP(Tabela2[[#This Row],[SIGLA]],Tabela1[[#All],[Sigla Arte]:[Crédito]],2,0))</f>
        <v/>
      </c>
      <c r="Z404" s="23"/>
      <c r="AA404" s="23" t="str">
        <f>Tabela2[[#This Row],[ILUSTRADOR CRIAÇÃO]]</f>
        <v/>
      </c>
      <c r="AB404" s="22"/>
      <c r="AC404" s="20"/>
      <c r="AD404" s="20"/>
      <c r="AE404" s="4" t="str">
        <f t="shared" si="6"/>
        <v>EF1 E002 HGC</v>
      </c>
    </row>
    <row r="405" spans="1:31" s="12" customFormat="1" x14ac:dyDescent="0.25">
      <c r="A405" s="23"/>
      <c r="B405" s="20"/>
      <c r="C405" s="20"/>
      <c r="D405" s="20"/>
      <c r="E405" s="22"/>
      <c r="F405" s="22"/>
      <c r="G405" s="22"/>
      <c r="H405" s="22"/>
      <c r="I405" s="23"/>
      <c r="J405" s="23"/>
      <c r="K405" s="22"/>
      <c r="L405" s="22"/>
      <c r="M405" s="23"/>
      <c r="N405" s="23"/>
      <c r="O405" s="26"/>
      <c r="P405" s="26"/>
      <c r="Q405" s="26"/>
      <c r="R405" s="22"/>
      <c r="S405" s="24"/>
      <c r="T405" s="24"/>
      <c r="U405" s="24"/>
      <c r="V405" s="24"/>
      <c r="W405" s="24"/>
      <c r="X405" s="22"/>
      <c r="Y405" s="4" t="str">
        <f>IF(Tabela2[[#This Row],[SIGLA]]="","",VLOOKUP(Tabela2[[#This Row],[SIGLA]],Tabela1[[#All],[Sigla Arte]:[Crédito]],2,0))</f>
        <v/>
      </c>
      <c r="Z405" s="23"/>
      <c r="AA405" s="23" t="str">
        <f>Tabela2[[#This Row],[ILUSTRADOR CRIAÇÃO]]</f>
        <v/>
      </c>
      <c r="AB405" s="22"/>
      <c r="AC405" s="20"/>
      <c r="AD405" s="20"/>
      <c r="AE405" s="4" t="str">
        <f t="shared" si="6"/>
        <v>EF1 E002 HGC</v>
      </c>
    </row>
    <row r="406" spans="1:31" s="12" customFormat="1" x14ac:dyDescent="0.25">
      <c r="A406" s="23"/>
      <c r="B406" s="20"/>
      <c r="C406" s="20"/>
      <c r="D406" s="20"/>
      <c r="E406" s="22"/>
      <c r="F406" s="22"/>
      <c r="G406" s="22"/>
      <c r="H406" s="22"/>
      <c r="I406" s="23"/>
      <c r="J406" s="23"/>
      <c r="K406" s="22"/>
      <c r="L406" s="22"/>
      <c r="M406" s="23"/>
      <c r="N406" s="23"/>
      <c r="O406" s="26"/>
      <c r="P406" s="26"/>
      <c r="Q406" s="26"/>
      <c r="R406" s="22"/>
      <c r="S406" s="24"/>
      <c r="T406" s="24"/>
      <c r="U406" s="24"/>
      <c r="V406" s="24"/>
      <c r="W406" s="24"/>
      <c r="X406" s="22"/>
      <c r="Y406" s="4" t="str">
        <f>IF(Tabela2[[#This Row],[SIGLA]]="","",VLOOKUP(Tabela2[[#This Row],[SIGLA]],Tabela1[[#All],[Sigla Arte]:[Crédito]],2,0))</f>
        <v/>
      </c>
      <c r="Z406" s="23"/>
      <c r="AA406" s="23" t="str">
        <f>Tabela2[[#This Row],[ILUSTRADOR CRIAÇÃO]]</f>
        <v/>
      </c>
      <c r="AB406" s="22"/>
      <c r="AC406" s="20"/>
      <c r="AD406" s="20"/>
      <c r="AE406" s="4" t="str">
        <f t="shared" si="6"/>
        <v>EF1 E002 HGC</v>
      </c>
    </row>
    <row r="407" spans="1:31" s="12" customFormat="1" x14ac:dyDescent="0.25">
      <c r="A407" s="23"/>
      <c r="B407" s="20"/>
      <c r="C407" s="20"/>
      <c r="D407" s="20"/>
      <c r="E407" s="22"/>
      <c r="F407" s="22"/>
      <c r="G407" s="22"/>
      <c r="H407" s="22"/>
      <c r="I407" s="23"/>
      <c r="J407" s="23"/>
      <c r="K407" s="22"/>
      <c r="L407" s="22"/>
      <c r="M407" s="23"/>
      <c r="N407" s="23"/>
      <c r="O407" s="26"/>
      <c r="P407" s="26"/>
      <c r="Q407" s="26"/>
      <c r="R407" s="22"/>
      <c r="S407" s="24"/>
      <c r="T407" s="24"/>
      <c r="U407" s="24"/>
      <c r="V407" s="24"/>
      <c r="W407" s="24"/>
      <c r="X407" s="22"/>
      <c r="Y407" s="4" t="str">
        <f>IF(Tabela2[[#This Row],[SIGLA]]="","",VLOOKUP(Tabela2[[#This Row],[SIGLA]],Tabela1[[#All],[Sigla Arte]:[Crédito]],2,0))</f>
        <v/>
      </c>
      <c r="Z407" s="23"/>
      <c r="AA407" s="23" t="str">
        <f>Tabela2[[#This Row],[ILUSTRADOR CRIAÇÃO]]</f>
        <v/>
      </c>
      <c r="AB407" s="22"/>
      <c r="AC407" s="20"/>
      <c r="AD407" s="20"/>
      <c r="AE407" s="4" t="str">
        <f t="shared" si="6"/>
        <v>EF1 E002 HGC</v>
      </c>
    </row>
    <row r="408" spans="1:31" s="12" customFormat="1" x14ac:dyDescent="0.25">
      <c r="A408" s="23"/>
      <c r="B408" s="20"/>
      <c r="C408" s="20"/>
      <c r="D408" s="20"/>
      <c r="E408" s="22"/>
      <c r="F408" s="22"/>
      <c r="G408" s="22"/>
      <c r="H408" s="22"/>
      <c r="I408" s="23"/>
      <c r="J408" s="23"/>
      <c r="K408" s="22"/>
      <c r="L408" s="22"/>
      <c r="M408" s="23"/>
      <c r="N408" s="23"/>
      <c r="O408" s="26"/>
      <c r="P408" s="26"/>
      <c r="Q408" s="26"/>
      <c r="R408" s="22"/>
      <c r="S408" s="24"/>
      <c r="T408" s="24"/>
      <c r="U408" s="24"/>
      <c r="V408" s="24"/>
      <c r="W408" s="24"/>
      <c r="X408" s="22"/>
      <c r="Y408" s="4" t="str">
        <f>IF(Tabela2[[#This Row],[SIGLA]]="","",VLOOKUP(Tabela2[[#This Row],[SIGLA]],Tabela1[[#All],[Sigla Arte]:[Crédito]],2,0))</f>
        <v/>
      </c>
      <c r="Z408" s="23"/>
      <c r="AA408" s="23" t="str">
        <f>Tabela2[[#This Row],[ILUSTRADOR CRIAÇÃO]]</f>
        <v/>
      </c>
      <c r="AB408" s="22"/>
      <c r="AC408" s="20"/>
      <c r="AD408" s="20"/>
      <c r="AE408" s="4" t="str">
        <f t="shared" si="6"/>
        <v>EF1 E002 HGC</v>
      </c>
    </row>
    <row r="409" spans="1:31" s="12" customFormat="1" x14ac:dyDescent="0.25">
      <c r="A409" s="23"/>
      <c r="B409" s="20"/>
      <c r="C409" s="20"/>
      <c r="D409" s="20"/>
      <c r="E409" s="22"/>
      <c r="F409" s="22"/>
      <c r="G409" s="22"/>
      <c r="H409" s="22"/>
      <c r="I409" s="23"/>
      <c r="J409" s="23"/>
      <c r="K409" s="22"/>
      <c r="L409" s="22"/>
      <c r="M409" s="23"/>
      <c r="N409" s="23"/>
      <c r="O409" s="26"/>
      <c r="P409" s="26"/>
      <c r="Q409" s="26"/>
      <c r="R409" s="22"/>
      <c r="S409" s="24"/>
      <c r="T409" s="24"/>
      <c r="U409" s="24"/>
      <c r="V409" s="24"/>
      <c r="W409" s="24"/>
      <c r="X409" s="22"/>
      <c r="Y409" s="4" t="str">
        <f>IF(Tabela2[[#This Row],[SIGLA]]="","",VLOOKUP(Tabela2[[#This Row],[SIGLA]],Tabela1[[#All],[Sigla Arte]:[Crédito]],2,0))</f>
        <v/>
      </c>
      <c r="Z409" s="23"/>
      <c r="AA409" s="23" t="str">
        <f>Tabela2[[#This Row],[ILUSTRADOR CRIAÇÃO]]</f>
        <v/>
      </c>
      <c r="AB409" s="22"/>
      <c r="AC409" s="20"/>
      <c r="AD409" s="20"/>
      <c r="AE409" s="4" t="str">
        <f t="shared" si="6"/>
        <v>EF1 E002 HGC</v>
      </c>
    </row>
    <row r="410" spans="1:31" s="12" customFormat="1" x14ac:dyDescent="0.25">
      <c r="A410" s="23"/>
      <c r="B410" s="20"/>
      <c r="C410" s="20"/>
      <c r="D410" s="20"/>
      <c r="E410" s="22"/>
      <c r="F410" s="22"/>
      <c r="G410" s="22"/>
      <c r="H410" s="22"/>
      <c r="I410" s="23"/>
      <c r="J410" s="23"/>
      <c r="K410" s="22"/>
      <c r="L410" s="22"/>
      <c r="M410" s="23"/>
      <c r="N410" s="23"/>
      <c r="O410" s="26"/>
      <c r="P410" s="26"/>
      <c r="Q410" s="26"/>
      <c r="R410" s="22"/>
      <c r="S410" s="24"/>
      <c r="T410" s="24"/>
      <c r="U410" s="24"/>
      <c r="V410" s="24"/>
      <c r="W410" s="24"/>
      <c r="X410" s="22"/>
      <c r="Y410" s="4" t="str">
        <f>IF(Tabela2[[#This Row],[SIGLA]]="","",VLOOKUP(Tabela2[[#This Row],[SIGLA]],Tabela1[[#All],[Sigla Arte]:[Crédito]],2,0))</f>
        <v/>
      </c>
      <c r="Z410" s="23"/>
      <c r="AA410" s="23" t="str">
        <f>Tabela2[[#This Row],[ILUSTRADOR CRIAÇÃO]]</f>
        <v/>
      </c>
      <c r="AB410" s="22"/>
      <c r="AC410" s="20"/>
      <c r="AD410" s="20"/>
      <c r="AE410" s="4" t="str">
        <f t="shared" si="6"/>
        <v>EF1 E002 HGC</v>
      </c>
    </row>
    <row r="411" spans="1:31" s="12" customFormat="1" x14ac:dyDescent="0.25">
      <c r="A411" s="23"/>
      <c r="B411" s="20"/>
      <c r="C411" s="20"/>
      <c r="D411" s="20"/>
      <c r="E411" s="22"/>
      <c r="F411" s="22"/>
      <c r="G411" s="22"/>
      <c r="H411" s="22"/>
      <c r="I411" s="23"/>
      <c r="J411" s="23"/>
      <c r="K411" s="22"/>
      <c r="L411" s="22"/>
      <c r="M411" s="23"/>
      <c r="N411" s="23"/>
      <c r="O411" s="26"/>
      <c r="P411" s="26"/>
      <c r="Q411" s="26"/>
      <c r="R411" s="22"/>
      <c r="S411" s="24"/>
      <c r="T411" s="24"/>
      <c r="U411" s="24"/>
      <c r="V411" s="24"/>
      <c r="W411" s="24"/>
      <c r="X411" s="22"/>
      <c r="Y411" s="4" t="str">
        <f>IF(Tabela2[[#This Row],[SIGLA]]="","",VLOOKUP(Tabela2[[#This Row],[SIGLA]],Tabela1[[#All],[Sigla Arte]:[Crédito]],2,0))</f>
        <v/>
      </c>
      <c r="Z411" s="23"/>
      <c r="AA411" s="23" t="str">
        <f>Tabela2[[#This Row],[ILUSTRADOR CRIAÇÃO]]</f>
        <v/>
      </c>
      <c r="AB411" s="22"/>
      <c r="AC411" s="20"/>
      <c r="AD411" s="20"/>
      <c r="AE411" s="4" t="str">
        <f t="shared" si="6"/>
        <v>EF1 E002 HGC</v>
      </c>
    </row>
    <row r="412" spans="1:31" s="12" customFormat="1" x14ac:dyDescent="0.25">
      <c r="A412" s="23"/>
      <c r="B412" s="20"/>
      <c r="C412" s="20"/>
      <c r="D412" s="20"/>
      <c r="E412" s="22"/>
      <c r="F412" s="22"/>
      <c r="G412" s="22"/>
      <c r="H412" s="22"/>
      <c r="I412" s="23"/>
      <c r="J412" s="23"/>
      <c r="K412" s="22"/>
      <c r="L412" s="22"/>
      <c r="M412" s="23"/>
      <c r="N412" s="23"/>
      <c r="O412" s="26"/>
      <c r="P412" s="26"/>
      <c r="Q412" s="26"/>
      <c r="R412" s="22"/>
      <c r="S412" s="24"/>
      <c r="T412" s="24"/>
      <c r="U412" s="24"/>
      <c r="V412" s="24"/>
      <c r="W412" s="24"/>
      <c r="X412" s="22"/>
      <c r="Y412" s="4" t="str">
        <f>IF(Tabela2[[#This Row],[SIGLA]]="","",VLOOKUP(Tabela2[[#This Row],[SIGLA]],Tabela1[[#All],[Sigla Arte]:[Crédito]],2,0))</f>
        <v/>
      </c>
      <c r="Z412" s="23"/>
      <c r="AA412" s="23" t="str">
        <f>Tabela2[[#This Row],[ILUSTRADOR CRIAÇÃO]]</f>
        <v/>
      </c>
      <c r="AB412" s="22"/>
      <c r="AC412" s="20"/>
      <c r="AD412" s="20"/>
      <c r="AE412" s="4" t="str">
        <f t="shared" si="6"/>
        <v>EF1 E002 HGC</v>
      </c>
    </row>
    <row r="413" spans="1:31" s="12" customFormat="1" x14ac:dyDescent="0.25">
      <c r="A413" s="23"/>
      <c r="B413" s="20"/>
      <c r="C413" s="20"/>
      <c r="D413" s="20"/>
      <c r="E413" s="22"/>
      <c r="F413" s="22"/>
      <c r="G413" s="22"/>
      <c r="H413" s="22"/>
      <c r="I413" s="23"/>
      <c r="J413" s="23"/>
      <c r="K413" s="22"/>
      <c r="L413" s="22"/>
      <c r="M413" s="23"/>
      <c r="N413" s="23"/>
      <c r="O413" s="26"/>
      <c r="P413" s="26"/>
      <c r="Q413" s="26"/>
      <c r="R413" s="22"/>
      <c r="S413" s="24"/>
      <c r="T413" s="24"/>
      <c r="U413" s="24"/>
      <c r="V413" s="24"/>
      <c r="W413" s="24"/>
      <c r="X413" s="22"/>
      <c r="Y413" s="4" t="str">
        <f>IF(Tabela2[[#This Row],[SIGLA]]="","",VLOOKUP(Tabela2[[#This Row],[SIGLA]],Tabela1[[#All],[Sigla Arte]:[Crédito]],2,0))</f>
        <v/>
      </c>
      <c r="Z413" s="23"/>
      <c r="AA413" s="23" t="str">
        <f>Tabela2[[#This Row],[ILUSTRADOR CRIAÇÃO]]</f>
        <v/>
      </c>
      <c r="AB413" s="22"/>
      <c r="AC413" s="20"/>
      <c r="AD413" s="20"/>
      <c r="AE413" s="4" t="str">
        <f t="shared" si="6"/>
        <v>EF1 E002 HGC</v>
      </c>
    </row>
    <row r="414" spans="1:31" s="12" customFormat="1" x14ac:dyDescent="0.25">
      <c r="A414" s="23"/>
      <c r="B414" s="20"/>
      <c r="C414" s="20"/>
      <c r="D414" s="20"/>
      <c r="E414" s="22"/>
      <c r="F414" s="22"/>
      <c r="G414" s="22"/>
      <c r="H414" s="22"/>
      <c r="I414" s="23"/>
      <c r="J414" s="23"/>
      <c r="K414" s="22"/>
      <c r="L414" s="22"/>
      <c r="M414" s="23"/>
      <c r="N414" s="23"/>
      <c r="O414" s="26"/>
      <c r="P414" s="26"/>
      <c r="Q414" s="26"/>
      <c r="R414" s="22"/>
      <c r="S414" s="24"/>
      <c r="T414" s="24"/>
      <c r="U414" s="24"/>
      <c r="V414" s="24"/>
      <c r="W414" s="24"/>
      <c r="X414" s="22"/>
      <c r="Y414" s="4" t="str">
        <f>IF(Tabela2[[#This Row],[SIGLA]]="","",VLOOKUP(Tabela2[[#This Row],[SIGLA]],Tabela1[[#All],[Sigla Arte]:[Crédito]],2,0))</f>
        <v/>
      </c>
      <c r="Z414" s="23"/>
      <c r="AA414" s="23" t="str">
        <f>Tabela2[[#This Row],[ILUSTRADOR CRIAÇÃO]]</f>
        <v/>
      </c>
      <c r="AB414" s="22"/>
      <c r="AC414" s="20"/>
      <c r="AD414" s="20"/>
      <c r="AE414" s="4" t="str">
        <f t="shared" si="6"/>
        <v>EF1 E002 HGC</v>
      </c>
    </row>
    <row r="415" spans="1:31" s="12" customFormat="1" x14ac:dyDescent="0.25">
      <c r="A415" s="23"/>
      <c r="B415" s="20"/>
      <c r="C415" s="20"/>
      <c r="D415" s="20"/>
      <c r="E415" s="22"/>
      <c r="F415" s="22"/>
      <c r="G415" s="22"/>
      <c r="H415" s="22"/>
      <c r="I415" s="23"/>
      <c r="J415" s="23"/>
      <c r="K415" s="22"/>
      <c r="L415" s="22"/>
      <c r="M415" s="23"/>
      <c r="N415" s="23"/>
      <c r="O415" s="26"/>
      <c r="P415" s="26"/>
      <c r="Q415" s="26"/>
      <c r="R415" s="22"/>
      <c r="S415" s="24"/>
      <c r="T415" s="24"/>
      <c r="U415" s="24"/>
      <c r="V415" s="24"/>
      <c r="W415" s="24"/>
      <c r="X415" s="22"/>
      <c r="Y415" s="4" t="str">
        <f>IF(Tabela2[[#This Row],[SIGLA]]="","",VLOOKUP(Tabela2[[#This Row],[SIGLA]],Tabela1[[#All],[Sigla Arte]:[Crédito]],2,0))</f>
        <v/>
      </c>
      <c r="Z415" s="23"/>
      <c r="AA415" s="23" t="str">
        <f>Tabela2[[#This Row],[ILUSTRADOR CRIAÇÃO]]</f>
        <v/>
      </c>
      <c r="AB415" s="22"/>
      <c r="AC415" s="20"/>
      <c r="AD415" s="20"/>
      <c r="AE415" s="4" t="str">
        <f t="shared" si="6"/>
        <v>EF1 E002 HGC</v>
      </c>
    </row>
    <row r="416" spans="1:31" s="12" customFormat="1" x14ac:dyDescent="0.25">
      <c r="A416" s="23"/>
      <c r="B416" s="20"/>
      <c r="C416" s="20"/>
      <c r="D416" s="20"/>
      <c r="E416" s="22"/>
      <c r="F416" s="22"/>
      <c r="G416" s="22"/>
      <c r="H416" s="22"/>
      <c r="I416" s="23"/>
      <c r="J416" s="23"/>
      <c r="K416" s="22"/>
      <c r="L416" s="22"/>
      <c r="M416" s="23"/>
      <c r="N416" s="23"/>
      <c r="O416" s="26"/>
      <c r="P416" s="26"/>
      <c r="Q416" s="26"/>
      <c r="R416" s="22"/>
      <c r="S416" s="24"/>
      <c r="T416" s="24"/>
      <c r="U416" s="24"/>
      <c r="V416" s="24"/>
      <c r="W416" s="24"/>
      <c r="X416" s="22"/>
      <c r="Y416" s="4" t="str">
        <f>IF(Tabela2[[#This Row],[SIGLA]]="","",VLOOKUP(Tabela2[[#This Row],[SIGLA]],Tabela1[[#All],[Sigla Arte]:[Crédito]],2,0))</f>
        <v/>
      </c>
      <c r="Z416" s="23"/>
      <c r="AA416" s="23" t="str">
        <f>Tabela2[[#This Row],[ILUSTRADOR CRIAÇÃO]]</f>
        <v/>
      </c>
      <c r="AB416" s="22"/>
      <c r="AC416" s="20"/>
      <c r="AD416" s="20"/>
      <c r="AE416" s="4" t="str">
        <f t="shared" si="6"/>
        <v>EF1 E002 HGC</v>
      </c>
    </row>
    <row r="417" spans="1:31" s="12" customFormat="1" x14ac:dyDescent="0.25">
      <c r="A417" s="23"/>
      <c r="B417" s="20"/>
      <c r="C417" s="20"/>
      <c r="D417" s="20"/>
      <c r="E417" s="22"/>
      <c r="F417" s="22"/>
      <c r="G417" s="22"/>
      <c r="H417" s="22"/>
      <c r="I417" s="23"/>
      <c r="J417" s="23"/>
      <c r="K417" s="22"/>
      <c r="L417" s="22"/>
      <c r="M417" s="23"/>
      <c r="N417" s="23"/>
      <c r="O417" s="26"/>
      <c r="P417" s="26"/>
      <c r="Q417" s="26"/>
      <c r="R417" s="22"/>
      <c r="S417" s="24"/>
      <c r="T417" s="24"/>
      <c r="U417" s="24"/>
      <c r="V417" s="24"/>
      <c r="W417" s="24"/>
      <c r="X417" s="22"/>
      <c r="Y417" s="4" t="str">
        <f>IF(Tabela2[[#This Row],[SIGLA]]="","",VLOOKUP(Tabela2[[#This Row],[SIGLA]],Tabela1[[#All],[Sigla Arte]:[Crédito]],2,0))</f>
        <v/>
      </c>
      <c r="Z417" s="23"/>
      <c r="AA417" s="23" t="str">
        <f>Tabela2[[#This Row],[ILUSTRADOR CRIAÇÃO]]</f>
        <v/>
      </c>
      <c r="AB417" s="22"/>
      <c r="AC417" s="20"/>
      <c r="AD417" s="20"/>
      <c r="AE417" s="4" t="str">
        <f t="shared" si="6"/>
        <v>EF1 E002 HGC</v>
      </c>
    </row>
    <row r="418" spans="1:31" s="12" customFormat="1" x14ac:dyDescent="0.25">
      <c r="A418" s="23"/>
      <c r="B418" s="20"/>
      <c r="C418" s="20"/>
      <c r="D418" s="20"/>
      <c r="E418" s="22"/>
      <c r="F418" s="22"/>
      <c r="G418" s="22"/>
      <c r="H418" s="22"/>
      <c r="I418" s="23"/>
      <c r="J418" s="23"/>
      <c r="K418" s="22"/>
      <c r="L418" s="22"/>
      <c r="M418" s="23"/>
      <c r="N418" s="23"/>
      <c r="O418" s="26"/>
      <c r="P418" s="26"/>
      <c r="Q418" s="26"/>
      <c r="R418" s="22"/>
      <c r="S418" s="24"/>
      <c r="T418" s="24"/>
      <c r="U418" s="24"/>
      <c r="V418" s="24"/>
      <c r="W418" s="24"/>
      <c r="X418" s="22"/>
      <c r="Y418" s="4" t="str">
        <f>IF(Tabela2[[#This Row],[SIGLA]]="","",VLOOKUP(Tabela2[[#This Row],[SIGLA]],Tabela1[[#All],[Sigla Arte]:[Crédito]],2,0))</f>
        <v/>
      </c>
      <c r="Z418" s="23"/>
      <c r="AA418" s="23" t="str">
        <f>Tabela2[[#This Row],[ILUSTRADOR CRIAÇÃO]]</f>
        <v/>
      </c>
      <c r="AB418" s="22"/>
      <c r="AC418" s="20"/>
      <c r="AD418" s="20"/>
      <c r="AE418" s="4" t="str">
        <f t="shared" si="6"/>
        <v>EF1 E002 HGC</v>
      </c>
    </row>
    <row r="419" spans="1:31" s="12" customFormat="1" x14ac:dyDescent="0.25">
      <c r="A419" s="23"/>
      <c r="B419" s="20"/>
      <c r="C419" s="20"/>
      <c r="D419" s="20"/>
      <c r="E419" s="22"/>
      <c r="F419" s="22"/>
      <c r="G419" s="22"/>
      <c r="H419" s="22"/>
      <c r="I419" s="23"/>
      <c r="J419" s="23"/>
      <c r="K419" s="22"/>
      <c r="L419" s="22"/>
      <c r="M419" s="23"/>
      <c r="N419" s="23"/>
      <c r="O419" s="26"/>
      <c r="P419" s="26"/>
      <c r="Q419" s="26"/>
      <c r="R419" s="22"/>
      <c r="S419" s="24"/>
      <c r="T419" s="24"/>
      <c r="U419" s="24"/>
      <c r="V419" s="24"/>
      <c r="W419" s="24"/>
      <c r="X419" s="22"/>
      <c r="Y419" s="4" t="str">
        <f>IF(Tabela2[[#This Row],[SIGLA]]="","",VLOOKUP(Tabela2[[#This Row],[SIGLA]],Tabela1[[#All],[Sigla Arte]:[Crédito]],2,0))</f>
        <v/>
      </c>
      <c r="Z419" s="23"/>
      <c r="AA419" s="23" t="str">
        <f>Tabela2[[#This Row],[ILUSTRADOR CRIAÇÃO]]</f>
        <v/>
      </c>
      <c r="AB419" s="22"/>
      <c r="AC419" s="20"/>
      <c r="AD419" s="20"/>
      <c r="AE419" s="4" t="str">
        <f t="shared" si="6"/>
        <v>EF1 E002 HGC</v>
      </c>
    </row>
    <row r="420" spans="1:31" s="12" customFormat="1" x14ac:dyDescent="0.25">
      <c r="A420" s="23"/>
      <c r="B420" s="20"/>
      <c r="C420" s="20"/>
      <c r="D420" s="20"/>
      <c r="E420" s="22"/>
      <c r="F420" s="22"/>
      <c r="G420" s="22"/>
      <c r="H420" s="22"/>
      <c r="I420" s="23"/>
      <c r="J420" s="23"/>
      <c r="K420" s="22"/>
      <c r="L420" s="22"/>
      <c r="M420" s="23"/>
      <c r="N420" s="23"/>
      <c r="O420" s="26"/>
      <c r="P420" s="26"/>
      <c r="Q420" s="26"/>
      <c r="R420" s="22"/>
      <c r="S420" s="24"/>
      <c r="T420" s="24"/>
      <c r="U420" s="24"/>
      <c r="V420" s="24"/>
      <c r="W420" s="24"/>
      <c r="X420" s="22"/>
      <c r="Y420" s="4" t="str">
        <f>IF(Tabela2[[#This Row],[SIGLA]]="","",VLOOKUP(Tabela2[[#This Row],[SIGLA]],Tabela1[[#All],[Sigla Arte]:[Crédito]],2,0))</f>
        <v/>
      </c>
      <c r="Z420" s="23"/>
      <c r="AA420" s="23" t="str">
        <f>Tabela2[[#This Row],[ILUSTRADOR CRIAÇÃO]]</f>
        <v/>
      </c>
      <c r="AB420" s="22"/>
      <c r="AC420" s="20"/>
      <c r="AD420" s="20"/>
      <c r="AE420" s="4" t="str">
        <f t="shared" si="6"/>
        <v>EF1 E002 HGC</v>
      </c>
    </row>
    <row r="421" spans="1:31" s="12" customFormat="1" x14ac:dyDescent="0.25">
      <c r="A421" s="23"/>
      <c r="B421" s="20"/>
      <c r="C421" s="20"/>
      <c r="D421" s="20"/>
      <c r="E421" s="22"/>
      <c r="F421" s="22"/>
      <c r="G421" s="22"/>
      <c r="H421" s="22"/>
      <c r="I421" s="23"/>
      <c r="J421" s="23"/>
      <c r="K421" s="22"/>
      <c r="L421" s="22"/>
      <c r="M421" s="23"/>
      <c r="N421" s="23"/>
      <c r="O421" s="26"/>
      <c r="P421" s="26"/>
      <c r="Q421" s="26"/>
      <c r="R421" s="22"/>
      <c r="S421" s="24"/>
      <c r="T421" s="24"/>
      <c r="U421" s="24"/>
      <c r="V421" s="24"/>
      <c r="W421" s="24"/>
      <c r="X421" s="22"/>
      <c r="Y421" s="4" t="str">
        <f>IF(Tabela2[[#This Row],[SIGLA]]="","",VLOOKUP(Tabela2[[#This Row],[SIGLA]],Tabela1[[#All],[Sigla Arte]:[Crédito]],2,0))</f>
        <v/>
      </c>
      <c r="Z421" s="23"/>
      <c r="AA421" s="23" t="str">
        <f>Tabela2[[#This Row],[ILUSTRADOR CRIAÇÃO]]</f>
        <v/>
      </c>
      <c r="AB421" s="22"/>
      <c r="AC421" s="20"/>
      <c r="AD421" s="20"/>
      <c r="AE421" s="4" t="str">
        <f t="shared" si="6"/>
        <v>EF1 E002 HGC</v>
      </c>
    </row>
    <row r="422" spans="1:31" s="12" customFormat="1" x14ac:dyDescent="0.25">
      <c r="A422" s="23"/>
      <c r="B422" s="20"/>
      <c r="C422" s="20"/>
      <c r="D422" s="20"/>
      <c r="E422" s="22"/>
      <c r="F422" s="22"/>
      <c r="G422" s="22"/>
      <c r="H422" s="22"/>
      <c r="I422" s="23"/>
      <c r="J422" s="23"/>
      <c r="K422" s="22"/>
      <c r="L422" s="22"/>
      <c r="M422" s="23"/>
      <c r="N422" s="23"/>
      <c r="O422" s="26"/>
      <c r="P422" s="26"/>
      <c r="Q422" s="26"/>
      <c r="R422" s="22"/>
      <c r="S422" s="24"/>
      <c r="T422" s="24"/>
      <c r="U422" s="24"/>
      <c r="V422" s="24"/>
      <c r="W422" s="24"/>
      <c r="X422" s="22"/>
      <c r="Y422" s="4" t="str">
        <f>IF(Tabela2[[#This Row],[SIGLA]]="","",VLOOKUP(Tabela2[[#This Row],[SIGLA]],Tabela1[[#All],[Sigla Arte]:[Crédito]],2,0))</f>
        <v/>
      </c>
      <c r="Z422" s="23"/>
      <c r="AA422" s="23" t="str">
        <f>Tabela2[[#This Row],[ILUSTRADOR CRIAÇÃO]]</f>
        <v/>
      </c>
      <c r="AB422" s="22"/>
      <c r="AC422" s="20"/>
      <c r="AD422" s="20"/>
      <c r="AE422" s="4" t="str">
        <f t="shared" si="6"/>
        <v>EF1 E002 HGC</v>
      </c>
    </row>
    <row r="423" spans="1:31" s="12" customFormat="1" x14ac:dyDescent="0.25">
      <c r="A423" s="23"/>
      <c r="B423" s="20"/>
      <c r="C423" s="20"/>
      <c r="D423" s="20"/>
      <c r="E423" s="22"/>
      <c r="F423" s="22"/>
      <c r="G423" s="22"/>
      <c r="H423" s="22"/>
      <c r="I423" s="23"/>
      <c r="J423" s="23"/>
      <c r="K423" s="22"/>
      <c r="L423" s="22"/>
      <c r="M423" s="23"/>
      <c r="N423" s="23"/>
      <c r="O423" s="26"/>
      <c r="P423" s="26"/>
      <c r="Q423" s="26"/>
      <c r="R423" s="22"/>
      <c r="S423" s="24"/>
      <c r="T423" s="24"/>
      <c r="U423" s="24"/>
      <c r="V423" s="24"/>
      <c r="W423" s="24"/>
      <c r="X423" s="22"/>
      <c r="Y423" s="4" t="str">
        <f>IF(Tabela2[[#This Row],[SIGLA]]="","",VLOOKUP(Tabela2[[#This Row],[SIGLA]],Tabela1[[#All],[Sigla Arte]:[Crédito]],2,0))</f>
        <v/>
      </c>
      <c r="Z423" s="23"/>
      <c r="AA423" s="23" t="str">
        <f>Tabela2[[#This Row],[ILUSTRADOR CRIAÇÃO]]</f>
        <v/>
      </c>
      <c r="AB423" s="22"/>
      <c r="AC423" s="20"/>
      <c r="AD423" s="20"/>
      <c r="AE423" s="4" t="str">
        <f t="shared" si="6"/>
        <v>EF1 E002 HGC</v>
      </c>
    </row>
    <row r="424" spans="1:31" s="12" customFormat="1" x14ac:dyDescent="0.25">
      <c r="A424" s="23"/>
      <c r="B424" s="20"/>
      <c r="C424" s="20"/>
      <c r="D424" s="20"/>
      <c r="E424" s="22"/>
      <c r="F424" s="22"/>
      <c r="G424" s="22"/>
      <c r="H424" s="22"/>
      <c r="I424" s="23"/>
      <c r="J424" s="23"/>
      <c r="K424" s="22"/>
      <c r="L424" s="22"/>
      <c r="M424" s="23"/>
      <c r="N424" s="23"/>
      <c r="O424" s="26"/>
      <c r="P424" s="26"/>
      <c r="Q424" s="26"/>
      <c r="R424" s="22"/>
      <c r="S424" s="24"/>
      <c r="T424" s="24"/>
      <c r="U424" s="24"/>
      <c r="V424" s="24"/>
      <c r="W424" s="24"/>
      <c r="X424" s="22"/>
      <c r="Y424" s="4" t="str">
        <f>IF(Tabela2[[#This Row],[SIGLA]]="","",VLOOKUP(Tabela2[[#This Row],[SIGLA]],Tabela1[[#All],[Sigla Arte]:[Crédito]],2,0))</f>
        <v/>
      </c>
      <c r="Z424" s="23"/>
      <c r="AA424" s="23" t="str">
        <f>Tabela2[[#This Row],[ILUSTRADOR CRIAÇÃO]]</f>
        <v/>
      </c>
      <c r="AB424" s="22"/>
      <c r="AC424" s="20"/>
      <c r="AD424" s="20"/>
      <c r="AE424" s="4" t="str">
        <f t="shared" si="6"/>
        <v>EF1 E002 HGC</v>
      </c>
    </row>
    <row r="425" spans="1:31" s="12" customFormat="1" x14ac:dyDescent="0.25">
      <c r="A425" s="23"/>
      <c r="B425" s="20"/>
      <c r="C425" s="20"/>
      <c r="D425" s="20"/>
      <c r="E425" s="22"/>
      <c r="F425" s="22"/>
      <c r="G425" s="22"/>
      <c r="H425" s="22"/>
      <c r="I425" s="23"/>
      <c r="J425" s="23"/>
      <c r="K425" s="22"/>
      <c r="L425" s="22"/>
      <c r="M425" s="23"/>
      <c r="N425" s="23"/>
      <c r="O425" s="26"/>
      <c r="P425" s="26"/>
      <c r="Q425" s="26"/>
      <c r="R425" s="22"/>
      <c r="S425" s="24"/>
      <c r="T425" s="24"/>
      <c r="U425" s="24"/>
      <c r="V425" s="24"/>
      <c r="W425" s="24"/>
      <c r="X425" s="22"/>
      <c r="Y425" s="4" t="str">
        <f>IF(Tabela2[[#This Row],[SIGLA]]="","",VLOOKUP(Tabela2[[#This Row],[SIGLA]],Tabela1[[#All],[Sigla Arte]:[Crédito]],2,0))</f>
        <v/>
      </c>
      <c r="Z425" s="23"/>
      <c r="AA425" s="23" t="str">
        <f>Tabela2[[#This Row],[ILUSTRADOR CRIAÇÃO]]</f>
        <v/>
      </c>
      <c r="AB425" s="22"/>
      <c r="AC425" s="20"/>
      <c r="AD425" s="20"/>
      <c r="AE425" s="4" t="str">
        <f t="shared" si="6"/>
        <v>EF1 E002 HGC</v>
      </c>
    </row>
    <row r="426" spans="1:31" s="12" customFormat="1" x14ac:dyDescent="0.25">
      <c r="A426" s="23"/>
      <c r="B426" s="20"/>
      <c r="C426" s="20"/>
      <c r="D426" s="20"/>
      <c r="E426" s="22"/>
      <c r="F426" s="22"/>
      <c r="G426" s="22"/>
      <c r="H426" s="22"/>
      <c r="I426" s="23"/>
      <c r="J426" s="23"/>
      <c r="K426" s="22"/>
      <c r="L426" s="22"/>
      <c r="M426" s="23"/>
      <c r="N426" s="23"/>
      <c r="O426" s="26"/>
      <c r="P426" s="26"/>
      <c r="Q426" s="26"/>
      <c r="R426" s="22"/>
      <c r="S426" s="24"/>
      <c r="T426" s="24"/>
      <c r="U426" s="24"/>
      <c r="V426" s="24"/>
      <c r="W426" s="24"/>
      <c r="X426" s="22"/>
      <c r="Y426" s="4" t="str">
        <f>IF(Tabela2[[#This Row],[SIGLA]]="","",VLOOKUP(Tabela2[[#This Row],[SIGLA]],Tabela1[[#All],[Sigla Arte]:[Crédito]],2,0))</f>
        <v/>
      </c>
      <c r="Z426" s="23"/>
      <c r="AA426" s="23" t="str">
        <f>Tabela2[[#This Row],[ILUSTRADOR CRIAÇÃO]]</f>
        <v/>
      </c>
      <c r="AB426" s="22"/>
      <c r="AC426" s="20"/>
      <c r="AD426" s="20"/>
      <c r="AE426" s="4" t="str">
        <f t="shared" si="6"/>
        <v>EF1 E002 HGC</v>
      </c>
    </row>
    <row r="427" spans="1:31" s="12" customFormat="1" x14ac:dyDescent="0.25">
      <c r="A427" s="23"/>
      <c r="B427" s="20"/>
      <c r="C427" s="20"/>
      <c r="D427" s="20"/>
      <c r="E427" s="22"/>
      <c r="F427" s="22"/>
      <c r="G427" s="22"/>
      <c r="H427" s="22"/>
      <c r="I427" s="23"/>
      <c r="J427" s="23"/>
      <c r="K427" s="22"/>
      <c r="L427" s="22"/>
      <c r="M427" s="23"/>
      <c r="N427" s="23"/>
      <c r="O427" s="26"/>
      <c r="P427" s="26"/>
      <c r="Q427" s="26"/>
      <c r="R427" s="22"/>
      <c r="S427" s="24"/>
      <c r="T427" s="24"/>
      <c r="U427" s="24"/>
      <c r="V427" s="24"/>
      <c r="W427" s="24"/>
      <c r="X427" s="22"/>
      <c r="Y427" s="4" t="str">
        <f>IF(Tabela2[[#This Row],[SIGLA]]="","",VLOOKUP(Tabela2[[#This Row],[SIGLA]],Tabela1[[#All],[Sigla Arte]:[Crédito]],2,0))</f>
        <v/>
      </c>
      <c r="Z427" s="23"/>
      <c r="AA427" s="23" t="str">
        <f>Tabela2[[#This Row],[ILUSTRADOR CRIAÇÃO]]</f>
        <v/>
      </c>
      <c r="AB427" s="22"/>
      <c r="AC427" s="20"/>
      <c r="AD427" s="20"/>
      <c r="AE427" s="4" t="str">
        <f t="shared" si="6"/>
        <v>EF1 E002 HGC</v>
      </c>
    </row>
    <row r="428" spans="1:31" s="12" customFormat="1" x14ac:dyDescent="0.25">
      <c r="A428" s="23"/>
      <c r="B428" s="20"/>
      <c r="C428" s="20"/>
      <c r="D428" s="20"/>
      <c r="E428" s="22"/>
      <c r="F428" s="22"/>
      <c r="G428" s="22"/>
      <c r="H428" s="22"/>
      <c r="I428" s="23"/>
      <c r="J428" s="23"/>
      <c r="K428" s="22"/>
      <c r="L428" s="22"/>
      <c r="M428" s="23"/>
      <c r="N428" s="23"/>
      <c r="O428" s="26"/>
      <c r="P428" s="26"/>
      <c r="Q428" s="26"/>
      <c r="R428" s="22"/>
      <c r="S428" s="24"/>
      <c r="T428" s="24"/>
      <c r="U428" s="24"/>
      <c r="V428" s="24"/>
      <c r="W428" s="24"/>
      <c r="X428" s="22"/>
      <c r="Y428" s="4" t="str">
        <f>IF(Tabela2[[#This Row],[SIGLA]]="","",VLOOKUP(Tabela2[[#This Row],[SIGLA]],Tabela1[[#All],[Sigla Arte]:[Crédito]],2,0))</f>
        <v/>
      </c>
      <c r="Z428" s="23"/>
      <c r="AA428" s="23" t="str">
        <f>Tabela2[[#This Row],[ILUSTRADOR CRIAÇÃO]]</f>
        <v/>
      </c>
      <c r="AB428" s="22"/>
      <c r="AC428" s="20"/>
      <c r="AD428" s="20"/>
      <c r="AE428" s="4" t="str">
        <f t="shared" si="6"/>
        <v>EF1 E002 HGC</v>
      </c>
    </row>
    <row r="429" spans="1:31" s="12" customFormat="1" x14ac:dyDescent="0.25">
      <c r="A429" s="23"/>
      <c r="B429" s="20"/>
      <c r="C429" s="20"/>
      <c r="D429" s="20"/>
      <c r="E429" s="22"/>
      <c r="F429" s="22"/>
      <c r="G429" s="22"/>
      <c r="H429" s="22"/>
      <c r="I429" s="23"/>
      <c r="J429" s="23"/>
      <c r="K429" s="22"/>
      <c r="L429" s="22"/>
      <c r="M429" s="23"/>
      <c r="N429" s="23"/>
      <c r="O429" s="26"/>
      <c r="P429" s="26"/>
      <c r="Q429" s="26"/>
      <c r="R429" s="22"/>
      <c r="S429" s="24"/>
      <c r="T429" s="24"/>
      <c r="U429" s="24"/>
      <c r="V429" s="24"/>
      <c r="W429" s="24"/>
      <c r="X429" s="22"/>
      <c r="Y429" s="4" t="str">
        <f>IF(Tabela2[[#This Row],[SIGLA]]="","",VLOOKUP(Tabela2[[#This Row],[SIGLA]],Tabela1[[#All],[Sigla Arte]:[Crédito]],2,0))</f>
        <v/>
      </c>
      <c r="Z429" s="23"/>
      <c r="AA429" s="23" t="str">
        <f>Tabela2[[#This Row],[ILUSTRADOR CRIAÇÃO]]</f>
        <v/>
      </c>
      <c r="AB429" s="22"/>
      <c r="AC429" s="20"/>
      <c r="AD429" s="20"/>
      <c r="AE429" s="4" t="str">
        <f t="shared" si="6"/>
        <v>EF1 E002 HGC</v>
      </c>
    </row>
    <row r="430" spans="1:31" s="12" customFormat="1" x14ac:dyDescent="0.25">
      <c r="A430" s="23"/>
      <c r="B430" s="20"/>
      <c r="C430" s="20"/>
      <c r="D430" s="20"/>
      <c r="E430" s="22"/>
      <c r="F430" s="22"/>
      <c r="G430" s="22"/>
      <c r="H430" s="22"/>
      <c r="I430" s="23"/>
      <c r="J430" s="23"/>
      <c r="K430" s="22"/>
      <c r="L430" s="22"/>
      <c r="M430" s="23"/>
      <c r="N430" s="23"/>
      <c r="O430" s="26"/>
      <c r="P430" s="26"/>
      <c r="Q430" s="26"/>
      <c r="R430" s="22"/>
      <c r="S430" s="24"/>
      <c r="T430" s="24"/>
      <c r="U430" s="24"/>
      <c r="V430" s="24"/>
      <c r="W430" s="24"/>
      <c r="X430" s="22"/>
      <c r="Y430" s="4" t="str">
        <f>IF(Tabela2[[#This Row],[SIGLA]]="","",VLOOKUP(Tabela2[[#This Row],[SIGLA]],Tabela1[[#All],[Sigla Arte]:[Crédito]],2,0))</f>
        <v/>
      </c>
      <c r="Z430" s="23"/>
      <c r="AA430" s="23" t="str">
        <f>Tabela2[[#This Row],[ILUSTRADOR CRIAÇÃO]]</f>
        <v/>
      </c>
      <c r="AB430" s="22"/>
      <c r="AC430" s="20"/>
      <c r="AD430" s="20"/>
      <c r="AE430" s="4" t="str">
        <f t="shared" si="6"/>
        <v>EF1 E002 HGC</v>
      </c>
    </row>
    <row r="431" spans="1:31" s="12" customFormat="1" x14ac:dyDescent="0.25">
      <c r="A431" s="23"/>
      <c r="B431" s="20"/>
      <c r="C431" s="20"/>
      <c r="D431" s="20"/>
      <c r="E431" s="22"/>
      <c r="F431" s="22"/>
      <c r="G431" s="22"/>
      <c r="H431" s="22"/>
      <c r="I431" s="23"/>
      <c r="J431" s="23"/>
      <c r="K431" s="22"/>
      <c r="L431" s="22"/>
      <c r="M431" s="23"/>
      <c r="N431" s="23"/>
      <c r="O431" s="26"/>
      <c r="P431" s="26"/>
      <c r="Q431" s="26"/>
      <c r="R431" s="22"/>
      <c r="S431" s="24"/>
      <c r="T431" s="24"/>
      <c r="U431" s="24"/>
      <c r="V431" s="24"/>
      <c r="W431" s="24"/>
      <c r="X431" s="22"/>
      <c r="Y431" s="4" t="str">
        <f>IF(Tabela2[[#This Row],[SIGLA]]="","",VLOOKUP(Tabela2[[#This Row],[SIGLA]],Tabela1[[#All],[Sigla Arte]:[Crédito]],2,0))</f>
        <v/>
      </c>
      <c r="Z431" s="23"/>
      <c r="AA431" s="23" t="str">
        <f>Tabela2[[#This Row],[ILUSTRADOR CRIAÇÃO]]</f>
        <v/>
      </c>
      <c r="AB431" s="22"/>
      <c r="AC431" s="20"/>
      <c r="AD431" s="20"/>
      <c r="AE431" s="4" t="str">
        <f t="shared" si="6"/>
        <v>EF1 E002 HGC</v>
      </c>
    </row>
    <row r="432" spans="1:31" s="12" customFormat="1" x14ac:dyDescent="0.25">
      <c r="A432" s="23"/>
      <c r="B432" s="20"/>
      <c r="C432" s="20"/>
      <c r="D432" s="20"/>
      <c r="E432" s="22"/>
      <c r="F432" s="22"/>
      <c r="G432" s="22"/>
      <c r="H432" s="22"/>
      <c r="I432" s="23"/>
      <c r="J432" s="23"/>
      <c r="K432" s="22"/>
      <c r="L432" s="22"/>
      <c r="M432" s="23"/>
      <c r="N432" s="23"/>
      <c r="O432" s="26"/>
      <c r="P432" s="26"/>
      <c r="Q432" s="26"/>
      <c r="R432" s="22"/>
      <c r="S432" s="24"/>
      <c r="T432" s="24"/>
      <c r="U432" s="24"/>
      <c r="V432" s="24"/>
      <c r="W432" s="24"/>
      <c r="X432" s="22"/>
      <c r="Y432" s="4" t="str">
        <f>IF(Tabela2[[#This Row],[SIGLA]]="","",VLOOKUP(Tabela2[[#This Row],[SIGLA]],Tabela1[[#All],[Sigla Arte]:[Crédito]],2,0))</f>
        <v/>
      </c>
      <c r="Z432" s="23"/>
      <c r="AA432" s="23" t="str">
        <f>Tabela2[[#This Row],[ILUSTRADOR CRIAÇÃO]]</f>
        <v/>
      </c>
      <c r="AB432" s="22"/>
      <c r="AC432" s="20"/>
      <c r="AD432" s="20"/>
      <c r="AE432" s="4" t="str">
        <f t="shared" si="6"/>
        <v>EF1 E002 HGC</v>
      </c>
    </row>
    <row r="433" spans="1:31" s="12" customFormat="1" x14ac:dyDescent="0.25">
      <c r="A433" s="23"/>
      <c r="B433" s="20"/>
      <c r="C433" s="20"/>
      <c r="D433" s="20"/>
      <c r="E433" s="22"/>
      <c r="F433" s="22"/>
      <c r="G433" s="22"/>
      <c r="H433" s="22"/>
      <c r="I433" s="23"/>
      <c r="J433" s="23"/>
      <c r="K433" s="22"/>
      <c r="L433" s="22"/>
      <c r="M433" s="23"/>
      <c r="N433" s="23"/>
      <c r="O433" s="26"/>
      <c r="P433" s="26"/>
      <c r="Q433" s="26"/>
      <c r="R433" s="22"/>
      <c r="S433" s="24"/>
      <c r="T433" s="24"/>
      <c r="U433" s="24"/>
      <c r="V433" s="24"/>
      <c r="W433" s="24"/>
      <c r="X433" s="22"/>
      <c r="Y433" s="4" t="str">
        <f>IF(Tabela2[[#This Row],[SIGLA]]="","",VLOOKUP(Tabela2[[#This Row],[SIGLA]],Tabela1[[#All],[Sigla Arte]:[Crédito]],2,0))</f>
        <v/>
      </c>
      <c r="Z433" s="23"/>
      <c r="AA433" s="23" t="str">
        <f>Tabela2[[#This Row],[ILUSTRADOR CRIAÇÃO]]</f>
        <v/>
      </c>
      <c r="AB433" s="22"/>
      <c r="AC433" s="20"/>
      <c r="AD433" s="20"/>
      <c r="AE433" s="4" t="str">
        <f t="shared" si="6"/>
        <v>EF1 E002 HGC</v>
      </c>
    </row>
    <row r="434" spans="1:31" s="12" customFormat="1" x14ac:dyDescent="0.25">
      <c r="A434" s="23"/>
      <c r="B434" s="20"/>
      <c r="C434" s="20"/>
      <c r="D434" s="20"/>
      <c r="E434" s="22"/>
      <c r="F434" s="22"/>
      <c r="G434" s="22"/>
      <c r="H434" s="22"/>
      <c r="I434" s="23"/>
      <c r="J434" s="23"/>
      <c r="K434" s="22"/>
      <c r="L434" s="22"/>
      <c r="M434" s="23"/>
      <c r="N434" s="23"/>
      <c r="O434" s="26"/>
      <c r="P434" s="26"/>
      <c r="Q434" s="26"/>
      <c r="R434" s="22"/>
      <c r="S434" s="24"/>
      <c r="T434" s="24"/>
      <c r="U434" s="24"/>
      <c r="V434" s="24"/>
      <c r="W434" s="24"/>
      <c r="X434" s="22"/>
      <c r="Y434" s="4" t="str">
        <f>IF(Tabela2[[#This Row],[SIGLA]]="","",VLOOKUP(Tabela2[[#This Row],[SIGLA]],Tabela1[[#All],[Sigla Arte]:[Crédito]],2,0))</f>
        <v/>
      </c>
      <c r="Z434" s="23"/>
      <c r="AA434" s="23" t="str">
        <f>Tabela2[[#This Row],[ILUSTRADOR CRIAÇÃO]]</f>
        <v/>
      </c>
      <c r="AB434" s="22"/>
      <c r="AC434" s="20"/>
      <c r="AD434" s="20"/>
      <c r="AE434" s="4" t="str">
        <f t="shared" si="6"/>
        <v>EF1 E002 HGC</v>
      </c>
    </row>
    <row r="435" spans="1:31" s="12" customFormat="1" x14ac:dyDescent="0.25">
      <c r="A435" s="23"/>
      <c r="B435" s="20"/>
      <c r="C435" s="20"/>
      <c r="D435" s="20"/>
      <c r="E435" s="22"/>
      <c r="F435" s="22"/>
      <c r="G435" s="22"/>
      <c r="H435" s="22"/>
      <c r="I435" s="23"/>
      <c r="J435" s="23"/>
      <c r="K435" s="22"/>
      <c r="L435" s="22"/>
      <c r="M435" s="23"/>
      <c r="N435" s="23"/>
      <c r="O435" s="26"/>
      <c r="P435" s="26"/>
      <c r="Q435" s="26"/>
      <c r="R435" s="22"/>
      <c r="S435" s="24"/>
      <c r="T435" s="24"/>
      <c r="U435" s="24"/>
      <c r="V435" s="24"/>
      <c r="W435" s="24"/>
      <c r="X435" s="22"/>
      <c r="Y435" s="4" t="str">
        <f>IF(Tabela2[[#This Row],[SIGLA]]="","",VLOOKUP(Tabela2[[#This Row],[SIGLA]],Tabela1[[#All],[Sigla Arte]:[Crédito]],2,0))</f>
        <v/>
      </c>
      <c r="Z435" s="23"/>
      <c r="AA435" s="23" t="str">
        <f>Tabela2[[#This Row],[ILUSTRADOR CRIAÇÃO]]</f>
        <v/>
      </c>
      <c r="AB435" s="22"/>
      <c r="AC435" s="20"/>
      <c r="AD435" s="20"/>
      <c r="AE435" s="4" t="str">
        <f t="shared" si="6"/>
        <v>EF1 E002 HGC</v>
      </c>
    </row>
    <row r="436" spans="1:31" s="12" customFormat="1" x14ac:dyDescent="0.25">
      <c r="A436" s="23"/>
      <c r="B436" s="20"/>
      <c r="C436" s="20"/>
      <c r="D436" s="20"/>
      <c r="E436" s="22"/>
      <c r="F436" s="22"/>
      <c r="G436" s="22"/>
      <c r="H436" s="22"/>
      <c r="I436" s="23"/>
      <c r="J436" s="23"/>
      <c r="K436" s="22"/>
      <c r="L436" s="22"/>
      <c r="M436" s="23"/>
      <c r="N436" s="23"/>
      <c r="O436" s="26"/>
      <c r="P436" s="26"/>
      <c r="Q436" s="26"/>
      <c r="R436" s="22"/>
      <c r="S436" s="24"/>
      <c r="T436" s="24"/>
      <c r="U436" s="24"/>
      <c r="V436" s="24"/>
      <c r="W436" s="24"/>
      <c r="X436" s="22"/>
      <c r="Y436" s="4" t="str">
        <f>IF(Tabela2[[#This Row],[SIGLA]]="","",VLOOKUP(Tabela2[[#This Row],[SIGLA]],Tabela1[[#All],[Sigla Arte]:[Crédito]],2,0))</f>
        <v/>
      </c>
      <c r="Z436" s="23"/>
      <c r="AA436" s="23" t="str">
        <f>Tabela2[[#This Row],[ILUSTRADOR CRIAÇÃO]]</f>
        <v/>
      </c>
      <c r="AB436" s="22"/>
      <c r="AC436" s="20"/>
      <c r="AD436" s="20"/>
      <c r="AE436" s="4" t="str">
        <f t="shared" si="6"/>
        <v>EF1 E002 HGC</v>
      </c>
    </row>
    <row r="437" spans="1:31" s="12" customFormat="1" x14ac:dyDescent="0.25">
      <c r="A437" s="23"/>
      <c r="B437" s="20"/>
      <c r="C437" s="20"/>
      <c r="D437" s="20"/>
      <c r="E437" s="22"/>
      <c r="F437" s="22"/>
      <c r="G437" s="22"/>
      <c r="H437" s="22"/>
      <c r="I437" s="23"/>
      <c r="J437" s="23"/>
      <c r="K437" s="22"/>
      <c r="L437" s="22"/>
      <c r="M437" s="23"/>
      <c r="N437" s="23"/>
      <c r="O437" s="26"/>
      <c r="P437" s="26"/>
      <c r="Q437" s="26"/>
      <c r="R437" s="22"/>
      <c r="S437" s="24"/>
      <c r="T437" s="24"/>
      <c r="U437" s="24"/>
      <c r="V437" s="24"/>
      <c r="W437" s="24"/>
      <c r="X437" s="22"/>
      <c r="Y437" s="4" t="str">
        <f>IF(Tabela2[[#This Row],[SIGLA]]="","",VLOOKUP(Tabela2[[#This Row],[SIGLA]],Tabela1[[#All],[Sigla Arte]:[Crédito]],2,0))</f>
        <v/>
      </c>
      <c r="Z437" s="23"/>
      <c r="AA437" s="23" t="str">
        <f>Tabela2[[#This Row],[ILUSTRADOR CRIAÇÃO]]</f>
        <v/>
      </c>
      <c r="AB437" s="22"/>
      <c r="AC437" s="20"/>
      <c r="AD437" s="20"/>
      <c r="AE437" s="4" t="str">
        <f t="shared" si="6"/>
        <v>EF1 E002 HGC</v>
      </c>
    </row>
    <row r="438" spans="1:31" s="12" customFormat="1" x14ac:dyDescent="0.25">
      <c r="A438" s="23"/>
      <c r="B438" s="20"/>
      <c r="C438" s="20"/>
      <c r="D438" s="20"/>
      <c r="E438" s="22"/>
      <c r="F438" s="22"/>
      <c r="G438" s="22"/>
      <c r="H438" s="22"/>
      <c r="I438" s="23"/>
      <c r="J438" s="23"/>
      <c r="K438" s="22"/>
      <c r="L438" s="22"/>
      <c r="M438" s="23"/>
      <c r="N438" s="23"/>
      <c r="O438" s="26"/>
      <c r="P438" s="26"/>
      <c r="Q438" s="26"/>
      <c r="R438" s="22"/>
      <c r="S438" s="24"/>
      <c r="T438" s="24"/>
      <c r="U438" s="24"/>
      <c r="V438" s="24"/>
      <c r="W438" s="24"/>
      <c r="X438" s="22"/>
      <c r="Y438" s="4" t="str">
        <f>IF(Tabela2[[#This Row],[SIGLA]]="","",VLOOKUP(Tabela2[[#This Row],[SIGLA]],Tabela1[[#All],[Sigla Arte]:[Crédito]],2,0))</f>
        <v/>
      </c>
      <c r="Z438" s="23"/>
      <c r="AA438" s="23" t="str">
        <f>Tabela2[[#This Row],[ILUSTRADOR CRIAÇÃO]]</f>
        <v/>
      </c>
      <c r="AB438" s="22"/>
      <c r="AC438" s="20"/>
      <c r="AD438" s="20"/>
      <c r="AE438" s="4" t="str">
        <f t="shared" si="6"/>
        <v>EF1 E002 HGC</v>
      </c>
    </row>
    <row r="439" spans="1:31" s="12" customFormat="1" x14ac:dyDescent="0.25">
      <c r="A439" s="23"/>
      <c r="B439" s="20"/>
      <c r="C439" s="20"/>
      <c r="D439" s="20"/>
      <c r="E439" s="22"/>
      <c r="F439" s="22"/>
      <c r="G439" s="22"/>
      <c r="H439" s="22"/>
      <c r="I439" s="23"/>
      <c r="J439" s="23"/>
      <c r="K439" s="22"/>
      <c r="L439" s="22"/>
      <c r="M439" s="23"/>
      <c r="N439" s="23"/>
      <c r="O439" s="26"/>
      <c r="P439" s="26"/>
      <c r="Q439" s="26"/>
      <c r="R439" s="22"/>
      <c r="S439" s="24"/>
      <c r="T439" s="24"/>
      <c r="U439" s="24"/>
      <c r="V439" s="24"/>
      <c r="W439" s="24"/>
      <c r="X439" s="22"/>
      <c r="Y439" s="4" t="str">
        <f>IF(Tabela2[[#This Row],[SIGLA]]="","",VLOOKUP(Tabela2[[#This Row],[SIGLA]],Tabela1[[#All],[Sigla Arte]:[Crédito]],2,0))</f>
        <v/>
      </c>
      <c r="Z439" s="23"/>
      <c r="AA439" s="23" t="str">
        <f>Tabela2[[#This Row],[ILUSTRADOR CRIAÇÃO]]</f>
        <v/>
      </c>
      <c r="AB439" s="22"/>
      <c r="AC439" s="20"/>
      <c r="AD439" s="20"/>
      <c r="AE439" s="4" t="str">
        <f t="shared" si="6"/>
        <v>EF1 E002 HGC</v>
      </c>
    </row>
    <row r="440" spans="1:31" s="12" customFormat="1" x14ac:dyDescent="0.25">
      <c r="A440" s="23"/>
      <c r="B440" s="20"/>
      <c r="C440" s="20"/>
      <c r="D440" s="20"/>
      <c r="E440" s="22"/>
      <c r="F440" s="22"/>
      <c r="G440" s="22"/>
      <c r="H440" s="22"/>
      <c r="I440" s="23"/>
      <c r="J440" s="23"/>
      <c r="K440" s="22"/>
      <c r="L440" s="22"/>
      <c r="M440" s="23"/>
      <c r="N440" s="23"/>
      <c r="O440" s="26"/>
      <c r="P440" s="26"/>
      <c r="Q440" s="26"/>
      <c r="R440" s="22"/>
      <c r="S440" s="24"/>
      <c r="T440" s="24"/>
      <c r="U440" s="24"/>
      <c r="V440" s="24"/>
      <c r="W440" s="24"/>
      <c r="X440" s="22"/>
      <c r="Y440" s="4" t="str">
        <f>IF(Tabela2[[#This Row],[SIGLA]]="","",VLOOKUP(Tabela2[[#This Row],[SIGLA]],Tabela1[[#All],[Sigla Arte]:[Crédito]],2,0))</f>
        <v/>
      </c>
      <c r="Z440" s="23"/>
      <c r="AA440" s="23" t="str">
        <f>Tabela2[[#This Row],[ILUSTRADOR CRIAÇÃO]]</f>
        <v/>
      </c>
      <c r="AB440" s="22"/>
      <c r="AC440" s="20"/>
      <c r="AD440" s="20"/>
      <c r="AE440" s="4" t="str">
        <f t="shared" si="6"/>
        <v>EF1 E002 HGC</v>
      </c>
    </row>
    <row r="441" spans="1:31" s="12" customFormat="1" x14ac:dyDescent="0.25">
      <c r="A441" s="23"/>
      <c r="B441" s="20"/>
      <c r="C441" s="20"/>
      <c r="D441" s="20"/>
      <c r="E441" s="22"/>
      <c r="F441" s="22"/>
      <c r="G441" s="22"/>
      <c r="H441" s="22"/>
      <c r="I441" s="23"/>
      <c r="J441" s="23"/>
      <c r="K441" s="22"/>
      <c r="L441" s="22"/>
      <c r="M441" s="23"/>
      <c r="N441" s="23"/>
      <c r="O441" s="26"/>
      <c r="P441" s="26"/>
      <c r="Q441" s="26"/>
      <c r="R441" s="22"/>
      <c r="S441" s="24"/>
      <c r="T441" s="24"/>
      <c r="U441" s="24"/>
      <c r="V441" s="24"/>
      <c r="W441" s="24"/>
      <c r="X441" s="22"/>
      <c r="Y441" s="4" t="str">
        <f>IF(Tabela2[[#This Row],[SIGLA]]="","",VLOOKUP(Tabela2[[#This Row],[SIGLA]],Tabela1[[#All],[Sigla Arte]:[Crédito]],2,0))</f>
        <v/>
      </c>
      <c r="Z441" s="23"/>
      <c r="AA441" s="23" t="str">
        <f>Tabela2[[#This Row],[ILUSTRADOR CRIAÇÃO]]</f>
        <v/>
      </c>
      <c r="AB441" s="22"/>
      <c r="AC441" s="20"/>
      <c r="AD441" s="20"/>
      <c r="AE441" s="4" t="str">
        <f t="shared" si="6"/>
        <v>EF1 E002 HGC</v>
      </c>
    </row>
    <row r="442" spans="1:31" s="12" customFormat="1" x14ac:dyDescent="0.25">
      <c r="A442" s="23"/>
      <c r="B442" s="20"/>
      <c r="C442" s="20"/>
      <c r="D442" s="20"/>
      <c r="E442" s="22"/>
      <c r="F442" s="22"/>
      <c r="G442" s="22"/>
      <c r="H442" s="22"/>
      <c r="I442" s="23"/>
      <c r="J442" s="23"/>
      <c r="K442" s="22"/>
      <c r="L442" s="22"/>
      <c r="M442" s="23"/>
      <c r="N442" s="23"/>
      <c r="O442" s="26"/>
      <c r="P442" s="26"/>
      <c r="Q442" s="26"/>
      <c r="R442" s="22"/>
      <c r="S442" s="24"/>
      <c r="T442" s="24"/>
      <c r="U442" s="24"/>
      <c r="V442" s="24"/>
      <c r="W442" s="24"/>
      <c r="X442" s="22"/>
      <c r="Y442" s="4" t="str">
        <f>IF(Tabela2[[#This Row],[SIGLA]]="","",VLOOKUP(Tabela2[[#This Row],[SIGLA]],Tabela1[[#All],[Sigla Arte]:[Crédito]],2,0))</f>
        <v/>
      </c>
      <c r="Z442" s="23"/>
      <c r="AA442" s="23" t="str">
        <f>Tabela2[[#This Row],[ILUSTRADOR CRIAÇÃO]]</f>
        <v/>
      </c>
      <c r="AB442" s="22"/>
      <c r="AC442" s="20"/>
      <c r="AD442" s="20"/>
      <c r="AE442" s="4" t="str">
        <f t="shared" si="6"/>
        <v>EF1 E002 HGC</v>
      </c>
    </row>
    <row r="443" spans="1:31" s="12" customFormat="1" x14ac:dyDescent="0.25">
      <c r="A443" s="23"/>
      <c r="B443" s="20"/>
      <c r="C443" s="20"/>
      <c r="D443" s="20"/>
      <c r="E443" s="22"/>
      <c r="F443" s="22"/>
      <c r="G443" s="22"/>
      <c r="H443" s="22"/>
      <c r="I443" s="23"/>
      <c r="J443" s="23"/>
      <c r="K443" s="22"/>
      <c r="L443" s="22"/>
      <c r="M443" s="23"/>
      <c r="N443" s="23"/>
      <c r="O443" s="26"/>
      <c r="P443" s="26"/>
      <c r="Q443" s="26"/>
      <c r="R443" s="22"/>
      <c r="S443" s="24"/>
      <c r="T443" s="24"/>
      <c r="U443" s="24"/>
      <c r="V443" s="24"/>
      <c r="W443" s="24"/>
      <c r="X443" s="22"/>
      <c r="Y443" s="4" t="str">
        <f>IF(Tabela2[[#This Row],[SIGLA]]="","",VLOOKUP(Tabela2[[#This Row],[SIGLA]],Tabela1[[#All],[Sigla Arte]:[Crédito]],2,0))</f>
        <v/>
      </c>
      <c r="Z443" s="23"/>
      <c r="AA443" s="23" t="str">
        <f>Tabela2[[#This Row],[ILUSTRADOR CRIAÇÃO]]</f>
        <v/>
      </c>
      <c r="AB443" s="22"/>
      <c r="AC443" s="20"/>
      <c r="AD443" s="20"/>
      <c r="AE443" s="4" t="str">
        <f t="shared" si="6"/>
        <v>EF1 E002 HGC</v>
      </c>
    </row>
    <row r="444" spans="1:31" s="12" customFormat="1" x14ac:dyDescent="0.25">
      <c r="A444" s="23"/>
      <c r="B444" s="20"/>
      <c r="C444" s="20"/>
      <c r="D444" s="20"/>
      <c r="E444" s="22"/>
      <c r="F444" s="22"/>
      <c r="G444" s="22"/>
      <c r="H444" s="22"/>
      <c r="I444" s="23"/>
      <c r="J444" s="23"/>
      <c r="K444" s="22"/>
      <c r="L444" s="22"/>
      <c r="M444" s="23"/>
      <c r="N444" s="23"/>
      <c r="O444" s="26"/>
      <c r="P444" s="26"/>
      <c r="Q444" s="26"/>
      <c r="R444" s="22"/>
      <c r="S444" s="24"/>
      <c r="T444" s="24"/>
      <c r="U444" s="24"/>
      <c r="V444" s="24"/>
      <c r="W444" s="24"/>
      <c r="X444" s="22"/>
      <c r="Y444" s="4" t="str">
        <f>IF(Tabela2[[#This Row],[SIGLA]]="","",VLOOKUP(Tabela2[[#This Row],[SIGLA]],Tabela1[[#All],[Sigla Arte]:[Crédito]],2,0))</f>
        <v/>
      </c>
      <c r="Z444" s="23"/>
      <c r="AA444" s="23" t="str">
        <f>Tabela2[[#This Row],[ILUSTRADOR CRIAÇÃO]]</f>
        <v/>
      </c>
      <c r="AB444" s="22"/>
      <c r="AC444" s="20"/>
      <c r="AD444" s="20"/>
      <c r="AE444" s="4" t="str">
        <f t="shared" si="6"/>
        <v>EF1 E002 HGC</v>
      </c>
    </row>
    <row r="445" spans="1:31" s="12" customFormat="1" x14ac:dyDescent="0.25">
      <c r="A445" s="23"/>
      <c r="B445" s="20"/>
      <c r="C445" s="20"/>
      <c r="D445" s="20"/>
      <c r="E445" s="22"/>
      <c r="F445" s="22"/>
      <c r="G445" s="22"/>
      <c r="H445" s="22"/>
      <c r="I445" s="23"/>
      <c r="J445" s="23"/>
      <c r="K445" s="22"/>
      <c r="L445" s="22"/>
      <c r="M445" s="23"/>
      <c r="N445" s="23"/>
      <c r="O445" s="26"/>
      <c r="P445" s="26"/>
      <c r="Q445" s="26"/>
      <c r="R445" s="22"/>
      <c r="S445" s="24"/>
      <c r="T445" s="24"/>
      <c r="U445" s="24"/>
      <c r="V445" s="24"/>
      <c r="W445" s="24"/>
      <c r="X445" s="22"/>
      <c r="Y445" s="4" t="str">
        <f>IF(Tabela2[[#This Row],[SIGLA]]="","",VLOOKUP(Tabela2[[#This Row],[SIGLA]],Tabela1[[#All],[Sigla Arte]:[Crédito]],2,0))</f>
        <v/>
      </c>
      <c r="Z445" s="23"/>
      <c r="AA445" s="23" t="str">
        <f>Tabela2[[#This Row],[ILUSTRADOR CRIAÇÃO]]</f>
        <v/>
      </c>
      <c r="AB445" s="22"/>
      <c r="AC445" s="20"/>
      <c r="AD445" s="20"/>
      <c r="AE445" s="4" t="str">
        <f t="shared" si="6"/>
        <v>EF1 E002 HGC</v>
      </c>
    </row>
    <row r="446" spans="1:31" s="12" customFormat="1" x14ac:dyDescent="0.25">
      <c r="A446" s="23"/>
      <c r="B446" s="20"/>
      <c r="C446" s="20"/>
      <c r="D446" s="20"/>
      <c r="E446" s="22"/>
      <c r="F446" s="22"/>
      <c r="G446" s="22"/>
      <c r="H446" s="22"/>
      <c r="I446" s="23"/>
      <c r="J446" s="23"/>
      <c r="K446" s="22"/>
      <c r="L446" s="22"/>
      <c r="M446" s="23"/>
      <c r="N446" s="23"/>
      <c r="O446" s="26"/>
      <c r="P446" s="26"/>
      <c r="Q446" s="26"/>
      <c r="R446" s="22"/>
      <c r="S446" s="24"/>
      <c r="T446" s="24"/>
      <c r="U446" s="24"/>
      <c r="V446" s="24"/>
      <c r="W446" s="24"/>
      <c r="X446" s="22"/>
      <c r="Y446" s="4" t="str">
        <f>IF(Tabela2[[#This Row],[SIGLA]]="","",VLOOKUP(Tabela2[[#This Row],[SIGLA]],Tabela1[[#All],[Sigla Arte]:[Crédito]],2,0))</f>
        <v/>
      </c>
      <c r="Z446" s="23"/>
      <c r="AA446" s="23" t="str">
        <f>Tabela2[[#This Row],[ILUSTRADOR CRIAÇÃO]]</f>
        <v/>
      </c>
      <c r="AB446" s="22"/>
      <c r="AC446" s="20"/>
      <c r="AD446" s="20"/>
      <c r="AE446" s="4" t="str">
        <f t="shared" si="6"/>
        <v>EF1 E002 HGC</v>
      </c>
    </row>
    <row r="447" spans="1:31" s="12" customFormat="1" x14ac:dyDescent="0.25">
      <c r="A447" s="23"/>
      <c r="B447" s="20"/>
      <c r="C447" s="20"/>
      <c r="D447" s="20"/>
      <c r="E447" s="22"/>
      <c r="F447" s="22"/>
      <c r="G447" s="22"/>
      <c r="H447" s="22"/>
      <c r="I447" s="23"/>
      <c r="J447" s="23"/>
      <c r="K447" s="22"/>
      <c r="L447" s="22"/>
      <c r="M447" s="23"/>
      <c r="N447" s="23"/>
      <c r="O447" s="26"/>
      <c r="P447" s="26"/>
      <c r="Q447" s="26"/>
      <c r="R447" s="22"/>
      <c r="S447" s="24"/>
      <c r="T447" s="24"/>
      <c r="U447" s="24"/>
      <c r="V447" s="24"/>
      <c r="W447" s="24"/>
      <c r="X447" s="22"/>
      <c r="Y447" s="4" t="str">
        <f>IF(Tabela2[[#This Row],[SIGLA]]="","",VLOOKUP(Tabela2[[#This Row],[SIGLA]],Tabela1[[#All],[Sigla Arte]:[Crédito]],2,0))</f>
        <v/>
      </c>
      <c r="Z447" s="23"/>
      <c r="AA447" s="23" t="str">
        <f>Tabela2[[#This Row],[ILUSTRADOR CRIAÇÃO]]</f>
        <v/>
      </c>
      <c r="AB447" s="22"/>
      <c r="AC447" s="20"/>
      <c r="AD447" s="20"/>
      <c r="AE447" s="4" t="str">
        <f t="shared" si="6"/>
        <v>EF1 E002 HGC</v>
      </c>
    </row>
    <row r="448" spans="1:31" s="12" customFormat="1" x14ac:dyDescent="0.25">
      <c r="A448" s="23"/>
      <c r="B448" s="20"/>
      <c r="C448" s="20"/>
      <c r="D448" s="20"/>
      <c r="E448" s="22"/>
      <c r="F448" s="22"/>
      <c r="G448" s="22"/>
      <c r="H448" s="22"/>
      <c r="I448" s="23"/>
      <c r="J448" s="23"/>
      <c r="K448" s="22"/>
      <c r="L448" s="22"/>
      <c r="M448" s="23"/>
      <c r="N448" s="23"/>
      <c r="O448" s="26"/>
      <c r="P448" s="26"/>
      <c r="Q448" s="26"/>
      <c r="R448" s="22"/>
      <c r="S448" s="24"/>
      <c r="T448" s="24"/>
      <c r="U448" s="24"/>
      <c r="V448" s="24"/>
      <c r="W448" s="24"/>
      <c r="X448" s="22"/>
      <c r="Y448" s="4" t="str">
        <f>IF(Tabela2[[#This Row],[SIGLA]]="","",VLOOKUP(Tabela2[[#This Row],[SIGLA]],Tabela1[[#All],[Sigla Arte]:[Crédito]],2,0))</f>
        <v/>
      </c>
      <c r="Z448" s="23"/>
      <c r="AA448" s="23" t="str">
        <f>Tabela2[[#This Row],[ILUSTRADOR CRIAÇÃO]]</f>
        <v/>
      </c>
      <c r="AB448" s="22"/>
      <c r="AC448" s="20"/>
      <c r="AD448" s="20"/>
      <c r="AE448" s="4" t="str">
        <f t="shared" si="6"/>
        <v>EF1 E002 HGC</v>
      </c>
    </row>
    <row r="449" spans="1:31" s="12" customFormat="1" x14ac:dyDescent="0.25">
      <c r="A449" s="23"/>
      <c r="B449" s="20"/>
      <c r="C449" s="20"/>
      <c r="D449" s="20"/>
      <c r="E449" s="22"/>
      <c r="F449" s="22"/>
      <c r="G449" s="22"/>
      <c r="H449" s="22"/>
      <c r="I449" s="23"/>
      <c r="J449" s="23"/>
      <c r="K449" s="22"/>
      <c r="L449" s="22"/>
      <c r="M449" s="23"/>
      <c r="N449" s="23"/>
      <c r="O449" s="26"/>
      <c r="P449" s="26"/>
      <c r="Q449" s="26"/>
      <c r="R449" s="22"/>
      <c r="S449" s="24"/>
      <c r="T449" s="24"/>
      <c r="U449" s="24"/>
      <c r="V449" s="24"/>
      <c r="W449" s="24"/>
      <c r="X449" s="22"/>
      <c r="Y449" s="4" t="str">
        <f>IF(Tabela2[[#This Row],[SIGLA]]="","",VLOOKUP(Tabela2[[#This Row],[SIGLA]],Tabela1[[#All],[Sigla Arte]:[Crédito]],2,0))</f>
        <v/>
      </c>
      <c r="Z449" s="23"/>
      <c r="AA449" s="23" t="str">
        <f>Tabela2[[#This Row],[ILUSTRADOR CRIAÇÃO]]</f>
        <v/>
      </c>
      <c r="AB449" s="22"/>
      <c r="AC449" s="20"/>
      <c r="AD449" s="20"/>
      <c r="AE449" s="4" t="str">
        <f t="shared" si="6"/>
        <v>EF1 E002 HGC</v>
      </c>
    </row>
    <row r="450" spans="1:31" s="12" customFormat="1" x14ac:dyDescent="0.25">
      <c r="A450" s="23"/>
      <c r="B450" s="20"/>
      <c r="C450" s="20"/>
      <c r="D450" s="20"/>
      <c r="E450" s="22"/>
      <c r="F450" s="22"/>
      <c r="G450" s="22"/>
      <c r="H450" s="22"/>
      <c r="I450" s="23"/>
      <c r="J450" s="23"/>
      <c r="K450" s="22"/>
      <c r="L450" s="22"/>
      <c r="M450" s="23"/>
      <c r="N450" s="23"/>
      <c r="O450" s="26"/>
      <c r="P450" s="26"/>
      <c r="Q450" s="26"/>
      <c r="R450" s="22"/>
      <c r="S450" s="24"/>
      <c r="T450" s="24"/>
      <c r="U450" s="24"/>
      <c r="V450" s="24"/>
      <c r="W450" s="24"/>
      <c r="X450" s="22"/>
      <c r="Y450" s="4" t="str">
        <f>IF(Tabela2[[#This Row],[SIGLA]]="","",VLOOKUP(Tabela2[[#This Row],[SIGLA]],Tabela1[[#All],[Sigla Arte]:[Crédito]],2,0))</f>
        <v/>
      </c>
      <c r="Z450" s="23"/>
      <c r="AA450" s="23" t="str">
        <f>Tabela2[[#This Row],[ILUSTRADOR CRIAÇÃO]]</f>
        <v/>
      </c>
      <c r="AB450" s="22"/>
      <c r="AC450" s="20"/>
      <c r="AD450" s="20"/>
      <c r="AE450" s="4" t="str">
        <f t="shared" ref="AE450:AE500" si="7">"EF1 E002 HGC"</f>
        <v>EF1 E002 HGC</v>
      </c>
    </row>
    <row r="451" spans="1:31" s="12" customFormat="1" x14ac:dyDescent="0.25">
      <c r="A451" s="23"/>
      <c r="B451" s="20"/>
      <c r="C451" s="20"/>
      <c r="D451" s="20"/>
      <c r="E451" s="22"/>
      <c r="F451" s="22"/>
      <c r="G451" s="22"/>
      <c r="H451" s="22"/>
      <c r="I451" s="23"/>
      <c r="J451" s="23"/>
      <c r="K451" s="22"/>
      <c r="L451" s="22"/>
      <c r="M451" s="23"/>
      <c r="N451" s="23"/>
      <c r="O451" s="26"/>
      <c r="P451" s="26"/>
      <c r="Q451" s="26"/>
      <c r="R451" s="22"/>
      <c r="S451" s="24"/>
      <c r="T451" s="24"/>
      <c r="U451" s="24"/>
      <c r="V451" s="24"/>
      <c r="W451" s="24"/>
      <c r="X451" s="22"/>
      <c r="Y451" s="4" t="str">
        <f>IF(Tabela2[[#This Row],[SIGLA]]="","",VLOOKUP(Tabela2[[#This Row],[SIGLA]],Tabela1[[#All],[Sigla Arte]:[Crédito]],2,0))</f>
        <v/>
      </c>
      <c r="Z451" s="23"/>
      <c r="AA451" s="23" t="str">
        <f>Tabela2[[#This Row],[ILUSTRADOR CRIAÇÃO]]</f>
        <v/>
      </c>
      <c r="AB451" s="22"/>
      <c r="AC451" s="20"/>
      <c r="AD451" s="20"/>
      <c r="AE451" s="4" t="str">
        <f t="shared" si="7"/>
        <v>EF1 E002 HGC</v>
      </c>
    </row>
    <row r="452" spans="1:31" s="12" customFormat="1" x14ac:dyDescent="0.25">
      <c r="A452" s="23"/>
      <c r="B452" s="20"/>
      <c r="C452" s="20"/>
      <c r="D452" s="20"/>
      <c r="E452" s="22"/>
      <c r="F452" s="22"/>
      <c r="G452" s="22"/>
      <c r="H452" s="22"/>
      <c r="I452" s="23"/>
      <c r="J452" s="23"/>
      <c r="K452" s="22"/>
      <c r="L452" s="22"/>
      <c r="M452" s="23"/>
      <c r="N452" s="23"/>
      <c r="O452" s="26"/>
      <c r="P452" s="26"/>
      <c r="Q452" s="26"/>
      <c r="R452" s="22"/>
      <c r="S452" s="24"/>
      <c r="T452" s="24"/>
      <c r="U452" s="24"/>
      <c r="V452" s="24"/>
      <c r="W452" s="24"/>
      <c r="X452" s="22"/>
      <c r="Y452" s="4" t="str">
        <f>IF(Tabela2[[#This Row],[SIGLA]]="","",VLOOKUP(Tabela2[[#This Row],[SIGLA]],Tabela1[[#All],[Sigla Arte]:[Crédito]],2,0))</f>
        <v/>
      </c>
      <c r="Z452" s="23"/>
      <c r="AA452" s="23" t="str">
        <f>Tabela2[[#This Row],[ILUSTRADOR CRIAÇÃO]]</f>
        <v/>
      </c>
      <c r="AB452" s="22"/>
      <c r="AC452" s="20"/>
      <c r="AD452" s="20"/>
      <c r="AE452" s="4" t="str">
        <f t="shared" si="7"/>
        <v>EF1 E002 HGC</v>
      </c>
    </row>
    <row r="453" spans="1:31" s="12" customFormat="1" x14ac:dyDescent="0.25">
      <c r="A453" s="23"/>
      <c r="B453" s="20"/>
      <c r="C453" s="20"/>
      <c r="D453" s="20"/>
      <c r="E453" s="22"/>
      <c r="F453" s="22"/>
      <c r="G453" s="22"/>
      <c r="H453" s="22"/>
      <c r="I453" s="23"/>
      <c r="J453" s="23"/>
      <c r="K453" s="22"/>
      <c r="L453" s="22"/>
      <c r="M453" s="23"/>
      <c r="N453" s="23"/>
      <c r="O453" s="26"/>
      <c r="P453" s="26"/>
      <c r="Q453" s="26"/>
      <c r="R453" s="22"/>
      <c r="S453" s="24"/>
      <c r="T453" s="24"/>
      <c r="U453" s="24"/>
      <c r="V453" s="24"/>
      <c r="W453" s="24"/>
      <c r="X453" s="22"/>
      <c r="Y453" s="4" t="str">
        <f>IF(Tabela2[[#This Row],[SIGLA]]="","",VLOOKUP(Tabela2[[#This Row],[SIGLA]],Tabela1[[#All],[Sigla Arte]:[Crédito]],2,0))</f>
        <v/>
      </c>
      <c r="Z453" s="23"/>
      <c r="AA453" s="23" t="str">
        <f>Tabela2[[#This Row],[ILUSTRADOR CRIAÇÃO]]</f>
        <v/>
      </c>
      <c r="AB453" s="22"/>
      <c r="AC453" s="20"/>
      <c r="AD453" s="20"/>
      <c r="AE453" s="4" t="str">
        <f t="shared" si="7"/>
        <v>EF1 E002 HGC</v>
      </c>
    </row>
    <row r="454" spans="1:31" s="12" customFormat="1" x14ac:dyDescent="0.25">
      <c r="A454" s="23"/>
      <c r="B454" s="20"/>
      <c r="C454" s="20"/>
      <c r="D454" s="20"/>
      <c r="E454" s="22"/>
      <c r="F454" s="22"/>
      <c r="G454" s="22"/>
      <c r="H454" s="22"/>
      <c r="I454" s="23"/>
      <c r="J454" s="23"/>
      <c r="K454" s="22"/>
      <c r="L454" s="22"/>
      <c r="M454" s="23"/>
      <c r="N454" s="23"/>
      <c r="O454" s="26"/>
      <c r="P454" s="26"/>
      <c r="Q454" s="26"/>
      <c r="R454" s="22"/>
      <c r="S454" s="24"/>
      <c r="T454" s="24"/>
      <c r="U454" s="24"/>
      <c r="V454" s="24"/>
      <c r="W454" s="24"/>
      <c r="X454" s="22"/>
      <c r="Y454" s="4" t="str">
        <f>IF(Tabela2[[#This Row],[SIGLA]]="","",VLOOKUP(Tabela2[[#This Row],[SIGLA]],Tabela1[[#All],[Sigla Arte]:[Crédito]],2,0))</f>
        <v/>
      </c>
      <c r="Z454" s="23"/>
      <c r="AA454" s="23" t="str">
        <f>Tabela2[[#This Row],[ILUSTRADOR CRIAÇÃO]]</f>
        <v/>
      </c>
      <c r="AB454" s="22"/>
      <c r="AC454" s="20"/>
      <c r="AD454" s="20"/>
      <c r="AE454" s="4" t="str">
        <f t="shared" si="7"/>
        <v>EF1 E002 HGC</v>
      </c>
    </row>
    <row r="455" spans="1:31" s="12" customFormat="1" x14ac:dyDescent="0.25">
      <c r="A455" s="23"/>
      <c r="B455" s="20"/>
      <c r="C455" s="20"/>
      <c r="D455" s="20"/>
      <c r="E455" s="22"/>
      <c r="F455" s="22"/>
      <c r="G455" s="22"/>
      <c r="H455" s="22"/>
      <c r="I455" s="23"/>
      <c r="J455" s="23"/>
      <c r="K455" s="22"/>
      <c r="L455" s="22"/>
      <c r="M455" s="23"/>
      <c r="N455" s="23"/>
      <c r="O455" s="26"/>
      <c r="P455" s="26"/>
      <c r="Q455" s="26"/>
      <c r="R455" s="22"/>
      <c r="S455" s="24"/>
      <c r="T455" s="24"/>
      <c r="U455" s="24"/>
      <c r="V455" s="24"/>
      <c r="W455" s="24"/>
      <c r="X455" s="22"/>
      <c r="Y455" s="4" t="str">
        <f>IF(Tabela2[[#This Row],[SIGLA]]="","",VLOOKUP(Tabela2[[#This Row],[SIGLA]],Tabela1[[#All],[Sigla Arte]:[Crédito]],2,0))</f>
        <v/>
      </c>
      <c r="Z455" s="23"/>
      <c r="AA455" s="23" t="str">
        <f>Tabela2[[#This Row],[ILUSTRADOR CRIAÇÃO]]</f>
        <v/>
      </c>
      <c r="AB455" s="22"/>
      <c r="AC455" s="20"/>
      <c r="AD455" s="20"/>
      <c r="AE455" s="4" t="str">
        <f t="shared" si="7"/>
        <v>EF1 E002 HGC</v>
      </c>
    </row>
    <row r="456" spans="1:31" s="12" customFormat="1" x14ac:dyDescent="0.25">
      <c r="A456" s="23"/>
      <c r="B456" s="20"/>
      <c r="C456" s="20"/>
      <c r="D456" s="20"/>
      <c r="E456" s="22"/>
      <c r="F456" s="22"/>
      <c r="G456" s="22"/>
      <c r="H456" s="22"/>
      <c r="I456" s="23"/>
      <c r="J456" s="23"/>
      <c r="K456" s="22"/>
      <c r="L456" s="22"/>
      <c r="M456" s="23"/>
      <c r="N456" s="23"/>
      <c r="O456" s="26"/>
      <c r="P456" s="26"/>
      <c r="Q456" s="26"/>
      <c r="R456" s="22"/>
      <c r="S456" s="24"/>
      <c r="T456" s="24"/>
      <c r="U456" s="24"/>
      <c r="V456" s="24"/>
      <c r="W456" s="24"/>
      <c r="X456" s="22"/>
      <c r="Y456" s="4" t="str">
        <f>IF(Tabela2[[#This Row],[SIGLA]]="","",VLOOKUP(Tabela2[[#This Row],[SIGLA]],Tabela1[[#All],[Sigla Arte]:[Crédito]],2,0))</f>
        <v/>
      </c>
      <c r="Z456" s="23"/>
      <c r="AA456" s="23" t="str">
        <f>Tabela2[[#This Row],[ILUSTRADOR CRIAÇÃO]]</f>
        <v/>
      </c>
      <c r="AB456" s="22"/>
      <c r="AC456" s="20"/>
      <c r="AD456" s="20"/>
      <c r="AE456" s="4" t="str">
        <f t="shared" si="7"/>
        <v>EF1 E002 HGC</v>
      </c>
    </row>
    <row r="457" spans="1:31" s="12" customFormat="1" x14ac:dyDescent="0.25">
      <c r="A457" s="23"/>
      <c r="B457" s="20"/>
      <c r="C457" s="20"/>
      <c r="D457" s="20"/>
      <c r="E457" s="22"/>
      <c r="F457" s="22"/>
      <c r="G457" s="22"/>
      <c r="H457" s="22"/>
      <c r="I457" s="23"/>
      <c r="J457" s="23"/>
      <c r="K457" s="22"/>
      <c r="L457" s="22"/>
      <c r="M457" s="23"/>
      <c r="N457" s="23"/>
      <c r="O457" s="26"/>
      <c r="P457" s="26"/>
      <c r="Q457" s="26"/>
      <c r="R457" s="22"/>
      <c r="S457" s="24"/>
      <c r="T457" s="24"/>
      <c r="U457" s="24"/>
      <c r="V457" s="24"/>
      <c r="W457" s="24"/>
      <c r="X457" s="22"/>
      <c r="Y457" s="4" t="str">
        <f>IF(Tabela2[[#This Row],[SIGLA]]="","",VLOOKUP(Tabela2[[#This Row],[SIGLA]],Tabela1[[#All],[Sigla Arte]:[Crédito]],2,0))</f>
        <v/>
      </c>
      <c r="Z457" s="23"/>
      <c r="AA457" s="23" t="str">
        <f>Tabela2[[#This Row],[ILUSTRADOR CRIAÇÃO]]</f>
        <v/>
      </c>
      <c r="AB457" s="22"/>
      <c r="AC457" s="20"/>
      <c r="AD457" s="20"/>
      <c r="AE457" s="4" t="str">
        <f t="shared" si="7"/>
        <v>EF1 E002 HGC</v>
      </c>
    </row>
    <row r="458" spans="1:31" s="12" customFormat="1" x14ac:dyDescent="0.25">
      <c r="A458" s="23"/>
      <c r="B458" s="20"/>
      <c r="C458" s="20"/>
      <c r="D458" s="20"/>
      <c r="E458" s="22"/>
      <c r="F458" s="22"/>
      <c r="G458" s="22"/>
      <c r="H458" s="22"/>
      <c r="I458" s="23"/>
      <c r="J458" s="23"/>
      <c r="K458" s="22"/>
      <c r="L458" s="22"/>
      <c r="M458" s="23"/>
      <c r="N458" s="23"/>
      <c r="O458" s="26"/>
      <c r="P458" s="26"/>
      <c r="Q458" s="26"/>
      <c r="R458" s="22"/>
      <c r="S458" s="24"/>
      <c r="T458" s="24"/>
      <c r="U458" s="24"/>
      <c r="V458" s="24"/>
      <c r="W458" s="24"/>
      <c r="X458" s="22"/>
      <c r="Y458" s="4" t="str">
        <f>IF(Tabela2[[#This Row],[SIGLA]]="","",VLOOKUP(Tabela2[[#This Row],[SIGLA]],Tabela1[[#All],[Sigla Arte]:[Crédito]],2,0))</f>
        <v/>
      </c>
      <c r="Z458" s="23"/>
      <c r="AA458" s="23" t="str">
        <f>Tabela2[[#This Row],[ILUSTRADOR CRIAÇÃO]]</f>
        <v/>
      </c>
      <c r="AB458" s="22"/>
      <c r="AC458" s="20"/>
      <c r="AD458" s="20"/>
      <c r="AE458" s="4" t="str">
        <f t="shared" si="7"/>
        <v>EF1 E002 HGC</v>
      </c>
    </row>
    <row r="459" spans="1:31" s="12" customFormat="1" x14ac:dyDescent="0.25">
      <c r="A459" s="23"/>
      <c r="B459" s="20"/>
      <c r="C459" s="20"/>
      <c r="D459" s="20"/>
      <c r="E459" s="22"/>
      <c r="F459" s="22"/>
      <c r="G459" s="22"/>
      <c r="H459" s="22"/>
      <c r="I459" s="23"/>
      <c r="J459" s="23"/>
      <c r="K459" s="22"/>
      <c r="L459" s="22"/>
      <c r="M459" s="23"/>
      <c r="N459" s="23"/>
      <c r="O459" s="26"/>
      <c r="P459" s="26"/>
      <c r="Q459" s="26"/>
      <c r="R459" s="22"/>
      <c r="S459" s="24"/>
      <c r="T459" s="24"/>
      <c r="U459" s="24"/>
      <c r="V459" s="24"/>
      <c r="W459" s="24"/>
      <c r="X459" s="22"/>
      <c r="Y459" s="4" t="str">
        <f>IF(Tabela2[[#This Row],[SIGLA]]="","",VLOOKUP(Tabela2[[#This Row],[SIGLA]],Tabela1[[#All],[Sigla Arte]:[Crédito]],2,0))</f>
        <v/>
      </c>
      <c r="Z459" s="23"/>
      <c r="AA459" s="23" t="str">
        <f>Tabela2[[#This Row],[ILUSTRADOR CRIAÇÃO]]</f>
        <v/>
      </c>
      <c r="AB459" s="22"/>
      <c r="AC459" s="20"/>
      <c r="AD459" s="20"/>
      <c r="AE459" s="4" t="str">
        <f t="shared" si="7"/>
        <v>EF1 E002 HGC</v>
      </c>
    </row>
    <row r="460" spans="1:31" s="12" customFormat="1" x14ac:dyDescent="0.25">
      <c r="A460" s="23"/>
      <c r="B460" s="20"/>
      <c r="C460" s="20"/>
      <c r="D460" s="20"/>
      <c r="E460" s="22"/>
      <c r="F460" s="22"/>
      <c r="G460" s="22"/>
      <c r="H460" s="22"/>
      <c r="I460" s="23"/>
      <c r="J460" s="23"/>
      <c r="K460" s="22"/>
      <c r="L460" s="22"/>
      <c r="M460" s="23"/>
      <c r="N460" s="23"/>
      <c r="O460" s="26"/>
      <c r="P460" s="26"/>
      <c r="Q460" s="26"/>
      <c r="R460" s="22"/>
      <c r="S460" s="24"/>
      <c r="T460" s="24"/>
      <c r="U460" s="24"/>
      <c r="V460" s="24"/>
      <c r="W460" s="24"/>
      <c r="X460" s="22"/>
      <c r="Y460" s="4" t="str">
        <f>IF(Tabela2[[#This Row],[SIGLA]]="","",VLOOKUP(Tabela2[[#This Row],[SIGLA]],Tabela1[[#All],[Sigla Arte]:[Crédito]],2,0))</f>
        <v/>
      </c>
      <c r="Z460" s="23"/>
      <c r="AA460" s="23" t="str">
        <f>Tabela2[[#This Row],[ILUSTRADOR CRIAÇÃO]]</f>
        <v/>
      </c>
      <c r="AB460" s="22"/>
      <c r="AC460" s="20"/>
      <c r="AD460" s="20"/>
      <c r="AE460" s="4" t="str">
        <f t="shared" si="7"/>
        <v>EF1 E002 HGC</v>
      </c>
    </row>
    <row r="461" spans="1:31" s="12" customFormat="1" x14ac:dyDescent="0.25">
      <c r="A461" s="23"/>
      <c r="B461" s="20"/>
      <c r="C461" s="20"/>
      <c r="D461" s="20"/>
      <c r="E461" s="22"/>
      <c r="F461" s="22"/>
      <c r="G461" s="22"/>
      <c r="H461" s="22"/>
      <c r="I461" s="23"/>
      <c r="J461" s="23"/>
      <c r="K461" s="22"/>
      <c r="L461" s="22"/>
      <c r="M461" s="23"/>
      <c r="N461" s="23"/>
      <c r="O461" s="26"/>
      <c r="P461" s="26"/>
      <c r="Q461" s="26"/>
      <c r="R461" s="22"/>
      <c r="S461" s="24"/>
      <c r="T461" s="24"/>
      <c r="U461" s="24"/>
      <c r="V461" s="24"/>
      <c r="W461" s="24"/>
      <c r="X461" s="22"/>
      <c r="Y461" s="4" t="str">
        <f>IF(Tabela2[[#This Row],[SIGLA]]="","",VLOOKUP(Tabela2[[#This Row],[SIGLA]],Tabela1[[#All],[Sigla Arte]:[Crédito]],2,0))</f>
        <v/>
      </c>
      <c r="Z461" s="23"/>
      <c r="AA461" s="23" t="str">
        <f>Tabela2[[#This Row],[ILUSTRADOR CRIAÇÃO]]</f>
        <v/>
      </c>
      <c r="AB461" s="22"/>
      <c r="AC461" s="20"/>
      <c r="AD461" s="20"/>
      <c r="AE461" s="4" t="str">
        <f t="shared" si="7"/>
        <v>EF1 E002 HGC</v>
      </c>
    </row>
    <row r="462" spans="1:31" s="12" customFormat="1" x14ac:dyDescent="0.25">
      <c r="A462" s="23"/>
      <c r="B462" s="20"/>
      <c r="C462" s="20"/>
      <c r="D462" s="20"/>
      <c r="E462" s="22"/>
      <c r="F462" s="22"/>
      <c r="G462" s="22"/>
      <c r="H462" s="22"/>
      <c r="I462" s="23"/>
      <c r="J462" s="23"/>
      <c r="K462" s="22"/>
      <c r="L462" s="22"/>
      <c r="M462" s="23"/>
      <c r="N462" s="23"/>
      <c r="O462" s="26"/>
      <c r="P462" s="26"/>
      <c r="Q462" s="26"/>
      <c r="R462" s="22"/>
      <c r="S462" s="24"/>
      <c r="T462" s="24"/>
      <c r="U462" s="24"/>
      <c r="V462" s="24"/>
      <c r="W462" s="24"/>
      <c r="X462" s="22"/>
      <c r="Y462" s="4" t="str">
        <f>IF(Tabela2[[#This Row],[SIGLA]]="","",VLOOKUP(Tabela2[[#This Row],[SIGLA]],Tabela1[[#All],[Sigla Arte]:[Crédito]],2,0))</f>
        <v/>
      </c>
      <c r="Z462" s="23"/>
      <c r="AA462" s="23" t="str">
        <f>Tabela2[[#This Row],[ILUSTRADOR CRIAÇÃO]]</f>
        <v/>
      </c>
      <c r="AB462" s="22"/>
      <c r="AC462" s="20"/>
      <c r="AD462" s="20"/>
      <c r="AE462" s="4" t="str">
        <f t="shared" si="7"/>
        <v>EF1 E002 HGC</v>
      </c>
    </row>
    <row r="463" spans="1:31" s="12" customFormat="1" x14ac:dyDescent="0.25">
      <c r="A463" s="23"/>
      <c r="B463" s="20"/>
      <c r="C463" s="20"/>
      <c r="D463" s="20"/>
      <c r="E463" s="22"/>
      <c r="F463" s="22"/>
      <c r="G463" s="22"/>
      <c r="H463" s="22"/>
      <c r="I463" s="23"/>
      <c r="J463" s="23"/>
      <c r="K463" s="22"/>
      <c r="L463" s="22"/>
      <c r="M463" s="23"/>
      <c r="N463" s="23"/>
      <c r="O463" s="26"/>
      <c r="P463" s="26"/>
      <c r="Q463" s="26"/>
      <c r="R463" s="22"/>
      <c r="S463" s="24"/>
      <c r="T463" s="24"/>
      <c r="U463" s="24"/>
      <c r="V463" s="24"/>
      <c r="W463" s="24"/>
      <c r="X463" s="22"/>
      <c r="Y463" s="4" t="str">
        <f>IF(Tabela2[[#This Row],[SIGLA]]="","",VLOOKUP(Tabela2[[#This Row],[SIGLA]],Tabela1[[#All],[Sigla Arte]:[Crédito]],2,0))</f>
        <v/>
      </c>
      <c r="Z463" s="23"/>
      <c r="AA463" s="23" t="str">
        <f>Tabela2[[#This Row],[ILUSTRADOR CRIAÇÃO]]</f>
        <v/>
      </c>
      <c r="AB463" s="22"/>
      <c r="AC463" s="20"/>
      <c r="AD463" s="20"/>
      <c r="AE463" s="4" t="str">
        <f t="shared" si="7"/>
        <v>EF1 E002 HGC</v>
      </c>
    </row>
    <row r="464" spans="1:31" s="12" customFormat="1" x14ac:dyDescent="0.25">
      <c r="A464" s="23"/>
      <c r="B464" s="20"/>
      <c r="C464" s="20"/>
      <c r="D464" s="20"/>
      <c r="E464" s="22"/>
      <c r="F464" s="22"/>
      <c r="G464" s="22"/>
      <c r="H464" s="22"/>
      <c r="I464" s="23"/>
      <c r="J464" s="23"/>
      <c r="K464" s="22"/>
      <c r="L464" s="22"/>
      <c r="M464" s="23"/>
      <c r="N464" s="23"/>
      <c r="O464" s="26"/>
      <c r="P464" s="26"/>
      <c r="Q464" s="26"/>
      <c r="R464" s="22"/>
      <c r="S464" s="24"/>
      <c r="T464" s="24"/>
      <c r="U464" s="24"/>
      <c r="V464" s="24"/>
      <c r="W464" s="24"/>
      <c r="X464" s="22"/>
      <c r="Y464" s="4" t="str">
        <f>IF(Tabela2[[#This Row],[SIGLA]]="","",VLOOKUP(Tabela2[[#This Row],[SIGLA]],Tabela1[[#All],[Sigla Arte]:[Crédito]],2,0))</f>
        <v/>
      </c>
      <c r="Z464" s="23"/>
      <c r="AA464" s="23" t="str">
        <f>Tabela2[[#This Row],[ILUSTRADOR CRIAÇÃO]]</f>
        <v/>
      </c>
      <c r="AB464" s="22"/>
      <c r="AC464" s="20"/>
      <c r="AD464" s="20"/>
      <c r="AE464" s="4" t="str">
        <f t="shared" si="7"/>
        <v>EF1 E002 HGC</v>
      </c>
    </row>
    <row r="465" spans="1:31" s="12" customFormat="1" x14ac:dyDescent="0.25">
      <c r="A465" s="23"/>
      <c r="B465" s="20"/>
      <c r="C465" s="20"/>
      <c r="D465" s="20"/>
      <c r="E465" s="22"/>
      <c r="F465" s="22"/>
      <c r="G465" s="22"/>
      <c r="H465" s="22"/>
      <c r="I465" s="23"/>
      <c r="J465" s="23"/>
      <c r="K465" s="22"/>
      <c r="L465" s="22"/>
      <c r="M465" s="23"/>
      <c r="N465" s="23"/>
      <c r="O465" s="26"/>
      <c r="P465" s="26"/>
      <c r="Q465" s="26"/>
      <c r="R465" s="22"/>
      <c r="S465" s="24"/>
      <c r="T465" s="24"/>
      <c r="U465" s="24"/>
      <c r="V465" s="24"/>
      <c r="W465" s="24"/>
      <c r="X465" s="22"/>
      <c r="Y465" s="4" t="str">
        <f>IF(Tabela2[[#This Row],[SIGLA]]="","",VLOOKUP(Tabela2[[#This Row],[SIGLA]],Tabela1[[#All],[Sigla Arte]:[Crédito]],2,0))</f>
        <v/>
      </c>
      <c r="Z465" s="23"/>
      <c r="AA465" s="23" t="str">
        <f>Tabela2[[#This Row],[ILUSTRADOR CRIAÇÃO]]</f>
        <v/>
      </c>
      <c r="AB465" s="22"/>
      <c r="AC465" s="20"/>
      <c r="AD465" s="20"/>
      <c r="AE465" s="4" t="str">
        <f t="shared" si="7"/>
        <v>EF1 E002 HGC</v>
      </c>
    </row>
    <row r="466" spans="1:31" s="12" customFormat="1" x14ac:dyDescent="0.25">
      <c r="A466" s="23"/>
      <c r="B466" s="20"/>
      <c r="C466" s="20"/>
      <c r="D466" s="20"/>
      <c r="E466" s="22"/>
      <c r="F466" s="22"/>
      <c r="G466" s="22"/>
      <c r="H466" s="22"/>
      <c r="I466" s="23"/>
      <c r="J466" s="23"/>
      <c r="K466" s="22"/>
      <c r="L466" s="22"/>
      <c r="M466" s="23"/>
      <c r="N466" s="23"/>
      <c r="O466" s="26"/>
      <c r="P466" s="26"/>
      <c r="Q466" s="26"/>
      <c r="R466" s="22"/>
      <c r="S466" s="24"/>
      <c r="T466" s="24"/>
      <c r="U466" s="24"/>
      <c r="V466" s="24"/>
      <c r="W466" s="24"/>
      <c r="X466" s="22"/>
      <c r="Y466" s="4" t="str">
        <f>IF(Tabela2[[#This Row],[SIGLA]]="","",VLOOKUP(Tabela2[[#This Row],[SIGLA]],Tabela1[[#All],[Sigla Arte]:[Crédito]],2,0))</f>
        <v/>
      </c>
      <c r="Z466" s="23"/>
      <c r="AA466" s="23" t="str">
        <f>Tabela2[[#This Row],[ILUSTRADOR CRIAÇÃO]]</f>
        <v/>
      </c>
      <c r="AB466" s="22"/>
      <c r="AC466" s="20"/>
      <c r="AD466" s="20"/>
      <c r="AE466" s="4" t="str">
        <f t="shared" si="7"/>
        <v>EF1 E002 HGC</v>
      </c>
    </row>
    <row r="467" spans="1:31" s="12" customFormat="1" x14ac:dyDescent="0.25">
      <c r="A467" s="23"/>
      <c r="B467" s="20"/>
      <c r="C467" s="20"/>
      <c r="D467" s="20"/>
      <c r="E467" s="22"/>
      <c r="F467" s="22"/>
      <c r="G467" s="22"/>
      <c r="H467" s="22"/>
      <c r="I467" s="23"/>
      <c r="J467" s="23"/>
      <c r="K467" s="22"/>
      <c r="L467" s="22"/>
      <c r="M467" s="23"/>
      <c r="N467" s="23"/>
      <c r="O467" s="26"/>
      <c r="P467" s="26"/>
      <c r="Q467" s="26"/>
      <c r="R467" s="22"/>
      <c r="S467" s="24"/>
      <c r="T467" s="24"/>
      <c r="U467" s="24"/>
      <c r="V467" s="24"/>
      <c r="W467" s="24"/>
      <c r="X467" s="22"/>
      <c r="Y467" s="4" t="str">
        <f>IF(Tabela2[[#This Row],[SIGLA]]="","",VLOOKUP(Tabela2[[#This Row],[SIGLA]],Tabela1[[#All],[Sigla Arte]:[Crédito]],2,0))</f>
        <v/>
      </c>
      <c r="Z467" s="23"/>
      <c r="AA467" s="23" t="str">
        <f>Tabela2[[#This Row],[ILUSTRADOR CRIAÇÃO]]</f>
        <v/>
      </c>
      <c r="AB467" s="22"/>
      <c r="AC467" s="20"/>
      <c r="AD467" s="20"/>
      <c r="AE467" s="4" t="str">
        <f t="shared" si="7"/>
        <v>EF1 E002 HGC</v>
      </c>
    </row>
    <row r="468" spans="1:31" s="12" customFormat="1" x14ac:dyDescent="0.25">
      <c r="A468" s="23"/>
      <c r="B468" s="20"/>
      <c r="C468" s="20"/>
      <c r="D468" s="20"/>
      <c r="E468" s="22"/>
      <c r="F468" s="22"/>
      <c r="G468" s="22"/>
      <c r="H468" s="22"/>
      <c r="I468" s="23"/>
      <c r="J468" s="23"/>
      <c r="K468" s="22"/>
      <c r="L468" s="22"/>
      <c r="M468" s="23"/>
      <c r="N468" s="23"/>
      <c r="O468" s="26"/>
      <c r="P468" s="26"/>
      <c r="Q468" s="26"/>
      <c r="R468" s="22"/>
      <c r="S468" s="24"/>
      <c r="T468" s="24"/>
      <c r="U468" s="24"/>
      <c r="V468" s="24"/>
      <c r="W468" s="24"/>
      <c r="X468" s="22"/>
      <c r="Y468" s="4" t="str">
        <f>IF(Tabela2[[#This Row],[SIGLA]]="","",VLOOKUP(Tabela2[[#This Row],[SIGLA]],Tabela1[[#All],[Sigla Arte]:[Crédito]],2,0))</f>
        <v/>
      </c>
      <c r="Z468" s="23"/>
      <c r="AA468" s="23" t="str">
        <f>Tabela2[[#This Row],[ILUSTRADOR CRIAÇÃO]]</f>
        <v/>
      </c>
      <c r="AB468" s="22"/>
      <c r="AC468" s="20"/>
      <c r="AD468" s="20"/>
      <c r="AE468" s="4" t="str">
        <f t="shared" si="7"/>
        <v>EF1 E002 HGC</v>
      </c>
    </row>
    <row r="469" spans="1:31" s="12" customFormat="1" x14ac:dyDescent="0.25">
      <c r="A469" s="23"/>
      <c r="B469" s="20"/>
      <c r="C469" s="20"/>
      <c r="D469" s="20"/>
      <c r="E469" s="22"/>
      <c r="F469" s="22"/>
      <c r="G469" s="22"/>
      <c r="H469" s="22"/>
      <c r="I469" s="23"/>
      <c r="J469" s="23"/>
      <c r="K469" s="22"/>
      <c r="L469" s="22"/>
      <c r="M469" s="23"/>
      <c r="N469" s="23"/>
      <c r="O469" s="26"/>
      <c r="P469" s="26"/>
      <c r="Q469" s="26"/>
      <c r="R469" s="22"/>
      <c r="S469" s="24"/>
      <c r="T469" s="24"/>
      <c r="U469" s="24"/>
      <c r="V469" s="24"/>
      <c r="W469" s="24"/>
      <c r="X469" s="22"/>
      <c r="Y469" s="4" t="str">
        <f>IF(Tabela2[[#This Row],[SIGLA]]="","",VLOOKUP(Tabela2[[#This Row],[SIGLA]],Tabela1[[#All],[Sigla Arte]:[Crédito]],2,0))</f>
        <v/>
      </c>
      <c r="Z469" s="23"/>
      <c r="AA469" s="23" t="str">
        <f>Tabela2[[#This Row],[ILUSTRADOR CRIAÇÃO]]</f>
        <v/>
      </c>
      <c r="AB469" s="22"/>
      <c r="AC469" s="20"/>
      <c r="AD469" s="20"/>
      <c r="AE469" s="4" t="str">
        <f t="shared" si="7"/>
        <v>EF1 E002 HGC</v>
      </c>
    </row>
    <row r="470" spans="1:31" s="12" customFormat="1" x14ac:dyDescent="0.25">
      <c r="A470" s="23"/>
      <c r="B470" s="20"/>
      <c r="C470" s="20"/>
      <c r="D470" s="20"/>
      <c r="E470" s="22"/>
      <c r="F470" s="22"/>
      <c r="G470" s="22"/>
      <c r="H470" s="22"/>
      <c r="I470" s="23"/>
      <c r="J470" s="23"/>
      <c r="K470" s="22"/>
      <c r="L470" s="22"/>
      <c r="M470" s="23"/>
      <c r="N470" s="23"/>
      <c r="O470" s="26"/>
      <c r="P470" s="26"/>
      <c r="Q470" s="26"/>
      <c r="R470" s="22"/>
      <c r="S470" s="24"/>
      <c r="T470" s="24"/>
      <c r="U470" s="24"/>
      <c r="V470" s="24"/>
      <c r="W470" s="24"/>
      <c r="X470" s="22"/>
      <c r="Y470" s="4" t="str">
        <f>IF(Tabela2[[#This Row],[SIGLA]]="","",VLOOKUP(Tabela2[[#This Row],[SIGLA]],Tabela1[[#All],[Sigla Arte]:[Crédito]],2,0))</f>
        <v/>
      </c>
      <c r="Z470" s="23"/>
      <c r="AA470" s="23" t="str">
        <f>Tabela2[[#This Row],[ILUSTRADOR CRIAÇÃO]]</f>
        <v/>
      </c>
      <c r="AB470" s="22"/>
      <c r="AC470" s="20"/>
      <c r="AD470" s="20"/>
      <c r="AE470" s="4" t="str">
        <f t="shared" si="7"/>
        <v>EF1 E002 HGC</v>
      </c>
    </row>
    <row r="471" spans="1:31" s="12" customFormat="1" x14ac:dyDescent="0.25">
      <c r="A471" s="23"/>
      <c r="B471" s="20"/>
      <c r="C471" s="20"/>
      <c r="D471" s="20"/>
      <c r="E471" s="22"/>
      <c r="F471" s="22"/>
      <c r="G471" s="22"/>
      <c r="H471" s="22"/>
      <c r="I471" s="23"/>
      <c r="J471" s="23"/>
      <c r="K471" s="22"/>
      <c r="L471" s="22"/>
      <c r="M471" s="23"/>
      <c r="N471" s="23"/>
      <c r="O471" s="26"/>
      <c r="P471" s="26"/>
      <c r="Q471" s="26"/>
      <c r="R471" s="22"/>
      <c r="S471" s="24"/>
      <c r="T471" s="24"/>
      <c r="U471" s="24"/>
      <c r="V471" s="24"/>
      <c r="W471" s="24"/>
      <c r="X471" s="22"/>
      <c r="Y471" s="4" t="str">
        <f>IF(Tabela2[[#This Row],[SIGLA]]="","",VLOOKUP(Tabela2[[#This Row],[SIGLA]],Tabela1[[#All],[Sigla Arte]:[Crédito]],2,0))</f>
        <v/>
      </c>
      <c r="Z471" s="23"/>
      <c r="AA471" s="23" t="str">
        <f>Tabela2[[#This Row],[ILUSTRADOR CRIAÇÃO]]</f>
        <v/>
      </c>
      <c r="AB471" s="22"/>
      <c r="AC471" s="20"/>
      <c r="AD471" s="20"/>
      <c r="AE471" s="4" t="str">
        <f t="shared" si="7"/>
        <v>EF1 E002 HGC</v>
      </c>
    </row>
    <row r="472" spans="1:31" s="12" customFormat="1" x14ac:dyDescent="0.25">
      <c r="A472" s="23"/>
      <c r="B472" s="20"/>
      <c r="C472" s="20"/>
      <c r="D472" s="20"/>
      <c r="E472" s="22"/>
      <c r="F472" s="22"/>
      <c r="G472" s="22"/>
      <c r="H472" s="22"/>
      <c r="I472" s="23"/>
      <c r="J472" s="23"/>
      <c r="K472" s="22"/>
      <c r="L472" s="22"/>
      <c r="M472" s="23"/>
      <c r="N472" s="23"/>
      <c r="O472" s="26"/>
      <c r="P472" s="26"/>
      <c r="Q472" s="26"/>
      <c r="R472" s="22"/>
      <c r="S472" s="24"/>
      <c r="T472" s="24"/>
      <c r="U472" s="24"/>
      <c r="V472" s="24"/>
      <c r="W472" s="24"/>
      <c r="X472" s="22"/>
      <c r="Y472" s="4" t="str">
        <f>IF(Tabela2[[#This Row],[SIGLA]]="","",VLOOKUP(Tabela2[[#This Row],[SIGLA]],Tabela1[[#All],[Sigla Arte]:[Crédito]],2,0))</f>
        <v/>
      </c>
      <c r="Z472" s="23"/>
      <c r="AA472" s="23" t="str">
        <f>Tabela2[[#This Row],[ILUSTRADOR CRIAÇÃO]]</f>
        <v/>
      </c>
      <c r="AB472" s="22"/>
      <c r="AC472" s="20"/>
      <c r="AD472" s="20"/>
      <c r="AE472" s="4" t="str">
        <f t="shared" si="7"/>
        <v>EF1 E002 HGC</v>
      </c>
    </row>
    <row r="473" spans="1:31" s="12" customFormat="1" x14ac:dyDescent="0.25">
      <c r="A473" s="23"/>
      <c r="B473" s="20"/>
      <c r="C473" s="20"/>
      <c r="D473" s="20"/>
      <c r="E473" s="22"/>
      <c r="F473" s="22"/>
      <c r="G473" s="22"/>
      <c r="H473" s="22"/>
      <c r="I473" s="23"/>
      <c r="J473" s="23"/>
      <c r="K473" s="22"/>
      <c r="L473" s="22"/>
      <c r="M473" s="23"/>
      <c r="N473" s="23"/>
      <c r="O473" s="26"/>
      <c r="P473" s="26"/>
      <c r="Q473" s="26"/>
      <c r="R473" s="22"/>
      <c r="S473" s="24"/>
      <c r="T473" s="24"/>
      <c r="U473" s="24"/>
      <c r="V473" s="24"/>
      <c r="W473" s="24"/>
      <c r="X473" s="22"/>
      <c r="Y473" s="4" t="str">
        <f>IF(Tabela2[[#This Row],[SIGLA]]="","",VLOOKUP(Tabela2[[#This Row],[SIGLA]],Tabela1[[#All],[Sigla Arte]:[Crédito]],2,0))</f>
        <v/>
      </c>
      <c r="Z473" s="23"/>
      <c r="AA473" s="23" t="str">
        <f>Tabela2[[#This Row],[ILUSTRADOR CRIAÇÃO]]</f>
        <v/>
      </c>
      <c r="AB473" s="22"/>
      <c r="AC473" s="20"/>
      <c r="AD473" s="20"/>
      <c r="AE473" s="4" t="str">
        <f t="shared" si="7"/>
        <v>EF1 E002 HGC</v>
      </c>
    </row>
    <row r="474" spans="1:31" s="12" customFormat="1" x14ac:dyDescent="0.25">
      <c r="A474" s="23"/>
      <c r="B474" s="20"/>
      <c r="C474" s="20"/>
      <c r="D474" s="20"/>
      <c r="E474" s="22"/>
      <c r="F474" s="22"/>
      <c r="G474" s="22"/>
      <c r="H474" s="22"/>
      <c r="I474" s="23"/>
      <c r="J474" s="23"/>
      <c r="K474" s="22"/>
      <c r="L474" s="22"/>
      <c r="M474" s="23"/>
      <c r="N474" s="23"/>
      <c r="O474" s="26"/>
      <c r="P474" s="26"/>
      <c r="Q474" s="26"/>
      <c r="R474" s="22"/>
      <c r="S474" s="24"/>
      <c r="T474" s="24"/>
      <c r="U474" s="24"/>
      <c r="V474" s="24"/>
      <c r="W474" s="24"/>
      <c r="X474" s="22"/>
      <c r="Y474" s="4" t="str">
        <f>IF(Tabela2[[#This Row],[SIGLA]]="","",VLOOKUP(Tabela2[[#This Row],[SIGLA]],Tabela1[[#All],[Sigla Arte]:[Crédito]],2,0))</f>
        <v/>
      </c>
      <c r="Z474" s="23"/>
      <c r="AA474" s="23" t="str">
        <f>Tabela2[[#This Row],[ILUSTRADOR CRIAÇÃO]]</f>
        <v/>
      </c>
      <c r="AB474" s="22"/>
      <c r="AC474" s="20"/>
      <c r="AD474" s="20"/>
      <c r="AE474" s="4" t="str">
        <f t="shared" si="7"/>
        <v>EF1 E002 HGC</v>
      </c>
    </row>
    <row r="475" spans="1:31" s="12" customFormat="1" x14ac:dyDescent="0.25">
      <c r="A475" s="23"/>
      <c r="B475" s="20"/>
      <c r="C475" s="20"/>
      <c r="D475" s="20"/>
      <c r="E475" s="22"/>
      <c r="F475" s="22"/>
      <c r="G475" s="22"/>
      <c r="H475" s="22"/>
      <c r="I475" s="23"/>
      <c r="J475" s="23"/>
      <c r="K475" s="22"/>
      <c r="L475" s="22"/>
      <c r="M475" s="23"/>
      <c r="N475" s="23"/>
      <c r="O475" s="26"/>
      <c r="P475" s="26"/>
      <c r="Q475" s="26"/>
      <c r="R475" s="22"/>
      <c r="S475" s="24"/>
      <c r="T475" s="24"/>
      <c r="U475" s="24"/>
      <c r="V475" s="24"/>
      <c r="W475" s="24"/>
      <c r="X475" s="22"/>
      <c r="Y475" s="4" t="str">
        <f>IF(Tabela2[[#This Row],[SIGLA]]="","",VLOOKUP(Tabela2[[#This Row],[SIGLA]],Tabela1[[#All],[Sigla Arte]:[Crédito]],2,0))</f>
        <v/>
      </c>
      <c r="Z475" s="23"/>
      <c r="AA475" s="23" t="str">
        <f>Tabela2[[#This Row],[ILUSTRADOR CRIAÇÃO]]</f>
        <v/>
      </c>
      <c r="AB475" s="22"/>
      <c r="AC475" s="20"/>
      <c r="AD475" s="20"/>
      <c r="AE475" s="4" t="str">
        <f t="shared" si="7"/>
        <v>EF1 E002 HGC</v>
      </c>
    </row>
    <row r="476" spans="1:31" s="12" customFormat="1" x14ac:dyDescent="0.25">
      <c r="A476" s="23"/>
      <c r="B476" s="20"/>
      <c r="C476" s="20"/>
      <c r="D476" s="20"/>
      <c r="E476" s="22"/>
      <c r="F476" s="22"/>
      <c r="G476" s="22"/>
      <c r="H476" s="22"/>
      <c r="I476" s="23"/>
      <c r="J476" s="23"/>
      <c r="K476" s="22"/>
      <c r="L476" s="22"/>
      <c r="M476" s="23"/>
      <c r="N476" s="23"/>
      <c r="O476" s="26"/>
      <c r="P476" s="26"/>
      <c r="Q476" s="26"/>
      <c r="R476" s="22"/>
      <c r="S476" s="24"/>
      <c r="T476" s="24"/>
      <c r="U476" s="24"/>
      <c r="V476" s="24"/>
      <c r="W476" s="24"/>
      <c r="X476" s="22"/>
      <c r="Y476" s="4" t="str">
        <f>IF(Tabela2[[#This Row],[SIGLA]]="","",VLOOKUP(Tabela2[[#This Row],[SIGLA]],Tabela1[[#All],[Sigla Arte]:[Crédito]],2,0))</f>
        <v/>
      </c>
      <c r="Z476" s="23"/>
      <c r="AA476" s="23" t="str">
        <f>Tabela2[[#This Row],[ILUSTRADOR CRIAÇÃO]]</f>
        <v/>
      </c>
      <c r="AB476" s="22"/>
      <c r="AC476" s="20"/>
      <c r="AD476" s="20"/>
      <c r="AE476" s="4" t="str">
        <f t="shared" si="7"/>
        <v>EF1 E002 HGC</v>
      </c>
    </row>
    <row r="477" spans="1:31" s="12" customFormat="1" x14ac:dyDescent="0.25">
      <c r="A477" s="23"/>
      <c r="B477" s="20"/>
      <c r="C477" s="20"/>
      <c r="D477" s="20"/>
      <c r="E477" s="22"/>
      <c r="F477" s="22"/>
      <c r="G477" s="22"/>
      <c r="H477" s="22"/>
      <c r="I477" s="23"/>
      <c r="J477" s="23"/>
      <c r="K477" s="22"/>
      <c r="L477" s="22"/>
      <c r="M477" s="23"/>
      <c r="N477" s="23"/>
      <c r="O477" s="26"/>
      <c r="P477" s="26"/>
      <c r="Q477" s="26"/>
      <c r="R477" s="22"/>
      <c r="S477" s="24"/>
      <c r="T477" s="24"/>
      <c r="U477" s="24"/>
      <c r="V477" s="24"/>
      <c r="W477" s="24"/>
      <c r="X477" s="22"/>
      <c r="Y477" s="4" t="str">
        <f>IF(Tabela2[[#This Row],[SIGLA]]="","",VLOOKUP(Tabela2[[#This Row],[SIGLA]],Tabela1[[#All],[Sigla Arte]:[Crédito]],2,0))</f>
        <v/>
      </c>
      <c r="Z477" s="23"/>
      <c r="AA477" s="23" t="str">
        <f>Tabela2[[#This Row],[ILUSTRADOR CRIAÇÃO]]</f>
        <v/>
      </c>
      <c r="AB477" s="22"/>
      <c r="AC477" s="20"/>
      <c r="AD477" s="20"/>
      <c r="AE477" s="4" t="str">
        <f t="shared" si="7"/>
        <v>EF1 E002 HGC</v>
      </c>
    </row>
    <row r="478" spans="1:31" s="12" customFormat="1" x14ac:dyDescent="0.25">
      <c r="A478" s="23"/>
      <c r="B478" s="20"/>
      <c r="C478" s="20"/>
      <c r="D478" s="20"/>
      <c r="E478" s="22"/>
      <c r="F478" s="22"/>
      <c r="G478" s="22"/>
      <c r="H478" s="22"/>
      <c r="I478" s="23"/>
      <c r="J478" s="23"/>
      <c r="K478" s="22"/>
      <c r="L478" s="22"/>
      <c r="M478" s="23"/>
      <c r="N478" s="23"/>
      <c r="O478" s="26"/>
      <c r="P478" s="26"/>
      <c r="Q478" s="26"/>
      <c r="R478" s="22"/>
      <c r="S478" s="24"/>
      <c r="T478" s="24"/>
      <c r="U478" s="24"/>
      <c r="V478" s="24"/>
      <c r="W478" s="24"/>
      <c r="X478" s="22"/>
      <c r="Y478" s="4" t="str">
        <f>IF(Tabela2[[#This Row],[SIGLA]]="","",VLOOKUP(Tabela2[[#This Row],[SIGLA]],Tabela1[[#All],[Sigla Arte]:[Crédito]],2,0))</f>
        <v/>
      </c>
      <c r="Z478" s="23"/>
      <c r="AA478" s="23" t="str">
        <f>Tabela2[[#This Row],[ILUSTRADOR CRIAÇÃO]]</f>
        <v/>
      </c>
      <c r="AB478" s="22"/>
      <c r="AC478" s="20"/>
      <c r="AD478" s="20"/>
      <c r="AE478" s="4" t="str">
        <f t="shared" si="7"/>
        <v>EF1 E002 HGC</v>
      </c>
    </row>
    <row r="479" spans="1:31" s="12" customFormat="1" x14ac:dyDescent="0.25">
      <c r="A479" s="23"/>
      <c r="B479" s="20"/>
      <c r="C479" s="20"/>
      <c r="D479" s="20"/>
      <c r="E479" s="22"/>
      <c r="F479" s="22"/>
      <c r="G479" s="22"/>
      <c r="H479" s="22"/>
      <c r="I479" s="23"/>
      <c r="J479" s="23"/>
      <c r="K479" s="22"/>
      <c r="L479" s="22"/>
      <c r="M479" s="23"/>
      <c r="N479" s="23"/>
      <c r="O479" s="26"/>
      <c r="P479" s="26"/>
      <c r="Q479" s="26"/>
      <c r="R479" s="22"/>
      <c r="S479" s="24"/>
      <c r="T479" s="24"/>
      <c r="U479" s="24"/>
      <c r="V479" s="24"/>
      <c r="W479" s="24"/>
      <c r="X479" s="22"/>
      <c r="Y479" s="4" t="str">
        <f>IF(Tabela2[[#This Row],[SIGLA]]="","",VLOOKUP(Tabela2[[#This Row],[SIGLA]],Tabela1[[#All],[Sigla Arte]:[Crédito]],2,0))</f>
        <v/>
      </c>
      <c r="Z479" s="23"/>
      <c r="AA479" s="23" t="str">
        <f>Tabela2[[#This Row],[ILUSTRADOR CRIAÇÃO]]</f>
        <v/>
      </c>
      <c r="AB479" s="22"/>
      <c r="AC479" s="20"/>
      <c r="AD479" s="20"/>
      <c r="AE479" s="4" t="str">
        <f t="shared" si="7"/>
        <v>EF1 E002 HGC</v>
      </c>
    </row>
    <row r="480" spans="1:31" s="12" customFormat="1" x14ac:dyDescent="0.25">
      <c r="A480" s="23"/>
      <c r="B480" s="20"/>
      <c r="C480" s="20"/>
      <c r="D480" s="20"/>
      <c r="E480" s="22"/>
      <c r="F480" s="22"/>
      <c r="G480" s="22"/>
      <c r="H480" s="22"/>
      <c r="I480" s="23"/>
      <c r="J480" s="23"/>
      <c r="K480" s="22"/>
      <c r="L480" s="22"/>
      <c r="M480" s="23"/>
      <c r="N480" s="23"/>
      <c r="O480" s="26"/>
      <c r="P480" s="26"/>
      <c r="Q480" s="26"/>
      <c r="R480" s="22"/>
      <c r="S480" s="24"/>
      <c r="T480" s="24"/>
      <c r="U480" s="24"/>
      <c r="V480" s="24"/>
      <c r="W480" s="24"/>
      <c r="X480" s="22"/>
      <c r="Y480" s="4" t="str">
        <f>IF(Tabela2[[#This Row],[SIGLA]]="","",VLOOKUP(Tabela2[[#This Row],[SIGLA]],Tabela1[[#All],[Sigla Arte]:[Crédito]],2,0))</f>
        <v/>
      </c>
      <c r="Z480" s="23"/>
      <c r="AA480" s="23" t="str">
        <f>Tabela2[[#This Row],[ILUSTRADOR CRIAÇÃO]]</f>
        <v/>
      </c>
      <c r="AB480" s="22"/>
      <c r="AC480" s="20"/>
      <c r="AD480" s="20"/>
      <c r="AE480" s="4" t="str">
        <f t="shared" si="7"/>
        <v>EF1 E002 HGC</v>
      </c>
    </row>
    <row r="481" spans="1:31" s="12" customFormat="1" x14ac:dyDescent="0.25">
      <c r="A481" s="23"/>
      <c r="B481" s="20"/>
      <c r="C481" s="20"/>
      <c r="D481" s="20"/>
      <c r="E481" s="22"/>
      <c r="F481" s="22"/>
      <c r="G481" s="22"/>
      <c r="H481" s="22"/>
      <c r="I481" s="23"/>
      <c r="J481" s="23"/>
      <c r="K481" s="22"/>
      <c r="L481" s="22"/>
      <c r="M481" s="23"/>
      <c r="N481" s="23"/>
      <c r="O481" s="26"/>
      <c r="P481" s="26"/>
      <c r="Q481" s="26"/>
      <c r="R481" s="22"/>
      <c r="S481" s="24"/>
      <c r="T481" s="24"/>
      <c r="U481" s="24"/>
      <c r="V481" s="24"/>
      <c r="W481" s="24"/>
      <c r="X481" s="22"/>
      <c r="Y481" s="4" t="str">
        <f>IF(Tabela2[[#This Row],[SIGLA]]="","",VLOOKUP(Tabela2[[#This Row],[SIGLA]],Tabela1[[#All],[Sigla Arte]:[Crédito]],2,0))</f>
        <v/>
      </c>
      <c r="Z481" s="23"/>
      <c r="AA481" s="23" t="str">
        <f>Tabela2[[#This Row],[ILUSTRADOR CRIAÇÃO]]</f>
        <v/>
      </c>
      <c r="AB481" s="22"/>
      <c r="AC481" s="20"/>
      <c r="AD481" s="20"/>
      <c r="AE481" s="4" t="str">
        <f t="shared" si="7"/>
        <v>EF1 E002 HGC</v>
      </c>
    </row>
    <row r="482" spans="1:31" s="12" customFormat="1" x14ac:dyDescent="0.25">
      <c r="A482" s="23"/>
      <c r="B482" s="20"/>
      <c r="C482" s="20"/>
      <c r="D482" s="20"/>
      <c r="E482" s="22"/>
      <c r="F482" s="22"/>
      <c r="G482" s="22"/>
      <c r="H482" s="22"/>
      <c r="I482" s="23"/>
      <c r="J482" s="23"/>
      <c r="K482" s="22"/>
      <c r="L482" s="22"/>
      <c r="M482" s="23"/>
      <c r="N482" s="23"/>
      <c r="O482" s="26"/>
      <c r="P482" s="26"/>
      <c r="Q482" s="26"/>
      <c r="R482" s="22"/>
      <c r="S482" s="24"/>
      <c r="T482" s="24"/>
      <c r="U482" s="24"/>
      <c r="V482" s="24"/>
      <c r="W482" s="24"/>
      <c r="X482" s="22"/>
      <c r="Y482" s="4" t="str">
        <f>IF(Tabela2[[#This Row],[SIGLA]]="","",VLOOKUP(Tabela2[[#This Row],[SIGLA]],Tabela1[[#All],[Sigla Arte]:[Crédito]],2,0))</f>
        <v/>
      </c>
      <c r="Z482" s="23"/>
      <c r="AA482" s="23" t="str">
        <f>Tabela2[[#This Row],[ILUSTRADOR CRIAÇÃO]]</f>
        <v/>
      </c>
      <c r="AB482" s="22"/>
      <c r="AC482" s="20"/>
      <c r="AD482" s="20"/>
      <c r="AE482" s="4" t="str">
        <f t="shared" si="7"/>
        <v>EF1 E002 HGC</v>
      </c>
    </row>
    <row r="483" spans="1:31" s="12" customFormat="1" x14ac:dyDescent="0.25">
      <c r="A483" s="23"/>
      <c r="B483" s="20"/>
      <c r="C483" s="20"/>
      <c r="D483" s="20"/>
      <c r="E483" s="22"/>
      <c r="F483" s="22"/>
      <c r="G483" s="22"/>
      <c r="H483" s="22"/>
      <c r="I483" s="23"/>
      <c r="J483" s="23"/>
      <c r="K483" s="22"/>
      <c r="L483" s="22"/>
      <c r="M483" s="23"/>
      <c r="N483" s="23"/>
      <c r="O483" s="26"/>
      <c r="P483" s="26"/>
      <c r="Q483" s="26"/>
      <c r="R483" s="22"/>
      <c r="S483" s="24"/>
      <c r="T483" s="24"/>
      <c r="U483" s="24"/>
      <c r="V483" s="24"/>
      <c r="W483" s="24"/>
      <c r="X483" s="22"/>
      <c r="Y483" s="4" t="str">
        <f>IF(Tabela2[[#This Row],[SIGLA]]="","",VLOOKUP(Tabela2[[#This Row],[SIGLA]],Tabela1[[#All],[Sigla Arte]:[Crédito]],2,0))</f>
        <v/>
      </c>
      <c r="Z483" s="23"/>
      <c r="AA483" s="23" t="str">
        <f>Tabela2[[#This Row],[ILUSTRADOR CRIAÇÃO]]</f>
        <v/>
      </c>
      <c r="AB483" s="22"/>
      <c r="AC483" s="20"/>
      <c r="AD483" s="20"/>
      <c r="AE483" s="4" t="str">
        <f t="shared" si="7"/>
        <v>EF1 E002 HGC</v>
      </c>
    </row>
    <row r="484" spans="1:31" s="12" customFormat="1" x14ac:dyDescent="0.25">
      <c r="A484" s="23"/>
      <c r="B484" s="20"/>
      <c r="C484" s="20"/>
      <c r="D484" s="20"/>
      <c r="E484" s="22"/>
      <c r="F484" s="22"/>
      <c r="G484" s="22"/>
      <c r="H484" s="22"/>
      <c r="I484" s="23"/>
      <c r="J484" s="23"/>
      <c r="K484" s="22"/>
      <c r="L484" s="22"/>
      <c r="M484" s="23"/>
      <c r="N484" s="23"/>
      <c r="O484" s="26"/>
      <c r="P484" s="26"/>
      <c r="Q484" s="26"/>
      <c r="R484" s="22"/>
      <c r="S484" s="24"/>
      <c r="T484" s="24"/>
      <c r="U484" s="24"/>
      <c r="V484" s="24"/>
      <c r="W484" s="24"/>
      <c r="X484" s="22"/>
      <c r="Y484" s="4" t="str">
        <f>IF(Tabela2[[#This Row],[SIGLA]]="","",VLOOKUP(Tabela2[[#This Row],[SIGLA]],Tabela1[[#All],[Sigla Arte]:[Crédito]],2,0))</f>
        <v/>
      </c>
      <c r="Z484" s="23"/>
      <c r="AA484" s="23" t="str">
        <f>Tabela2[[#This Row],[ILUSTRADOR CRIAÇÃO]]</f>
        <v/>
      </c>
      <c r="AB484" s="22"/>
      <c r="AC484" s="20"/>
      <c r="AD484" s="20"/>
      <c r="AE484" s="4" t="str">
        <f t="shared" si="7"/>
        <v>EF1 E002 HGC</v>
      </c>
    </row>
    <row r="485" spans="1:31" s="12" customFormat="1" x14ac:dyDescent="0.25">
      <c r="A485" s="23"/>
      <c r="B485" s="20"/>
      <c r="C485" s="20"/>
      <c r="D485" s="20"/>
      <c r="E485" s="22"/>
      <c r="F485" s="22"/>
      <c r="G485" s="22"/>
      <c r="H485" s="22"/>
      <c r="I485" s="23"/>
      <c r="J485" s="23"/>
      <c r="K485" s="22"/>
      <c r="L485" s="22"/>
      <c r="M485" s="23"/>
      <c r="N485" s="23"/>
      <c r="O485" s="26"/>
      <c r="P485" s="26"/>
      <c r="Q485" s="26"/>
      <c r="R485" s="22"/>
      <c r="S485" s="24"/>
      <c r="T485" s="24"/>
      <c r="U485" s="24"/>
      <c r="V485" s="24"/>
      <c r="W485" s="24"/>
      <c r="X485" s="22"/>
      <c r="Y485" s="4" t="str">
        <f>IF(Tabela2[[#This Row],[SIGLA]]="","",VLOOKUP(Tabela2[[#This Row],[SIGLA]],Tabela1[[#All],[Sigla Arte]:[Crédito]],2,0))</f>
        <v/>
      </c>
      <c r="Z485" s="23"/>
      <c r="AA485" s="23" t="str">
        <f>Tabela2[[#This Row],[ILUSTRADOR CRIAÇÃO]]</f>
        <v/>
      </c>
      <c r="AB485" s="22"/>
      <c r="AC485" s="20"/>
      <c r="AD485" s="20"/>
      <c r="AE485" s="4" t="str">
        <f t="shared" si="7"/>
        <v>EF1 E002 HGC</v>
      </c>
    </row>
    <row r="486" spans="1:31" s="12" customFormat="1" x14ac:dyDescent="0.25">
      <c r="A486" s="23"/>
      <c r="B486" s="20"/>
      <c r="C486" s="20"/>
      <c r="D486" s="20"/>
      <c r="E486" s="22"/>
      <c r="F486" s="22"/>
      <c r="G486" s="22"/>
      <c r="H486" s="22"/>
      <c r="I486" s="23"/>
      <c r="J486" s="23"/>
      <c r="K486" s="22"/>
      <c r="L486" s="22"/>
      <c r="M486" s="23"/>
      <c r="N486" s="23"/>
      <c r="O486" s="26"/>
      <c r="P486" s="26"/>
      <c r="Q486" s="26"/>
      <c r="R486" s="22"/>
      <c r="S486" s="24"/>
      <c r="T486" s="24"/>
      <c r="U486" s="24"/>
      <c r="V486" s="24"/>
      <c r="W486" s="24"/>
      <c r="X486" s="22"/>
      <c r="Y486" s="4" t="str">
        <f>IF(Tabela2[[#This Row],[SIGLA]]="","",VLOOKUP(Tabela2[[#This Row],[SIGLA]],Tabela1[[#All],[Sigla Arte]:[Crédito]],2,0))</f>
        <v/>
      </c>
      <c r="Z486" s="23"/>
      <c r="AA486" s="23" t="str">
        <f>Tabela2[[#This Row],[ILUSTRADOR CRIAÇÃO]]</f>
        <v/>
      </c>
      <c r="AB486" s="22"/>
      <c r="AC486" s="20"/>
      <c r="AD486" s="20"/>
      <c r="AE486" s="4" t="str">
        <f t="shared" si="7"/>
        <v>EF1 E002 HGC</v>
      </c>
    </row>
    <row r="487" spans="1:31" s="12" customFormat="1" x14ac:dyDescent="0.25">
      <c r="A487" s="23"/>
      <c r="B487" s="20"/>
      <c r="C487" s="20"/>
      <c r="D487" s="20"/>
      <c r="E487" s="22"/>
      <c r="F487" s="22"/>
      <c r="G487" s="22"/>
      <c r="H487" s="22"/>
      <c r="I487" s="23"/>
      <c r="J487" s="23"/>
      <c r="K487" s="22"/>
      <c r="L487" s="22"/>
      <c r="M487" s="23"/>
      <c r="N487" s="23"/>
      <c r="O487" s="26"/>
      <c r="P487" s="26"/>
      <c r="Q487" s="26"/>
      <c r="R487" s="22"/>
      <c r="S487" s="24"/>
      <c r="T487" s="24"/>
      <c r="U487" s="24"/>
      <c r="V487" s="24"/>
      <c r="W487" s="24"/>
      <c r="X487" s="22"/>
      <c r="Y487" s="4" t="str">
        <f>IF(Tabela2[[#This Row],[SIGLA]]="","",VLOOKUP(Tabela2[[#This Row],[SIGLA]],Tabela1[[#All],[Sigla Arte]:[Crédito]],2,0))</f>
        <v/>
      </c>
      <c r="Z487" s="23"/>
      <c r="AA487" s="23" t="str">
        <f>Tabela2[[#This Row],[ILUSTRADOR CRIAÇÃO]]</f>
        <v/>
      </c>
      <c r="AB487" s="22"/>
      <c r="AC487" s="20"/>
      <c r="AD487" s="20"/>
      <c r="AE487" s="4" t="str">
        <f t="shared" si="7"/>
        <v>EF1 E002 HGC</v>
      </c>
    </row>
    <row r="488" spans="1:31" s="12" customFormat="1" x14ac:dyDescent="0.25">
      <c r="A488" s="23"/>
      <c r="B488" s="20"/>
      <c r="C488" s="20"/>
      <c r="D488" s="20"/>
      <c r="E488" s="22"/>
      <c r="F488" s="22"/>
      <c r="G488" s="22"/>
      <c r="H488" s="22"/>
      <c r="I488" s="23"/>
      <c r="J488" s="23"/>
      <c r="K488" s="22"/>
      <c r="L488" s="22"/>
      <c r="M488" s="23"/>
      <c r="N488" s="23"/>
      <c r="O488" s="26"/>
      <c r="P488" s="26"/>
      <c r="Q488" s="26"/>
      <c r="R488" s="22"/>
      <c r="S488" s="24"/>
      <c r="T488" s="24"/>
      <c r="U488" s="24"/>
      <c r="V488" s="24"/>
      <c r="W488" s="24"/>
      <c r="X488" s="22"/>
      <c r="Y488" s="4" t="str">
        <f>IF(Tabela2[[#This Row],[SIGLA]]="","",VLOOKUP(Tabela2[[#This Row],[SIGLA]],Tabela1[[#All],[Sigla Arte]:[Crédito]],2,0))</f>
        <v/>
      </c>
      <c r="Z488" s="23"/>
      <c r="AA488" s="23" t="str">
        <f>Tabela2[[#This Row],[ILUSTRADOR CRIAÇÃO]]</f>
        <v/>
      </c>
      <c r="AB488" s="22"/>
      <c r="AC488" s="20"/>
      <c r="AD488" s="20"/>
      <c r="AE488" s="4" t="str">
        <f t="shared" si="7"/>
        <v>EF1 E002 HGC</v>
      </c>
    </row>
    <row r="489" spans="1:31" s="12" customFormat="1" x14ac:dyDescent="0.25">
      <c r="A489" s="23"/>
      <c r="B489" s="20"/>
      <c r="C489" s="20"/>
      <c r="D489" s="20"/>
      <c r="E489" s="22"/>
      <c r="F489" s="22"/>
      <c r="G489" s="22"/>
      <c r="H489" s="22"/>
      <c r="I489" s="23"/>
      <c r="J489" s="23"/>
      <c r="K489" s="22"/>
      <c r="L489" s="22"/>
      <c r="M489" s="23"/>
      <c r="N489" s="23"/>
      <c r="O489" s="26"/>
      <c r="P489" s="26"/>
      <c r="Q489" s="26"/>
      <c r="R489" s="22"/>
      <c r="S489" s="24"/>
      <c r="T489" s="24"/>
      <c r="U489" s="24"/>
      <c r="V489" s="24"/>
      <c r="W489" s="24"/>
      <c r="X489" s="22"/>
      <c r="Y489" s="4" t="str">
        <f>IF(Tabela2[[#This Row],[SIGLA]]="","",VLOOKUP(Tabela2[[#This Row],[SIGLA]],Tabela1[[#All],[Sigla Arte]:[Crédito]],2,0))</f>
        <v/>
      </c>
      <c r="Z489" s="23"/>
      <c r="AA489" s="23" t="str">
        <f>Tabela2[[#This Row],[ILUSTRADOR CRIAÇÃO]]</f>
        <v/>
      </c>
      <c r="AB489" s="22"/>
      <c r="AC489" s="20"/>
      <c r="AD489" s="20"/>
      <c r="AE489" s="4" t="str">
        <f t="shared" si="7"/>
        <v>EF1 E002 HGC</v>
      </c>
    </row>
    <row r="490" spans="1:31" s="12" customFormat="1" x14ac:dyDescent="0.25">
      <c r="A490" s="23"/>
      <c r="B490" s="20"/>
      <c r="C490" s="20"/>
      <c r="D490" s="20"/>
      <c r="E490" s="22"/>
      <c r="F490" s="22"/>
      <c r="G490" s="22"/>
      <c r="H490" s="22"/>
      <c r="I490" s="23"/>
      <c r="J490" s="23"/>
      <c r="K490" s="22"/>
      <c r="L490" s="22"/>
      <c r="M490" s="23"/>
      <c r="N490" s="23"/>
      <c r="O490" s="26"/>
      <c r="P490" s="26"/>
      <c r="Q490" s="26"/>
      <c r="R490" s="22"/>
      <c r="S490" s="24"/>
      <c r="T490" s="24"/>
      <c r="U490" s="24"/>
      <c r="V490" s="24"/>
      <c r="W490" s="24"/>
      <c r="X490" s="22"/>
      <c r="Y490" s="4" t="str">
        <f>IF(Tabela2[[#This Row],[SIGLA]]="","",VLOOKUP(Tabela2[[#This Row],[SIGLA]],Tabela1[[#All],[Sigla Arte]:[Crédito]],2,0))</f>
        <v/>
      </c>
      <c r="Z490" s="23"/>
      <c r="AA490" s="23" t="str">
        <f>Tabela2[[#This Row],[ILUSTRADOR CRIAÇÃO]]</f>
        <v/>
      </c>
      <c r="AB490" s="22"/>
      <c r="AC490" s="20"/>
      <c r="AD490" s="20"/>
      <c r="AE490" s="4" t="str">
        <f t="shared" si="7"/>
        <v>EF1 E002 HGC</v>
      </c>
    </row>
    <row r="491" spans="1:31" s="12" customFormat="1" x14ac:dyDescent="0.25">
      <c r="A491" s="23"/>
      <c r="B491" s="20"/>
      <c r="C491" s="20"/>
      <c r="D491" s="20"/>
      <c r="E491" s="22"/>
      <c r="F491" s="22"/>
      <c r="G491" s="22"/>
      <c r="H491" s="22"/>
      <c r="I491" s="23"/>
      <c r="J491" s="23"/>
      <c r="K491" s="22"/>
      <c r="L491" s="22"/>
      <c r="M491" s="23"/>
      <c r="N491" s="23"/>
      <c r="O491" s="26"/>
      <c r="P491" s="26"/>
      <c r="Q491" s="26"/>
      <c r="R491" s="22"/>
      <c r="S491" s="24"/>
      <c r="T491" s="24"/>
      <c r="U491" s="24"/>
      <c r="V491" s="24"/>
      <c r="W491" s="24"/>
      <c r="X491" s="22"/>
      <c r="Y491" s="4" t="str">
        <f>IF(Tabela2[[#This Row],[SIGLA]]="","",VLOOKUP(Tabela2[[#This Row],[SIGLA]],Tabela1[[#All],[Sigla Arte]:[Crédito]],2,0))</f>
        <v/>
      </c>
      <c r="Z491" s="23"/>
      <c r="AA491" s="23" t="str">
        <f>Tabela2[[#This Row],[ILUSTRADOR CRIAÇÃO]]</f>
        <v/>
      </c>
      <c r="AB491" s="22"/>
      <c r="AC491" s="20"/>
      <c r="AD491" s="20"/>
      <c r="AE491" s="4" t="str">
        <f t="shared" si="7"/>
        <v>EF1 E002 HGC</v>
      </c>
    </row>
    <row r="492" spans="1:31" s="12" customFormat="1" x14ac:dyDescent="0.25">
      <c r="A492" s="23"/>
      <c r="B492" s="20"/>
      <c r="C492" s="20"/>
      <c r="D492" s="20"/>
      <c r="E492" s="22"/>
      <c r="F492" s="22"/>
      <c r="G492" s="22"/>
      <c r="H492" s="22"/>
      <c r="I492" s="23"/>
      <c r="J492" s="23"/>
      <c r="K492" s="22"/>
      <c r="L492" s="22"/>
      <c r="M492" s="23"/>
      <c r="N492" s="23"/>
      <c r="O492" s="26"/>
      <c r="P492" s="26"/>
      <c r="Q492" s="26"/>
      <c r="R492" s="22"/>
      <c r="S492" s="24"/>
      <c r="T492" s="24"/>
      <c r="U492" s="24"/>
      <c r="V492" s="24"/>
      <c r="W492" s="24"/>
      <c r="X492" s="22"/>
      <c r="Y492" s="4" t="str">
        <f>IF(Tabela2[[#This Row],[SIGLA]]="","",VLOOKUP(Tabela2[[#This Row],[SIGLA]],Tabela1[[#All],[Sigla Arte]:[Crédito]],2,0))</f>
        <v/>
      </c>
      <c r="Z492" s="23"/>
      <c r="AA492" s="23" t="str">
        <f>Tabela2[[#This Row],[ILUSTRADOR CRIAÇÃO]]</f>
        <v/>
      </c>
      <c r="AB492" s="22"/>
      <c r="AC492" s="20"/>
      <c r="AD492" s="20"/>
      <c r="AE492" s="4" t="str">
        <f t="shared" si="7"/>
        <v>EF1 E002 HGC</v>
      </c>
    </row>
    <row r="493" spans="1:31" s="12" customFormat="1" x14ac:dyDescent="0.25">
      <c r="A493" s="23"/>
      <c r="B493" s="20"/>
      <c r="C493" s="20"/>
      <c r="D493" s="20"/>
      <c r="E493" s="22"/>
      <c r="F493" s="22"/>
      <c r="G493" s="22"/>
      <c r="H493" s="22"/>
      <c r="I493" s="23"/>
      <c r="J493" s="23"/>
      <c r="K493" s="22"/>
      <c r="L493" s="22"/>
      <c r="M493" s="23"/>
      <c r="N493" s="23"/>
      <c r="O493" s="26"/>
      <c r="P493" s="26"/>
      <c r="Q493" s="26"/>
      <c r="R493" s="22"/>
      <c r="S493" s="24"/>
      <c r="T493" s="24"/>
      <c r="U493" s="24"/>
      <c r="V493" s="24"/>
      <c r="W493" s="24"/>
      <c r="X493" s="22"/>
      <c r="Y493" s="4" t="str">
        <f>IF(Tabela2[[#This Row],[SIGLA]]="","",VLOOKUP(Tabela2[[#This Row],[SIGLA]],Tabela1[[#All],[Sigla Arte]:[Crédito]],2,0))</f>
        <v/>
      </c>
      <c r="Z493" s="23"/>
      <c r="AA493" s="23" t="str">
        <f>Tabela2[[#This Row],[ILUSTRADOR CRIAÇÃO]]</f>
        <v/>
      </c>
      <c r="AB493" s="22"/>
      <c r="AC493" s="20"/>
      <c r="AD493" s="20"/>
      <c r="AE493" s="4" t="str">
        <f t="shared" si="7"/>
        <v>EF1 E002 HGC</v>
      </c>
    </row>
    <row r="494" spans="1:31" s="12" customFormat="1" x14ac:dyDescent="0.25">
      <c r="A494" s="23"/>
      <c r="B494" s="20"/>
      <c r="C494" s="20"/>
      <c r="D494" s="20"/>
      <c r="E494" s="22"/>
      <c r="F494" s="22"/>
      <c r="G494" s="22"/>
      <c r="H494" s="22"/>
      <c r="I494" s="23"/>
      <c r="J494" s="23"/>
      <c r="K494" s="22"/>
      <c r="L494" s="22"/>
      <c r="M494" s="23"/>
      <c r="N494" s="23"/>
      <c r="O494" s="26"/>
      <c r="P494" s="26"/>
      <c r="Q494" s="26"/>
      <c r="R494" s="22"/>
      <c r="S494" s="24"/>
      <c r="T494" s="24"/>
      <c r="U494" s="24"/>
      <c r="V494" s="24"/>
      <c r="W494" s="24"/>
      <c r="X494" s="22"/>
      <c r="Y494" s="4" t="str">
        <f>IF(Tabela2[[#This Row],[SIGLA]]="","",VLOOKUP(Tabela2[[#This Row],[SIGLA]],Tabela1[[#All],[Sigla Arte]:[Crédito]],2,0))</f>
        <v/>
      </c>
      <c r="Z494" s="23"/>
      <c r="AA494" s="23" t="str">
        <f>Tabela2[[#This Row],[ILUSTRADOR CRIAÇÃO]]</f>
        <v/>
      </c>
      <c r="AB494" s="22"/>
      <c r="AC494" s="20"/>
      <c r="AD494" s="20"/>
      <c r="AE494" s="4" t="str">
        <f t="shared" si="7"/>
        <v>EF1 E002 HGC</v>
      </c>
    </row>
    <row r="495" spans="1:31" s="12" customFormat="1" x14ac:dyDescent="0.25">
      <c r="A495" s="23"/>
      <c r="B495" s="20"/>
      <c r="C495" s="20"/>
      <c r="D495" s="20"/>
      <c r="E495" s="22"/>
      <c r="F495" s="22"/>
      <c r="G495" s="22"/>
      <c r="H495" s="22"/>
      <c r="I495" s="23"/>
      <c r="J495" s="23"/>
      <c r="K495" s="22"/>
      <c r="L495" s="22"/>
      <c r="M495" s="23"/>
      <c r="N495" s="23"/>
      <c r="O495" s="26"/>
      <c r="P495" s="26"/>
      <c r="Q495" s="26"/>
      <c r="R495" s="22"/>
      <c r="S495" s="24"/>
      <c r="T495" s="24"/>
      <c r="U495" s="24"/>
      <c r="V495" s="24"/>
      <c r="W495" s="24"/>
      <c r="X495" s="22"/>
      <c r="Y495" s="4" t="str">
        <f>IF(Tabela2[[#This Row],[SIGLA]]="","",VLOOKUP(Tabela2[[#This Row],[SIGLA]],Tabela1[[#All],[Sigla Arte]:[Crédito]],2,0))</f>
        <v/>
      </c>
      <c r="Z495" s="23"/>
      <c r="AA495" s="23" t="str">
        <f>Tabela2[[#This Row],[ILUSTRADOR CRIAÇÃO]]</f>
        <v/>
      </c>
      <c r="AB495" s="22"/>
      <c r="AC495" s="20"/>
      <c r="AD495" s="20"/>
      <c r="AE495" s="4" t="str">
        <f t="shared" si="7"/>
        <v>EF1 E002 HGC</v>
      </c>
    </row>
    <row r="496" spans="1:31" s="12" customFormat="1" x14ac:dyDescent="0.25">
      <c r="A496" s="23"/>
      <c r="B496" s="20"/>
      <c r="C496" s="20"/>
      <c r="D496" s="20"/>
      <c r="E496" s="22"/>
      <c r="F496" s="22"/>
      <c r="G496" s="22"/>
      <c r="H496" s="22"/>
      <c r="I496" s="23"/>
      <c r="J496" s="23"/>
      <c r="K496" s="22"/>
      <c r="L496" s="22"/>
      <c r="M496" s="23"/>
      <c r="N496" s="23"/>
      <c r="O496" s="26"/>
      <c r="P496" s="26"/>
      <c r="Q496" s="26"/>
      <c r="R496" s="22"/>
      <c r="S496" s="24"/>
      <c r="T496" s="24"/>
      <c r="U496" s="24"/>
      <c r="V496" s="24"/>
      <c r="W496" s="24"/>
      <c r="X496" s="22"/>
      <c r="Y496" s="4" t="str">
        <f>IF(Tabela2[[#This Row],[SIGLA]]="","",VLOOKUP(Tabela2[[#This Row],[SIGLA]],Tabela1[[#All],[Sigla Arte]:[Crédito]],2,0))</f>
        <v/>
      </c>
      <c r="Z496" s="23"/>
      <c r="AA496" s="23" t="str">
        <f>Tabela2[[#This Row],[ILUSTRADOR CRIAÇÃO]]</f>
        <v/>
      </c>
      <c r="AB496" s="22"/>
      <c r="AC496" s="20"/>
      <c r="AD496" s="20"/>
      <c r="AE496" s="4" t="str">
        <f t="shared" si="7"/>
        <v>EF1 E002 HGC</v>
      </c>
    </row>
    <row r="497" spans="1:31" s="12" customFormat="1" x14ac:dyDescent="0.25">
      <c r="A497" s="23"/>
      <c r="B497" s="20"/>
      <c r="C497" s="20"/>
      <c r="D497" s="20"/>
      <c r="E497" s="22"/>
      <c r="F497" s="22"/>
      <c r="G497" s="22"/>
      <c r="H497" s="22"/>
      <c r="I497" s="23"/>
      <c r="J497" s="23"/>
      <c r="K497" s="22"/>
      <c r="L497" s="22"/>
      <c r="M497" s="23"/>
      <c r="N497" s="23"/>
      <c r="O497" s="26"/>
      <c r="P497" s="26"/>
      <c r="Q497" s="26"/>
      <c r="R497" s="22"/>
      <c r="S497" s="24"/>
      <c r="T497" s="24"/>
      <c r="U497" s="24"/>
      <c r="V497" s="24"/>
      <c r="W497" s="24"/>
      <c r="X497" s="22"/>
      <c r="Y497" s="4" t="str">
        <f>IF(Tabela2[[#This Row],[SIGLA]]="","",VLOOKUP(Tabela2[[#This Row],[SIGLA]],Tabela1[[#All],[Sigla Arte]:[Crédito]],2,0))</f>
        <v/>
      </c>
      <c r="Z497" s="23"/>
      <c r="AA497" s="23" t="str">
        <f>Tabela2[[#This Row],[ILUSTRADOR CRIAÇÃO]]</f>
        <v/>
      </c>
      <c r="AB497" s="22"/>
      <c r="AC497" s="20"/>
      <c r="AD497" s="20"/>
      <c r="AE497" s="4" t="str">
        <f t="shared" si="7"/>
        <v>EF1 E002 HGC</v>
      </c>
    </row>
    <row r="498" spans="1:31" s="12" customFormat="1" x14ac:dyDescent="0.25">
      <c r="A498" s="23"/>
      <c r="B498" s="20"/>
      <c r="C498" s="20"/>
      <c r="D498" s="20"/>
      <c r="E498" s="22"/>
      <c r="F498" s="22"/>
      <c r="G498" s="22"/>
      <c r="H498" s="22"/>
      <c r="I498" s="23"/>
      <c r="J498" s="23"/>
      <c r="K498" s="22"/>
      <c r="L498" s="22"/>
      <c r="M498" s="23"/>
      <c r="N498" s="23"/>
      <c r="O498" s="26"/>
      <c r="P498" s="26"/>
      <c r="Q498" s="26"/>
      <c r="R498" s="22"/>
      <c r="S498" s="24"/>
      <c r="T498" s="24"/>
      <c r="U498" s="24"/>
      <c r="V498" s="24"/>
      <c r="W498" s="24"/>
      <c r="X498" s="22"/>
      <c r="Y498" s="4" t="str">
        <f>IF(Tabela2[[#This Row],[SIGLA]]="","",VLOOKUP(Tabela2[[#This Row],[SIGLA]],Tabela1[[#All],[Sigla Arte]:[Crédito]],2,0))</f>
        <v/>
      </c>
      <c r="Z498" s="23"/>
      <c r="AA498" s="23" t="str">
        <f>Tabela2[[#This Row],[ILUSTRADOR CRIAÇÃO]]</f>
        <v/>
      </c>
      <c r="AB498" s="22"/>
      <c r="AC498" s="20"/>
      <c r="AD498" s="20"/>
      <c r="AE498" s="4" t="str">
        <f t="shared" si="7"/>
        <v>EF1 E002 HGC</v>
      </c>
    </row>
    <row r="499" spans="1:31" s="12" customFormat="1" x14ac:dyDescent="0.25">
      <c r="A499" s="23"/>
      <c r="B499" s="20"/>
      <c r="C499" s="20"/>
      <c r="D499" s="20"/>
      <c r="E499" s="22"/>
      <c r="F499" s="22"/>
      <c r="G499" s="22"/>
      <c r="H499" s="22"/>
      <c r="I499" s="23"/>
      <c r="J499" s="23"/>
      <c r="K499" s="22"/>
      <c r="L499" s="22"/>
      <c r="M499" s="23"/>
      <c r="N499" s="23"/>
      <c r="O499" s="26"/>
      <c r="P499" s="26"/>
      <c r="Q499" s="26"/>
      <c r="R499" s="22"/>
      <c r="S499" s="24"/>
      <c r="T499" s="24"/>
      <c r="U499" s="24"/>
      <c r="V499" s="24"/>
      <c r="W499" s="24"/>
      <c r="X499" s="22"/>
      <c r="Y499" s="4" t="str">
        <f>IF(Tabela2[[#This Row],[SIGLA]]="","",VLOOKUP(Tabela2[[#This Row],[SIGLA]],Tabela1[[#All],[Sigla Arte]:[Crédito]],2,0))</f>
        <v/>
      </c>
      <c r="Z499" s="23"/>
      <c r="AA499" s="23" t="str">
        <f>Tabela2[[#This Row],[ILUSTRADOR CRIAÇÃO]]</f>
        <v/>
      </c>
      <c r="AB499" s="22"/>
      <c r="AC499" s="20"/>
      <c r="AD499" s="20"/>
      <c r="AE499" s="4" t="str">
        <f t="shared" si="7"/>
        <v>EF1 E002 HGC</v>
      </c>
    </row>
    <row r="500" spans="1:31" s="12" customFormat="1" x14ac:dyDescent="0.25">
      <c r="A500" s="23"/>
      <c r="B500" s="20"/>
      <c r="C500" s="20"/>
      <c r="D500" s="20"/>
      <c r="E500" s="22"/>
      <c r="F500" s="22"/>
      <c r="G500" s="22"/>
      <c r="H500" s="22"/>
      <c r="I500" s="23"/>
      <c r="J500" s="23"/>
      <c r="K500" s="22"/>
      <c r="L500" s="22"/>
      <c r="M500" s="23"/>
      <c r="N500" s="23"/>
      <c r="O500" s="26"/>
      <c r="P500" s="26"/>
      <c r="Q500" s="26"/>
      <c r="R500" s="22"/>
      <c r="S500" s="24"/>
      <c r="T500" s="24"/>
      <c r="U500" s="24"/>
      <c r="V500" s="24"/>
      <c r="W500" s="24"/>
      <c r="X500" s="22"/>
      <c r="Y500" s="4" t="str">
        <f>IF(Tabela2[[#This Row],[SIGLA]]="","",VLOOKUP(Tabela2[[#This Row],[SIGLA]],Tabela1[[#All],[Sigla Arte]:[Crédito]],2,0))</f>
        <v/>
      </c>
      <c r="Z500" s="23"/>
      <c r="AA500" s="23" t="str">
        <f>Tabela2[[#This Row],[ILUSTRADOR CRIAÇÃO]]</f>
        <v/>
      </c>
      <c r="AB500" s="22"/>
      <c r="AC500" s="20"/>
      <c r="AD500" s="20"/>
      <c r="AE500" s="4" t="str">
        <f t="shared" si="7"/>
        <v>EF1 E002 HGC</v>
      </c>
    </row>
  </sheetData>
  <sheetProtection sheet="1" formatCells="0" formatColumns="0" formatRows="0" sort="0" autoFilter="0" pivotTables="0"/>
  <phoneticPr fontId="8" type="noConversion"/>
  <pageMargins left="0.511811024" right="0.511811024" top="0.78740157499999996" bottom="0.78740157499999996" header="0.31496062000000002" footer="0.31496062000000002"/>
  <pageSetup paperSize="9" orientation="portrait" horizontalDpi="1200" verticalDpi="1200" r:id="rId1"/>
  <legacyDrawing r:id="rId2"/>
  <tableParts count="1">
    <tablePart r:id="rId3"/>
  </tableParts>
  <extLst>
    <ext xmlns:x14="http://schemas.microsoft.com/office/spreadsheetml/2009/9/main" uri="{CCE6A557-97BC-4b89-ADB6-D9C93CAAB3DF}">
      <x14:dataValidations xmlns:xm="http://schemas.microsoft.com/office/excel/2006/main" count="12">
        <x14:dataValidation type="list" allowBlank="1" showInputMessage="1" showErrorMessage="1" xr:uid="{C70449A7-09E1-454B-83EB-81DB8E145BED}">
          <x14:formula1>
            <xm:f>metadados!$D$1:$D$7</xm:f>
          </x14:formula1>
          <xm:sqref>F1:F1048576 L1:L1048576</xm:sqref>
        </x14:dataValidation>
        <x14:dataValidation type="list" allowBlank="1" showInputMessage="1" showErrorMessage="1" xr:uid="{ABD634A1-19D3-465A-AE87-A59444E4CB70}">
          <x14:formula1>
            <xm:f>metadados!$F$1:$F$13</xm:f>
          </x14:formula1>
          <xm:sqref>N1:N1048576</xm:sqref>
        </x14:dataValidation>
        <x14:dataValidation type="list" allowBlank="1" showInputMessage="1" showErrorMessage="1" xr:uid="{B4ADD33D-8B17-41A6-94BC-BC2885E9FB91}">
          <x14:formula1>
            <xm:f>metadados!$G$1:$G$14</xm:f>
          </x14:formula1>
          <xm:sqref>AB1:AB325 AB501:AB1048576</xm:sqref>
        </x14:dataValidation>
        <x14:dataValidation type="list" allowBlank="1" showInputMessage="1" showErrorMessage="1" xr:uid="{61E550D5-36D2-44FC-A08D-4E51EFE8F470}">
          <x14:formula1>
            <xm:f>metadados!$H$1:$H$5</xm:f>
          </x14:formula1>
          <xm:sqref>AD1:AD1048576</xm:sqref>
        </x14:dataValidation>
        <x14:dataValidation type="list" allowBlank="1" showErrorMessage="1" xr:uid="{8C59E314-3DFF-498C-8F2E-89E73DBE2751}">
          <x14:formula1>
            <xm:f>metadados!$A$1:$A$10</xm:f>
          </x14:formula1>
          <xm:sqref>B1:B1048576</xm:sqref>
        </x14:dataValidation>
        <x14:dataValidation type="list" allowBlank="1" showInputMessage="1" showErrorMessage="1" xr:uid="{06BC7D6A-D6EB-41B5-B621-DE4A72652772}">
          <x14:formula1>
            <xm:f>créditos_base!$C$3:$C$224</xm:f>
          </x14:formula1>
          <xm:sqref>Z1 Z501:Z1048576</xm:sqref>
        </x14:dataValidation>
        <x14:dataValidation type="list" allowBlank="1" showInputMessage="1" showErrorMessage="1" xr:uid="{C969C20B-651A-4D17-86CC-88E223060629}">
          <x14:formula1>
            <xm:f>metadados!$B$1:$B$7</xm:f>
          </x14:formula1>
          <xm:sqref>C174:C1048576 C1:C172</xm:sqref>
        </x14:dataValidation>
        <x14:dataValidation type="list" allowBlank="1" showInputMessage="1" showErrorMessage="1" xr:uid="{1E0E5C3B-B338-4A82-ABB7-55FA01F1FD25}">
          <x14:formula1>
            <xm:f>metadados!$C$1:$C$8</xm:f>
          </x14:formula1>
          <xm:sqref>D1:D198 D200:D1048576</xm:sqref>
        </x14:dataValidation>
        <x14:dataValidation type="list" allowBlank="1" showInputMessage="1" showErrorMessage="1" xr:uid="{832AC6A1-37A3-4247-8D3B-0B1514A698E5}">
          <x14:formula1>
            <xm:f>metadados!$E$1:$E$3</xm:f>
          </x14:formula1>
          <xm:sqref>I1:I209 I211:I1048576</xm:sqref>
        </x14:dataValidation>
        <x14:dataValidation type="list" allowBlank="1" showInputMessage="1" showErrorMessage="1" xr:uid="{C0E6FD50-B7C5-48D6-942A-6910AD50BC19}">
          <x14:formula1>
            <xm:f>créditos_base!$A$3:$A$334</xm:f>
          </x14:formula1>
          <xm:sqref>Z2:Z500</xm:sqref>
        </x14:dataValidation>
        <x14:dataValidation type="list" allowBlank="1" showInputMessage="1" showErrorMessage="1" xr:uid="{019CD205-A0B7-4B04-AFF3-3C262C07A0BF}">
          <x14:formula1>
            <xm:f>créditos_base!$B$3:$B$382</xm:f>
          </x14:formula1>
          <xm:sqref>X1:X1048576</xm:sqref>
        </x14:dataValidation>
        <x14:dataValidation type="list" allowBlank="1" showInputMessage="1" showErrorMessage="1" xr:uid="{434DD8F8-F8F9-45ED-8BC7-3AC48E09057A}">
          <x14:formula1>
            <xm:f>metadados!$G$1:$G$16</xm:f>
          </x14:formula1>
          <xm:sqref>AB326:AB500</xm:sqref>
        </x14:dataValidation>
      </x14:dataValidations>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D14E60-2F08-404E-A796-158B251FCA67}">
  <dimension ref="A1:C338"/>
  <sheetViews>
    <sheetView topLeftCell="A74" workbookViewId="0">
      <selection activeCell="C60" sqref="C60"/>
    </sheetView>
  </sheetViews>
  <sheetFormatPr defaultColWidth="12.5703125" defaultRowHeight="15" x14ac:dyDescent="0.25"/>
  <cols>
    <col min="1" max="1" width="58.140625" style="27" customWidth="1"/>
    <col min="2" max="2" width="13.140625" customWidth="1"/>
    <col min="3" max="3" width="62.140625" customWidth="1"/>
    <col min="4" max="4" width="13.7109375" customWidth="1"/>
  </cols>
  <sheetData>
    <row r="1" spans="1:3" ht="51.75" customHeight="1" x14ac:dyDescent="0.35">
      <c r="A1" s="57" t="s">
        <v>843</v>
      </c>
      <c r="B1" s="57"/>
      <c r="C1" s="57"/>
    </row>
    <row r="2" spans="1:3" ht="16.5" x14ac:dyDescent="0.3">
      <c r="A2" s="28" t="s">
        <v>844</v>
      </c>
      <c r="B2" s="29" t="s">
        <v>845</v>
      </c>
      <c r="C2" s="30" t="s">
        <v>846</v>
      </c>
    </row>
    <row r="3" spans="1:3" ht="16.5" x14ac:dyDescent="0.3">
      <c r="A3" s="31" t="s">
        <v>847</v>
      </c>
      <c r="B3" s="32" t="s">
        <v>848</v>
      </c>
      <c r="C3" s="33" t="s">
        <v>849</v>
      </c>
    </row>
    <row r="4" spans="1:3" ht="16.5" x14ac:dyDescent="0.3">
      <c r="A4" s="31" t="s">
        <v>850</v>
      </c>
      <c r="B4" s="32" t="s">
        <v>366</v>
      </c>
      <c r="C4" s="34" t="s">
        <v>851</v>
      </c>
    </row>
    <row r="5" spans="1:3" ht="33" x14ac:dyDescent="0.3">
      <c r="A5" s="35" t="s">
        <v>852</v>
      </c>
      <c r="B5" s="32" t="s">
        <v>853</v>
      </c>
      <c r="C5" s="33" t="s">
        <v>854</v>
      </c>
    </row>
    <row r="6" spans="1:3" ht="16.5" x14ac:dyDescent="0.3">
      <c r="A6" s="31" t="s">
        <v>855</v>
      </c>
      <c r="B6" s="32" t="s">
        <v>856</v>
      </c>
      <c r="C6" s="33" t="s">
        <v>857</v>
      </c>
    </row>
    <row r="7" spans="1:3" ht="33" x14ac:dyDescent="0.3">
      <c r="A7" s="31" t="s">
        <v>858</v>
      </c>
      <c r="B7" s="32" t="s">
        <v>859</v>
      </c>
      <c r="C7" s="33" t="s">
        <v>860</v>
      </c>
    </row>
    <row r="8" spans="1:3" ht="33" x14ac:dyDescent="0.3">
      <c r="A8" s="31" t="s">
        <v>861</v>
      </c>
      <c r="B8" s="32" t="s">
        <v>862</v>
      </c>
      <c r="C8" s="33" t="s">
        <v>863</v>
      </c>
    </row>
    <row r="9" spans="1:3" ht="16.5" x14ac:dyDescent="0.3">
      <c r="A9" s="31" t="s">
        <v>864</v>
      </c>
      <c r="B9" s="32" t="s">
        <v>865</v>
      </c>
      <c r="C9" s="33" t="s">
        <v>849</v>
      </c>
    </row>
    <row r="10" spans="1:3" ht="16.5" x14ac:dyDescent="0.3">
      <c r="A10" s="31" t="s">
        <v>132</v>
      </c>
      <c r="B10" s="32" t="s">
        <v>866</v>
      </c>
      <c r="C10" s="34" t="s">
        <v>867</v>
      </c>
    </row>
    <row r="11" spans="1:3" ht="16.5" x14ac:dyDescent="0.3">
      <c r="A11" s="31" t="s">
        <v>868</v>
      </c>
      <c r="B11" s="32" t="s">
        <v>869</v>
      </c>
      <c r="C11" s="34" t="s">
        <v>870</v>
      </c>
    </row>
    <row r="12" spans="1:3" ht="16.5" x14ac:dyDescent="0.3">
      <c r="A12" s="31" t="s">
        <v>871</v>
      </c>
      <c r="B12" s="32" t="s">
        <v>872</v>
      </c>
      <c r="C12" s="34" t="s">
        <v>873</v>
      </c>
    </row>
    <row r="13" spans="1:3" ht="16.5" x14ac:dyDescent="0.3">
      <c r="A13" s="31" t="s">
        <v>874</v>
      </c>
      <c r="B13" s="32" t="s">
        <v>875</v>
      </c>
      <c r="C13" s="34" t="s">
        <v>876</v>
      </c>
    </row>
    <row r="14" spans="1:3" ht="16.5" x14ac:dyDescent="0.3">
      <c r="A14" s="31" t="s">
        <v>877</v>
      </c>
      <c r="B14" s="32" t="s">
        <v>878</v>
      </c>
      <c r="C14" s="33" t="s">
        <v>879</v>
      </c>
    </row>
    <row r="15" spans="1:3" ht="16.5" x14ac:dyDescent="0.3">
      <c r="A15" s="31" t="s">
        <v>880</v>
      </c>
      <c r="B15" s="32" t="s">
        <v>881</v>
      </c>
      <c r="C15" s="34" t="s">
        <v>882</v>
      </c>
    </row>
    <row r="16" spans="1:3" ht="16.5" x14ac:dyDescent="0.3">
      <c r="A16" s="31" t="s">
        <v>883</v>
      </c>
      <c r="B16" s="32" t="s">
        <v>884</v>
      </c>
      <c r="C16" s="34" t="s">
        <v>885</v>
      </c>
    </row>
    <row r="17" spans="1:3" ht="16.5" x14ac:dyDescent="0.3">
      <c r="A17" s="31" t="s">
        <v>886</v>
      </c>
      <c r="B17" s="32" t="s">
        <v>887</v>
      </c>
      <c r="C17" s="33" t="s">
        <v>888</v>
      </c>
    </row>
    <row r="18" spans="1:3" ht="16.5" x14ac:dyDescent="0.3">
      <c r="A18" s="31" t="s">
        <v>889</v>
      </c>
      <c r="B18" s="32" t="s">
        <v>890</v>
      </c>
      <c r="C18" s="33" t="s">
        <v>891</v>
      </c>
    </row>
    <row r="19" spans="1:3" ht="16.5" x14ac:dyDescent="0.3">
      <c r="A19" s="31" t="s">
        <v>892</v>
      </c>
      <c r="B19" s="32" t="s">
        <v>893</v>
      </c>
      <c r="C19" s="33" t="s">
        <v>894</v>
      </c>
    </row>
    <row r="20" spans="1:3" ht="16.5" x14ac:dyDescent="0.3">
      <c r="A20" s="31" t="s">
        <v>895</v>
      </c>
      <c r="B20" s="32" t="s">
        <v>896</v>
      </c>
      <c r="C20" s="34" t="s">
        <v>897</v>
      </c>
    </row>
    <row r="21" spans="1:3" ht="16.5" x14ac:dyDescent="0.3">
      <c r="A21" s="31" t="s">
        <v>898</v>
      </c>
      <c r="B21" s="32" t="s">
        <v>899</v>
      </c>
      <c r="C21" s="33" t="s">
        <v>900</v>
      </c>
    </row>
    <row r="22" spans="1:3" ht="16.5" x14ac:dyDescent="0.3">
      <c r="A22" s="31" t="s">
        <v>901</v>
      </c>
      <c r="B22" s="32" t="s">
        <v>902</v>
      </c>
      <c r="C22" s="33" t="s">
        <v>903</v>
      </c>
    </row>
    <row r="23" spans="1:3" ht="16.5" x14ac:dyDescent="0.3">
      <c r="A23" s="31" t="s">
        <v>904</v>
      </c>
      <c r="B23" s="32" t="s">
        <v>905</v>
      </c>
      <c r="C23" s="33" t="s">
        <v>906</v>
      </c>
    </row>
    <row r="24" spans="1:3" ht="16.5" x14ac:dyDescent="0.3">
      <c r="A24" s="31" t="s">
        <v>907</v>
      </c>
      <c r="B24" s="32" t="s">
        <v>908</v>
      </c>
      <c r="C24" s="33" t="s">
        <v>909</v>
      </c>
    </row>
    <row r="25" spans="1:3" ht="16.5" x14ac:dyDescent="0.3">
      <c r="A25" s="31" t="s">
        <v>910</v>
      </c>
      <c r="B25" s="32" t="s">
        <v>911</v>
      </c>
      <c r="C25" s="34" t="s">
        <v>912</v>
      </c>
    </row>
    <row r="26" spans="1:3" ht="16.5" x14ac:dyDescent="0.3">
      <c r="A26" s="31" t="s">
        <v>913</v>
      </c>
      <c r="B26" s="32" t="s">
        <v>914</v>
      </c>
      <c r="C26" s="34" t="s">
        <v>915</v>
      </c>
    </row>
    <row r="27" spans="1:3" ht="16.5" x14ac:dyDescent="0.3">
      <c r="A27" s="31" t="s">
        <v>916</v>
      </c>
      <c r="B27" s="32" t="s">
        <v>917</v>
      </c>
      <c r="C27" s="33" t="s">
        <v>918</v>
      </c>
    </row>
    <row r="28" spans="1:3" ht="16.5" x14ac:dyDescent="0.3">
      <c r="A28" s="31" t="s">
        <v>919</v>
      </c>
      <c r="B28" s="32" t="s">
        <v>920</v>
      </c>
      <c r="C28" s="34" t="s">
        <v>921</v>
      </c>
    </row>
    <row r="29" spans="1:3" ht="16.5" x14ac:dyDescent="0.3">
      <c r="A29" s="31" t="s">
        <v>922</v>
      </c>
      <c r="B29" s="32" t="s">
        <v>923</v>
      </c>
      <c r="C29" s="33" t="s">
        <v>924</v>
      </c>
    </row>
    <row r="30" spans="1:3" ht="16.5" x14ac:dyDescent="0.3">
      <c r="A30" s="31" t="s">
        <v>925</v>
      </c>
      <c r="B30" s="32" t="s">
        <v>926</v>
      </c>
      <c r="C30" s="33" t="s">
        <v>927</v>
      </c>
    </row>
    <row r="31" spans="1:3" ht="16.5" x14ac:dyDescent="0.3">
      <c r="A31" s="31" t="s">
        <v>928</v>
      </c>
      <c r="B31" s="32" t="s">
        <v>929</v>
      </c>
      <c r="C31" s="34" t="s">
        <v>930</v>
      </c>
    </row>
    <row r="32" spans="1:3" ht="16.5" x14ac:dyDescent="0.3">
      <c r="A32" s="31" t="s">
        <v>931</v>
      </c>
      <c r="B32" s="32" t="s">
        <v>932</v>
      </c>
      <c r="C32" s="33" t="s">
        <v>933</v>
      </c>
    </row>
    <row r="33" spans="1:3" ht="16.5" x14ac:dyDescent="0.3">
      <c r="A33" s="31" t="s">
        <v>934</v>
      </c>
      <c r="B33" s="32" t="s">
        <v>935</v>
      </c>
      <c r="C33" s="33" t="s">
        <v>936</v>
      </c>
    </row>
    <row r="34" spans="1:3" ht="16.5" x14ac:dyDescent="0.3">
      <c r="A34" s="31" t="s">
        <v>937</v>
      </c>
      <c r="B34" s="32" t="s">
        <v>938</v>
      </c>
      <c r="C34" s="34" t="s">
        <v>939</v>
      </c>
    </row>
    <row r="35" spans="1:3" ht="16.5" x14ac:dyDescent="0.3">
      <c r="A35" s="31" t="s">
        <v>940</v>
      </c>
      <c r="B35" s="32" t="s">
        <v>941</v>
      </c>
      <c r="C35" s="33" t="s">
        <v>942</v>
      </c>
    </row>
    <row r="36" spans="1:3" ht="16.5" x14ac:dyDescent="0.3">
      <c r="A36" s="31" t="s">
        <v>943</v>
      </c>
      <c r="B36" s="32" t="s">
        <v>944</v>
      </c>
      <c r="C36" s="33" t="s">
        <v>945</v>
      </c>
    </row>
    <row r="37" spans="1:3" ht="16.5" x14ac:dyDescent="0.3">
      <c r="A37" s="31" t="s">
        <v>946</v>
      </c>
      <c r="B37" s="32" t="s">
        <v>947</v>
      </c>
      <c r="C37" s="33" t="s">
        <v>948</v>
      </c>
    </row>
    <row r="38" spans="1:3" ht="16.5" x14ac:dyDescent="0.3">
      <c r="A38" s="31" t="s">
        <v>949</v>
      </c>
      <c r="B38" s="32" t="s">
        <v>950</v>
      </c>
      <c r="C38" s="33" t="s">
        <v>951</v>
      </c>
    </row>
    <row r="39" spans="1:3" ht="16.5" x14ac:dyDescent="0.3">
      <c r="A39" s="31" t="s">
        <v>952</v>
      </c>
      <c r="B39" s="32" t="s">
        <v>953</v>
      </c>
      <c r="C39" s="33" t="s">
        <v>954</v>
      </c>
    </row>
    <row r="40" spans="1:3" ht="16.5" x14ac:dyDescent="0.3">
      <c r="A40" s="31" t="s">
        <v>955</v>
      </c>
      <c r="B40" s="32" t="s">
        <v>646</v>
      </c>
      <c r="C40" s="34" t="s">
        <v>956</v>
      </c>
    </row>
    <row r="41" spans="1:3" ht="16.5" x14ac:dyDescent="0.3">
      <c r="A41" s="31" t="s">
        <v>957</v>
      </c>
      <c r="B41" s="32" t="s">
        <v>958</v>
      </c>
      <c r="C41" s="33" t="s">
        <v>959</v>
      </c>
    </row>
    <row r="42" spans="1:3" ht="16.5" x14ac:dyDescent="0.3">
      <c r="A42" s="31" t="s">
        <v>960</v>
      </c>
      <c r="B42" s="32" t="s">
        <v>961</v>
      </c>
      <c r="C42" s="33" t="s">
        <v>962</v>
      </c>
    </row>
    <row r="43" spans="1:3" ht="16.5" x14ac:dyDescent="0.3">
      <c r="A43" s="31" t="s">
        <v>963</v>
      </c>
      <c r="B43" s="32" t="s">
        <v>964</v>
      </c>
      <c r="C43" s="33" t="s">
        <v>965</v>
      </c>
    </row>
    <row r="44" spans="1:3" ht="16.5" x14ac:dyDescent="0.3">
      <c r="A44" s="31" t="s">
        <v>966</v>
      </c>
      <c r="B44" s="32" t="s">
        <v>967</v>
      </c>
      <c r="C44" s="34" t="s">
        <v>968</v>
      </c>
    </row>
    <row r="45" spans="1:3" ht="16.5" x14ac:dyDescent="0.3">
      <c r="A45" s="31" t="s">
        <v>969</v>
      </c>
      <c r="B45" s="32" t="s">
        <v>970</v>
      </c>
      <c r="C45" s="33" t="s">
        <v>971</v>
      </c>
    </row>
    <row r="46" spans="1:3" ht="16.5" x14ac:dyDescent="0.3">
      <c r="A46" s="31" t="s">
        <v>42</v>
      </c>
      <c r="B46" s="32" t="s">
        <v>972</v>
      </c>
      <c r="C46" s="33" t="s">
        <v>973</v>
      </c>
    </row>
    <row r="47" spans="1:3" ht="16.5" x14ac:dyDescent="0.3">
      <c r="A47" s="31" t="s">
        <v>974</v>
      </c>
      <c r="B47" s="32" t="s">
        <v>975</v>
      </c>
      <c r="C47" s="33" t="s">
        <v>976</v>
      </c>
    </row>
    <row r="48" spans="1:3" ht="16.5" x14ac:dyDescent="0.3">
      <c r="A48" s="31" t="s">
        <v>977</v>
      </c>
      <c r="B48" s="32" t="s">
        <v>978</v>
      </c>
      <c r="C48" s="31" t="s">
        <v>979</v>
      </c>
    </row>
    <row r="49" spans="1:3" ht="16.5" x14ac:dyDescent="0.3">
      <c r="A49" s="31" t="s">
        <v>980</v>
      </c>
      <c r="B49" s="32" t="s">
        <v>981</v>
      </c>
      <c r="C49" s="33" t="s">
        <v>982</v>
      </c>
    </row>
    <row r="50" spans="1:3" ht="16.5" x14ac:dyDescent="0.3">
      <c r="A50" s="31" t="s">
        <v>983</v>
      </c>
      <c r="B50" s="32" t="s">
        <v>984</v>
      </c>
      <c r="C50" s="33" t="s">
        <v>985</v>
      </c>
    </row>
    <row r="51" spans="1:3" ht="16.5" x14ac:dyDescent="0.3">
      <c r="A51" s="31" t="s">
        <v>986</v>
      </c>
      <c r="B51" s="32" t="s">
        <v>987</v>
      </c>
      <c r="C51" s="33" t="s">
        <v>988</v>
      </c>
    </row>
    <row r="52" spans="1:3" ht="16.5" x14ac:dyDescent="0.3">
      <c r="A52" s="31" t="s">
        <v>989</v>
      </c>
      <c r="B52" s="32" t="s">
        <v>990</v>
      </c>
      <c r="C52" s="34" t="s">
        <v>991</v>
      </c>
    </row>
    <row r="53" spans="1:3" ht="16.5" x14ac:dyDescent="0.3">
      <c r="A53" s="31" t="s">
        <v>992</v>
      </c>
      <c r="B53" s="32" t="s">
        <v>993</v>
      </c>
      <c r="C53" s="34"/>
    </row>
    <row r="54" spans="1:3" ht="16.5" x14ac:dyDescent="0.3">
      <c r="A54" s="31" t="s">
        <v>994</v>
      </c>
      <c r="B54" s="32" t="s">
        <v>231</v>
      </c>
      <c r="C54" s="34" t="s">
        <v>995</v>
      </c>
    </row>
    <row r="55" spans="1:3" ht="16.5" x14ac:dyDescent="0.3">
      <c r="A55" s="31" t="s">
        <v>996</v>
      </c>
      <c r="B55" s="32" t="s">
        <v>754</v>
      </c>
      <c r="C55" s="34" t="s">
        <v>997</v>
      </c>
    </row>
    <row r="56" spans="1:3" ht="16.5" x14ac:dyDescent="0.3">
      <c r="A56" s="31" t="s">
        <v>998</v>
      </c>
      <c r="B56" s="32" t="s">
        <v>999</v>
      </c>
      <c r="C56" s="34" t="s">
        <v>1000</v>
      </c>
    </row>
    <row r="57" spans="1:3" ht="16.5" x14ac:dyDescent="0.3">
      <c r="A57" s="31" t="s">
        <v>1001</v>
      </c>
      <c r="B57" s="32" t="s">
        <v>41</v>
      </c>
      <c r="C57" s="34" t="s">
        <v>1002</v>
      </c>
    </row>
    <row r="58" spans="1:3" ht="16.5" x14ac:dyDescent="0.3">
      <c r="A58" s="31" t="s">
        <v>1003</v>
      </c>
      <c r="B58" s="32" t="s">
        <v>1004</v>
      </c>
      <c r="C58" s="34" t="s">
        <v>372</v>
      </c>
    </row>
    <row r="59" spans="1:3" ht="16.5" x14ac:dyDescent="0.3">
      <c r="A59" s="31" t="s">
        <v>1005</v>
      </c>
      <c r="B59" s="32" t="s">
        <v>1006</v>
      </c>
      <c r="C59" s="34" t="s">
        <v>1007</v>
      </c>
    </row>
    <row r="60" spans="1:3" ht="16.5" x14ac:dyDescent="0.3">
      <c r="A60" s="31" t="s">
        <v>1008</v>
      </c>
      <c r="B60" s="32" t="s">
        <v>1009</v>
      </c>
      <c r="C60" s="31" t="s">
        <v>1010</v>
      </c>
    </row>
    <row r="61" spans="1:3" ht="16.5" x14ac:dyDescent="0.3">
      <c r="A61" s="31" t="s">
        <v>1011</v>
      </c>
      <c r="B61" s="32" t="s">
        <v>1012</v>
      </c>
      <c r="C61" s="34" t="s">
        <v>1013</v>
      </c>
    </row>
    <row r="62" spans="1:3" ht="16.5" x14ac:dyDescent="0.3">
      <c r="A62" s="31" t="s">
        <v>1014</v>
      </c>
      <c r="B62" s="32" t="s">
        <v>258</v>
      </c>
      <c r="C62" s="34" t="s">
        <v>1015</v>
      </c>
    </row>
    <row r="63" spans="1:3" ht="16.5" x14ac:dyDescent="0.3">
      <c r="A63" s="31" t="s">
        <v>1016</v>
      </c>
      <c r="B63" s="32" t="s">
        <v>1017</v>
      </c>
      <c r="C63" s="34" t="s">
        <v>1018</v>
      </c>
    </row>
    <row r="64" spans="1:3" ht="16.5" x14ac:dyDescent="0.3">
      <c r="A64" s="31" t="s">
        <v>1019</v>
      </c>
      <c r="B64" s="32" t="s">
        <v>311</v>
      </c>
      <c r="C64" s="34" t="s">
        <v>1020</v>
      </c>
    </row>
    <row r="65" spans="1:3" ht="16.5" x14ac:dyDescent="0.3">
      <c r="A65" s="31" t="s">
        <v>1021</v>
      </c>
      <c r="B65" s="32" t="s">
        <v>1022</v>
      </c>
      <c r="C65" s="34" t="s">
        <v>1023</v>
      </c>
    </row>
    <row r="66" spans="1:3" ht="16.5" x14ac:dyDescent="0.3">
      <c r="A66" s="31" t="s">
        <v>1024</v>
      </c>
      <c r="B66" s="32" t="s">
        <v>1025</v>
      </c>
      <c r="C66" s="34" t="s">
        <v>959</v>
      </c>
    </row>
    <row r="67" spans="1:3" ht="16.5" x14ac:dyDescent="0.3">
      <c r="A67" s="31" t="s">
        <v>1026</v>
      </c>
      <c r="B67" s="32" t="s">
        <v>1027</v>
      </c>
      <c r="C67" s="33" t="s">
        <v>1028</v>
      </c>
    </row>
    <row r="68" spans="1:3" ht="16.5" x14ac:dyDescent="0.3">
      <c r="A68" s="31" t="s">
        <v>1029</v>
      </c>
      <c r="B68" s="32" t="s">
        <v>1030</v>
      </c>
      <c r="C68" s="34" t="s">
        <v>1031</v>
      </c>
    </row>
    <row r="69" spans="1:3" ht="16.5" x14ac:dyDescent="0.3">
      <c r="A69" s="31" t="s">
        <v>1032</v>
      </c>
      <c r="B69" s="32" t="s">
        <v>604</v>
      </c>
      <c r="C69" s="34" t="s">
        <v>1033</v>
      </c>
    </row>
    <row r="70" spans="1:3" ht="16.5" x14ac:dyDescent="0.3">
      <c r="A70" s="31" t="s">
        <v>1034</v>
      </c>
      <c r="B70" s="32" t="s">
        <v>1035</v>
      </c>
      <c r="C70" s="34" t="s">
        <v>1036</v>
      </c>
    </row>
    <row r="71" spans="1:3" ht="16.5" x14ac:dyDescent="0.3">
      <c r="A71" s="31" t="s">
        <v>1037</v>
      </c>
      <c r="B71" s="32" t="s">
        <v>1038</v>
      </c>
      <c r="C71" s="34" t="s">
        <v>1039</v>
      </c>
    </row>
    <row r="72" spans="1:3" ht="16.5" x14ac:dyDescent="0.3">
      <c r="A72" s="31" t="s">
        <v>1040</v>
      </c>
      <c r="B72" s="32" t="s">
        <v>1041</v>
      </c>
      <c r="C72" s="31" t="s">
        <v>959</v>
      </c>
    </row>
    <row r="73" spans="1:3" ht="16.5" x14ac:dyDescent="0.3">
      <c r="A73" s="31" t="s">
        <v>1042</v>
      </c>
      <c r="B73" s="32" t="s">
        <v>1043</v>
      </c>
      <c r="C73" s="33" t="s">
        <v>1044</v>
      </c>
    </row>
    <row r="74" spans="1:3" ht="16.5" x14ac:dyDescent="0.3">
      <c r="A74" s="31" t="s">
        <v>1045</v>
      </c>
      <c r="B74" s="32" t="s">
        <v>1046</v>
      </c>
      <c r="C74" s="34" t="s">
        <v>1047</v>
      </c>
    </row>
    <row r="75" spans="1:3" ht="16.5" x14ac:dyDescent="0.3">
      <c r="A75" s="31" t="s">
        <v>1048</v>
      </c>
      <c r="B75" s="32" t="s">
        <v>238</v>
      </c>
      <c r="C75" s="34" t="s">
        <v>1049</v>
      </c>
    </row>
    <row r="76" spans="1:3" ht="16.5" x14ac:dyDescent="0.3">
      <c r="A76" s="31" t="s">
        <v>1050</v>
      </c>
      <c r="B76" s="32" t="s">
        <v>1051</v>
      </c>
      <c r="C76" s="34" t="s">
        <v>1052</v>
      </c>
    </row>
    <row r="77" spans="1:3" ht="16.5" x14ac:dyDescent="0.3">
      <c r="A77" s="31" t="s">
        <v>1053</v>
      </c>
      <c r="B77" s="32" t="s">
        <v>1054</v>
      </c>
      <c r="C77" s="34" t="s">
        <v>1055</v>
      </c>
    </row>
    <row r="78" spans="1:3" ht="16.5" x14ac:dyDescent="0.3">
      <c r="A78" s="31" t="s">
        <v>1056</v>
      </c>
      <c r="B78" s="32" t="s">
        <v>1057</v>
      </c>
      <c r="C78" s="34" t="s">
        <v>959</v>
      </c>
    </row>
    <row r="79" spans="1:3" ht="16.5" x14ac:dyDescent="0.3">
      <c r="A79" s="31" t="s">
        <v>1058</v>
      </c>
      <c r="B79" s="32" t="s">
        <v>1059</v>
      </c>
      <c r="C79" s="34" t="s">
        <v>959</v>
      </c>
    </row>
    <row r="80" spans="1:3" ht="16.5" x14ac:dyDescent="0.3">
      <c r="A80" s="31" t="s">
        <v>1060</v>
      </c>
      <c r="B80" s="32" t="s">
        <v>1061</v>
      </c>
      <c r="C80" s="34" t="s">
        <v>1062</v>
      </c>
    </row>
    <row r="81" spans="1:3" ht="16.5" x14ac:dyDescent="0.3">
      <c r="A81" s="31" t="s">
        <v>1063</v>
      </c>
      <c r="B81" s="32" t="s">
        <v>840</v>
      </c>
      <c r="C81" s="34" t="s">
        <v>1064</v>
      </c>
    </row>
    <row r="82" spans="1:3" ht="16.5" x14ac:dyDescent="0.3">
      <c r="A82" s="31" t="s">
        <v>1065</v>
      </c>
      <c r="B82" s="32" t="s">
        <v>1066</v>
      </c>
      <c r="C82" s="34" t="s">
        <v>1067</v>
      </c>
    </row>
    <row r="83" spans="1:3" ht="16.5" x14ac:dyDescent="0.3">
      <c r="A83" s="31" t="s">
        <v>1068</v>
      </c>
      <c r="B83" s="32" t="s">
        <v>1069</v>
      </c>
      <c r="C83" s="34" t="s">
        <v>1070</v>
      </c>
    </row>
    <row r="84" spans="1:3" ht="16.5" x14ac:dyDescent="0.3">
      <c r="A84" s="31" t="s">
        <v>1071</v>
      </c>
      <c r="B84" s="32" t="s">
        <v>1072</v>
      </c>
      <c r="C84" s="34" t="s">
        <v>1073</v>
      </c>
    </row>
    <row r="85" spans="1:3" ht="16.5" x14ac:dyDescent="0.3">
      <c r="A85" s="31" t="s">
        <v>1074</v>
      </c>
      <c r="B85" s="32" t="s">
        <v>1075</v>
      </c>
      <c r="C85" s="34" t="s">
        <v>1076</v>
      </c>
    </row>
    <row r="86" spans="1:3" ht="16.5" x14ac:dyDescent="0.3">
      <c r="A86" s="31" t="s">
        <v>1077</v>
      </c>
      <c r="B86" s="32" t="s">
        <v>1078</v>
      </c>
      <c r="C86" s="51" t="s">
        <v>1079</v>
      </c>
    </row>
    <row r="87" spans="1:3" ht="16.5" x14ac:dyDescent="0.3">
      <c r="A87" s="31" t="s">
        <v>1080</v>
      </c>
      <c r="B87" s="32" t="s">
        <v>1081</v>
      </c>
      <c r="C87" s="34" t="s">
        <v>1082</v>
      </c>
    </row>
    <row r="88" spans="1:3" ht="16.5" x14ac:dyDescent="0.3">
      <c r="A88" s="31" t="s">
        <v>1083</v>
      </c>
      <c r="B88" s="32" t="s">
        <v>1084</v>
      </c>
      <c r="C88" s="34" t="s">
        <v>1085</v>
      </c>
    </row>
    <row r="89" spans="1:3" ht="16.5" x14ac:dyDescent="0.3">
      <c r="A89" s="31" t="s">
        <v>1086</v>
      </c>
      <c r="B89" s="32" t="s">
        <v>1087</v>
      </c>
      <c r="C89" s="34" t="s">
        <v>1088</v>
      </c>
    </row>
    <row r="90" spans="1:3" ht="16.5" x14ac:dyDescent="0.3">
      <c r="A90" s="31" t="s">
        <v>1089</v>
      </c>
      <c r="B90" s="32" t="s">
        <v>1090</v>
      </c>
      <c r="C90" s="34" t="s">
        <v>1091</v>
      </c>
    </row>
    <row r="91" spans="1:3" ht="16.5" x14ac:dyDescent="0.3">
      <c r="A91" s="31" t="s">
        <v>1092</v>
      </c>
      <c r="B91" s="32" t="s">
        <v>1093</v>
      </c>
      <c r="C91" s="34" t="s">
        <v>1094</v>
      </c>
    </row>
    <row r="92" spans="1:3" ht="16.5" x14ac:dyDescent="0.3">
      <c r="A92" s="31" t="s">
        <v>1095</v>
      </c>
      <c r="B92" s="32" t="s">
        <v>1096</v>
      </c>
      <c r="C92" s="34" t="s">
        <v>1097</v>
      </c>
    </row>
    <row r="93" spans="1:3" ht="16.5" x14ac:dyDescent="0.3">
      <c r="A93" s="31" t="s">
        <v>1098</v>
      </c>
      <c r="B93" s="32" t="s">
        <v>1099</v>
      </c>
      <c r="C93" s="34" t="s">
        <v>1100</v>
      </c>
    </row>
    <row r="94" spans="1:3" ht="16.5" x14ac:dyDescent="0.3">
      <c r="A94" s="31" t="s">
        <v>1101</v>
      </c>
      <c r="B94" s="32" t="s">
        <v>1102</v>
      </c>
      <c r="C94" s="34" t="s">
        <v>1103</v>
      </c>
    </row>
    <row r="95" spans="1:3" ht="16.5" x14ac:dyDescent="0.3">
      <c r="A95" s="31" t="s">
        <v>1104</v>
      </c>
      <c r="B95" s="32" t="s">
        <v>1105</v>
      </c>
      <c r="C95" s="34" t="s">
        <v>1106</v>
      </c>
    </row>
    <row r="96" spans="1:3" ht="16.5" x14ac:dyDescent="0.3">
      <c r="A96" s="31" t="s">
        <v>1107</v>
      </c>
      <c r="B96" s="32" t="s">
        <v>1108</v>
      </c>
      <c r="C96" s="34" t="s">
        <v>1109</v>
      </c>
    </row>
    <row r="97" spans="1:3" ht="16.5" x14ac:dyDescent="0.3">
      <c r="A97" s="31" t="s">
        <v>1110</v>
      </c>
      <c r="B97" s="32" t="s">
        <v>1111</v>
      </c>
      <c r="C97" s="34" t="s">
        <v>1112</v>
      </c>
    </row>
    <row r="98" spans="1:3" ht="16.5" x14ac:dyDescent="0.3">
      <c r="A98" s="31" t="s">
        <v>1113</v>
      </c>
      <c r="B98" s="32" t="s">
        <v>37</v>
      </c>
      <c r="C98" s="34" t="s">
        <v>1114</v>
      </c>
    </row>
    <row r="99" spans="1:3" ht="16.5" x14ac:dyDescent="0.3">
      <c r="A99" s="31" t="s">
        <v>1115</v>
      </c>
      <c r="B99" s="32" t="s">
        <v>1116</v>
      </c>
      <c r="C99" s="34" t="s">
        <v>1117</v>
      </c>
    </row>
    <row r="100" spans="1:3" ht="16.5" x14ac:dyDescent="0.3">
      <c r="A100" s="31" t="s">
        <v>1118</v>
      </c>
      <c r="B100" s="32" t="s">
        <v>1119</v>
      </c>
      <c r="C100" s="34" t="s">
        <v>1120</v>
      </c>
    </row>
    <row r="101" spans="1:3" ht="16.5" x14ac:dyDescent="0.3">
      <c r="A101" s="31" t="s">
        <v>1121</v>
      </c>
      <c r="B101" s="32" t="s">
        <v>1122</v>
      </c>
      <c r="C101" s="34" t="s">
        <v>1123</v>
      </c>
    </row>
    <row r="102" spans="1:3" ht="16.5" x14ac:dyDescent="0.3">
      <c r="A102" s="31" t="s">
        <v>1124</v>
      </c>
      <c r="B102" s="32" t="s">
        <v>1125</v>
      </c>
      <c r="C102" s="34" t="s">
        <v>1126</v>
      </c>
    </row>
    <row r="103" spans="1:3" ht="16.5" x14ac:dyDescent="0.3">
      <c r="A103" s="31" t="s">
        <v>1127</v>
      </c>
      <c r="B103" s="32" t="s">
        <v>1128</v>
      </c>
      <c r="C103" s="31" t="s">
        <v>1129</v>
      </c>
    </row>
    <row r="104" spans="1:3" ht="16.5" x14ac:dyDescent="0.3">
      <c r="A104" s="31" t="s">
        <v>1130</v>
      </c>
      <c r="B104" s="32" t="s">
        <v>1131</v>
      </c>
      <c r="C104" s="34" t="s">
        <v>1132</v>
      </c>
    </row>
    <row r="105" spans="1:3" ht="16.5" x14ac:dyDescent="0.3">
      <c r="A105" s="31" t="s">
        <v>1133</v>
      </c>
      <c r="B105" s="32" t="s">
        <v>1134</v>
      </c>
      <c r="C105" s="34" t="s">
        <v>1135</v>
      </c>
    </row>
    <row r="106" spans="1:3" ht="16.5" x14ac:dyDescent="0.3">
      <c r="A106" s="31" t="s">
        <v>1136</v>
      </c>
      <c r="B106" s="32" t="s">
        <v>1137</v>
      </c>
      <c r="C106" s="34" t="s">
        <v>1138</v>
      </c>
    </row>
    <row r="107" spans="1:3" ht="16.5" x14ac:dyDescent="0.3">
      <c r="A107" s="31" t="s">
        <v>1139</v>
      </c>
      <c r="B107" s="32" t="s">
        <v>1140</v>
      </c>
      <c r="C107" s="34" t="s">
        <v>1141</v>
      </c>
    </row>
    <row r="108" spans="1:3" ht="16.5" x14ac:dyDescent="0.3">
      <c r="A108" s="31" t="s">
        <v>1142</v>
      </c>
      <c r="B108" s="32" t="s">
        <v>1143</v>
      </c>
      <c r="C108" s="34" t="s">
        <v>1144</v>
      </c>
    </row>
    <row r="109" spans="1:3" ht="16.5" x14ac:dyDescent="0.3">
      <c r="A109" s="31" t="s">
        <v>1145</v>
      </c>
      <c r="B109" s="32" t="s">
        <v>1146</v>
      </c>
      <c r="C109" s="33" t="s">
        <v>1147</v>
      </c>
    </row>
    <row r="110" spans="1:3" ht="16.5" x14ac:dyDescent="0.3">
      <c r="A110" s="31" t="s">
        <v>1148</v>
      </c>
      <c r="B110" s="32" t="s">
        <v>1149</v>
      </c>
      <c r="C110" s="33" t="s">
        <v>959</v>
      </c>
    </row>
    <row r="111" spans="1:3" ht="16.5" x14ac:dyDescent="0.3">
      <c r="A111" s="31" t="s">
        <v>1150</v>
      </c>
      <c r="B111" s="32" t="s">
        <v>1151</v>
      </c>
      <c r="C111" s="34" t="s">
        <v>959</v>
      </c>
    </row>
    <row r="112" spans="1:3" ht="16.5" x14ac:dyDescent="0.3">
      <c r="A112" s="31" t="s">
        <v>1152</v>
      </c>
      <c r="B112" s="32" t="s">
        <v>1153</v>
      </c>
      <c r="C112" s="31" t="s">
        <v>1154</v>
      </c>
    </row>
    <row r="113" spans="1:3" ht="16.5" x14ac:dyDescent="0.3">
      <c r="A113" s="31" t="s">
        <v>1155</v>
      </c>
      <c r="B113" s="32" t="s">
        <v>1156</v>
      </c>
      <c r="C113" s="34" t="s">
        <v>1157</v>
      </c>
    </row>
    <row r="114" spans="1:3" ht="16.5" x14ac:dyDescent="0.3">
      <c r="A114" s="31" t="s">
        <v>1158</v>
      </c>
      <c r="B114" s="32" t="s">
        <v>1159</v>
      </c>
      <c r="C114" s="34" t="s">
        <v>1160</v>
      </c>
    </row>
    <row r="115" spans="1:3" ht="16.5" x14ac:dyDescent="0.3">
      <c r="A115" s="31" t="s">
        <v>1161</v>
      </c>
      <c r="B115" s="32" t="s">
        <v>1162</v>
      </c>
      <c r="C115" s="34" t="s">
        <v>1163</v>
      </c>
    </row>
    <row r="116" spans="1:3" ht="16.5" x14ac:dyDescent="0.3">
      <c r="A116" s="31" t="s">
        <v>1164</v>
      </c>
      <c r="B116" s="32" t="s">
        <v>1165</v>
      </c>
      <c r="C116" s="34" t="s">
        <v>959</v>
      </c>
    </row>
    <row r="117" spans="1:3" ht="16.5" x14ac:dyDescent="0.3">
      <c r="A117" s="31" t="s">
        <v>1166</v>
      </c>
      <c r="B117" s="32" t="s">
        <v>1167</v>
      </c>
      <c r="C117" s="34" t="s">
        <v>959</v>
      </c>
    </row>
    <row r="118" spans="1:3" ht="16.5" x14ac:dyDescent="0.3">
      <c r="A118" s="36" t="s">
        <v>1168</v>
      </c>
      <c r="B118" s="32" t="s">
        <v>507</v>
      </c>
      <c r="C118" s="34" t="s">
        <v>1169</v>
      </c>
    </row>
    <row r="119" spans="1:3" ht="16.5" x14ac:dyDescent="0.3">
      <c r="A119" s="31" t="s">
        <v>1170</v>
      </c>
      <c r="B119" s="32" t="s">
        <v>1171</v>
      </c>
      <c r="C119" s="34" t="s">
        <v>959</v>
      </c>
    </row>
    <row r="120" spans="1:3" ht="16.5" x14ac:dyDescent="0.3">
      <c r="A120" s="31" t="s">
        <v>1172</v>
      </c>
      <c r="B120" s="32" t="s">
        <v>442</v>
      </c>
      <c r="C120" s="34" t="s">
        <v>1173</v>
      </c>
    </row>
    <row r="121" spans="1:3" ht="16.5" x14ac:dyDescent="0.3">
      <c r="A121" s="31" t="s">
        <v>1174</v>
      </c>
      <c r="B121" s="32" t="s">
        <v>1175</v>
      </c>
      <c r="C121" s="34" t="s">
        <v>1176</v>
      </c>
    </row>
    <row r="122" spans="1:3" ht="16.5" x14ac:dyDescent="0.3">
      <c r="A122" s="31" t="s">
        <v>1177</v>
      </c>
      <c r="B122" s="32" t="s">
        <v>1178</v>
      </c>
      <c r="C122" s="34" t="s">
        <v>1179</v>
      </c>
    </row>
    <row r="123" spans="1:3" ht="16.5" x14ac:dyDescent="0.3">
      <c r="A123" s="31" t="s">
        <v>1180</v>
      </c>
      <c r="B123" s="32" t="s">
        <v>1181</v>
      </c>
      <c r="C123" s="34" t="s">
        <v>1182</v>
      </c>
    </row>
    <row r="124" spans="1:3" ht="16.5" x14ac:dyDescent="0.3">
      <c r="A124" s="31" t="s">
        <v>623</v>
      </c>
      <c r="B124" s="32" t="s">
        <v>1183</v>
      </c>
      <c r="C124" s="34" t="s">
        <v>1184</v>
      </c>
    </row>
    <row r="125" spans="1:3" ht="16.5" x14ac:dyDescent="0.3">
      <c r="A125" s="31" t="s">
        <v>1185</v>
      </c>
      <c r="B125" s="32" t="s">
        <v>1186</v>
      </c>
      <c r="C125" s="34" t="s">
        <v>1187</v>
      </c>
    </row>
    <row r="126" spans="1:3" ht="16.5" x14ac:dyDescent="0.3">
      <c r="A126" s="31" t="s">
        <v>1188</v>
      </c>
      <c r="B126" s="32" t="s">
        <v>1189</v>
      </c>
      <c r="C126" s="34" t="s">
        <v>1190</v>
      </c>
    </row>
    <row r="127" spans="1:3" ht="16.5" x14ac:dyDescent="0.3">
      <c r="A127" s="31" t="s">
        <v>1191</v>
      </c>
      <c r="B127" s="32" t="s">
        <v>1192</v>
      </c>
      <c r="C127" s="34" t="s">
        <v>1193</v>
      </c>
    </row>
    <row r="128" spans="1:3" ht="16.5" x14ac:dyDescent="0.3">
      <c r="A128" s="31" t="s">
        <v>1194</v>
      </c>
      <c r="B128" s="32" t="s">
        <v>1195</v>
      </c>
      <c r="C128" s="34" t="s">
        <v>1196</v>
      </c>
    </row>
    <row r="129" spans="1:3" ht="16.5" x14ac:dyDescent="0.3">
      <c r="A129" s="31" t="s">
        <v>1197</v>
      </c>
      <c r="B129" s="32" t="s">
        <v>1198</v>
      </c>
      <c r="C129" s="34" t="s">
        <v>1199</v>
      </c>
    </row>
    <row r="130" spans="1:3" ht="16.5" x14ac:dyDescent="0.3">
      <c r="A130" s="31" t="s">
        <v>1200</v>
      </c>
      <c r="B130" s="32" t="s">
        <v>1201</v>
      </c>
      <c r="C130" s="33" t="s">
        <v>1202</v>
      </c>
    </row>
    <row r="131" spans="1:3" ht="16.5" x14ac:dyDescent="0.3">
      <c r="A131" s="31" t="s">
        <v>1203</v>
      </c>
      <c r="B131" s="32" t="s">
        <v>1204</v>
      </c>
      <c r="C131" s="33" t="s">
        <v>1205</v>
      </c>
    </row>
    <row r="132" spans="1:3" ht="16.5" x14ac:dyDescent="0.3">
      <c r="A132" s="31" t="s">
        <v>1206</v>
      </c>
      <c r="B132" s="32" t="s">
        <v>1207</v>
      </c>
      <c r="C132" s="34" t="s">
        <v>1208</v>
      </c>
    </row>
    <row r="133" spans="1:3" ht="16.5" x14ac:dyDescent="0.3">
      <c r="A133" s="31" t="s">
        <v>1209</v>
      </c>
      <c r="B133" s="32" t="s">
        <v>1210</v>
      </c>
      <c r="C133" s="34" t="s">
        <v>1211</v>
      </c>
    </row>
    <row r="134" spans="1:3" ht="16.5" x14ac:dyDescent="0.3">
      <c r="A134" s="31" t="s">
        <v>1212</v>
      </c>
      <c r="B134" s="32" t="s">
        <v>1213</v>
      </c>
      <c r="C134" s="34" t="s">
        <v>1214</v>
      </c>
    </row>
    <row r="135" spans="1:3" ht="16.5" x14ac:dyDescent="0.3">
      <c r="A135" s="31" t="s">
        <v>504</v>
      </c>
      <c r="B135" s="32" t="s">
        <v>826</v>
      </c>
      <c r="C135" s="34" t="s">
        <v>1215</v>
      </c>
    </row>
    <row r="136" spans="1:3" ht="16.5" x14ac:dyDescent="0.3">
      <c r="A136" s="31" t="s">
        <v>1216</v>
      </c>
      <c r="B136" s="32" t="s">
        <v>1217</v>
      </c>
      <c r="C136" s="34" t="s">
        <v>1218</v>
      </c>
    </row>
    <row r="137" spans="1:3" ht="16.5" x14ac:dyDescent="0.3">
      <c r="A137" s="31" t="s">
        <v>1219</v>
      </c>
      <c r="B137" s="32" t="s">
        <v>1220</v>
      </c>
      <c r="C137" s="34" t="s">
        <v>1221</v>
      </c>
    </row>
    <row r="138" spans="1:3" ht="16.5" x14ac:dyDescent="0.3">
      <c r="A138" s="31" t="s">
        <v>1222</v>
      </c>
      <c r="B138" s="32" t="s">
        <v>1223</v>
      </c>
      <c r="C138" s="34" t="s">
        <v>1224</v>
      </c>
    </row>
    <row r="139" spans="1:3" ht="16.5" x14ac:dyDescent="0.3">
      <c r="A139" s="31" t="s">
        <v>1225</v>
      </c>
      <c r="B139" s="32" t="s">
        <v>1226</v>
      </c>
      <c r="C139" s="34" t="s">
        <v>1227</v>
      </c>
    </row>
    <row r="140" spans="1:3" ht="16.5" x14ac:dyDescent="0.3">
      <c r="A140" s="31" t="s">
        <v>1228</v>
      </c>
      <c r="B140" s="32" t="s">
        <v>1229</v>
      </c>
      <c r="C140" s="33" t="s">
        <v>959</v>
      </c>
    </row>
    <row r="141" spans="1:3" ht="16.5" x14ac:dyDescent="0.3">
      <c r="A141" s="31" t="s">
        <v>1230</v>
      </c>
      <c r="B141" s="32" t="s">
        <v>1231</v>
      </c>
      <c r="C141" s="34" t="s">
        <v>959</v>
      </c>
    </row>
    <row r="142" spans="1:3" ht="16.5" x14ac:dyDescent="0.3">
      <c r="A142" s="31" t="s">
        <v>1232</v>
      </c>
      <c r="B142" s="32" t="s">
        <v>1233</v>
      </c>
      <c r="C142" s="33" t="s">
        <v>1234</v>
      </c>
    </row>
    <row r="143" spans="1:3" ht="16.5" x14ac:dyDescent="0.3">
      <c r="A143" s="31" t="s">
        <v>1235</v>
      </c>
      <c r="B143" s="32" t="s">
        <v>1236</v>
      </c>
      <c r="C143" s="33" t="s">
        <v>1237</v>
      </c>
    </row>
    <row r="144" spans="1:3" ht="16.5" x14ac:dyDescent="0.3">
      <c r="A144" s="31" t="s">
        <v>1238</v>
      </c>
      <c r="B144" s="32" t="s">
        <v>1239</v>
      </c>
      <c r="C144" s="33" t="s">
        <v>1240</v>
      </c>
    </row>
    <row r="145" spans="1:3" ht="16.5" x14ac:dyDescent="0.3">
      <c r="A145" s="31" t="s">
        <v>1241</v>
      </c>
      <c r="B145" s="32" t="s">
        <v>1242</v>
      </c>
      <c r="C145" s="33" t="s">
        <v>1243</v>
      </c>
    </row>
    <row r="146" spans="1:3" ht="16.5" x14ac:dyDescent="0.3">
      <c r="A146" s="31" t="s">
        <v>1244</v>
      </c>
      <c r="B146" s="32" t="s">
        <v>1245</v>
      </c>
      <c r="C146" s="34" t="s">
        <v>1246</v>
      </c>
    </row>
    <row r="147" spans="1:3" ht="16.5" x14ac:dyDescent="0.3">
      <c r="A147" s="31" t="s">
        <v>1247</v>
      </c>
      <c r="B147" s="32" t="s">
        <v>1248</v>
      </c>
      <c r="C147" s="33" t="s">
        <v>1249</v>
      </c>
    </row>
    <row r="148" spans="1:3" ht="16.5" x14ac:dyDescent="0.3">
      <c r="A148" s="31" t="s">
        <v>1250</v>
      </c>
      <c r="B148" s="32" t="s">
        <v>1251</v>
      </c>
      <c r="C148" s="34" t="s">
        <v>1252</v>
      </c>
    </row>
    <row r="149" spans="1:3" ht="16.5" x14ac:dyDescent="0.3">
      <c r="A149" s="31" t="s">
        <v>1253</v>
      </c>
      <c r="B149" s="32" t="s">
        <v>1254</v>
      </c>
      <c r="C149" s="33" t="s">
        <v>1255</v>
      </c>
    </row>
    <row r="150" spans="1:3" ht="16.5" x14ac:dyDescent="0.3">
      <c r="A150" s="31" t="s">
        <v>1256</v>
      </c>
      <c r="B150" s="32" t="s">
        <v>1257</v>
      </c>
      <c r="C150" s="34" t="s">
        <v>1258</v>
      </c>
    </row>
    <row r="151" spans="1:3" ht="16.5" x14ac:dyDescent="0.3">
      <c r="A151" s="31" t="s">
        <v>1259</v>
      </c>
      <c r="B151" s="32" t="s">
        <v>1260</v>
      </c>
      <c r="C151" s="34" t="s">
        <v>1261</v>
      </c>
    </row>
    <row r="152" spans="1:3" ht="16.5" x14ac:dyDescent="0.3">
      <c r="A152" s="31" t="s">
        <v>1262</v>
      </c>
      <c r="B152" s="32" t="s">
        <v>1263</v>
      </c>
      <c r="C152" s="34" t="s">
        <v>1264</v>
      </c>
    </row>
    <row r="153" spans="1:3" ht="16.5" x14ac:dyDescent="0.3">
      <c r="A153" s="31" t="s">
        <v>1265</v>
      </c>
      <c r="B153" s="32" t="s">
        <v>276</v>
      </c>
      <c r="C153" s="31" t="s">
        <v>1266</v>
      </c>
    </row>
    <row r="154" spans="1:3" ht="16.5" x14ac:dyDescent="0.3">
      <c r="A154" s="31" t="s">
        <v>1267</v>
      </c>
      <c r="B154" s="32" t="s">
        <v>1268</v>
      </c>
      <c r="C154" s="34" t="s">
        <v>1269</v>
      </c>
    </row>
    <row r="155" spans="1:3" ht="16.5" x14ac:dyDescent="0.3">
      <c r="A155" s="31" t="s">
        <v>1270</v>
      </c>
      <c r="B155" s="32" t="s">
        <v>1271</v>
      </c>
      <c r="C155" s="33" t="s">
        <v>1272</v>
      </c>
    </row>
    <row r="156" spans="1:3" ht="16.5" x14ac:dyDescent="0.3">
      <c r="A156" s="31" t="s">
        <v>1273</v>
      </c>
      <c r="B156" s="32" t="s">
        <v>1274</v>
      </c>
      <c r="C156" s="33" t="s">
        <v>1275</v>
      </c>
    </row>
    <row r="157" spans="1:3" ht="16.5" x14ac:dyDescent="0.3">
      <c r="A157" s="31" t="s">
        <v>1276</v>
      </c>
      <c r="B157" s="32" t="s">
        <v>1277</v>
      </c>
      <c r="C157" s="34" t="s">
        <v>959</v>
      </c>
    </row>
    <row r="158" spans="1:3" ht="16.5" x14ac:dyDescent="0.3">
      <c r="A158" s="31" t="s">
        <v>1278</v>
      </c>
      <c r="B158" s="32" t="s">
        <v>1279</v>
      </c>
      <c r="C158" s="34" t="s">
        <v>1280</v>
      </c>
    </row>
    <row r="159" spans="1:3" ht="16.5" x14ac:dyDescent="0.3">
      <c r="A159" s="31" t="s">
        <v>1281</v>
      </c>
      <c r="B159" s="32" t="s">
        <v>1282</v>
      </c>
      <c r="C159" s="34" t="s">
        <v>1283</v>
      </c>
    </row>
    <row r="160" spans="1:3" ht="16.5" x14ac:dyDescent="0.3">
      <c r="A160" s="31" t="s">
        <v>269</v>
      </c>
      <c r="B160" s="32" t="s">
        <v>224</v>
      </c>
      <c r="C160" s="34" t="s">
        <v>1284</v>
      </c>
    </row>
    <row r="161" spans="1:3" ht="16.5" x14ac:dyDescent="0.3">
      <c r="A161" s="31" t="s">
        <v>1285</v>
      </c>
      <c r="B161" s="32" t="s">
        <v>1286</v>
      </c>
      <c r="C161" s="34" t="s">
        <v>959</v>
      </c>
    </row>
    <row r="162" spans="1:3" ht="16.5" x14ac:dyDescent="0.3">
      <c r="A162" s="36" t="s">
        <v>1287</v>
      </c>
      <c r="B162" s="32" t="s">
        <v>1288</v>
      </c>
      <c r="C162" s="34" t="s">
        <v>1289</v>
      </c>
    </row>
    <row r="163" spans="1:3" ht="16.5" x14ac:dyDescent="0.3">
      <c r="A163" s="36" t="s">
        <v>1290</v>
      </c>
      <c r="B163" s="32" t="s">
        <v>1291</v>
      </c>
      <c r="C163" s="34" t="s">
        <v>1292</v>
      </c>
    </row>
    <row r="164" spans="1:3" ht="16.5" x14ac:dyDescent="0.3">
      <c r="A164" s="31" t="s">
        <v>1293</v>
      </c>
      <c r="B164" s="32" t="s">
        <v>1294</v>
      </c>
      <c r="C164" s="42" t="s">
        <v>1295</v>
      </c>
    </row>
    <row r="165" spans="1:3" ht="16.5" x14ac:dyDescent="0.3">
      <c r="A165" s="31" t="s">
        <v>1296</v>
      </c>
      <c r="B165" s="32" t="s">
        <v>1297</v>
      </c>
      <c r="C165" s="43" t="s">
        <v>1298</v>
      </c>
    </row>
    <row r="166" spans="1:3" ht="16.5" x14ac:dyDescent="0.3">
      <c r="A166" s="31" t="s">
        <v>1299</v>
      </c>
      <c r="B166" s="32" t="s">
        <v>1300</v>
      </c>
      <c r="C166" s="34" t="s">
        <v>1301</v>
      </c>
    </row>
    <row r="167" spans="1:3" ht="16.5" x14ac:dyDescent="0.3">
      <c r="A167" s="31" t="s">
        <v>1302</v>
      </c>
      <c r="B167" s="32" t="s">
        <v>62</v>
      </c>
      <c r="C167" s="34" t="s">
        <v>1303</v>
      </c>
    </row>
    <row r="168" spans="1:3" ht="16.5" x14ac:dyDescent="0.3">
      <c r="A168" s="31" t="s">
        <v>1304</v>
      </c>
      <c r="B168" s="32" t="s">
        <v>1305</v>
      </c>
      <c r="C168" s="34" t="s">
        <v>1306</v>
      </c>
    </row>
    <row r="169" spans="1:3" ht="16.5" x14ac:dyDescent="0.3">
      <c r="A169" s="31" t="s">
        <v>1307</v>
      </c>
      <c r="B169" s="32" t="s">
        <v>1308</v>
      </c>
      <c r="C169" s="34" t="s">
        <v>1309</v>
      </c>
    </row>
    <row r="170" spans="1:3" ht="16.5" x14ac:dyDescent="0.3">
      <c r="A170" s="31" t="s">
        <v>1310</v>
      </c>
      <c r="B170" s="32" t="s">
        <v>1311</v>
      </c>
      <c r="C170" s="34" t="s">
        <v>1312</v>
      </c>
    </row>
    <row r="171" spans="1:3" ht="16.5" x14ac:dyDescent="0.3">
      <c r="A171" s="31" t="s">
        <v>1313</v>
      </c>
      <c r="B171" s="32" t="s">
        <v>1314</v>
      </c>
      <c r="C171" s="42" t="s">
        <v>367</v>
      </c>
    </row>
    <row r="172" spans="1:3" ht="16.5" x14ac:dyDescent="0.3">
      <c r="A172" s="31" t="s">
        <v>1315</v>
      </c>
      <c r="B172" s="32" t="s">
        <v>1316</v>
      </c>
      <c r="C172" s="43" t="s">
        <v>1317</v>
      </c>
    </row>
    <row r="173" spans="1:3" ht="16.5" x14ac:dyDescent="0.3">
      <c r="A173" s="31" t="s">
        <v>1318</v>
      </c>
      <c r="B173" s="32" t="s">
        <v>1319</v>
      </c>
      <c r="C173" s="34" t="s">
        <v>1320</v>
      </c>
    </row>
    <row r="174" spans="1:3" ht="16.5" x14ac:dyDescent="0.3">
      <c r="A174" s="31" t="s">
        <v>1321</v>
      </c>
      <c r="B174" s="32" t="s">
        <v>1322</v>
      </c>
      <c r="C174" s="34" t="s">
        <v>1323</v>
      </c>
    </row>
    <row r="175" spans="1:3" ht="16.5" x14ac:dyDescent="0.3">
      <c r="A175" s="31" t="s">
        <v>1324</v>
      </c>
      <c r="B175" s="32" t="s">
        <v>1325</v>
      </c>
      <c r="C175" s="34" t="s">
        <v>1326</v>
      </c>
    </row>
    <row r="176" spans="1:3" ht="16.5" x14ac:dyDescent="0.3">
      <c r="A176" s="31" t="s">
        <v>1327</v>
      </c>
      <c r="B176" s="32" t="s">
        <v>1328</v>
      </c>
      <c r="C176" s="34" t="s">
        <v>1329</v>
      </c>
    </row>
    <row r="177" spans="1:3" ht="16.5" x14ac:dyDescent="0.3">
      <c r="A177" s="31" t="s">
        <v>1330</v>
      </c>
      <c r="B177" s="32" t="s">
        <v>1331</v>
      </c>
      <c r="C177" s="34" t="s">
        <v>1332</v>
      </c>
    </row>
    <row r="178" spans="1:3" ht="16.5" x14ac:dyDescent="0.3">
      <c r="A178" s="31" t="s">
        <v>1333</v>
      </c>
      <c r="B178" s="32" t="s">
        <v>1334</v>
      </c>
      <c r="C178" s="42" t="s">
        <v>1335</v>
      </c>
    </row>
    <row r="179" spans="1:3" ht="16.5" x14ac:dyDescent="0.3">
      <c r="A179" s="31" t="s">
        <v>1336</v>
      </c>
      <c r="B179" s="32" t="s">
        <v>1337</v>
      </c>
      <c r="C179" s="43" t="s">
        <v>1338</v>
      </c>
    </row>
    <row r="180" spans="1:3" ht="16.5" x14ac:dyDescent="0.3">
      <c r="A180" s="31" t="s">
        <v>1339</v>
      </c>
      <c r="B180" s="32" t="s">
        <v>1340</v>
      </c>
      <c r="C180" s="34" t="s">
        <v>1341</v>
      </c>
    </row>
    <row r="181" spans="1:3" ht="16.5" x14ac:dyDescent="0.3">
      <c r="A181" s="31" t="s">
        <v>1342</v>
      </c>
      <c r="B181" s="32" t="s">
        <v>1343</v>
      </c>
      <c r="C181" s="34" t="s">
        <v>959</v>
      </c>
    </row>
    <row r="182" spans="1:3" ht="16.5" x14ac:dyDescent="0.3">
      <c r="A182" s="31" t="s">
        <v>1344</v>
      </c>
      <c r="B182" s="32" t="s">
        <v>1345</v>
      </c>
      <c r="C182" s="34" t="s">
        <v>1346</v>
      </c>
    </row>
    <row r="183" spans="1:3" ht="16.5" x14ac:dyDescent="0.3">
      <c r="A183" s="31" t="s">
        <v>1347</v>
      </c>
      <c r="B183" s="32" t="s">
        <v>1348</v>
      </c>
      <c r="C183" s="34" t="s">
        <v>1349</v>
      </c>
    </row>
    <row r="184" spans="1:3" ht="16.5" x14ac:dyDescent="0.3">
      <c r="A184" s="31" t="s">
        <v>1350</v>
      </c>
      <c r="B184" s="32" t="s">
        <v>1351</v>
      </c>
      <c r="C184" s="34" t="s">
        <v>1352</v>
      </c>
    </row>
    <row r="185" spans="1:3" ht="16.5" x14ac:dyDescent="0.3">
      <c r="A185" s="31" t="s">
        <v>1353</v>
      </c>
      <c r="B185" s="32" t="s">
        <v>1354</v>
      </c>
      <c r="C185" s="34" t="s">
        <v>1355</v>
      </c>
    </row>
    <row r="186" spans="1:3" ht="16.5" x14ac:dyDescent="0.3">
      <c r="A186" s="31" t="s">
        <v>1356</v>
      </c>
      <c r="B186" s="32" t="s">
        <v>1357</v>
      </c>
      <c r="C186" s="34" t="s">
        <v>1358</v>
      </c>
    </row>
    <row r="187" spans="1:3" ht="16.5" x14ac:dyDescent="0.3">
      <c r="A187" s="31" t="s">
        <v>1359</v>
      </c>
      <c r="B187" s="32" t="s">
        <v>1360</v>
      </c>
      <c r="C187" s="34" t="s">
        <v>1361</v>
      </c>
    </row>
    <row r="188" spans="1:3" ht="16.5" x14ac:dyDescent="0.3">
      <c r="A188" s="31" t="s">
        <v>1362</v>
      </c>
      <c r="B188" s="32" t="s">
        <v>1363</v>
      </c>
      <c r="C188" s="34" t="s">
        <v>1364</v>
      </c>
    </row>
    <row r="189" spans="1:3" ht="16.5" x14ac:dyDescent="0.3">
      <c r="A189" s="31" t="s">
        <v>1365</v>
      </c>
      <c r="B189" s="32" t="s">
        <v>1366</v>
      </c>
      <c r="C189" s="34" t="s">
        <v>959</v>
      </c>
    </row>
    <row r="190" spans="1:3" ht="16.5" x14ac:dyDescent="0.3">
      <c r="A190" s="31" t="s">
        <v>1367</v>
      </c>
      <c r="B190" s="32" t="s">
        <v>475</v>
      </c>
      <c r="C190" s="34" t="s">
        <v>1368</v>
      </c>
    </row>
    <row r="191" spans="1:3" ht="16.5" x14ac:dyDescent="0.3">
      <c r="A191" s="31" t="s">
        <v>329</v>
      </c>
      <c r="B191" s="32" t="s">
        <v>211</v>
      </c>
      <c r="C191" s="34" t="s">
        <v>1369</v>
      </c>
    </row>
    <row r="192" spans="1:3" ht="16.5" x14ac:dyDescent="0.3">
      <c r="A192" s="31" t="s">
        <v>1370</v>
      </c>
      <c r="B192" s="32" t="s">
        <v>1371</v>
      </c>
      <c r="C192" s="34" t="s">
        <v>1372</v>
      </c>
    </row>
    <row r="193" spans="1:3" ht="16.5" x14ac:dyDescent="0.3">
      <c r="A193" s="31" t="s">
        <v>1373</v>
      </c>
      <c r="B193" s="32" t="s">
        <v>200</v>
      </c>
      <c r="C193" s="42" t="s">
        <v>1374</v>
      </c>
    </row>
    <row r="194" spans="1:3" ht="16.5" x14ac:dyDescent="0.3">
      <c r="A194" s="31" t="s">
        <v>1375</v>
      </c>
      <c r="B194" s="32" t="s">
        <v>1376</v>
      </c>
      <c r="C194" s="33" t="s">
        <v>1377</v>
      </c>
    </row>
    <row r="195" spans="1:3" ht="16.5" x14ac:dyDescent="0.3">
      <c r="A195" s="31" t="s">
        <v>1378</v>
      </c>
      <c r="B195" s="32" t="s">
        <v>377</v>
      </c>
      <c r="C195" s="33" t="s">
        <v>1379</v>
      </c>
    </row>
    <row r="196" spans="1:3" ht="16.5" x14ac:dyDescent="0.3">
      <c r="A196" s="31" t="s">
        <v>1380</v>
      </c>
      <c r="B196" s="32" t="s">
        <v>399</v>
      </c>
      <c r="C196" s="44" t="s">
        <v>1381</v>
      </c>
    </row>
    <row r="197" spans="1:3" ht="16.5" x14ac:dyDescent="0.3">
      <c r="A197" s="31" t="s">
        <v>1382</v>
      </c>
      <c r="B197" s="32" t="s">
        <v>1383</v>
      </c>
      <c r="C197" s="43" t="s">
        <v>1384</v>
      </c>
    </row>
    <row r="198" spans="1:3" ht="16.5" x14ac:dyDescent="0.3">
      <c r="A198" s="31" t="s">
        <v>1385</v>
      </c>
      <c r="B198" s="32" t="s">
        <v>1386</v>
      </c>
      <c r="C198" s="42" t="s">
        <v>1387</v>
      </c>
    </row>
    <row r="199" spans="1:3" ht="16.5" x14ac:dyDescent="0.3">
      <c r="A199" s="31" t="s">
        <v>1388</v>
      </c>
      <c r="B199" s="32" t="s">
        <v>1389</v>
      </c>
      <c r="C199" s="43" t="s">
        <v>1390</v>
      </c>
    </row>
    <row r="200" spans="1:3" ht="16.5" x14ac:dyDescent="0.3">
      <c r="A200" s="31" t="s">
        <v>1391</v>
      </c>
      <c r="B200" s="32" t="s">
        <v>804</v>
      </c>
      <c r="C200" s="34" t="s">
        <v>1392</v>
      </c>
    </row>
    <row r="201" spans="1:3" ht="16.5" x14ac:dyDescent="0.3">
      <c r="A201" s="31" t="s">
        <v>1393</v>
      </c>
      <c r="B201" s="32" t="s">
        <v>1394</v>
      </c>
      <c r="C201" s="42" t="s">
        <v>1395</v>
      </c>
    </row>
    <row r="202" spans="1:3" ht="16.5" x14ac:dyDescent="0.3">
      <c r="A202" s="31" t="s">
        <v>1396</v>
      </c>
      <c r="B202" s="32" t="s">
        <v>1397</v>
      </c>
      <c r="C202" s="44" t="s">
        <v>1398</v>
      </c>
    </row>
    <row r="203" spans="1:3" ht="16.5" x14ac:dyDescent="0.3">
      <c r="A203" s="31" t="s">
        <v>1399</v>
      </c>
      <c r="B203" s="32" t="s">
        <v>1400</v>
      </c>
      <c r="C203" s="43" t="s">
        <v>1401</v>
      </c>
    </row>
    <row r="204" spans="1:3" ht="16.5" x14ac:dyDescent="0.3">
      <c r="A204" s="31" t="s">
        <v>1402</v>
      </c>
      <c r="B204" s="32" t="s">
        <v>1403</v>
      </c>
      <c r="C204" s="44" t="s">
        <v>1404</v>
      </c>
    </row>
    <row r="205" spans="1:3" ht="16.5" x14ac:dyDescent="0.3">
      <c r="A205" s="31" t="s">
        <v>1405</v>
      </c>
      <c r="B205" s="32" t="s">
        <v>1406</v>
      </c>
      <c r="C205" s="34" t="s">
        <v>1407</v>
      </c>
    </row>
    <row r="206" spans="1:3" ht="16.5" x14ac:dyDescent="0.3">
      <c r="A206" s="31" t="s">
        <v>1408</v>
      </c>
      <c r="B206" s="32" t="s">
        <v>1409</v>
      </c>
      <c r="C206" s="34" t="s">
        <v>1410</v>
      </c>
    </row>
    <row r="207" spans="1:3" ht="16.5" x14ac:dyDescent="0.3">
      <c r="A207" s="31" t="s">
        <v>1411</v>
      </c>
      <c r="B207" s="32" t="s">
        <v>112</v>
      </c>
      <c r="C207" s="34" t="s">
        <v>1412</v>
      </c>
    </row>
    <row r="208" spans="1:3" ht="16.5" x14ac:dyDescent="0.3">
      <c r="A208" s="31" t="s">
        <v>1413</v>
      </c>
      <c r="B208" s="32" t="s">
        <v>1414</v>
      </c>
      <c r="C208" s="34" t="s">
        <v>959</v>
      </c>
    </row>
    <row r="209" spans="1:3" ht="16.5" x14ac:dyDescent="0.3">
      <c r="A209" s="31" t="s">
        <v>1415</v>
      </c>
      <c r="B209" s="32" t="s">
        <v>1416</v>
      </c>
      <c r="C209" s="34" t="s">
        <v>1417</v>
      </c>
    </row>
    <row r="210" spans="1:3" ht="16.5" x14ac:dyDescent="0.3">
      <c r="A210" s="31" t="s">
        <v>1418</v>
      </c>
      <c r="B210" s="32" t="s">
        <v>595</v>
      </c>
      <c r="C210" s="34" t="s">
        <v>1419</v>
      </c>
    </row>
    <row r="211" spans="1:3" ht="16.5" x14ac:dyDescent="0.3">
      <c r="A211" s="31" t="s">
        <v>1420</v>
      </c>
      <c r="B211" s="32" t="s">
        <v>1421</v>
      </c>
      <c r="C211" s="34" t="s">
        <v>1422</v>
      </c>
    </row>
    <row r="212" spans="1:3" ht="16.5" x14ac:dyDescent="0.3">
      <c r="A212" s="31" t="s">
        <v>1423</v>
      </c>
      <c r="B212" s="32" t="s">
        <v>1424</v>
      </c>
      <c r="C212" s="34" t="s">
        <v>1425</v>
      </c>
    </row>
    <row r="213" spans="1:3" ht="16.5" x14ac:dyDescent="0.3">
      <c r="A213" s="31" t="s">
        <v>1426</v>
      </c>
      <c r="B213" s="32" t="s">
        <v>1427</v>
      </c>
      <c r="C213" s="34" t="s">
        <v>1428</v>
      </c>
    </row>
    <row r="214" spans="1:3" ht="16.5" x14ac:dyDescent="0.3">
      <c r="A214" s="31" t="s">
        <v>1429</v>
      </c>
      <c r="B214" s="32" t="s">
        <v>1430</v>
      </c>
      <c r="C214" s="34" t="s">
        <v>1431</v>
      </c>
    </row>
    <row r="215" spans="1:3" ht="16.5" x14ac:dyDescent="0.3">
      <c r="A215" s="31" t="s">
        <v>1432</v>
      </c>
      <c r="B215" s="32" t="s">
        <v>1433</v>
      </c>
      <c r="C215" s="34" t="s">
        <v>1434</v>
      </c>
    </row>
    <row r="216" spans="1:3" ht="16.5" x14ac:dyDescent="0.3">
      <c r="A216" s="31" t="s">
        <v>1435</v>
      </c>
      <c r="B216" s="32" t="s">
        <v>1436</v>
      </c>
      <c r="C216" s="34" t="s">
        <v>1437</v>
      </c>
    </row>
    <row r="217" spans="1:3" ht="16.5" x14ac:dyDescent="0.3">
      <c r="A217" s="31" t="s">
        <v>755</v>
      </c>
      <c r="B217" s="32" t="s">
        <v>1438</v>
      </c>
      <c r="C217" s="34" t="s">
        <v>1439</v>
      </c>
    </row>
    <row r="218" spans="1:3" ht="16.5" x14ac:dyDescent="0.3">
      <c r="A218" s="31" t="s">
        <v>1440</v>
      </c>
      <c r="B218" s="32" t="s">
        <v>1441</v>
      </c>
      <c r="C218" s="34" t="s">
        <v>1442</v>
      </c>
    </row>
    <row r="219" spans="1:3" ht="16.5" x14ac:dyDescent="0.3">
      <c r="A219" s="31" t="s">
        <v>1443</v>
      </c>
      <c r="B219" s="32" t="s">
        <v>1444</v>
      </c>
      <c r="C219" s="34" t="s">
        <v>1445</v>
      </c>
    </row>
    <row r="220" spans="1:3" ht="16.5" x14ac:dyDescent="0.3">
      <c r="A220" s="31" t="s">
        <v>1446</v>
      </c>
      <c r="B220" s="32" t="s">
        <v>1447</v>
      </c>
      <c r="C220" s="34" t="s">
        <v>1448</v>
      </c>
    </row>
    <row r="221" spans="1:3" ht="16.5" x14ac:dyDescent="0.3">
      <c r="A221" s="31" t="s">
        <v>1449</v>
      </c>
      <c r="B221" s="32" t="s">
        <v>1450</v>
      </c>
      <c r="C221" s="34" t="s">
        <v>1451</v>
      </c>
    </row>
    <row r="222" spans="1:3" ht="16.5" x14ac:dyDescent="0.3">
      <c r="A222" s="31" t="s">
        <v>1452</v>
      </c>
      <c r="B222" s="32" t="s">
        <v>1453</v>
      </c>
      <c r="C222" s="34" t="s">
        <v>1454</v>
      </c>
    </row>
    <row r="223" spans="1:3" ht="16.5" x14ac:dyDescent="0.3">
      <c r="A223" s="31" t="s">
        <v>1455</v>
      </c>
      <c r="B223" s="32" t="s">
        <v>1456</v>
      </c>
      <c r="C223" s="34" t="s">
        <v>1457</v>
      </c>
    </row>
    <row r="224" spans="1:3" ht="16.5" x14ac:dyDescent="0.3">
      <c r="A224" s="31" t="s">
        <v>1458</v>
      </c>
      <c r="B224" s="32" t="s">
        <v>293</v>
      </c>
      <c r="C224" s="34" t="s">
        <v>1459</v>
      </c>
    </row>
    <row r="225" spans="1:3" ht="16.5" x14ac:dyDescent="0.3">
      <c r="A225" s="31" t="s">
        <v>1460</v>
      </c>
      <c r="B225" s="32" t="s">
        <v>316</v>
      </c>
      <c r="C225" s="34" t="s">
        <v>1461</v>
      </c>
    </row>
    <row r="226" spans="1:3" ht="16.5" x14ac:dyDescent="0.3">
      <c r="A226" s="31" t="s">
        <v>1462</v>
      </c>
      <c r="B226" s="32" t="s">
        <v>1463</v>
      </c>
      <c r="C226" s="34" t="s">
        <v>1464</v>
      </c>
    </row>
    <row r="227" spans="1:3" ht="16.5" x14ac:dyDescent="0.3">
      <c r="A227" s="31" t="s">
        <v>1465</v>
      </c>
      <c r="B227" s="32" t="s">
        <v>1466</v>
      </c>
      <c r="C227" s="34" t="s">
        <v>1467</v>
      </c>
    </row>
    <row r="228" spans="1:3" ht="16.5" x14ac:dyDescent="0.3">
      <c r="A228" s="31" t="s">
        <v>1468</v>
      </c>
      <c r="B228" s="32" t="s">
        <v>1469</v>
      </c>
      <c r="C228" s="34" t="s">
        <v>1470</v>
      </c>
    </row>
    <row r="229" spans="1:3" ht="16.5" x14ac:dyDescent="0.3">
      <c r="A229" s="31" t="s">
        <v>1471</v>
      </c>
      <c r="B229" s="32" t="s">
        <v>1472</v>
      </c>
      <c r="C229" s="34" t="s">
        <v>1473</v>
      </c>
    </row>
    <row r="230" spans="1:3" ht="16.5" x14ac:dyDescent="0.3">
      <c r="A230" s="31" t="s">
        <v>1474</v>
      </c>
      <c r="B230" s="32" t="s">
        <v>1475</v>
      </c>
      <c r="C230" s="34" t="s">
        <v>1476</v>
      </c>
    </row>
    <row r="231" spans="1:3" ht="16.5" x14ac:dyDescent="0.3">
      <c r="A231" s="31" t="s">
        <v>1477</v>
      </c>
      <c r="B231" s="32" t="s">
        <v>1478</v>
      </c>
      <c r="C231" s="34" t="s">
        <v>1479</v>
      </c>
    </row>
    <row r="232" spans="1:3" ht="16.5" x14ac:dyDescent="0.3">
      <c r="A232" s="31" t="s">
        <v>74</v>
      </c>
      <c r="B232" s="32" t="s">
        <v>774</v>
      </c>
      <c r="C232" s="34" t="s">
        <v>1480</v>
      </c>
    </row>
    <row r="233" spans="1:3" ht="16.5" x14ac:dyDescent="0.3">
      <c r="A233" s="31" t="s">
        <v>1481</v>
      </c>
      <c r="B233" s="32" t="s">
        <v>1482</v>
      </c>
      <c r="C233" s="34" t="s">
        <v>1483</v>
      </c>
    </row>
    <row r="234" spans="1:3" ht="16.5" x14ac:dyDescent="0.3">
      <c r="A234" s="31" t="s">
        <v>1484</v>
      </c>
      <c r="B234" s="32" t="s">
        <v>1485</v>
      </c>
      <c r="C234" s="34" t="s">
        <v>1486</v>
      </c>
    </row>
    <row r="235" spans="1:3" ht="16.5" x14ac:dyDescent="0.3">
      <c r="A235" s="31" t="s">
        <v>1487</v>
      </c>
      <c r="B235" s="32" t="s">
        <v>1488</v>
      </c>
      <c r="C235" s="34" t="s">
        <v>1489</v>
      </c>
    </row>
    <row r="236" spans="1:3" ht="16.5" x14ac:dyDescent="0.3">
      <c r="A236" s="31" t="s">
        <v>1490</v>
      </c>
      <c r="B236" s="32" t="s">
        <v>1491</v>
      </c>
      <c r="C236" s="34" t="s">
        <v>1492</v>
      </c>
    </row>
    <row r="237" spans="1:3" ht="16.5" x14ac:dyDescent="0.3">
      <c r="A237" s="31" t="s">
        <v>1493</v>
      </c>
      <c r="B237" s="32" t="s">
        <v>1494</v>
      </c>
      <c r="C237" s="34" t="s">
        <v>1495</v>
      </c>
    </row>
    <row r="238" spans="1:3" ht="16.5" x14ac:dyDescent="0.3">
      <c r="A238" s="31" t="s">
        <v>1496</v>
      </c>
      <c r="B238" s="32" t="s">
        <v>1485</v>
      </c>
      <c r="C238" s="34" t="s">
        <v>1497</v>
      </c>
    </row>
    <row r="239" spans="1:3" ht="16.5" x14ac:dyDescent="0.3">
      <c r="A239" s="31" t="s">
        <v>1498</v>
      </c>
      <c r="B239" s="32" t="s">
        <v>1499</v>
      </c>
      <c r="C239" s="34" t="s">
        <v>1500</v>
      </c>
    </row>
    <row r="240" spans="1:3" ht="16.5" x14ac:dyDescent="0.3">
      <c r="A240" s="31" t="s">
        <v>1501</v>
      </c>
      <c r="B240" s="32" t="s">
        <v>1502</v>
      </c>
      <c r="C240" s="49" t="s">
        <v>1503</v>
      </c>
    </row>
    <row r="241" spans="1:3" ht="16.5" x14ac:dyDescent="0.3">
      <c r="A241" s="31" t="s">
        <v>1504</v>
      </c>
      <c r="B241" s="32" t="s">
        <v>1505</v>
      </c>
      <c r="C241" s="34" t="s">
        <v>1506</v>
      </c>
    </row>
    <row r="242" spans="1:3" ht="16.5" x14ac:dyDescent="0.3">
      <c r="A242" s="31" t="s">
        <v>1507</v>
      </c>
      <c r="B242" s="32" t="s">
        <v>1508</v>
      </c>
      <c r="C242" s="34" t="s">
        <v>1509</v>
      </c>
    </row>
    <row r="243" spans="1:3" ht="16.5" x14ac:dyDescent="0.3">
      <c r="A243" s="31" t="s">
        <v>1510</v>
      </c>
      <c r="B243" s="32" t="s">
        <v>1511</v>
      </c>
      <c r="C243" s="34" t="s">
        <v>1512</v>
      </c>
    </row>
    <row r="244" spans="1:3" ht="16.5" x14ac:dyDescent="0.3">
      <c r="A244" s="31" t="s">
        <v>1513</v>
      </c>
      <c r="B244" s="32" t="s">
        <v>1514</v>
      </c>
      <c r="C244" s="34" t="s">
        <v>1163</v>
      </c>
    </row>
    <row r="245" spans="1:3" ht="16.5" x14ac:dyDescent="0.3">
      <c r="A245" s="31" t="s">
        <v>1515</v>
      </c>
      <c r="B245" s="32" t="s">
        <v>1516</v>
      </c>
      <c r="C245" s="34" t="s">
        <v>1517</v>
      </c>
    </row>
    <row r="246" spans="1:3" ht="16.5" x14ac:dyDescent="0.3">
      <c r="A246" s="31" t="s">
        <v>1518</v>
      </c>
      <c r="B246" s="32" t="s">
        <v>1519</v>
      </c>
      <c r="C246" s="34" t="s">
        <v>1520</v>
      </c>
    </row>
    <row r="247" spans="1:3" ht="16.5" x14ac:dyDescent="0.3">
      <c r="A247" s="31" t="s">
        <v>1521</v>
      </c>
      <c r="B247" s="32" t="s">
        <v>103</v>
      </c>
      <c r="C247" s="34" t="s">
        <v>1522</v>
      </c>
    </row>
    <row r="248" spans="1:3" ht="16.5" x14ac:dyDescent="0.3">
      <c r="A248" s="31" t="s">
        <v>386</v>
      </c>
      <c r="B248" s="32" t="s">
        <v>747</v>
      </c>
      <c r="C248" s="34" t="s">
        <v>1523</v>
      </c>
    </row>
    <row r="249" spans="1:3" ht="16.5" x14ac:dyDescent="0.3">
      <c r="A249" s="31" t="s">
        <v>1524</v>
      </c>
      <c r="B249" s="32" t="s">
        <v>1525</v>
      </c>
      <c r="C249" s="34" t="s">
        <v>1526</v>
      </c>
    </row>
    <row r="250" spans="1:3" ht="16.5" x14ac:dyDescent="0.3">
      <c r="A250" s="31" t="s">
        <v>1527</v>
      </c>
      <c r="B250" s="32" t="s">
        <v>1528</v>
      </c>
      <c r="C250" s="34" t="s">
        <v>1529</v>
      </c>
    </row>
    <row r="251" spans="1:3" ht="16.5" x14ac:dyDescent="0.3">
      <c r="A251" s="31" t="s">
        <v>1530</v>
      </c>
      <c r="B251" s="32" t="s">
        <v>1531</v>
      </c>
      <c r="C251" s="34" t="s">
        <v>1532</v>
      </c>
    </row>
    <row r="252" spans="1:3" ht="16.5" x14ac:dyDescent="0.3">
      <c r="A252" s="31" t="s">
        <v>1533</v>
      </c>
      <c r="B252" s="32" t="s">
        <v>1534</v>
      </c>
      <c r="C252" s="34" t="s">
        <v>1535</v>
      </c>
    </row>
    <row r="253" spans="1:3" ht="16.5" x14ac:dyDescent="0.3">
      <c r="A253" s="31" t="s">
        <v>1536</v>
      </c>
      <c r="B253" s="32" t="s">
        <v>1537</v>
      </c>
      <c r="C253" s="34" t="s">
        <v>1538</v>
      </c>
    </row>
    <row r="254" spans="1:3" ht="16.5" x14ac:dyDescent="0.3">
      <c r="A254" s="31" t="s">
        <v>1539</v>
      </c>
      <c r="B254" s="32" t="s">
        <v>1540</v>
      </c>
      <c r="C254" s="34" t="s">
        <v>1541</v>
      </c>
    </row>
    <row r="255" spans="1:3" ht="16.5" x14ac:dyDescent="0.3">
      <c r="A255" s="31" t="s">
        <v>1542</v>
      </c>
      <c r="B255" s="32" t="s">
        <v>1543</v>
      </c>
      <c r="C255" s="34" t="s">
        <v>1544</v>
      </c>
    </row>
    <row r="256" spans="1:3" ht="16.5" x14ac:dyDescent="0.3">
      <c r="A256" s="31" t="s">
        <v>1545</v>
      </c>
      <c r="B256" s="32" t="s">
        <v>1546</v>
      </c>
      <c r="C256" s="34" t="s">
        <v>1547</v>
      </c>
    </row>
    <row r="257" spans="1:3" ht="16.5" x14ac:dyDescent="0.3">
      <c r="A257" s="31" t="s">
        <v>1548</v>
      </c>
      <c r="B257" s="32" t="s">
        <v>1549</v>
      </c>
      <c r="C257" s="34" t="s">
        <v>1550</v>
      </c>
    </row>
    <row r="258" spans="1:3" ht="16.5" x14ac:dyDescent="0.3">
      <c r="A258" s="31" t="s">
        <v>1551</v>
      </c>
      <c r="B258" s="32" t="s">
        <v>1552</v>
      </c>
      <c r="C258" s="34" t="s">
        <v>1553</v>
      </c>
    </row>
    <row r="259" spans="1:3" ht="16.5" x14ac:dyDescent="0.3">
      <c r="A259" s="31" t="s">
        <v>1554</v>
      </c>
      <c r="B259" s="32" t="s">
        <v>1555</v>
      </c>
      <c r="C259" s="34" t="s">
        <v>1556</v>
      </c>
    </row>
    <row r="260" spans="1:3" ht="16.5" x14ac:dyDescent="0.3">
      <c r="A260" s="31" t="s">
        <v>1557</v>
      </c>
      <c r="B260" s="32" t="s">
        <v>1558</v>
      </c>
      <c r="C260" s="34" t="s">
        <v>1559</v>
      </c>
    </row>
    <row r="261" spans="1:3" ht="16.5" x14ac:dyDescent="0.3">
      <c r="A261" s="31" t="s">
        <v>1560</v>
      </c>
      <c r="B261" s="32" t="s">
        <v>1561</v>
      </c>
      <c r="C261" s="34" t="s">
        <v>1562</v>
      </c>
    </row>
    <row r="262" spans="1:3" ht="16.5" x14ac:dyDescent="0.3">
      <c r="A262" s="31" t="s">
        <v>1563</v>
      </c>
      <c r="B262" s="32" t="s">
        <v>1564</v>
      </c>
      <c r="C262" s="34" t="s">
        <v>1565</v>
      </c>
    </row>
    <row r="263" spans="1:3" ht="16.5" x14ac:dyDescent="0.3">
      <c r="A263" s="31" t="s">
        <v>1566</v>
      </c>
      <c r="B263" s="32" t="s">
        <v>1567</v>
      </c>
      <c r="C263" s="34" t="s">
        <v>1568</v>
      </c>
    </row>
    <row r="264" spans="1:3" ht="16.5" x14ac:dyDescent="0.3">
      <c r="A264" s="31" t="s">
        <v>1569</v>
      </c>
      <c r="B264" s="32" t="s">
        <v>1570</v>
      </c>
      <c r="C264" s="34" t="s">
        <v>1571</v>
      </c>
    </row>
    <row r="265" spans="1:3" ht="16.5" x14ac:dyDescent="0.3">
      <c r="A265" s="31" t="s">
        <v>1572</v>
      </c>
      <c r="B265" s="32" t="s">
        <v>1573</v>
      </c>
      <c r="C265" s="34" t="s">
        <v>1574</v>
      </c>
    </row>
    <row r="266" spans="1:3" ht="16.5" x14ac:dyDescent="0.3">
      <c r="A266" s="31" t="s">
        <v>1575</v>
      </c>
      <c r="B266" s="32" t="s">
        <v>1576</v>
      </c>
      <c r="C266" s="34" t="s">
        <v>1577</v>
      </c>
    </row>
    <row r="267" spans="1:3" ht="16.5" x14ac:dyDescent="0.3">
      <c r="A267" s="31" t="s">
        <v>1578</v>
      </c>
      <c r="B267" s="32" t="s">
        <v>1579</v>
      </c>
      <c r="C267" s="34" t="s">
        <v>1580</v>
      </c>
    </row>
    <row r="268" spans="1:3" ht="16.5" x14ac:dyDescent="0.3">
      <c r="A268" s="31" t="s">
        <v>1581</v>
      </c>
      <c r="B268" s="32" t="s">
        <v>1582</v>
      </c>
      <c r="C268" s="34" t="s">
        <v>1583</v>
      </c>
    </row>
    <row r="269" spans="1:3" ht="16.5" x14ac:dyDescent="0.3">
      <c r="A269" s="31" t="s">
        <v>1584</v>
      </c>
      <c r="B269" s="32" t="s">
        <v>1585</v>
      </c>
      <c r="C269" s="34" t="s">
        <v>1586</v>
      </c>
    </row>
    <row r="270" spans="1:3" ht="16.5" x14ac:dyDescent="0.3">
      <c r="A270" s="31" t="s">
        <v>1587</v>
      </c>
      <c r="B270" s="32" t="s">
        <v>1588</v>
      </c>
      <c r="C270" s="34" t="s">
        <v>1589</v>
      </c>
    </row>
    <row r="271" spans="1:3" ht="16.5" x14ac:dyDescent="0.3">
      <c r="A271" s="31" t="s">
        <v>1590</v>
      </c>
      <c r="B271" s="32" t="s">
        <v>139</v>
      </c>
      <c r="C271" s="34" t="s">
        <v>1258</v>
      </c>
    </row>
    <row r="272" spans="1:3" ht="16.5" x14ac:dyDescent="0.3">
      <c r="A272" s="31" t="s">
        <v>1591</v>
      </c>
      <c r="B272" s="32" t="s">
        <v>1592</v>
      </c>
      <c r="C272" s="34" t="s">
        <v>1593</v>
      </c>
    </row>
    <row r="273" spans="1:3" ht="16.5" x14ac:dyDescent="0.3">
      <c r="A273" s="31" t="s">
        <v>1594</v>
      </c>
      <c r="B273" s="32" t="s">
        <v>1595</v>
      </c>
      <c r="C273" s="34" t="s">
        <v>1596</v>
      </c>
    </row>
    <row r="274" spans="1:3" ht="16.5" x14ac:dyDescent="0.3">
      <c r="A274" s="31" t="s">
        <v>82</v>
      </c>
      <c r="B274" s="32" t="s">
        <v>1597</v>
      </c>
      <c r="C274" s="42" t="s">
        <v>1598</v>
      </c>
    </row>
    <row r="275" spans="1:3" ht="16.5" x14ac:dyDescent="0.3">
      <c r="A275" s="31" t="s">
        <v>1599</v>
      </c>
      <c r="B275" s="32" t="s">
        <v>1600</v>
      </c>
      <c r="C275" s="34" t="s">
        <v>1601</v>
      </c>
    </row>
    <row r="276" spans="1:3" ht="16.5" x14ac:dyDescent="0.3">
      <c r="A276" s="31" t="s">
        <v>1602</v>
      </c>
      <c r="B276" s="32" t="s">
        <v>1603</v>
      </c>
      <c r="C276" s="44" t="s">
        <v>1604</v>
      </c>
    </row>
    <row r="277" spans="1:3" ht="16.5" x14ac:dyDescent="0.3">
      <c r="A277" s="31" t="s">
        <v>1605</v>
      </c>
      <c r="B277" s="32" t="s">
        <v>59</v>
      </c>
      <c r="C277" s="34" t="s">
        <v>1606</v>
      </c>
    </row>
    <row r="278" spans="1:3" ht="16.5" x14ac:dyDescent="0.3">
      <c r="A278" s="31" t="s">
        <v>1607</v>
      </c>
      <c r="B278" s="32" t="s">
        <v>1608</v>
      </c>
      <c r="C278" s="34" t="s">
        <v>1609</v>
      </c>
    </row>
    <row r="279" spans="1:3" ht="16.5" x14ac:dyDescent="0.3">
      <c r="A279" s="31" t="s">
        <v>1610</v>
      </c>
      <c r="B279" s="32" t="s">
        <v>1611</v>
      </c>
      <c r="C279" s="34" t="s">
        <v>1612</v>
      </c>
    </row>
    <row r="280" spans="1:3" ht="16.5" x14ac:dyDescent="0.3">
      <c r="A280" s="31" t="s">
        <v>185</v>
      </c>
      <c r="B280" s="32" t="s">
        <v>1613</v>
      </c>
      <c r="C280" s="34" t="s">
        <v>1614</v>
      </c>
    </row>
    <row r="281" spans="1:3" ht="16.5" x14ac:dyDescent="0.3">
      <c r="A281" s="31" t="s">
        <v>1615</v>
      </c>
      <c r="B281" s="32" t="s">
        <v>1616</v>
      </c>
      <c r="C281" s="34" t="s">
        <v>1275</v>
      </c>
    </row>
    <row r="282" spans="1:3" ht="16.5" x14ac:dyDescent="0.3">
      <c r="A282" s="31" t="s">
        <v>1617</v>
      </c>
      <c r="B282" s="32" t="s">
        <v>1618</v>
      </c>
      <c r="C282" s="34" t="s">
        <v>1619</v>
      </c>
    </row>
    <row r="283" spans="1:3" ht="16.5" x14ac:dyDescent="0.3">
      <c r="A283" s="31" t="s">
        <v>1620</v>
      </c>
      <c r="B283" s="32" t="s">
        <v>1621</v>
      </c>
      <c r="C283" s="34" t="s">
        <v>1622</v>
      </c>
    </row>
    <row r="284" spans="1:3" ht="16.5" x14ac:dyDescent="0.3">
      <c r="A284" s="31" t="s">
        <v>1623</v>
      </c>
      <c r="B284" s="32" t="s">
        <v>1624</v>
      </c>
      <c r="C284" s="34" t="s">
        <v>1625</v>
      </c>
    </row>
    <row r="285" spans="1:3" ht="16.5" x14ac:dyDescent="0.3">
      <c r="A285" s="31" t="s">
        <v>1626</v>
      </c>
      <c r="B285" s="32" t="s">
        <v>1627</v>
      </c>
      <c r="C285" s="34" t="s">
        <v>1628</v>
      </c>
    </row>
    <row r="286" spans="1:3" ht="16.5" x14ac:dyDescent="0.3">
      <c r="A286" s="31" t="s">
        <v>1629</v>
      </c>
      <c r="B286" s="32" t="s">
        <v>272</v>
      </c>
      <c r="C286" s="34" t="s">
        <v>1630</v>
      </c>
    </row>
    <row r="287" spans="1:3" ht="16.5" x14ac:dyDescent="0.3">
      <c r="A287" s="31" t="s">
        <v>1631</v>
      </c>
      <c r="B287" s="32" t="s">
        <v>1632</v>
      </c>
      <c r="C287" s="34" t="s">
        <v>1633</v>
      </c>
    </row>
    <row r="288" spans="1:3" ht="16.5" x14ac:dyDescent="0.3">
      <c r="A288" s="31" t="s">
        <v>1634</v>
      </c>
      <c r="B288" s="32" t="s">
        <v>1635</v>
      </c>
      <c r="C288" s="34" t="s">
        <v>1636</v>
      </c>
    </row>
    <row r="289" spans="1:3" ht="16.5" x14ac:dyDescent="0.3">
      <c r="A289" s="31" t="s">
        <v>1637</v>
      </c>
      <c r="B289" s="32" t="s">
        <v>1638</v>
      </c>
      <c r="C289" s="34" t="s">
        <v>1639</v>
      </c>
    </row>
    <row r="290" spans="1:3" ht="16.5" x14ac:dyDescent="0.3">
      <c r="A290" s="31" t="s">
        <v>1640</v>
      </c>
      <c r="B290" s="32" t="s">
        <v>1641</v>
      </c>
      <c r="C290" s="34" t="s">
        <v>1642</v>
      </c>
    </row>
    <row r="291" spans="1:3" ht="16.5" x14ac:dyDescent="0.3">
      <c r="A291" s="31" t="s">
        <v>1643</v>
      </c>
      <c r="B291" s="32" t="s">
        <v>268</v>
      </c>
      <c r="C291" s="34" t="s">
        <v>1644</v>
      </c>
    </row>
    <row r="292" spans="1:3" ht="16.5" x14ac:dyDescent="0.3">
      <c r="A292" s="31" t="s">
        <v>1645</v>
      </c>
      <c r="B292" s="32" t="s">
        <v>1646</v>
      </c>
      <c r="C292" s="34" t="s">
        <v>1647</v>
      </c>
    </row>
    <row r="293" spans="1:3" ht="16.5" x14ac:dyDescent="0.3">
      <c r="A293" s="31" t="s">
        <v>1648</v>
      </c>
      <c r="B293" s="32" t="s">
        <v>1649</v>
      </c>
      <c r="C293" s="34" t="s">
        <v>1650</v>
      </c>
    </row>
    <row r="294" spans="1:3" ht="16.5" x14ac:dyDescent="0.3">
      <c r="A294" s="31" t="s">
        <v>1651</v>
      </c>
      <c r="B294" s="32" t="s">
        <v>1652</v>
      </c>
      <c r="C294" s="34" t="s">
        <v>1653</v>
      </c>
    </row>
    <row r="295" spans="1:3" ht="16.5" x14ac:dyDescent="0.3">
      <c r="A295" s="31" t="s">
        <v>1654</v>
      </c>
      <c r="B295" s="32" t="s">
        <v>1655</v>
      </c>
      <c r="C295" s="34" t="s">
        <v>1656</v>
      </c>
    </row>
    <row r="296" spans="1:3" ht="16.5" x14ac:dyDescent="0.3">
      <c r="A296" s="31" t="s">
        <v>1657</v>
      </c>
      <c r="B296" s="32" t="s">
        <v>1658</v>
      </c>
      <c r="C296" s="34" t="s">
        <v>1659</v>
      </c>
    </row>
    <row r="297" spans="1:3" ht="16.5" x14ac:dyDescent="0.3">
      <c r="A297" s="31" t="s">
        <v>1660</v>
      </c>
      <c r="B297" s="32" t="s">
        <v>1661</v>
      </c>
      <c r="C297" s="42" t="s">
        <v>1662</v>
      </c>
    </row>
    <row r="298" spans="1:3" ht="16.5" x14ac:dyDescent="0.3">
      <c r="A298" s="31" t="s">
        <v>1663</v>
      </c>
      <c r="B298" s="32" t="s">
        <v>1664</v>
      </c>
      <c r="C298" s="34" t="s">
        <v>1665</v>
      </c>
    </row>
    <row r="299" spans="1:3" ht="16.5" x14ac:dyDescent="0.3">
      <c r="A299" s="31" t="s">
        <v>1666</v>
      </c>
      <c r="B299" s="32" t="s">
        <v>708</v>
      </c>
      <c r="C299" s="44" t="s">
        <v>1667</v>
      </c>
    </row>
    <row r="300" spans="1:3" ht="16.5" x14ac:dyDescent="0.3">
      <c r="A300" s="31" t="s">
        <v>1668</v>
      </c>
      <c r="B300" s="32" t="s">
        <v>1669</v>
      </c>
      <c r="C300" s="34" t="s">
        <v>1670</v>
      </c>
    </row>
    <row r="301" spans="1:3" ht="16.5" x14ac:dyDescent="0.3">
      <c r="A301" s="31" t="s">
        <v>1671</v>
      </c>
      <c r="B301" s="32" t="s">
        <v>1672</v>
      </c>
      <c r="C301" s="34" t="s">
        <v>1673</v>
      </c>
    </row>
    <row r="302" spans="1:3" ht="16.5" x14ac:dyDescent="0.3">
      <c r="A302" s="31" t="s">
        <v>1674</v>
      </c>
      <c r="B302" s="32" t="s">
        <v>1675</v>
      </c>
      <c r="C302" s="34" t="s">
        <v>1676</v>
      </c>
    </row>
    <row r="303" spans="1:3" ht="16.5" x14ac:dyDescent="0.3">
      <c r="A303" s="31" t="s">
        <v>1677</v>
      </c>
      <c r="B303" s="32" t="s">
        <v>1678</v>
      </c>
      <c r="C303" s="42" t="s">
        <v>1679</v>
      </c>
    </row>
    <row r="304" spans="1:3" ht="16.5" x14ac:dyDescent="0.3">
      <c r="A304" s="31" t="s">
        <v>1680</v>
      </c>
      <c r="B304" s="32" t="s">
        <v>1681</v>
      </c>
      <c r="C304" s="34" t="s">
        <v>1682</v>
      </c>
    </row>
    <row r="305" spans="1:3" ht="16.5" x14ac:dyDescent="0.3">
      <c r="A305" s="31" t="s">
        <v>1683</v>
      </c>
      <c r="B305" s="32" t="s">
        <v>1684</v>
      </c>
      <c r="C305" s="33" t="s">
        <v>1685</v>
      </c>
    </row>
    <row r="306" spans="1:3" ht="16.5" x14ac:dyDescent="0.3">
      <c r="A306" s="31" t="s">
        <v>1686</v>
      </c>
      <c r="B306" s="32" t="s">
        <v>1687</v>
      </c>
      <c r="C306" s="42" t="s">
        <v>1688</v>
      </c>
    </row>
    <row r="307" spans="1:3" ht="16.5" x14ac:dyDescent="0.3">
      <c r="A307" s="31" t="s">
        <v>1689</v>
      </c>
      <c r="B307" s="32" t="s">
        <v>1690</v>
      </c>
      <c r="C307" s="33" t="s">
        <v>1691</v>
      </c>
    </row>
    <row r="308" spans="1:3" ht="16.5" x14ac:dyDescent="0.3">
      <c r="A308" s="31" t="s">
        <v>1692</v>
      </c>
      <c r="B308" s="32" t="s">
        <v>1693</v>
      </c>
      <c r="C308" s="44" t="s">
        <v>1694</v>
      </c>
    </row>
    <row r="309" spans="1:3" ht="16.5" x14ac:dyDescent="0.3">
      <c r="A309" s="31" t="s">
        <v>1695</v>
      </c>
      <c r="B309" s="32" t="s">
        <v>1696</v>
      </c>
      <c r="C309" s="33" t="s">
        <v>1697</v>
      </c>
    </row>
    <row r="310" spans="1:3" ht="16.5" x14ac:dyDescent="0.3">
      <c r="A310" s="31" t="s">
        <v>1698</v>
      </c>
      <c r="B310" s="32" t="s">
        <v>1699</v>
      </c>
      <c r="C310" s="42" t="s">
        <v>1700</v>
      </c>
    </row>
    <row r="311" spans="1:3" ht="16.5" x14ac:dyDescent="0.3">
      <c r="A311" s="31" t="s">
        <v>1701</v>
      </c>
      <c r="B311" s="32" t="s">
        <v>1702</v>
      </c>
      <c r="C311" s="33" t="s">
        <v>1703</v>
      </c>
    </row>
    <row r="312" spans="1:3" ht="16.5" x14ac:dyDescent="0.3">
      <c r="A312" s="31" t="s">
        <v>1704</v>
      </c>
      <c r="B312" s="32" t="s">
        <v>1705</v>
      </c>
      <c r="C312" s="33" t="s">
        <v>1706</v>
      </c>
    </row>
    <row r="313" spans="1:3" ht="16.5" x14ac:dyDescent="0.3">
      <c r="A313" s="31" t="s">
        <v>1707</v>
      </c>
      <c r="B313" s="32" t="s">
        <v>1708</v>
      </c>
      <c r="C313" s="33" t="s">
        <v>1709</v>
      </c>
    </row>
    <row r="314" spans="1:3" ht="16.5" x14ac:dyDescent="0.3">
      <c r="A314" s="31" t="s">
        <v>1710</v>
      </c>
      <c r="B314" s="32" t="s">
        <v>1711</v>
      </c>
      <c r="C314" s="44" t="s">
        <v>1712</v>
      </c>
    </row>
    <row r="315" spans="1:3" ht="16.5" x14ac:dyDescent="0.3">
      <c r="A315" s="31" t="s">
        <v>1713</v>
      </c>
      <c r="B315" s="32" t="s">
        <v>1714</v>
      </c>
      <c r="C315" s="44" t="s">
        <v>1715</v>
      </c>
    </row>
    <row r="316" spans="1:3" ht="16.5" x14ac:dyDescent="0.3">
      <c r="A316" s="31" t="s">
        <v>1716</v>
      </c>
      <c r="B316" s="32" t="s">
        <v>1717</v>
      </c>
      <c r="C316" s="34" t="s">
        <v>1718</v>
      </c>
    </row>
    <row r="317" spans="1:3" ht="16.5" x14ac:dyDescent="0.3">
      <c r="A317" s="31" t="s">
        <v>1719</v>
      </c>
      <c r="B317" s="32" t="s">
        <v>1720</v>
      </c>
      <c r="C317" s="34" t="s">
        <v>1721</v>
      </c>
    </row>
    <row r="318" spans="1:3" ht="16.5" x14ac:dyDescent="0.3">
      <c r="A318" s="31" t="s">
        <v>1722</v>
      </c>
      <c r="B318" s="32" t="s">
        <v>1723</v>
      </c>
      <c r="C318" s="34" t="s">
        <v>1724</v>
      </c>
    </row>
    <row r="319" spans="1:3" ht="16.5" x14ac:dyDescent="0.3">
      <c r="A319" s="31" t="s">
        <v>1725</v>
      </c>
      <c r="B319" s="32" t="s">
        <v>1726</v>
      </c>
      <c r="C319" s="34" t="s">
        <v>1727</v>
      </c>
    </row>
    <row r="320" spans="1:3" ht="16.5" x14ac:dyDescent="0.3">
      <c r="A320" s="31" t="s">
        <v>333</v>
      </c>
      <c r="B320" s="32" t="s">
        <v>1728</v>
      </c>
      <c r="C320" s="34" t="s">
        <v>1729</v>
      </c>
    </row>
    <row r="321" spans="1:3" ht="16.5" x14ac:dyDescent="0.3">
      <c r="A321" s="43" t="s">
        <v>1730</v>
      </c>
      <c r="B321" s="45" t="s">
        <v>811</v>
      </c>
      <c r="C321" s="42" t="s">
        <v>1731</v>
      </c>
    </row>
    <row r="322" spans="1:3" ht="16.5" x14ac:dyDescent="0.3">
      <c r="A322" s="31" t="s">
        <v>1732</v>
      </c>
      <c r="B322" s="32" t="s">
        <v>1733</v>
      </c>
      <c r="C322" s="34" t="s">
        <v>1734</v>
      </c>
    </row>
    <row r="323" spans="1:3" ht="16.5" x14ac:dyDescent="0.3">
      <c r="A323" s="37" t="s">
        <v>1735</v>
      </c>
      <c r="B323" s="38" t="s">
        <v>1736</v>
      </c>
      <c r="C323" s="39" t="s">
        <v>1737</v>
      </c>
    </row>
    <row r="324" spans="1:3" ht="16.5" x14ac:dyDescent="0.3">
      <c r="A324" s="31" t="s">
        <v>1738</v>
      </c>
      <c r="B324" s="32" t="s">
        <v>1739</v>
      </c>
      <c r="C324" s="34" t="s">
        <v>1740</v>
      </c>
    </row>
    <row r="325" spans="1:3" ht="16.5" x14ac:dyDescent="0.3">
      <c r="A325" s="46" t="s">
        <v>1741</v>
      </c>
      <c r="B325" s="47" t="s">
        <v>1742</v>
      </c>
      <c r="C325" s="48" t="s">
        <v>1743</v>
      </c>
    </row>
    <row r="326" spans="1:3" ht="16.5" x14ac:dyDescent="0.3">
      <c r="A326" s="31" t="s">
        <v>1744</v>
      </c>
      <c r="B326" s="32" t="s">
        <v>1745</v>
      </c>
      <c r="C326" s="34" t="s">
        <v>1746</v>
      </c>
    </row>
    <row r="327" spans="1:3" ht="16.5" x14ac:dyDescent="0.3">
      <c r="A327" s="31" t="s">
        <v>1747</v>
      </c>
      <c r="B327" s="32" t="s">
        <v>1748</v>
      </c>
      <c r="C327" s="34" t="s">
        <v>1749</v>
      </c>
    </row>
    <row r="328" spans="1:3" ht="16.5" x14ac:dyDescent="0.3">
      <c r="A328" s="31" t="s">
        <v>1750</v>
      </c>
      <c r="B328" s="32" t="s">
        <v>1751</v>
      </c>
      <c r="C328" s="34" t="s">
        <v>1467</v>
      </c>
    </row>
    <row r="329" spans="1:3" ht="16.5" x14ac:dyDescent="0.3">
      <c r="A329" s="31" t="s">
        <v>1752</v>
      </c>
      <c r="B329" s="32" t="s">
        <v>1753</v>
      </c>
      <c r="C329" s="34" t="s">
        <v>1754</v>
      </c>
    </row>
    <row r="330" spans="1:3" ht="16.5" x14ac:dyDescent="0.3">
      <c r="A330" s="31" t="s">
        <v>1755</v>
      </c>
      <c r="B330" s="32" t="s">
        <v>1756</v>
      </c>
      <c r="C330" s="34" t="s">
        <v>1757</v>
      </c>
    </row>
    <row r="331" spans="1:3" ht="16.5" x14ac:dyDescent="0.3">
      <c r="A331" s="31" t="s">
        <v>1758</v>
      </c>
      <c r="B331" s="32" t="s">
        <v>1759</v>
      </c>
      <c r="C331" s="34" t="s">
        <v>1760</v>
      </c>
    </row>
    <row r="332" spans="1:3" ht="16.5" x14ac:dyDescent="0.3">
      <c r="A332" s="31" t="s">
        <v>1761</v>
      </c>
      <c r="B332" s="32" t="s">
        <v>66</v>
      </c>
      <c r="C332" s="34" t="s">
        <v>1762</v>
      </c>
    </row>
    <row r="333" spans="1:3" ht="16.5" x14ac:dyDescent="0.3">
      <c r="A333" s="31" t="s">
        <v>1763</v>
      </c>
      <c r="B333" s="32" t="s">
        <v>1764</v>
      </c>
      <c r="C333" s="34" t="s">
        <v>1765</v>
      </c>
    </row>
    <row r="334" spans="1:3" ht="16.5" x14ac:dyDescent="0.3">
      <c r="A334" s="31" t="s">
        <v>1766</v>
      </c>
      <c r="B334" s="32" t="s">
        <v>1767</v>
      </c>
      <c r="C334" s="34" t="s">
        <v>1768</v>
      </c>
    </row>
    <row r="335" spans="1:3" ht="16.5" x14ac:dyDescent="0.3">
      <c r="A335" s="31" t="s">
        <v>1769</v>
      </c>
      <c r="B335" s="32" t="s">
        <v>1770</v>
      </c>
      <c r="C335" s="34" t="s">
        <v>1771</v>
      </c>
    </row>
    <row r="336" spans="1:3" ht="16.5" x14ac:dyDescent="0.3">
      <c r="A336" s="43" t="s">
        <v>1772</v>
      </c>
      <c r="B336" s="45" t="s">
        <v>1773</v>
      </c>
      <c r="C336" s="42" t="s">
        <v>1774</v>
      </c>
    </row>
    <row r="337" spans="1:3" ht="16.5" x14ac:dyDescent="0.3">
      <c r="A337" s="31" t="s">
        <v>1775</v>
      </c>
      <c r="B337" s="32" t="s">
        <v>1776</v>
      </c>
      <c r="C337" s="34" t="s">
        <v>1777</v>
      </c>
    </row>
    <row r="338" spans="1:3" ht="16.5" x14ac:dyDescent="0.3">
      <c r="A338" s="37" t="s">
        <v>1778</v>
      </c>
      <c r="B338" s="38" t="s">
        <v>1779</v>
      </c>
      <c r="C338" s="39" t="s">
        <v>1780</v>
      </c>
    </row>
  </sheetData>
  <sheetProtection sheet="1" objects="1" scenarios="1"/>
  <mergeCells count="1">
    <mergeCell ref="A1:C1"/>
  </mergeCells>
  <pageMargins left="0.511811024" right="0.511811024" top="0.78740157499999996" bottom="0.78740157499999996" header="0.31496062000000002" footer="0.31496062000000002"/>
  <drawing r:id="rId1"/>
  <legacyDrawing r:id="rId2"/>
  <tableParts count="1">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B79135-AA0C-4A1E-A121-E2DF079A8E8A}">
  <dimension ref="A1:H16"/>
  <sheetViews>
    <sheetView workbookViewId="0">
      <selection activeCell="D12" sqref="D12"/>
    </sheetView>
  </sheetViews>
  <sheetFormatPr defaultRowHeight="15" x14ac:dyDescent="0.25"/>
  <cols>
    <col min="1" max="1" width="21.140625" customWidth="1"/>
    <col min="2" max="2" width="18.7109375" customWidth="1"/>
    <col min="3" max="3" width="20.85546875" customWidth="1"/>
    <col min="4" max="4" width="6.7109375" bestFit="1" customWidth="1"/>
    <col min="5" max="5" width="8.5703125" bestFit="1" customWidth="1"/>
    <col min="6" max="6" width="16.42578125" customWidth="1"/>
    <col min="7" max="7" width="3.28515625" bestFit="1" customWidth="1"/>
    <col min="8" max="8" width="16.28515625" bestFit="1" customWidth="1"/>
  </cols>
  <sheetData>
    <row r="1" spans="1:8" x14ac:dyDescent="0.25">
      <c r="A1" t="s">
        <v>1781</v>
      </c>
      <c r="B1" s="1" t="s">
        <v>33</v>
      </c>
      <c r="C1" s="2" t="s">
        <v>752</v>
      </c>
      <c r="D1" s="3">
        <v>1</v>
      </c>
      <c r="E1" s="4" t="s">
        <v>39</v>
      </c>
      <c r="F1" s="5" t="s">
        <v>1782</v>
      </c>
      <c r="G1" s="4">
        <v>1</v>
      </c>
      <c r="H1" s="4" t="s">
        <v>1783</v>
      </c>
    </row>
    <row r="2" spans="1:8" x14ac:dyDescent="0.25">
      <c r="A2" s="2" t="s">
        <v>1784</v>
      </c>
      <c r="B2" s="1" t="s">
        <v>664</v>
      </c>
      <c r="C2" s="2" t="s">
        <v>1785</v>
      </c>
      <c r="D2" s="3">
        <v>2</v>
      </c>
      <c r="E2" s="4" t="s">
        <v>91</v>
      </c>
      <c r="F2" s="5" t="s">
        <v>1786</v>
      </c>
      <c r="G2" s="4">
        <v>2</v>
      </c>
      <c r="H2" s="4" t="s">
        <v>44</v>
      </c>
    </row>
    <row r="3" spans="1:8" x14ac:dyDescent="0.25">
      <c r="A3" s="2" t="s">
        <v>445</v>
      </c>
      <c r="B3" s="2" t="s">
        <v>1787</v>
      </c>
      <c r="C3" s="2" t="s">
        <v>1788</v>
      </c>
      <c r="D3" s="3">
        <v>3</v>
      </c>
      <c r="E3" s="4" t="s">
        <v>35</v>
      </c>
      <c r="F3" s="5" t="s">
        <v>1789</v>
      </c>
      <c r="G3" s="4">
        <v>3</v>
      </c>
      <c r="H3" s="4" t="s">
        <v>1790</v>
      </c>
    </row>
    <row r="4" spans="1:8" x14ac:dyDescent="0.25">
      <c r="A4" s="2" t="s">
        <v>1791</v>
      </c>
      <c r="B4" s="2" t="s">
        <v>1792</v>
      </c>
      <c r="C4" s="2" t="s">
        <v>1793</v>
      </c>
      <c r="D4" s="3">
        <v>4</v>
      </c>
      <c r="E4" s="4"/>
      <c r="F4" s="5" t="s">
        <v>1794</v>
      </c>
      <c r="G4" s="4">
        <v>4</v>
      </c>
      <c r="H4" s="4" t="s">
        <v>94</v>
      </c>
    </row>
    <row r="5" spans="1:8" x14ac:dyDescent="0.25">
      <c r="A5" s="2" t="s">
        <v>307</v>
      </c>
      <c r="B5" s="2" t="s">
        <v>64</v>
      </c>
      <c r="C5" s="2" t="s">
        <v>34</v>
      </c>
      <c r="D5" s="3">
        <v>5</v>
      </c>
      <c r="E5" s="4"/>
      <c r="F5" s="5" t="s">
        <v>1795</v>
      </c>
      <c r="G5" s="4">
        <v>5</v>
      </c>
      <c r="H5" s="4" t="s">
        <v>1796</v>
      </c>
    </row>
    <row r="6" spans="1:8" x14ac:dyDescent="0.25">
      <c r="A6" s="2" t="s">
        <v>1797</v>
      </c>
      <c r="B6" s="1" t="s">
        <v>1798</v>
      </c>
      <c r="C6" s="2" t="s">
        <v>1799</v>
      </c>
      <c r="D6" s="3">
        <v>6</v>
      </c>
      <c r="E6" s="4"/>
      <c r="F6" s="5" t="s">
        <v>1800</v>
      </c>
      <c r="G6" s="4">
        <v>6</v>
      </c>
      <c r="H6" s="4"/>
    </row>
    <row r="7" spans="1:8" x14ac:dyDescent="0.25">
      <c r="A7" s="2" t="s">
        <v>1801</v>
      </c>
      <c r="B7" s="1" t="s">
        <v>1802</v>
      </c>
      <c r="C7" s="2" t="s">
        <v>1803</v>
      </c>
      <c r="D7" s="6" t="s">
        <v>1804</v>
      </c>
      <c r="E7" s="4"/>
      <c r="F7" s="5" t="s">
        <v>1805</v>
      </c>
      <c r="G7" s="4">
        <v>7</v>
      </c>
      <c r="H7" s="4"/>
    </row>
    <row r="8" spans="1:8" x14ac:dyDescent="0.25">
      <c r="A8" s="2" t="s">
        <v>183</v>
      </c>
      <c r="B8" s="1"/>
      <c r="C8" s="2" t="s">
        <v>828</v>
      </c>
      <c r="D8" s="4"/>
      <c r="E8" s="4"/>
      <c r="F8" s="5" t="s">
        <v>1806</v>
      </c>
      <c r="G8" s="4">
        <v>8</v>
      </c>
      <c r="H8" s="4"/>
    </row>
    <row r="9" spans="1:8" x14ac:dyDescent="0.25">
      <c r="A9" s="2" t="s">
        <v>32</v>
      </c>
      <c r="C9" s="2"/>
      <c r="D9" s="4"/>
      <c r="E9" s="4"/>
      <c r="F9" s="5" t="s">
        <v>1807</v>
      </c>
      <c r="G9" s="4">
        <v>9</v>
      </c>
      <c r="H9" s="4"/>
    </row>
    <row r="10" spans="1:8" x14ac:dyDescent="0.25">
      <c r="A10" s="2" t="s">
        <v>136</v>
      </c>
      <c r="C10" s="2"/>
      <c r="D10" s="4"/>
      <c r="E10" s="4"/>
      <c r="F10" s="5" t="s">
        <v>1808</v>
      </c>
      <c r="G10" s="4">
        <v>10</v>
      </c>
      <c r="H10" s="4"/>
    </row>
    <row r="11" spans="1:8" x14ac:dyDescent="0.25">
      <c r="A11" s="2"/>
      <c r="B11" s="4"/>
      <c r="C11" s="4"/>
      <c r="D11" s="4"/>
      <c r="E11" s="4"/>
      <c r="F11" s="5" t="s">
        <v>1809</v>
      </c>
      <c r="G11" s="4">
        <v>11</v>
      </c>
      <c r="H11" s="4"/>
    </row>
    <row r="12" spans="1:8" x14ac:dyDescent="0.25">
      <c r="A12" s="2"/>
      <c r="B12" s="4"/>
      <c r="C12" s="4"/>
      <c r="D12" s="4"/>
      <c r="E12" s="4"/>
      <c r="F12" s="5" t="s">
        <v>1810</v>
      </c>
      <c r="G12" s="4">
        <v>12</v>
      </c>
      <c r="H12" s="4"/>
    </row>
    <row r="13" spans="1:8" x14ac:dyDescent="0.25">
      <c r="A13" s="4"/>
      <c r="B13" s="4"/>
      <c r="C13" s="4"/>
      <c r="D13" s="4"/>
      <c r="E13" s="4"/>
      <c r="F13" s="5" t="s">
        <v>1811</v>
      </c>
      <c r="G13" s="4">
        <v>13</v>
      </c>
      <c r="H13" s="4"/>
    </row>
    <row r="14" spans="1:8" x14ac:dyDescent="0.25">
      <c r="A14" s="4"/>
      <c r="B14" s="4"/>
      <c r="C14" s="4"/>
      <c r="D14" s="4"/>
      <c r="E14" s="4"/>
      <c r="F14" s="4"/>
      <c r="G14" s="4">
        <v>14</v>
      </c>
      <c r="H14" s="4"/>
    </row>
    <row r="15" spans="1:8" x14ac:dyDescent="0.25">
      <c r="G15" s="4">
        <v>30</v>
      </c>
    </row>
    <row r="16" spans="1:8" x14ac:dyDescent="0.25">
      <c r="G16" s="4">
        <v>31</v>
      </c>
    </row>
  </sheetData>
  <pageMargins left="0.511811024" right="0.511811024" top="0.78740157499999996" bottom="0.78740157499999996" header="0.31496062000000002" footer="0.3149606200000000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bc93fe7e-d035-43bb-a03c-6b57525c971b" xsi:nil="true"/>
    <lcf76f155ced4ddcb4097134ff3c332f xmlns="036464c2-fd20-4b66-91a9-287fded1e9c2">
      <Terms xmlns="http://schemas.microsoft.com/office/infopath/2007/PartnerControls"/>
    </lcf76f155ced4ddcb4097134ff3c332f>
    <status xmlns="036464c2-fd20-4b66-91a9-287fded1e9c2" xsi:nil="true"/>
    <Respons_x00e1_vel xmlns="036464c2-fd20-4b66-91a9-287fded1e9c2" xsi:nil="true"/>
    <Observa_x00e7__x00e3_o xmlns="036464c2-fd20-4b66-91a9-287fded1e9c2"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o" ma:contentTypeID="0x01010019EABFE15328E34494B7ECE29E1ACB4F" ma:contentTypeVersion="16" ma:contentTypeDescription="Crie um novo documento." ma:contentTypeScope="" ma:versionID="eedd7d77a778617b2604db58cd4c3cb3">
  <xsd:schema xmlns:xsd="http://www.w3.org/2001/XMLSchema" xmlns:xs="http://www.w3.org/2001/XMLSchema" xmlns:p="http://schemas.microsoft.com/office/2006/metadata/properties" xmlns:ns2="036464c2-fd20-4b66-91a9-287fded1e9c2" xmlns:ns3="bc93fe7e-d035-43bb-a03c-6b57525c971b" targetNamespace="http://schemas.microsoft.com/office/2006/metadata/properties" ma:root="true" ma:fieldsID="f4801e42c48a2122a8b709c6b1ad6e85" ns2:_="" ns3:_="">
    <xsd:import namespace="036464c2-fd20-4b66-91a9-287fded1e9c2"/>
    <xsd:import namespace="bc93fe7e-d035-43bb-a03c-6b57525c971b"/>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status" minOccurs="0"/>
                <xsd:element ref="ns2:MediaLengthInSeconds" minOccurs="0"/>
                <xsd:element ref="ns2:Respons_x00e1_vel" minOccurs="0"/>
                <xsd:element ref="ns2:Observa_x00e7__x00e3_o"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36464c2-fd20-4b66-91a9-287fded1e9c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Marcações de imagem" ma:readOnly="false" ma:fieldId="{5cf76f15-5ced-4ddc-b409-7134ff3c332f}" ma:taxonomyMulti="true" ma:sspId="ce2da107-056a-4cf5-838a-03c65b5add9e"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status" ma:index="19" nillable="true" ma:displayName="status" ma:format="Dropdown" ma:internalName="status">
      <xsd:simpleType>
        <xsd:restriction base="dms:Choice">
          <xsd:enumeration value="Liberado para uso"/>
          <xsd:enumeration value="Em uso"/>
          <xsd:enumeration value="Concluído"/>
          <xsd:enumeration value="Em produção"/>
          <xsd:enumeration value="Cotejado"/>
        </xsd:restriction>
      </xsd:simpleType>
    </xsd:element>
    <xsd:element name="MediaLengthInSeconds" ma:index="20" nillable="true" ma:displayName="MediaLengthInSeconds" ma:hidden="true" ma:internalName="MediaLengthInSeconds" ma:readOnly="true">
      <xsd:simpleType>
        <xsd:restriction base="dms:Unknown"/>
      </xsd:simpleType>
    </xsd:element>
    <xsd:element name="Respons_x00e1_vel" ma:index="21" nillable="true" ma:displayName="Responsável" ma:format="Dropdown" ma:internalName="Respons_x00e1_vel">
      <xsd:simpleType>
        <xsd:restriction base="dms:Text">
          <xsd:maxLength value="255"/>
        </xsd:restriction>
      </xsd:simpleType>
    </xsd:element>
    <xsd:element name="Observa_x00e7__x00e3_o" ma:index="22" nillable="true" ma:displayName="Observação" ma:format="Dropdown" ma:internalName="Observa_x00e7__x00e3_o">
      <xsd:simpleType>
        <xsd:restriction base="dms:Choice">
          <xsd:enumeration value="Em uso"/>
          <xsd:enumeration value="Liberado para uso"/>
          <xsd:enumeration value="Escolha 3 "/>
        </xsd:restriction>
      </xsd:simpleType>
    </xsd:element>
    <xsd:element name="MediaServiceLocation" ma:index="23"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bc93fe7e-d035-43bb-a03c-6b57525c971b"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8d8b5033-ad91-4790-a79c-36fca7f28cc3}" ma:internalName="TaxCatchAll" ma:showField="CatchAllData" ma:web="bc93fe7e-d035-43bb-a03c-6b57525c971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CF5A8A88-114F-4414-B78B-59A1E08F48D9}">
  <ds:schemaRefs>
    <ds:schemaRef ds:uri="http://schemas.microsoft.com/office/2006/metadata/properties"/>
    <ds:schemaRef ds:uri="http://purl.org/dc/elements/1.1/"/>
    <ds:schemaRef ds:uri="http://schemas.openxmlformats.org/package/2006/metadata/core-properties"/>
    <ds:schemaRef ds:uri="http://schemas.microsoft.com/office/infopath/2007/PartnerControls"/>
    <ds:schemaRef ds:uri="http://schemas.microsoft.com/office/2006/documentManagement/types"/>
    <ds:schemaRef ds:uri="bc93fe7e-d035-43bb-a03c-6b57525c971b"/>
    <ds:schemaRef ds:uri="http://purl.org/dc/dcmitype/"/>
    <ds:schemaRef ds:uri="036464c2-fd20-4b66-91a9-287fded1e9c2"/>
    <ds:schemaRef ds:uri="http://www.w3.org/XML/1998/namespace"/>
    <ds:schemaRef ds:uri="http://purl.org/dc/terms/"/>
  </ds:schemaRefs>
</ds:datastoreItem>
</file>

<file path=customXml/itemProps2.xml><?xml version="1.0" encoding="utf-8"?>
<ds:datastoreItem xmlns:ds="http://schemas.openxmlformats.org/officeDocument/2006/customXml" ds:itemID="{725CD575-062C-41A8-B761-B75CD01BD633}"/>
</file>

<file path=customXml/itemProps3.xml><?xml version="1.0" encoding="utf-8"?>
<ds:datastoreItem xmlns:ds="http://schemas.openxmlformats.org/officeDocument/2006/customXml" ds:itemID="{3DCC011B-0C57-45DA-AF49-4F980948F312}">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3</vt:i4>
      </vt:variant>
    </vt:vector>
  </HeadingPairs>
  <TitlesOfParts>
    <vt:vector size="3" baseType="lpstr">
      <vt:lpstr>ilustração</vt:lpstr>
      <vt:lpstr>créditos_base</vt:lpstr>
      <vt:lpstr>metadados</vt:lpstr>
    </vt:vector>
  </TitlesOfParts>
  <Manager/>
  <Company>Scriba Projetos Editoriais</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Lucia Moniz das Neves</dc:creator>
  <cp:keywords/>
  <dc:description/>
  <cp:lastModifiedBy>Lino Antonio Batista Lemes</cp:lastModifiedBy>
  <cp:revision/>
  <dcterms:created xsi:type="dcterms:W3CDTF">2024-11-11T13:23:41Z</dcterms:created>
  <dcterms:modified xsi:type="dcterms:W3CDTF">2025-10-02T14:34:10Z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0x01010019EABFE15328E34494B7ECE29E1ACB4F</vt:lpwstr>
  </property>
  <property fmtid="{D5CDD505-2E9C-101B-9397-08002B2CF9AE}" pid="3" name="MediaServiceImageTags">
    <vt:lpwstr/>
  </property>
</Properties>
</file>