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66925"/>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E015C8E3-28A2-4504-91C0-B6ABA69823D2}" xr6:coauthVersionLast="47" xr6:coauthVersionMax="47" xr10:uidLastSave="{00000000-0000-0000-0000-000000000000}"/>
  <bookViews>
    <workbookView xWindow="-108" yWindow="-108" windowWidth="23256" windowHeight="12456" tabRatio="463" xr2:uid="{9883F4FC-B2FC-40A4-9831-8F5DE08BF49E}"/>
  </bookViews>
  <sheets>
    <sheet name="ilustração" sheetId="1" r:id="rId1"/>
    <sheet name="créditos_base" sheetId="4" r:id="rId2"/>
    <sheet name="LISTAS" sheetId="2" r:id="rId3"/>
  </sheets>
  <definedNames>
    <definedName name="_msoanchor_1">ilustração!#REF!</definedName>
    <definedName name="DadosExternos_2" localSheetId="1" hidden="1">créditos_base!$A$1:$C$342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Z82" i="1" s="1"/>
  <c r="X83" i="1"/>
  <c r="X84" i="1"/>
  <c r="X85" i="1"/>
  <c r="Z85" i="1" s="1"/>
  <c r="X86" i="1"/>
  <c r="X87" i="1"/>
  <c r="X88" i="1"/>
  <c r="Z88" i="1" s="1"/>
  <c r="X89" i="1"/>
  <c r="Z89" i="1" s="1"/>
  <c r="X90" i="1"/>
  <c r="X91" i="1"/>
  <c r="Z91" i="1" s="1"/>
  <c r="X92" i="1"/>
  <c r="X93" i="1"/>
  <c r="Z93" i="1" s="1"/>
  <c r="X94" i="1"/>
  <c r="Z94" i="1" s="1"/>
  <c r="X95" i="1"/>
  <c r="Z95" i="1" s="1"/>
  <c r="X96" i="1"/>
  <c r="Z96" i="1" s="1"/>
  <c r="X97" i="1"/>
  <c r="Z97" i="1" s="1"/>
  <c r="X98" i="1"/>
  <c r="X99" i="1"/>
  <c r="X100" i="1"/>
  <c r="Z100" i="1" s="1"/>
  <c r="X101" i="1"/>
  <c r="Z101" i="1" s="1"/>
  <c r="X102" i="1"/>
  <c r="Z102" i="1" s="1"/>
  <c r="X103" i="1"/>
  <c r="Z103" i="1" s="1"/>
  <c r="X104" i="1"/>
  <c r="X105" i="1"/>
  <c r="X106" i="1"/>
  <c r="Z106" i="1" s="1"/>
  <c r="X107" i="1"/>
  <c r="Z107" i="1" s="1"/>
  <c r="X108" i="1"/>
  <c r="Z108" i="1" s="1"/>
  <c r="X109" i="1"/>
  <c r="Z109" i="1" s="1"/>
  <c r="X110" i="1"/>
  <c r="X111" i="1"/>
  <c r="X112" i="1"/>
  <c r="Z112" i="1" s="1"/>
  <c r="X113" i="1"/>
  <c r="Z113" i="1" s="1"/>
  <c r="X114" i="1"/>
  <c r="Z114" i="1" s="1"/>
  <c r="X115" i="1"/>
  <c r="X116" i="1"/>
  <c r="X117" i="1"/>
  <c r="X118" i="1"/>
  <c r="Z118" i="1" s="1"/>
  <c r="X119" i="1"/>
  <c r="Z119" i="1" s="1"/>
  <c r="X120" i="1"/>
  <c r="Z120" i="1" s="1"/>
  <c r="X121" i="1"/>
  <c r="X122" i="1"/>
  <c r="X123" i="1"/>
  <c r="X124" i="1"/>
  <c r="X125" i="1"/>
  <c r="X126" i="1"/>
  <c r="X127" i="1"/>
  <c r="Z127" i="1" s="1"/>
  <c r="X128" i="1"/>
  <c r="Z128" i="1" s="1"/>
  <c r="X129" i="1"/>
  <c r="Z129" i="1" s="1"/>
  <c r="X130" i="1"/>
  <c r="Z130" i="1" s="1"/>
  <c r="X131" i="1"/>
  <c r="Z131" i="1" s="1"/>
  <c r="X132" i="1"/>
  <c r="Z132" i="1" s="1"/>
  <c r="X133" i="1"/>
  <c r="Z133" i="1" s="1"/>
  <c r="X134" i="1"/>
  <c r="X135" i="1"/>
  <c r="Z135" i="1" s="1"/>
  <c r="X136" i="1"/>
  <c r="Z136" i="1" s="1"/>
  <c r="X137" i="1"/>
  <c r="X138" i="1"/>
  <c r="X139" i="1"/>
  <c r="X140" i="1"/>
  <c r="X141" i="1"/>
  <c r="X142" i="1"/>
  <c r="X143" i="1"/>
  <c r="X144" i="1"/>
  <c r="Z144" i="1" s="1"/>
  <c r="X145" i="1"/>
  <c r="Z145" i="1" s="1"/>
  <c r="Z122" i="1"/>
  <c r="Z57" i="1"/>
  <c r="Z86" i="1"/>
  <c r="Z98" i="1"/>
  <c r="Z99" i="1"/>
  <c r="Z110" i="1"/>
  <c r="Z111" i="1"/>
  <c r="Z123" i="1"/>
  <c r="Z124" i="1"/>
  <c r="Z125" i="1"/>
  <c r="Z126" i="1"/>
  <c r="Z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165F4C3C-69A4-4327-918A-7F6EBEFCF84E}">
      <text>
        <r>
          <rPr>
            <sz val="9"/>
            <color indexed="81"/>
            <rFont val="Segoe UI"/>
            <family val="2"/>
          </rPr>
          <t xml:space="preserve">Sequência numérica acompanhada do código que identifica a obra.
</t>
        </r>
      </text>
    </comment>
    <comment ref="B1" authorId="0" shapeId="0" xr:uid="{CE96B4DE-A054-4217-9410-466E47F53274}">
      <text>
        <r>
          <rPr>
            <sz val="9"/>
            <color indexed="81"/>
            <rFont val="Segoe UI"/>
            <family val="2"/>
          </rPr>
          <t>Selecione na lista suspensa em cada célula o status da ilustração.</t>
        </r>
      </text>
    </comment>
    <comment ref="C1" authorId="0" shapeId="0" xr:uid="{90A0B18C-2D32-40B8-94A7-6E946B94E0A4}">
      <text>
        <r>
          <rPr>
            <sz val="9"/>
            <color indexed="81"/>
            <rFont val="Segoe UI"/>
            <family val="2"/>
          </rPr>
          <t>Selecione na lista suspensa em cada célula o status da ilustração.</t>
        </r>
      </text>
    </comment>
    <comment ref="D1" authorId="0" shapeId="0" xr:uid="{51338EA5-D13D-4782-88FB-C3A2F3DEF553}">
      <text>
        <r>
          <rPr>
            <sz val="9"/>
            <color indexed="81"/>
            <rFont val="Segoe UI"/>
            <family val="2"/>
          </rPr>
          <t>Selecione na lista suspensa em cada célula o status da ilustração.</t>
        </r>
      </text>
    </comment>
    <comment ref="E1" authorId="0" shapeId="0" xr:uid="{EAFE0D0C-3616-44B9-9C0F-E9DF32B200F8}">
      <text>
        <r>
          <rPr>
            <sz val="9"/>
            <color indexed="81"/>
            <rFont val="Segoe UI"/>
            <family val="2"/>
          </rPr>
          <t>Preencher estes campos com números 
de páginas.</t>
        </r>
      </text>
    </comment>
    <comment ref="F1" authorId="0" shapeId="0" xr:uid="{090B0CFC-9339-450F-9332-BBB0392E70AD}">
      <text>
        <r>
          <rPr>
            <sz val="9"/>
            <color indexed="81"/>
            <rFont val="Segoe UI"/>
            <family val="2"/>
          </rPr>
          <t>Preencher estes campos com números 
de páginas.</t>
        </r>
      </text>
    </comment>
    <comment ref="G1" authorId="0" shapeId="0" xr:uid="{E62E11DD-6A20-4C0F-8258-DF3D710EE4A6}">
      <text>
        <r>
          <rPr>
            <sz val="9"/>
            <color indexed="81"/>
            <rFont val="Segoe UI"/>
            <family val="2"/>
          </rPr>
          <t>Preencher este campo com o número do capítulo ou nome da seção.</t>
        </r>
      </text>
    </comment>
    <comment ref="H1" authorId="0" shapeId="0" xr:uid="{CB9F72B6-7DD5-4371-AAE1-3FA74874310A}">
      <text>
        <r>
          <rPr>
            <sz val="9"/>
            <color indexed="81"/>
            <rFont val="Segoe UI"/>
            <family val="2"/>
          </rPr>
          <t xml:space="preserve">Preencher estes campos com números do capítulos ou os nomes padronizados das seções.
</t>
        </r>
      </text>
    </comment>
    <comment ref="I1" authorId="0" shapeId="0" xr:uid="{1AAC0EF6-D4F6-4355-A84F-5F3205382E62}">
      <text>
        <r>
          <rPr>
            <sz val="9"/>
            <color indexed="81"/>
            <rFont val="Segoe UI"/>
            <family val="2"/>
          </rPr>
          <t xml:space="preserve">Preencher estes campos com números do capítulos ou os nomes padronizados das seções.
</t>
        </r>
      </text>
    </comment>
    <comment ref="J1" authorId="0" shapeId="0" xr:uid="{7B2783F8-ED99-484C-801E-400531C2AE1F}">
      <text>
        <r>
          <rPr>
            <sz val="9"/>
            <color indexed="81"/>
            <rFont val="Segoe UI"/>
            <family val="2"/>
          </rPr>
          <t xml:space="preserve">Se o tipo de imagem escolhida for RESGATE ou AJUSTE, coloque aqui o nome da obra de origem.
</t>
        </r>
      </text>
    </comment>
    <comment ref="K1" authorId="0" shapeId="0" xr:uid="{2F3AAE1E-802C-45A3-A211-67D33C742DC1}">
      <text>
        <r>
          <rPr>
            <sz val="9"/>
            <color indexed="81"/>
            <rFont val="Segoe UI"/>
            <family val="2"/>
          </rPr>
          <t xml:space="preserve">Se o tipo de imagem escolhida for RESGATE ou AJUSTE, coloque aqui apenas o número da página da obra de origem.
</t>
        </r>
      </text>
    </comment>
    <comment ref="L1" authorId="0" shapeId="0" xr:uid="{4217C50E-1075-4898-AFCC-DE94986446C7}">
      <text>
        <r>
          <rPr>
            <sz val="9"/>
            <color indexed="81"/>
            <rFont val="Segoe UI"/>
            <family val="2"/>
          </rPr>
          <t>Se o tipo de imagem escolhida for RESGATE ou AJUSTE, coloque aqui apenas o número do volume da obra de origem.</t>
        </r>
      </text>
    </comment>
    <comment ref="M1" authorId="0" shapeId="0" xr:uid="{F49E5B37-B9A3-4032-9230-24EBF36218E7}">
      <text>
        <r>
          <rPr>
            <sz val="9"/>
            <color indexed="81"/>
            <rFont val="Segoe UI"/>
            <family val="2"/>
          </rPr>
          <t xml:space="preserve">
Se o tipo de imagem escolhida for RESGATE ou AJUSTE, coloque aqui apenas o número do volume da obra de origem.</t>
        </r>
      </text>
    </comment>
    <comment ref="N1" authorId="0" shapeId="0" xr:uid="{311D95FA-80FD-4672-B19D-B4939D4EA9B0}">
      <text>
        <r>
          <rPr>
            <sz val="9"/>
            <color indexed="81"/>
            <rFont val="Segoe UI"/>
            <family val="2"/>
          </rPr>
          <t>Qual editora possui o direito de uso da ilustração.</t>
        </r>
      </text>
    </comment>
    <comment ref="O1" authorId="0" shapeId="0" xr:uid="{37D7B1AA-BE7E-47BD-A28B-AA7BDF6CC20A}">
      <text>
        <r>
          <rPr>
            <sz val="9"/>
            <color indexed="81"/>
            <rFont val="Segoe UI"/>
            <family val="2"/>
          </rPr>
          <t xml:space="preserve">Descrição da imagem detalhada de acordo com a edição.
</t>
        </r>
      </text>
    </comment>
    <comment ref="P1" authorId="0" shapeId="0" xr:uid="{F46487A7-6BCD-40A3-9B95-AF4904439D29}">
      <text>
        <r>
          <rPr>
            <sz val="9"/>
            <color indexed="81"/>
            <rFont val="Segoe UI"/>
            <family val="2"/>
          </rPr>
          <t>Anotações gerais/adicionais da equipe/núcleo sobre a produção da imagem.</t>
        </r>
      </text>
    </comment>
    <comment ref="Q1" authorId="0" shapeId="0" xr:uid="{4AAB6C7F-F95F-4168-A564-436177B361BC}">
      <text>
        <r>
          <rPr>
            <sz val="9"/>
            <color indexed="81"/>
            <rFont val="Segoe UI"/>
            <family val="2"/>
          </rPr>
          <t xml:space="preserve">Número do lote de acordo com a data de liberação para arte.
</t>
        </r>
      </text>
    </comment>
    <comment ref="R1" authorId="0" shapeId="0" xr:uid="{DEE222DC-6E06-492A-B152-89C9BF802478}">
      <text>
        <r>
          <rPr>
            <sz val="9"/>
            <color indexed="81"/>
            <rFont val="Segoe UI"/>
            <family val="2"/>
          </rPr>
          <t xml:space="preserve">Data que o lote foi liberado para edição de arte.
</t>
        </r>
      </text>
    </comment>
    <comment ref="S1" authorId="0" shapeId="0" xr:uid="{24184DC5-A26E-4DDE-8FC9-2FB540D47BFF}">
      <text>
        <r>
          <rPr>
            <sz val="9"/>
            <color indexed="81"/>
            <rFont val="Segoe UI"/>
            <family val="2"/>
          </rPr>
          <t>Data de envio da edição de arte para o ilustrador.</t>
        </r>
      </text>
    </comment>
    <comment ref="T1" authorId="0" shapeId="0" xr:uid="{CB8C648C-F153-4F5D-9FDF-D75B97A059B4}">
      <text>
        <r>
          <rPr>
            <sz val="9"/>
            <color indexed="81"/>
            <rFont val="Segoe UI"/>
            <family val="2"/>
          </rPr>
          <t xml:space="preserve">Data de recebimento 
do rafe do ilustrador.
</t>
        </r>
      </text>
    </comment>
    <comment ref="U1" authorId="0" shapeId="0" xr:uid="{743ACBB1-35F2-4BE9-99B0-6E917A46C8BB}">
      <text>
        <r>
          <rPr>
            <sz val="9"/>
            <color indexed="81"/>
            <rFont val="Segoe UI"/>
            <family val="2"/>
          </rPr>
          <t xml:space="preserve">Data de envio para finalizar a ilustração.
</t>
        </r>
      </text>
    </comment>
    <comment ref="V1" authorId="0" shapeId="0" xr:uid="{F10668E7-E0D8-40BF-BED8-3EA7249A1E03}">
      <text>
        <r>
          <rPr>
            <sz val="9"/>
            <color indexed="81"/>
            <rFont val="Segoe UI"/>
            <family val="2"/>
          </rPr>
          <t>Data de retorno da ilustração finalizada pelo ilustrador.</t>
        </r>
      </text>
    </comment>
    <comment ref="W1" authorId="0" shapeId="0" xr:uid="{0ACE6821-606F-41F4-A2A5-DB4982E9ED0F}">
      <text>
        <r>
          <rPr>
            <sz val="9"/>
            <color indexed="81"/>
            <rFont val="Segoe UI"/>
            <family val="2"/>
          </rPr>
          <t>Data de retorno da ilustração finalizada pelo ilustrador.</t>
        </r>
      </text>
    </comment>
    <comment ref="X1" authorId="0" shapeId="0" xr:uid="{46A02C94-4469-4EF5-A1DD-0BEE89CF8C43}">
      <text>
        <r>
          <rPr>
            <sz val="9"/>
            <color indexed="81"/>
            <rFont val="Segoe UI"/>
            <family val="2"/>
          </rPr>
          <t>Nome do ilustrador que produziu ou produzirá a ilustração ou o nome do criador da ilustração do padrão.
Coluna bloqueada para edição manual.</t>
        </r>
      </text>
    </comment>
    <comment ref="Y1" authorId="0" shapeId="0" xr:uid="{8F7674F4-A84A-420B-91B0-7AC9933CD42B}">
      <text>
        <r>
          <rPr>
            <sz val="9"/>
            <color indexed="81"/>
            <rFont val="Segoe UI"/>
            <family val="2"/>
          </rPr>
          <t>Nome de quem ajustou ou coloriu a ilustração.</t>
        </r>
      </text>
    </comment>
    <comment ref="Z1" authorId="0" shapeId="0" xr:uid="{2F4CF717-64AD-43F0-B59D-574941B0633A}">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FDDCFD87-35E3-4A9C-8665-7039C0FEC6CA}">
      <text>
        <r>
          <rPr>
            <sz val="9"/>
            <color indexed="81"/>
            <rFont val="Segoe UI"/>
            <family val="2"/>
          </rPr>
          <t xml:space="preserve">Selecione na lista suspensa em cada célula a classificação da ilustração.
</t>
        </r>
      </text>
    </comment>
    <comment ref="AB1" authorId="0" shapeId="0" xr:uid="{0884A419-99C4-4DFE-870F-0D83572D4FD7}">
      <text>
        <r>
          <rPr>
            <sz val="9"/>
            <color indexed="81"/>
            <rFont val="Segoe UI"/>
            <family val="2"/>
          </rPr>
          <t>Anotações gerais/adicionais do designer sobre a produção da imagem.</t>
        </r>
      </text>
    </comment>
    <comment ref="AC1" authorId="0" shapeId="0" xr:uid="{5D9091C8-8098-4433-B996-D2536ABE1D6B}">
      <text>
        <r>
          <rPr>
            <sz val="9"/>
            <color indexed="81"/>
            <rFont val="Segoe UI"/>
            <family val="2"/>
          </rPr>
          <t>Anotações para fechamento dos pagamentos mensais das ilustrações.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5B6A94-FF72-4736-A74D-25B1507F65DA}" keepAlive="1" name="Consulta - CRÉDITOS_GERAIS" description="Conexão com a consulta 'CRÉDITOS_GERAIS' na pasta de trabalho." type="5" refreshedVersion="8" background="1" saveData="1">
    <dbPr connection="Provider=Microsoft.Mashup.OleDb.1;Data Source=$Workbook$;Location=CRÉDITOS_GERAIS;Extended Properties=&quot;&quot;" command="SELECT * FROM [CRÉDITOS_GERAIS]"/>
  </connection>
  <connection id="2" xr16:uid="{914AD2AD-E1BA-4B06-AEBA-B2BE164126D0}" keepAlive="1" name="Consulta - CRÉDITOS_GERAIS (2)" description="Conexão com a consulta 'CRÉDITOS_GERAIS (2)' na pasta de trabalho." type="5" refreshedVersion="8" background="1" saveData="1">
    <dbPr connection="Provider=Microsoft.Mashup.OleDb.1;Data Source=$Workbook$;Location=&quot;CRÉDITOS_GERAIS (2)&quot;;Extended Properties=&quot;&quot;" command="SELECT * FROM [CRÉDITOS_GERAIS (2)]"/>
  </connection>
</connections>
</file>

<file path=xl/sharedStrings.xml><?xml version="1.0" encoding="utf-8"?>
<sst xmlns="http://schemas.openxmlformats.org/spreadsheetml/2006/main" count="2449" uniqueCount="1204">
  <si>
    <t>NOME DA OBRA
 PARA RESGATE</t>
  </si>
  <si>
    <t>PÁGINA PARA RESGATE</t>
  </si>
  <si>
    <t>VOLUME PARA RESGATE</t>
  </si>
  <si>
    <t>VERSÃO PARA RESGATE</t>
  </si>
  <si>
    <t>PROPRIEDADE</t>
  </si>
  <si>
    <t xml:space="preserve">if0104_4p009p_m25_e010 </t>
  </si>
  <si>
    <t>PRONTA</t>
  </si>
  <si>
    <t>IL + FOTO</t>
  </si>
  <si>
    <t>MIOLO</t>
  </si>
  <si>
    <t>NOVA</t>
  </si>
  <si>
    <t xml:space="preserve">lustrar um labirinto que conecta duas imagens de um lado com duas imagens do outro. Dessa maneira, de um lado teremos as imagens do castelo e da mão e do outro as imagens do pão e da manteiga. As imagens devem ser conectadas por caminhos, como neste exemplo: https://www.shutterstock.com/pt/image-vector/funny-forest-animals-children-vector-1607522191 
A imagem da mão deve ter caminho livre até a imagem do pão, pois esse é o caminho que a criança deverá traçar. 
O traçado dos caminhos não pode ser muito estreito. </t>
  </si>
  <si>
    <t>foi alterada para if</t>
  </si>
  <si>
    <t>vc</t>
  </si>
  <si>
    <t>Vinícius Costa</t>
  </si>
  <si>
    <t>FINALIZADO</t>
  </si>
  <si>
    <t xml:space="preserve">i0115_4p009p_m25_e010 </t>
  </si>
  <si>
    <t>ILUSTRAÇÃO</t>
  </si>
  <si>
    <t xml:space="preserve">Ilustrar em fio preto para o aluno pintar as seguintes imagens: avião, abelha, árvore, aranha, abacaxi, uva, carro, morango, gato e mochila. 
Arte, fazer as ilustras como se estivessem espalhadas na página </t>
  </si>
  <si>
    <t xml:space="preserve">if0126_4p009p_m25_e010 </t>
  </si>
  <si>
    <t>APLICADA</t>
  </si>
  <si>
    <t xml:space="preserve">Ilustrar um labirinto, na entrada deve estar a galinha (shutter 591878399) e na saída um ninho de ovos (shutter 301432097). Devem ser feitos 5 caminhos, cada um será de uma vogal (A, E, I, O, U) – o caminho certo será o da letra O. 
Fotos escolhidas utilizadas nessa composição: 
https://www.shutterstock.com/pt/image-photo/eggs-on-white-background-301432097 
https://www.shutterstock.com/pt/image-photo/graceful-chicken-laying-hen-red-color-591878399 </t>
  </si>
  <si>
    <t xml:space="preserve">i0127_4p009p_m25_e010 </t>
  </si>
  <si>
    <t xml:space="preserve">Ilustrar uma cena em fio preto com vários animais, mas o único que deve começar com a letra U deve ser o urso – que será a resposta. Não ilustrar tantos elementos como na imagem de referência. Podemos ter menos árvores, menos elementos no céu, as árvores podem ser mais “limpas”. Os animais não devem ter características humanas (não ilustrar a cesta não mão do urso, nem a flor na mão do lobo, por exemplo). 
Referência: https://www.shutterstock.com/pt/image-vector/find-color-hidden-objects-all-forest-2466579077 </t>
  </si>
  <si>
    <t>if0305_4p009p_m25_e010</t>
  </si>
  <si>
    <t xml:space="preserve">ilustração com foto: de caminho com fotos/vetores
ARTE: Ilustrar uma atividade com três caminhos. No topo a imagem do Seu Lobato (mesma f0304_4p009p_m25_e010)
Um dos caminhos deve levar aos animais corretos (vaca, cachorro e gato) OS MESMOS da atividade anterior (f0301_4p009p_m25_e010, f0302_4p009p_m25_e010, f0303_4p009p_m25_e010)
Os outros caminhos levam para animais errados. Lembrar que a página é vertical. Usar esse espaço da página para traçar os caminhos.
Animais para os caminhos errados: Cachorro, porco, galinha. Vaca, cavalo e pato.
Para essa atividade vamos utilizar OS MESMOS recortes das imagens da atividade anterior e MAIS ALGUNS ANIMAIS dos mesmos links. 
ESCOLHIDAS: shutter 2446132541
shutter 2576653663
</t>
  </si>
  <si>
    <t>rm</t>
  </si>
  <si>
    <t>Heloísa Pintarelli</t>
  </si>
  <si>
    <t>R: 28/03  F:04/04</t>
  </si>
  <si>
    <t>PAGO</t>
  </si>
  <si>
    <t>i0315_4p009p_m25_e010</t>
  </si>
  <si>
    <t xml:space="preserve">ARTE: Ilustrar uma cena como a indicada na imagem de referência colada na página. Lembrar que a página é vertical e que a imagem deve usar todo o espaço livre da página.
Na cena devem ser ilustradas algumas árvores, plantas e animais. O espaço deve representar o jardim de uma casa (deve ficar claro que é um espaço mais fechado). Os animais podem ser um gato, um pássaro, borboletas. Ilustrar duas crianças desbravadoras (com binóculos e meio escondidas, como se brincassem no jardim). As crianças serão um menino e uma menina. O menino deve ser negro e a menina branca com cordão de autismo ver referência: 
Na cena, colocar 5 letras B nos elementos da imagem. Colocar as vogais A, E, I,O,U para compor a cena também. Os alunos deverão circular somente as letras B, que, por conta da faixa etária, não devem estar tão escondidas. Cuidar para não usar cores tão fortes e chamativas que possam confundir os alunos. Sugestões: a letra B pode aparecer na asa de uma borboleta, na folha de uma planta (com curvas), no binóculo de uma das crianças, em uma nuvem (caso dê para ver o céu), em um cipó preso entre árvores.
ver ideia de como “esconder” as letras na ilustração
</t>
  </si>
  <si>
    <t>di</t>
  </si>
  <si>
    <t>Débora Mini</t>
  </si>
  <si>
    <t>R: 03/04  F:10/04</t>
  </si>
  <si>
    <t>if0325_4p009p_m25_e010</t>
  </si>
  <si>
    <t>Arte: Ilustrar a letra D em formato de labirinto, como na imagem de referência. Com um dinossauro na entrada e na saída deve estar o ovo do dinossauro. O dinossauro poderia ser um T-rex vetor Shutter escolhido 2228534535 e o ovo poderia ser deste ilustrador escolhida 2158062623. Lembrar que a página é vertical. Usar esse espaço da página para produzir a letra D com o labirinto.</t>
  </si>
  <si>
    <t>i0326_4p009p_m25_e010</t>
  </si>
  <si>
    <t xml:space="preserve">Arte: Ilustrar 10 folhas de árvore em fio contorno para a criança pintar (cuidar para que o fio fique na espessura combinada do bloco1 páginas 10 e 14 ver marcela). Espalhar as folhas pela página e em cada uma delas colocar uma letra. Em 5 folhas colocar a letra F, em 1 colocar a letra B, em 1 colocar a letra C, em 1 colocar a letra O, em 1 colocar a letra E. 
Obs.: Todas as letras devem ser de imprensa maiúscula ver exemplo utilizado em outra pagina fazer letra parecida, ref:
</t>
  </si>
  <si>
    <t>i0340_4p009p_m25_e010</t>
  </si>
  <si>
    <t xml:space="preserve">Arte: Ilustrar uma imagem com uma galinha escondida. Usar essa ilustração como exemplo, mas fazer o desenho mais fácil, com menos elementos (usar como exemplo a i0151ti_4p009m_m25_e010, que já foi produzida pra outro bloco, bem simples). Não precisa ter cenário, só precisa ter a galinha no centro e ao redor ficam apenas os riscos (os espaços que não serão pintados).
https://www.shutterstock.com/pt/image-vector/color-by-number-activity-page-kids-2488155379
Indicar letras apenas para formar a imagem da galinha, NÃO haverá nenhuma indicação fora da galinha.
Dentro da galinha indicar cada pedaço que será pintado ou pela letra F ou pela letra G.
</t>
  </si>
  <si>
    <t>i0360_4p009p_m25_e010</t>
  </si>
  <si>
    <t>Arte: Ilustrar alguns balões de festa (bexigas) em fio contorno coloridos e colocar uma letra (imprensa maiúscula) dentro de cada balão. A, B, C, D, E, F, G, I, O e U. Espalhar os balões pela página. Ao todo serão 10 balões. Usar a imagem como referência. Não copiar.</t>
  </si>
  <si>
    <t>i0503_4p009p_m25_e010</t>
  </si>
  <si>
    <t xml:space="preserve">ARTE: Ilustrar uma árvore em fio contorno para a criança pintar. A árvore não precisa ocupar a altura inteira da página, mas é importante que não seja muito baixa. Lembrar de colocar “chão” na ilustração.  </t>
  </si>
  <si>
    <t>tc</t>
  </si>
  <si>
    <t xml:space="preserve"> Thais Castro</t>
  </si>
  <si>
    <t>R:07/04 F:11/04</t>
  </si>
  <si>
    <t>i0504_4p009p_m25_e010</t>
  </si>
  <si>
    <t>Arte: ilustrar uma bolinha (seguindo o padrão dos recortes) com a cor roxa. É importante que se distancie bastante dos tons que aparecem na capa do livro.</t>
  </si>
  <si>
    <t>i0505_4p009p_m25_e010</t>
  </si>
  <si>
    <t>Arte: ilustrar uma bolinha (seguindo o padrão dos recortes) com a cor azul. É importante que se distancie bastante dos tons que aparecem na capa do livro.</t>
  </si>
  <si>
    <t>i0506_4p009p_m25_e010</t>
  </si>
  <si>
    <t>Arte: ilustrar uma bolinha (seguindo o padrão dos recortes) com a cor rosa e pintinhas cinzas. É importante que se distancie bastante dos tons que aparecem na capa do livro.</t>
  </si>
  <si>
    <t>i0511_4p009p_m25_e010</t>
  </si>
  <si>
    <t xml:space="preserve">Arte: Ilustrar um caminho de pedras para a criança colorir (ilustrar as pedras em fio contorno, ver referência meramente ilustrativa: https://www.shutterstock.com/pt/image-vector/mountain-road-graphic-black-white-landscape-2263848751 ). Em cada pedra deve ter uma letra (A, B, C, D, E, F, G ou H). As pedras com a letra H serão pintadas e devem formar um caminho. Na ponta superior esquerda (no começo do caminho), ilustrar três crianças de +/- 4 anos. Um dos meninos deve usar óculos, pode ter a pele clara e ter cabelo castanho. A menina pode ser um pouco mais alta, com cabelos castanhos encaracolados e a pele morena e um cordão de girassol ver ref (https://www.shutterstock.com/pt/image-photo/unrecognizable-woman-reading-yellow-book-studying-2158168541). A outra menina pode ser negra, cabelos afro (não prender o cabelo dela, deixar enroladinho e solto, como essa menina: https://www.shutterstock.com/pt/image-photo/little-african-girl-four-years-beautiful-454109323). As crianças devem estar com roupas simples (camiseta, shorts e tênis/sandália). No final do caminho, ilustrar um chão de grama, um escorregador e uma bola (dar a ideia de um parque).
fazer a ilustração mais vertical pensando em ocupar toda a pagina
</t>
  </si>
  <si>
    <t>R:07/04 F:10/04</t>
  </si>
  <si>
    <t>i0521_4p009p_m25_e010</t>
  </si>
  <si>
    <t xml:space="preserve">ARTE: Ilustrar um parque (como uma praça com brinquedos infantis). Neste parque podemos ter um escorregador, um balanço acessível (veja opções: https://images.tcdn.com.br/img/img_prod/477507/playground_adaptado_cadeirante_balanco_frontal_220_1_2db65fc412818b480b72bb603ce289cb.jpg ou https://cdn.awsli.com.br/600x450/2711/2711065/produto/255372386/balanco-inclusivo-duplo-qiycgaawwf.jpg ) algumas árvores, um banco, uma amarelinha no chão. Não precisa ter nenhuma criança. Podemos ilustrar apenas o ambiente. Se for aparecer calçada, lembrar de ter rampa de acesso. O parque precisa ser INCLUSIVO e não exclusivo, então podem ter poucos brinquedos, mas precisa mesclar entre acessível e não acessíveis. (Referência: https://lunetas.com.br/wp-content/uploads/2024/09/parque-inclusivo-ceret-divulgacao.jpg.webp) 
Na cena, colocar 4 letras H escondidas nos elementos do parque e 4 letras J. Além dessas letras, vamos esconder duas letras A, duas letras D, duas letras F e duas letras O. A letra H pode estar nas costas da cadeira do balanço, a letra A pode estar na estrutura lateral do balanço, a letra J pode aparecer numa planta, num galho de árvore, a letra H pode estar na escada do escorregador, a letra O pode estar numa nuvem no céu e assim por diante.
ver exemplo de como esconder as letras na cena
</t>
  </si>
  <si>
    <t>R:11/04 F:16/04</t>
  </si>
  <si>
    <t>if0522_4p009p_m25_e010</t>
  </si>
  <si>
    <t xml:space="preserve">ARTE: Ilustrar dois caminhos: um mais estreito e um mais largo em fio contorno para a criança colorir. Eles podem ser ilustrados como se fossem ruas (com alguma sinalização em PB ou em fio contorno que dê essa ideia de ciclovia como esta aqui, por exemplo: https://www.shutterstock.com/pt/image-vector/bike-lane-environmental-color-icon-vector-2329476901).
No início dos caminhos deve estar a fotografia da menina de bicicleta ( ESCOLHIDA https://www.shutterstock.com/pt/image-photo/child-riding-bicycle-little-kid-boy-2527124223 Vocês podem recortar o fundo da foto (arredondar) para não ficar tão quadrada.
No final dos caminhos deve estar a letra K ilustrada em fio contornos com o traçado dentro da letra (https://www.pinterest.com/pin/letras-pontilhadas-para-passar-por-cima-decorao-casa-decorar-apartamento-festa-eventos-casamento-como-decorar-como-fazer-dicas-online-blog--632052128970869907/) , pois na segunda etapa da atividade a criança vai completar o traçado. Não ilustrar com o ponto vermelho inicial, mas incluir seta no início do traçado (onde na imagem modelo tem o ponto vermelho). 
</t>
  </si>
  <si>
    <t>if0528_4p009p_m25_e010</t>
  </si>
  <si>
    <t xml:space="preserve">ARTE: Ilustrar três listas de compras (cada uma pode estar em um “papel” diferente, mas podem ter a mesma letra. As listas serão compostas de palavras e imagens.
Na primeira listra escrever: LIMÃO ABACAXI LÂMPADA CAJU TOMATE
Na segunda lista escrever: LARANJA LIMÃO LEITE LÂMPADA LÁPIS
Na terceira lista escrever: TOMATE ABACAXI ABACATE LARANJA JARRA
colocar cada uma das FOTOGRAFIAS a seguir ao lado de cada palavra na lista de compras
limão escolhida acervo scriba shutterstock_328549712
abacaxi escolhida acervo scriba shutterstock_132077984
lâmpada escolhida acervo scriba shutterstock_762509032
caju shutter escolhida 2149826995
escolhida acervo scriba shutterstock_1090253588
laranja escolhida acervo scriba shutterstock_100359398
lápis escolhida acervo scriba shutterstock_575549464
abacate escolhida acervo scriba shutterstock_413978641
jarra escolhida shutter 2115082709
leite escolhida shutter 2488520761 ARTE: escrever leite na caixa
ver ref de exemplo para a lista de compras
</t>
  </si>
  <si>
    <t>i0701_4p009p_m25_e010</t>
  </si>
  <si>
    <t xml:space="preserve">Ilustrar uma cena em fio contorno (com poucos elementos) de um pato em uma pequena lagoa, pulando e com o bico aberto, como se estivesse “piando” para representar o trava-língua. Imagem referência gerada por IA. </t>
  </si>
  <si>
    <t>Thais Castro</t>
  </si>
  <si>
    <t>R:08/04 F:11/04</t>
  </si>
  <si>
    <t>i0702_4p009p_m25_e010</t>
  </si>
  <si>
    <t xml:space="preserve">Ilustrar uma cena em fio contorno (com poucos elementos de um pato em uma pequena lagoa, parado e com o bico fechado, com semblante mais sério. Ver referência. (mandar as duas ils dessa página e a i0707_4p009p_m25_e010 para o mesmo ilustrador)
</t>
  </si>
  <si>
    <t>i0707_4p009p_m25_e010</t>
  </si>
  <si>
    <t>Ilustrar uma cena simples com um pato para a criança completar. Metade deve estar pronto e a outra metade a criança vai completar o traçado e pintar. Por favor fazer em traçados não em pontilhados. Ver imagem de referência. Obs.: a cena deve ter algumas nuvens o sol e o pato deve estar em um gramado, sem muitos elementos ocupar todo o espaço para fechar a página, ver no word (mandar essa il para o mesmo ilustrador das ils i0701_4p009p_m25_e010 e i0702_4p009p_m25_e010)</t>
  </si>
  <si>
    <t>i0771_4p009p_m25_e010</t>
  </si>
  <si>
    <t>IL TEC ARTE</t>
  </si>
  <si>
    <t xml:space="preserve">ilustração de traçado em formato de “triangulo” só que mais aberto do que já existe no projeto gráfico, ver ref
fazer no mesmo padrão do projeto gráfico com seta vermelha no início
</t>
  </si>
  <si>
    <t>i0772_4p009p_m25_e010</t>
  </si>
  <si>
    <t xml:space="preserve">ilustração de traçado em formato de “triangulo” mas com partes retas
fazer no mesmo padrão do projeto gráfico com seta vermelha no início
</t>
  </si>
  <si>
    <t>i0773_4p009p_m25_e010</t>
  </si>
  <si>
    <t xml:space="preserve">ilustração de traçado em formato de “triangulo” mas deitados para o lado direito e com partes retas
fazer no mesmo padrão do projeto gráfico com seta vermelha no início
</t>
  </si>
  <si>
    <t>i0774_4p009p_m25_e010</t>
  </si>
  <si>
    <t xml:space="preserve">ilustração de traçado em formato de “triangulo” mas deitados para o lado esquerdo e com partes retas
fazer no mesmo padrão do projeto gráfico com seta vermelha no início
</t>
  </si>
  <si>
    <t>i0717_4p009p_m25_e010</t>
  </si>
  <si>
    <t xml:space="preserve">Ilustrar em fio contorno uma maçã, uma caneca e uma chave
ilustrar os 3 elementos espaçados em linha (fazer a espessura do fio combinada com a marcela)
</t>
  </si>
  <si>
    <t>i0718_4p009p_m25_e010</t>
  </si>
  <si>
    <t xml:space="preserve">Ilustrar em fio contorno uma melancia cortada, uma flor e um gato
ilustrar os 3 elementos espaçados em linha (fazer a espessura do fio combinada com a marcela)
</t>
  </si>
  <si>
    <t>i0719_4p009p_m25_e010</t>
  </si>
  <si>
    <t xml:space="preserve">Ilustrar em fio contorno de um microfone, um caderno e uma colher
ilustrar os 3 elementos espaçados em linha (fazer a espessura do fio combinada com a marcela)
</t>
  </si>
  <si>
    <t>i0720_4p009p_m25_e010</t>
  </si>
  <si>
    <t xml:space="preserve">Ilustrar em fio contorno um morango, uma tesoura e uma cenoura
ilustrar os 3 elementos espaçados em linha (fazer a espessura do fio combinada com a marcela)
</t>
  </si>
  <si>
    <t>i0721_4p009p_m25_e010</t>
  </si>
  <si>
    <t xml:space="preserve">Ilustrar imagem como a referência, gerada por IA. Mas na posição VERTICAL, em que há um céu com várias nuvens e em cada uma das nuvens existe uma letra, no formato imprensa maiúscula (A, B, C, D, E, F, G, H, I, J, K, L, M e N). Colocar a letra N várias vezes. Obs.: as nuvens devem ser vazadas para que as crianças possam pintá-las.
Atenção: a imagem deve compor toda a página na vertical
</t>
  </si>
  <si>
    <t>gk</t>
  </si>
  <si>
    <t>Gabriel Kyu</t>
  </si>
  <si>
    <t>if0722_4p009p_m25_e010</t>
  </si>
  <si>
    <t>ilustração de um astronauta no canto superior esquerdo da página e ilustração de uma nave espacial no canto inferior direito. No meio deve ser montado um tabuleiro com as fotos indicadas, com fundo branco para a criança pintar. Ver imagem de referência</t>
  </si>
  <si>
    <t>R: 08/04 F:11/04</t>
  </si>
  <si>
    <t>i0723_4p009p_m25_e010</t>
  </si>
  <si>
    <t xml:space="preserve">Ilustrar um polvo, no fundo do mar, com poucos elementos, rodeado de bolhas brancas e dentro de cada bolha deve ter uma letra maiúscula. Ver a referência (IA), em que aparece um polvo com várias bolhas de diferentes tamanhos. Nas bolhas maiores deve haver as letras (A, B, C, D, E, F, G, H, I, J, K, L, M, N e P). Colocar a letra P várias vezes.
A ilustração deve ocupar a página toda – no sentido vertical.
</t>
  </si>
  <si>
    <t>if0724_4p009p_m25_e010</t>
  </si>
  <si>
    <t xml:space="preserve">ARTE: ilustrar o resto da imagem e deixar o espaço para a criança com perna mecânica, assim que tivermos a foto escolhida passamos para a arte inserir na if
Ilustrar um labirinto com dois caminhos. No começo do caminho deve ter a foto de uma criança, com mais ou menos 4 anos, que utilize uma perna mecânica. No final do caminho a foto de um pião escolhida 125693039. O labirinto deve ser produzido na vertical, para ocupar a página toda, seguindo a ideia apresentada na página. Obs.: a referência apresenta apenas um caminho, mas é preciso produzir dois. Inseri este exemplo, pois neste labirinto não deverá ter curvas arredondadas, mas deve ser mais “pontiagudo como este” e as imagens devem estar nos círculos.
Caminho 1 deve ter fotos das seguintes imagens:
uma panela em fundo branco escolhida acervo scriba shutterstock_33431830
um peixe em fundo branco escolhida acervo scriba shutterstock_44350594
uma pipa em fundo branco escolhida acervo scriba shutterstock_180404606
um porco em fundo branco escolhida acervo scriba shutterstock_162182654
um parafuso em fundo branco escolhida 446118643
Caminho 2 deve ter fotos das seguintes imagens:
uma pia em fundo branco escolhida acervo scriba shutterstock_221621737
um caderno em fundo branco escolhida acervo scriba shutterstock_81540127
um vaso em fundo branco escolhida acervo scriba shutterstock_164536922
um gato em fundo branco escolhida acervo scriba shutterstock_110096300
uma cadeira em fundo branco escolhida acervo scriba shutterstock_1347489935
</t>
  </si>
  <si>
    <t>i0725_4p009p_m25_e010</t>
  </si>
  <si>
    <t xml:space="preserve">Inserir 4 tabuleiros de jogo da velha, tendo a imagem (gerada por IA) como referência. Em cada tabuleiro devem ter as letras P e Q e em cada um deles a sequência correta indicando Q, Q, Q, podendo ser horizontal ou vertical. 
Obs.: Cada tabuleiro deve ser diferente um do outro e as letras devem ser todas de uma única cor, como azul.
utilizar as sequencias de letras das referencias
</t>
  </si>
  <si>
    <t>if0726_4p009p_m25_e010</t>
  </si>
  <si>
    <t xml:space="preserve">Inserir um quadro com a letra M no meio, e fotografias em fundo branco 
uma mochila escolhida 2380459713
um par de meias escolhida acervo scriba shutterstock_1157909374
um martelo escolhida acervo scriba shutterstock_113914105
uma laranja escolhida acervo scriba shutterstock_100359398
</t>
  </si>
  <si>
    <t>if0727_4p009p_m25_e010</t>
  </si>
  <si>
    <t xml:space="preserve">Inserir um quadro com a letra N no meio, e fotografias em fundo branco
uma bola escolhida acervo scriba shutterstock_82047847
um número 9 escolhida 2354046387
um navio escolhida acervo scriba shutterstock_341553722
um novelo escolhida acervo scriba shutterstock_109399994
</t>
  </si>
  <si>
    <t>Recorte da ilustração if0726</t>
  </si>
  <si>
    <t>if0728_4p009p_m25_e010</t>
  </si>
  <si>
    <t xml:space="preserve">Inserir um quadro com a letra P no meio, e fotografias 
uma janela escolhida 2467224203
 uma porta escolhida acervo scriba shutterstock_523286737
uma peteca escolhida acervo scriba shutterstock_94475203
um pente de cabelo escolhida acervo scriba shutterstock_67485538
</t>
  </si>
  <si>
    <t>if0729_4p009p_m25_e010</t>
  </si>
  <si>
    <t xml:space="preserve">Inserir um quadro com a letra Q no meio, e fotografias em fundo branco 
um queijo escolhida acervo scriba shutterstock_86996450
um quiabo escolhida acervo scriba shutterstock_700020865
um apontador escolhida acervo scriba shutterstock_20980807
um número quatro escolhida 521470429
</t>
  </si>
  <si>
    <t>i0733_4p009p_m25_e010</t>
  </si>
  <si>
    <t>ilustração simples de um quadrado azul com o interior colorido</t>
  </si>
  <si>
    <t>i0905_4p009p_m25_e010</t>
  </si>
  <si>
    <t xml:space="preserve">ARTE: Ilustrar um rato no formato ligue os pontos. Não ilustrar ele muito humanizado. Ver um exemplo de ilustração que daria certo: https://www.shutterstock.com/pt/image-vector/line-art-rat-cartoon-vector-2475113311 Para o ligue os pontos, usar as letras do alfabeto na ordem do alfabeto (utilizar o alfabeto inteiro de A a Z). Alguns elementos do rato podem estar desenhados já. Veja um exemplo de ligue os pontos: https://br.freepik.com/vetores-premium/conecte-os-pontos-e-desenhe-o-rato-bonito-dos-desenhos-animados-jogo-educativo-para-criancas-ilustracao-vetorial-com-personagens-de-animais-de-desenho-animado_20980606.htm
A ilustração deve fechar a página. Para isso, vocês podem incluir alguns (poucos) itens de cenário: nuvens e grama, por exemplo, em fio contorno.
</t>
  </si>
  <si>
    <t>R: 07/04  F: 09/04</t>
  </si>
  <si>
    <t>i0919_4p009p_m25_e010</t>
  </si>
  <si>
    <t>i0919_4p009p_m25_e010
ilustração em sequência de duas cenas tipo 7 erros, dividir em A e B
i0919A_4p009p_m25_e010
CENA 1: Ilustrar a sala de uma casa com poucos móveis: apenas uma poltrona e uma rede pendurada na parede onde também há um relógio, uma mesa de centro e sobre ela um rádio, no chão um balde com um rodo ao lado, ainda no chão, um vaso de plantas e um par de sapatos. No fundo deve ter uma janela ou porta que mostre a rua. A rua deve ficar bem evidente nesta imagem.
i0919B_4p009p_m25_e010
CENA 2: Ilustrar A MESMA sala da cena de cima com alguns elementos a menos (como num jogo de sete erros). Dessa maneira, esta cena não deve ter a rede, o rádio, o relógio o rodo e a rua.
Usar cores leves na cena, pois a criança vai ter que circular os objetos.
As duas cenas devem fechar essa página, então cada uma deve pegar cerca de metade da página.</t>
  </si>
  <si>
    <t>R: 09/04  F: 11/04</t>
  </si>
  <si>
    <t>i0925_4p009p_m25_e010</t>
  </si>
  <si>
    <t>Ilustrar um caminho com pedrinhas que leve o sapo até a lagoa formando um S. Na ponta de cima do S o sapo e na outra ponta uma lagoa. Colocar outras pedras aleatórias em volta sem formar nenhum desenho ou letra. A ilustração deve fechar a página.</t>
  </si>
  <si>
    <t>R: 11/04  F: 16/04</t>
  </si>
  <si>
    <t>if0936_4p009p_m25_e010</t>
  </si>
  <si>
    <t xml:space="preserve">Fotografia de professora escrevendo, como se fizesse uma lista
ESCOLHIDA: https://www.shutterstock.com/pt/image-photo/african-american-woman-preschool-teacher-smiling-2284606845
como se fosse um zoom (fazer um pequeno sombreado dando a impressão do zoom) saindo da lista da professora ilustrar uma lista com fotos e palavras para a criança completar
ver referencia para ocupar a pagina toda
</t>
  </si>
  <si>
    <t>ti</t>
  </si>
  <si>
    <t>Tatiane Galheiro</t>
  </si>
  <si>
    <t>Arte</t>
  </si>
  <si>
    <t>if0937_4p009p_m25_e010</t>
  </si>
  <si>
    <t xml:space="preserve">Ilustrar um caminho em formato V sem fundo cor. No meio colocar um tracejado que faça a letra V. Na ponta esquerda do V inserir a imagem do menino escolhida foto/vetor 2471889599. Na ponta direita os avós segundo casal da shutter escolhida voto/vetor 2495330797
A letra V deve ser grande para fechar a página com essa atividade.
foto/vetor do menino: https://www.shutterstock.com/pt/image-vector/cute-boy-sings-folded-prayer-hands-2471889599
foto/vetor dos avós: USAR APENAS O SEGUNDO CASAL: https://www.shutterstock.com/pt/image-vector/old-love-couples-set-senior-men-2495330797
</t>
  </si>
  <si>
    <t>i1110_4p009p_m25_e010</t>
  </si>
  <si>
    <t>Ilustrar um tabuleiro com imagens e letras, seguindo a estrutura da referência. No canto superior esquerdo deve ter um menino e no canto inferior direito um prato com waffles, com um pouquinho de mel e frutas, na perspectiva foto de referência. O tabuleiro deve ser formado por círculos com as letras de imprensa maiúsculas indicadas abaixo. Ele deve ser verticalizado para preencher a página.</t>
  </si>
  <si>
    <t>bv</t>
  </si>
  <si>
    <t>Bianca Tavares</t>
  </si>
  <si>
    <t>i1118_4p009p_m25_e010</t>
  </si>
  <si>
    <t>Ilustrar um quebra-cabeça incompleto (na parte superior direita) e três peças abaixo dele uma correta e as outras não. A cor de fundo do quebra-cabeça deve dar um contraste bom com a letra</t>
  </si>
  <si>
    <t>i1119_4p009p_m25_e010</t>
  </si>
  <si>
    <t>Ilustrar um quebra-cabeça incompleto (na parte superior esquerda) e três peças abaixo dele uma correta e as outras não. A cor de fundo do quebra-cabeça deve dar um contraste bom com a letra</t>
  </si>
  <si>
    <t>i1120_4p009p_m25_e010</t>
  </si>
  <si>
    <t>Ilustrar um quebra-cabeça incompleto (na parte inferior esquerda) e três peças abaixo dele uma correta e as outras não. A cor de fundo do quebra-cabeça deve dar um contraste bom com a letra</t>
  </si>
  <si>
    <t>i1121_4p009p_m25_e010</t>
  </si>
  <si>
    <t>Ilustrar um quebra-cabeça incompleto (na parte inferior direita) e três peças abaixo dele uma correta e as outras não. A cor de fundo do quebra-cabeça deve dar um contraste bom com a letra</t>
  </si>
  <si>
    <t>i1126_4p009p_m25_e010</t>
  </si>
  <si>
    <t xml:space="preserve">Ilustrar um quarto de uma criança (tons neutros para não representar que é “de menino ou menina”), com poucos elementos (cama, janela tapete, prateleira, brinquedos, mesinha de cabeceira ou mesa de estudo, semelhante a referência). Neste quarto é obrigatório ter um XILOFONE, um TABULEIRO DE XADREZ e uma XÍCARA, de forma aleatória dentro do quarto, sendo uma imagem longe da outra. A imagem deve ser verticalizada, para fechar a página. </t>
  </si>
  <si>
    <t>i1127_4p009p_m25_e010</t>
  </si>
  <si>
    <t>ilustrar em contorno fio preto uma zebra</t>
  </si>
  <si>
    <t>bx</t>
  </si>
  <si>
    <t>Clarice Baracho</t>
  </si>
  <si>
    <t>R:15/04 F:17/04</t>
  </si>
  <si>
    <t>i1150_4p009p_m25_e010</t>
  </si>
  <si>
    <t>ilustrar em contorno fio preto uma xicara</t>
  </si>
  <si>
    <t>i1151_4p009p_m25_e010</t>
  </si>
  <si>
    <t>ilustrar em contorno fio preto uma zabumba</t>
  </si>
  <si>
    <t>i1152_4p009p_m25_e010</t>
  </si>
  <si>
    <t xml:space="preserve">ilustrar em contorno fio preto um xadrez </t>
  </si>
  <si>
    <t>i1153_4p009p_m25_e010</t>
  </si>
  <si>
    <t>ilustrar em contorno fio preto um ziper</t>
  </si>
  <si>
    <t>if0101_5p009p_m25_e010</t>
  </si>
  <si>
    <t>AVALIANDO</t>
  </si>
  <si>
    <t>Ilustrar uma lista com os nomes da turma.
A lista pode ser ilustrada como um cartaz, tendo sempre a fotografia da criança e seu nome na frente.  No cabeçalho da lista precisa estar escrito NOMES DA TURMA em caixa alta. A lista será composta pela fotografia da criança (ajustes indicados no PDF) e seu nome na frente. Os nomes devem ser escritos em cxAA com a primeira letra em vermelho</t>
  </si>
  <si>
    <t>pn</t>
  </si>
  <si>
    <t>arte</t>
  </si>
  <si>
    <t>i0102_5p009p_m25_e010</t>
  </si>
  <si>
    <t>Inserir os nomes em forma de lista, escritos em caixa alta e com a primeira letra de cada nome destacada na cor vermelha. Aplicar um fundo cor na lista.</t>
  </si>
  <si>
    <t>R: 28/04 F:02/05</t>
  </si>
  <si>
    <t>i0110_5p009p_m25_e010</t>
  </si>
  <si>
    <t xml:space="preserve">Ilustrar uma abelha (não estilizar muito, ver referência: https://www.shutterstock.com/pt/image-vector/bee-flying-icon-set-on-dotted-2552057103). E da abelha deve sair um traçado do padrão da obra que tenha a seta vermelha no início que lembre o desenho da letra A, mas que ocupe mais o espaço da página (não precisa ser super retinho). O traçado deve seguir da abelha até alguns girassóis. </t>
  </si>
  <si>
    <t>i0111_5p009p_m25_e010</t>
  </si>
  <si>
    <t xml:space="preserve">Ilustrar um avião (simples, quase uma silhueta, ver exemplo https://www.shutterstock.com/pt/image-vector/airplane-line-path-icon-set-vector-1950995491). Do avião deve sair um traçado solto do padrão da obra que tenha a seta vermelha no início, que lembre a letra a cursiva. Novamente não precisa ficar super retinho. No final do traçado pode ter um ícone de localização usado em GPS. </t>
  </si>
  <si>
    <t>i0117_5p009p_m25_e010</t>
  </si>
  <si>
    <t>Ilustrar um labirinto simples com 3 caminhos que ocupe todo o restante da página. Os caminhos devem ser largos e as letras em um tamanho grande. No canto superior esquerdo deve ter um elefante (início do labirinto) e no canto inferior direito (saída do labirinto) uma floresta. No caminho 1 deve ser feito só com a letra A; no caminho 2, apenas a letra E (esse deve ser o caminho correto, ou seja, que leva o elefante até a floresta); e no caminho 3, somente a letra I.</t>
  </si>
  <si>
    <t>i0127_5p009p_m25_e010</t>
  </si>
  <si>
    <t>Ilustrar (no restante do espaço da página) um desenho escondido de iglu. A imagem do iglu deve ser formada pela letra I e o restante da ilustração por outras letras.</t>
  </si>
  <si>
    <t>R: 30/04 F:05/05</t>
  </si>
  <si>
    <t>i0157_5p009p_m25_e010</t>
  </si>
  <si>
    <t>Ilustração do armário (deve ser o mesmo da ilustração i0164_5p009p_m25_e010)</t>
  </si>
  <si>
    <t>Recorte da i0164</t>
  </si>
  <si>
    <t>i0158_5p009p_m25_e010</t>
  </si>
  <si>
    <t>Ilustração do açucareiro (deve ser o mesmo da ilustração i0164_5p009p_m25_e010)</t>
  </si>
  <si>
    <t>i0159_5p009p_m25_e010</t>
  </si>
  <si>
    <t>Ilustração da espátula (deve ser o mesmo da ilustração i0164_5p009p_m25_e010)</t>
  </si>
  <si>
    <t>i0160_5p009p_m25_e010</t>
  </si>
  <si>
    <t>Ilustração do escorredor de macarrão (deve ser o mesmo da ilustração i0164_5p009p_m25_e010)</t>
  </si>
  <si>
    <t>i0161_5p009p_m25_e010</t>
  </si>
  <si>
    <t>Ilustração dos ímãs de geladeira (deve ser o mesmo da ilustração i0164_5p009p_m25_e010)</t>
  </si>
  <si>
    <t>i0162_5p009p_m25_e010</t>
  </si>
  <si>
    <t>Ilustração da caixa de ovos (deve ser o mesmo da ilustração i0164_5p009p_m25_e010)</t>
  </si>
  <si>
    <t>i0163_5p009p_m25_e010</t>
  </si>
  <si>
    <t>Ilustração do cacho de uvas (deve ser o mesmo da ilustração i0164_5p009p_m25_e010)</t>
  </si>
  <si>
    <t xml:space="preserve">i0164_5p009p_m25_e010 </t>
  </si>
  <si>
    <t>Ilustrar uma cozinha em fio contorno (veja um exemplo https://www.shutterstock.com/pt/image-vector/kitchen-furniture-vector-illustration-line-art-2523673313 ou https://www.shutterstock.com/pt/image-vector/kitchen-interior-design-modern-style-vector-1413801563 ). A cozinha deve ter os elementos básicos: geladeira, pia, fogão, armários e alguns objetos de decoração (porta talher, uma fruteira, um vaso com plantas que lembrem temperos). Não ilustrar exaustor. Além disso, a cozinha deve ter: armário, açucareiro, espátula, escorredor de macarrão, ímãs de geladeira (dois ou três), cesto/caixa com ovos (deixar os ovos bem expostos) e alguns cachos de uva. Essas ilustrações podem estar espalhadas na cozinha, mas precisam estar bem visíveis para a criança encontrar e colorir.</t>
  </si>
  <si>
    <t>i1119_5p009p_m25_e010</t>
  </si>
  <si>
    <t>Ilustrar uma xícara deixando parte dela apenas pontilhada para a criança completar o desenho.</t>
  </si>
  <si>
    <t>Gabriel Brum</t>
  </si>
  <si>
    <t>R:30/04 F:05/05</t>
  </si>
  <si>
    <t>i1120_5p009p_m25_e010</t>
  </si>
  <si>
    <t>Ilustrar um xilofone deixando parte dela apenas pontilhada para a criança completar o desenho.</t>
  </si>
  <si>
    <t>i1121_5p009p_m25_e010</t>
  </si>
  <si>
    <t>Ilustrar um vidro de xampu deixando parte dela apenas pontilhada para a criança completar o desenho.</t>
  </si>
  <si>
    <t>i1122_5p009p_m25_e010</t>
  </si>
  <si>
    <t>Ilustrar um xale deixando parte dela apenas pontilhada para a criança completar o desenho.</t>
  </si>
  <si>
    <t>i1123_5p009p_m25_e010</t>
  </si>
  <si>
    <t xml:space="preserve">Ilustrar um labirinto simples com apenas 3 caminhos, o correto deve apresentar apenas a letra Y (sempre em cxAA), os 2 caminhos errados devem ser formados respectivamente pelas letras I e V (em cxAA). No início do labirinto deve ter uma menina de 5 anos, negra, cabelos soltos, usando óculos, com o nome YARA escrito abaixo dela. No final do labirinto, deve ter um menino de 5 anos, mais gordinho, pele clara, cabelo castanho, com o nome YURI escrito abaixo dele.  
Utilizar a letra Y do projeto gráfico. </t>
  </si>
  <si>
    <t>i1129_5p009p_m25_e010</t>
  </si>
  <si>
    <t>Ilustrar uma zabumba para a criança ligar os pontos e encontrar a imagem.
Cada ponto deve ter uma letra do alfabeto, seguindo a ordem alfabética.
Seguem aqui algumas imagens de zabumba para ajudar a compor a ilustração:
https://www.shutterstock.com/pt/image-vector/zabumba-triangle-accordion-handdrawn-style-cordel-2437338215
https://www.shutterstock.com/pt/image-vector/forro-dance-music-687360163
https://www.shutterstock.com/pt/image-photo/feira-de-santana-bahia-brazil-julho-1453844813
Para compor a imagem, podem ter algumas notas musicais saindo da zabumba.
A baqueta da zabumba pode estar completa, não precisa ter pontos para a criança ligar.</t>
  </si>
  <si>
    <t>if1136_5p009p_m25_e010</t>
  </si>
  <si>
    <t>ilustração de carta de jogo com uma foto e uma silaba logo abaixo, ver referencias acima.
Pesquisar fotografia de um xale, fundo branco. (A foto terá tratamento fundo cor ao ser aplicada nas cartas)
Montar duas cartas com essa imagem. Cada carta com uma sílaba. As cartas podem ser da cor azul
CARTA 1
XA
CARTA 2
LE
separar as duas ils em A e B</t>
  </si>
  <si>
    <t>if1137_5p009p_m25_e010</t>
  </si>
  <si>
    <t>ilustração de carta de jogo com uma foto e uma silaba logo abaixo, ver referencias acima. 
Pesquisar foto de zíper, fundo branco. (A foto terá tratamento fundo cor ao ser aplicada nas cartas)
Montar duas cartas com essa imagem. Cada carta com uma sílaba. As cartas podem ser da cor amarela
CARTA 1
ZÍ
CARTA 2
PER
Separar as duas ils em A e B.</t>
  </si>
  <si>
    <t>if1138_5p009p_m25_e010</t>
  </si>
  <si>
    <t>ilustração de carta de jogo com uma foto e uma silaba logo abaixo, ver referencias acima.
Pesquisar foto de zebu, fundo branco. (A foto terá tratamento fundo cor ao ser aplicada nas cartas)
Montar duas cartas com essa imagem. Cada carta com uma sílaba. As cartas podem ser da cor rosa
CARTA 1
ZE
CARTA 2
BU
Separar as duas ils em A e B.</t>
  </si>
  <si>
    <t>if1139_5p009p_m25_e010</t>
  </si>
  <si>
    <t>ilustração de carta de jogo com uma foto e uma silaba logo abaixo, ver referencias acima.
Pesquisar foto de zero, fundo branco. (A foto terá tratamento fundo cor ao ser aplicada nas cartas)
Montar duas cartas com essa imagem. Cada carta com uma sílaba. As cartas podem ser da cor verde.
CARTA 1
ZE
CARTA 2
RO
Separar as duas ils em A e B.</t>
  </si>
  <si>
    <t>i0301_5p009p_m25_e010</t>
  </si>
  <si>
    <t>Ilustrar em volta da cantiga notas musicais e um ou dois elementos presentes nela: uma saia de filó, um anel de formatura, uma cama de marfim e um sapato de veludo.</t>
  </si>
  <si>
    <t>R: 09/05 F:13/05</t>
  </si>
  <si>
    <t>i0305_5p009p_m25_e010</t>
  </si>
  <si>
    <t>IMAGEM GERADA POR IA. Saia de filó.</t>
  </si>
  <si>
    <t>ia</t>
  </si>
  <si>
    <t>i0306_5p009p_m25_e010</t>
  </si>
  <si>
    <t>Ilustrar em fio preto, para o aluno pintar, 10 bonés, eles podem estar em diferentes posições como a imagem de referência. Em 4 deles deve ter a letra B (em caixa alta) e nos demais as vogais (A, E, I, O, U) também em caixa alta</t>
  </si>
  <si>
    <t>i0329_5p009p_m25_e010</t>
  </si>
  <si>
    <t>Fazer uma ilustração de um labirinto que ocupe o restante de espaço da página. No início, deve ter um menino de 5 anos, negro, e no final uma mesa com dados. Devem ser ilustrados 3 caminhos – 2 errados compostos um pela letra B e outro pela letra C e 1 caminho certo, composto de letras D. Todas as letras devem ser maiúsculas.</t>
  </si>
  <si>
    <t>i0330_5p009p_m25_e010</t>
  </si>
  <si>
    <t xml:space="preserve">IMAGEM GERADA POR IA. Ovo. </t>
  </si>
  <si>
    <t>Rafaela Panissa</t>
  </si>
  <si>
    <t>i0331_5p009p_m25_e010</t>
  </si>
  <si>
    <t xml:space="preserve">IMAGEM GERADA POR IA. Dente. </t>
  </si>
  <si>
    <t>i0332_5p009p_m25_e010</t>
  </si>
  <si>
    <t xml:space="preserve">IMAGEM GERADA POR IA. Dominó. Ajuste: Deixar a bolinha do meio do número 5 vermelha também. </t>
  </si>
  <si>
    <t>Arquivo da editora</t>
  </si>
  <si>
    <t>i0333_5p009p_m25_e010</t>
  </si>
  <si>
    <t xml:space="preserve">IMAGEM GERADA POR IA. Carrinho de brinquedo. </t>
  </si>
  <si>
    <t>i0334_5p009p_m25_e010</t>
  </si>
  <si>
    <t xml:space="preserve">IMAGEM GERADA POR IA. Dinossauro. </t>
  </si>
  <si>
    <t>i0335_5p009p_m25_e010</t>
  </si>
  <si>
    <t xml:space="preserve">IMAGEM GERADA POR IA. Dado. AJUSTE: compor, nas faces laterais, o número 1 (apagar 4 bolinhas) e número 4 (apagar 1 bolinha do centro), manter a face superior com 5 bolinhas. </t>
  </si>
  <si>
    <t>i0336_5p009p_m25_e010</t>
  </si>
  <si>
    <t xml:space="preserve">IMAGEM GERADA POR IA. Boneca. </t>
  </si>
  <si>
    <t>i0337_5p009p_m25_e010</t>
  </si>
  <si>
    <t>RESGATE</t>
  </si>
  <si>
    <t xml:space="preserve">AJUSTE
Resgatar e ajustar a ilustração i0725_4p009p_m25_e010 (do bloco 4 do 4 anos deste projeto)
Deixar apenas 3 quadros e diagramar as seguintes letras escritas no word:
</t>
  </si>
  <si>
    <t>Resgate com ajuste</t>
  </si>
  <si>
    <t>i0344_5p009p_m25_e010</t>
  </si>
  <si>
    <t>IMAGEM GERADA POR IA.  Ilustrar em fio preto uma bola.</t>
  </si>
  <si>
    <t>i0345_5p009p_m25_e010</t>
  </si>
  <si>
    <t>IMAGEM GERADA POR IA.  Ilustrar em fio preto uma xícara.</t>
  </si>
  <si>
    <t>i0346_5p009p_m25_e010</t>
  </si>
  <si>
    <t>IMAGEM GERADA POR IA.  Ilustrar em fio preto um vaso.</t>
  </si>
  <si>
    <t>i0347_5p009p_m25_e010</t>
  </si>
  <si>
    <t>IMAGEM GERADA POR IA.  Ilustrar em fio preto uma boneca.</t>
  </si>
  <si>
    <t>i0348_5p009p_m25_e010</t>
  </si>
  <si>
    <t>IMAGEM GERADA POR IA.  Ilustrar em fio preto um coelho.</t>
  </si>
  <si>
    <t>i0349_5p009p_m25_e010</t>
  </si>
  <si>
    <t>IMAGEM GERADA POR IA.  Ilustrar em fio preto uma árvore.</t>
  </si>
  <si>
    <t>i0350_5p009p_m25_e010</t>
  </si>
  <si>
    <t xml:space="preserve"> IMAGEM GERADA POR IA.  Ilustrar em fio preto um anel.</t>
  </si>
  <si>
    <t>i0351_5p009p_m25_e010</t>
  </si>
  <si>
    <t>IMAGEM GERADA POR IA.  Ilustrar em fio preto uma cobra.</t>
  </si>
  <si>
    <t>i0353_5p009p_m25_e010</t>
  </si>
  <si>
    <t>IMAGEM GERADA POR IA.  Ilustrar em fio preto um funil.</t>
  </si>
  <si>
    <t>i0354_5p009p_m25_e010</t>
  </si>
  <si>
    <t>IMAGEM GERADA POR IA.  Ilustrar em fio preto uma bacia.</t>
  </si>
  <si>
    <t>i0355_5p009p_m25_e010</t>
  </si>
  <si>
    <t>IMAGEM GERADA POR IA.  Ilustrar em fio preto um cavalo.</t>
  </si>
  <si>
    <t>i0513_5p009p_m25_e010</t>
  </si>
  <si>
    <t>Ilustrar uma página de calendário do mês de maio como a imagem de referência</t>
  </si>
  <si>
    <t>R: 19/05 F:21/05</t>
  </si>
  <si>
    <t>i0515_5p009p_m25_e010</t>
  </si>
  <si>
    <t>Produzir a ilustração de uma cena e nela esconder 5 letras G maiúsculas. Ilustrar nessa cena, que deve ocupar o restante da página, uma floresta com os seguintes animais: gorila, gambá, ganso e gavião. Colocar a letra G maiúscula em diferentes pontos da imagem (nem muito pequena e nem muito grande).</t>
  </si>
  <si>
    <t>R: 16/05 F:22/05</t>
  </si>
  <si>
    <t>i0524_5p009p_m25_e010</t>
  </si>
  <si>
    <t xml:space="preserve">IMAGEM GERADA POR IA. Cachorro em fio contorno. </t>
  </si>
  <si>
    <t>i0525_5p009p_m25_e010</t>
  </si>
  <si>
    <t xml:space="preserve">IMAGEM GERADA POR IA. Cavalo em fio contorno. </t>
  </si>
  <si>
    <t>i0526_5p009p_m25_e010</t>
  </si>
  <si>
    <t xml:space="preserve">IMAGEM GERADA POR IA. Pássaro em fio contorno. </t>
  </si>
  <si>
    <t>i0527_5p009p_m25_e010</t>
  </si>
  <si>
    <t xml:space="preserve">IMAGEM GERADA POR IA. Gato em fio contorno. </t>
  </si>
  <si>
    <t>i0528_5p009p_m25_e010</t>
  </si>
  <si>
    <t xml:space="preserve">IMAGEM GERADA POR IA. Hipopótamo em fio contorno. </t>
  </si>
  <si>
    <t>i0529_5p009p_m25_e010</t>
  </si>
  <si>
    <t xml:space="preserve">IMAGEM GERADA POR IA. Coelho em fio contorno. </t>
  </si>
  <si>
    <t>i0530_5p009p_m25_e010</t>
  </si>
  <si>
    <t xml:space="preserve">IMAGEM GERADA POR IA. Leão em fio contorno. </t>
  </si>
  <si>
    <t>i0531_5p009p_m25_e010</t>
  </si>
  <si>
    <t xml:space="preserve">IMAGEM GERADA POR IA. Macaco em fio contorno. </t>
  </si>
  <si>
    <t>Bruna Campos</t>
  </si>
  <si>
    <t>i0532_5p009p_m25_e010</t>
  </si>
  <si>
    <t xml:space="preserve">IMAGEM GERADA POR IA. Sapo em fio contorno. </t>
  </si>
  <si>
    <t>i0543_5p009p_m25_e010</t>
  </si>
  <si>
    <t xml:space="preserve">Ilustrar, no espaço da página, um jacaré em fio preto. Parte do corpo dele deve ser completado pelo aluno com pontinhos que contenham a letra J maiúscula. </t>
  </si>
  <si>
    <t>i0554_5p009p_m25_e010</t>
  </si>
  <si>
    <t>Ilustrar um labirinto que imite a letra K (ver imagem de referência), na entrada deve ter um jovem – 18 anos- usando capacete e na saída um kart</t>
  </si>
  <si>
    <t>i0577_5p009p_m25_e010</t>
  </si>
  <si>
    <t>Ilustrar na página toda uma cena de uma casa (visão de fora dela) com área de lazer. Nessa cena deve ter: uma árvore e em cima dela um gato, no céu uma gaivota voando. Ilustrar próximo ao telhado uma gaiola. Embaixo da árvore devem ter crianças brincando, uma delas deve estar comendo uma goiaba.
Na área de lazer fazer uma churrasqueira com um adulto mexendo nela com um garfo em uma das mãos. Ainda na área de lazer, ilustrar comuns desse ambiente. 
A ilustração deve ocupar bem a página.</t>
  </si>
  <si>
    <t>i0701_5p009p_m25_e010</t>
  </si>
  <si>
    <t>Ilustrar uma ave Íbis agitada (pode ser um desenho bem-humorado e pode ser só a carinha da ave). As penas na cabeça podem estar para cima. Ver ref da ave: https://picturebirdai.com/pt/wiki/Threskiornis_aethiopicus.html
Imagem para referência. A il precisa ser mais infantil do que isso</t>
  </si>
  <si>
    <t>R:23/05 F:27/05</t>
  </si>
  <si>
    <t>i0702_5p009p_m25_e010</t>
  </si>
  <si>
    <t>Ilustrar uma ave Íbis apavorada (pode ser um desenho bem-humorado e pode ser só a carinha da ave com as duas asas “no rosto”). Ver ref da ave: https://picturebirdai.com/pt/wiki/Threskiornis_aethiopicus.html
Imagem para referência. Precisa ser mais infantil e menos triste do que isso:</t>
  </si>
  <si>
    <t>i0703_5p009p_m25_e010</t>
  </si>
  <si>
    <t>Ilustrar uma ave Íbis bemmm tranquila (pode ser um desenho bem-humorado e pode ser só a carinha da ave). Ver ref da ave: https://picturebirdai.com/pt/wiki/Threskiornis_aethiopicus.html
Imagem para referência. Precisa ser mais infantil do que isso</t>
  </si>
  <si>
    <t>i0710_5p009p_m25_e010</t>
  </si>
  <si>
    <t>Ilustrar laranjas em fio preto para o aluno pintar. Em cada laranja deve ter uma letra em destaque. Compor cerca de 12 laranjas (6 com a letra L e as demais variando entre as letras: A, B, C, D, E, F, G, H, I, J, K.  Ilustrar de maneira que ocupe o restante da página.</t>
  </si>
  <si>
    <t>i0720_5p009p_m25_e010</t>
  </si>
  <si>
    <t xml:space="preserve">Ilustrar um macaco e um caminho de pedras com palavras escritas. As pedras devem ser ilustradas em fio contorno, pois a criança vai pintar as palavras que começam com M. Ao final do caminho deve ter uma árvore. Palavras para as pedras do caminho certo:
MAÇÃ, MOLA, MURO, MULA, MÃO, MAR, MOÇA, MEDO, MESA (Vf quantas vão caber, não precisa usar todas). Palavras para as demais pedras: NÓ, ARCO, WIFI, NAVIO, VASO, LATA, BOLO, DIA (Vf quantas palavras vão caber, não precisa usar todas).
Ilustração de referência. Talvez a ilustração nova precise ser mais horizontal. </t>
  </si>
  <si>
    <t>i0738_5p009p_m25_e010</t>
  </si>
  <si>
    <t>Ilustrar no espaço da página um porco em fio preto com pontinhos para que a criança os ligue – como na imagem de referência. No lugar dos números deve ter a letra P em caixa alta. Para completar o espaço da página pode ter um cenário, como uma grama com cercado.</t>
  </si>
  <si>
    <t>i0739_5p009p_m25_e010</t>
  </si>
  <si>
    <t>Ilustrar um livro aberto e dele devem sair várias palavras (todas escritas em caixa alta), variar o tipo de fonte das palavras: PATO, PAPEL, PORTA, PICOLÉ, PIPA, PIPOCA, POTE, PENA, PERA, PANELA, GATO, COELHO, BONECA, CARRINHO, ABELHA, BOLO, CAMA, BALÃO, DEDO, FAROFA, ANEL. A ilustração deve ocupar a página toda, então dela podem sair imagens de personagens também como no exemplo abaixo.</t>
  </si>
  <si>
    <t>i0740_5p009p_m25_e010</t>
  </si>
  <si>
    <t xml:space="preserve">Ilustrar, utilizando todo o espaço da página, uma cena em que se tenha 4 caixas de papelão embaixo e cada uma delas deve ter em destaque uma letra: L, M, N e P (em caixa alta). Espalhados no espaço da il. devem ter os seguintes objetos: lanterna, martelo, novelo e panela. A criança vai fazer um traçado/caminho do objeto até a caixa. </t>
  </si>
  <si>
    <t>i0901_5p009p_m25_e010</t>
  </si>
  <si>
    <t xml:space="preserve">Ilustrar o momento inicial da história, quando a tartaruga e a lebre estão na linha de partida, esperando para correr. A imagem deve conter elementos naturais que remetam ao ambiente da corrida, como gramado, árvores e um céu claro. Se couber, ilustrar outros animais perto delas, como se assistissem à corrida. A raposa deve estar dando a largada. Um pássaro pode estar vendo de uma árvore. Um esquilo pode aparecer num canto. Duas borboletas coloridas podem estar voando. Um macaco pequeno pode estar pendurado na árvore ou vendo do chão, num cantinho. A ilustração deve acompanhar o formato do texto, de forma orgânica, deixando a página visualmente mais atrativa. </t>
  </si>
  <si>
    <t>r:23/05 f:26/05</t>
  </si>
  <si>
    <t>i0904_5p009p_m25_e010</t>
  </si>
  <si>
    <t>A ilustração deve manter a linguagem da ilustração i0901 – utilizar o mesmo ilustrador.
Ilustrar 3 opções de lugar:
1.	Uma praia (mostrar a areia e o mar)
2.	Uma floresta – essa será a resposta, portanto deve estar bem parecida com a ilustração i0901.
3.	Uma cidade com ruas e casas
As ilustrações podem ser horizontais e ficar uma abaixo da outra, fechando a página com essa atividade.</t>
  </si>
  <si>
    <t>i0905_5p009p_m25_e010</t>
  </si>
  <si>
    <t>A ilustração deve manter a linguagem da ilustração i0901 – utilizar o mesmo ilustrador.
Ilustrar a lebre dormindo no meio do caminho e a tartaruga passando, correndo, por ela. (cenário: floresta)</t>
  </si>
  <si>
    <t>i0906_5p009p_m25_e010</t>
  </si>
  <si>
    <t>A ilustração deve manter a linguagem da ilustração i0901 – utilizar o mesmo ilustrador.
Ilustrar a lebre e a tartaruga conversando sobre quem é mais rápida (cenário: floresta)</t>
  </si>
  <si>
    <t>i0907_5p009p_m25_e010</t>
  </si>
  <si>
    <t>A ilustração deve manter a linguagem da ilustração i0901 – utilizar o mesmo ilustrador.
Ilustrar a tartaruga cruzando a linha de chegada.</t>
  </si>
  <si>
    <t>i0908_5p009p_m25_e010</t>
  </si>
  <si>
    <t>A ilustração deve manter a linguagem da ilustração i0901 – utilizar o mesmo ilustrador.
Ilustrar a lebre e a tartaruga na linha de saída como se fossem começar a corrida. (cenário: floresta) – pode ser a cena da i0901 no formato ajustado para caber aqui</t>
  </si>
  <si>
    <t>i0916_5p009p_m25_e010</t>
  </si>
  <si>
    <t>Ilustrar um labirinto, ocupando a página toda, com um robô posicionado na parte superior (ponto de partida) e uma casa na parte inferior (ponto de chegada). O caminho correto que o robô deve seguir até a casa deve ser formado exclusivamente por letras R. Ilustrar três caminhos – um só com a letra R e os outros dois com letras misturadas, entre elas: R, B, A, E, F, H, G, J, I, O, D e K. As letras devem estar todas em cxAA.</t>
  </si>
  <si>
    <t>i0917_5p009p_m25_e010</t>
  </si>
  <si>
    <t>Ilustrar (utilizando todo o restante de espaço da página) um parque de diversões. Nesse parque, esconder 5 letras S em caixa alta. Não compor doces com: sorvete, algodão doce nem pipoca. Ilustrar 2 adultos e 4 crianças. Variar as etnias (adultos: um homem negro e uma mulher parda, crianças: menina negra com cabelo crespo solto, menina ruiva, menino pardo em cadeira de rodas e menino branco com colar de girassóis.</t>
  </si>
  <si>
    <t>r:23 f:26/05</t>
  </si>
  <si>
    <t>i0926_5p009p_m25_e010</t>
  </si>
  <si>
    <t>Ilustrar, ocupando todo o restante da página um tanque de areia com peixes de papel, como se fosse a brincadeira da pescaria na festa junina. Nos peixes deve estar bem visível uma letra em caixa alta – 4 desses peixes devem apresentar a letra T e os demais podem ser as letras: F, I, L, H, P, E e U. Deixar os peixes bem espaçados, longe um do outro, para a criança circular os corretos.</t>
  </si>
  <si>
    <t>i0927_5p009p_m25_e010</t>
  </si>
  <si>
    <t xml:space="preserve">Ilustrar um desenho escondido – esse desenho deve ser de um tatu – que ocupe todo o espaço destinado na página. Os espaços que formarão a imagem do tatu devem apresentar a letra T, em caixa alta, porque a criança pintará só onde aparecer a letra T. Os demais espaços da ilustração podem apresentar outras letras (EXCETO O T) também em caixa alta. Os espaços devem ser grandes, com poucas linhas. </t>
  </si>
  <si>
    <t>sl</t>
  </si>
  <si>
    <t>i0933_5p009p_m25_e010</t>
  </si>
  <si>
    <t>Ilustrar um labirinto com 3 caminhos e que ocupe todo o restante da página. Na entrada deve ter um tamanduá filhote e na saída vários tamanduás simbolizando a família do tamanduá da entrada. O cenário pode ser um campo – floresta. Os caminhos do labirinto devem apresentar as seguintes imagens:
Caminho correto: queijo, rato, sapato, tesoura e vela. 
Caminho errado 1: quiabo, romã, sino, régua e vassoura.
Caminho errado 2: rinoceronte, vestido, queijo, sapo e telha. Exemplo de como pensar a estrutura desse labirinto (no lugar dos números entram as imagens em um tamanho que os alunos consigam identifica-las)</t>
  </si>
  <si>
    <t>i0589_5p009p_m25_e010</t>
  </si>
  <si>
    <t>Ilustrar um bilhete em uma folha branca, simples, e com letra de imprensa (bem cara de bilhete de escola) em CxAA.</t>
  </si>
  <si>
    <t>i0590_5p009p_m25_e010</t>
  </si>
  <si>
    <t>Ilustrar um bilhete, num papel colorido (um post-it amarelo claro, por exemplo) com letra que lembre a de uma criança de 5 anos:
MAMÃE,
FUI PASSEAR COM A VOVÓ. 
BEIJOS, ANA.</t>
  </si>
  <si>
    <t>i0591_5p009p_m25_e010</t>
  </si>
  <si>
    <t>Ilustrar um bilhete, num papel branco como se tivesse sido tirado de um bloco, com letra que lembre a de um homem. Escrever em cxAA.
FILHA, 
SUA AULA FOI CANCELADA.
ABRAÇOS, PAPAI.</t>
  </si>
  <si>
    <t>i0592_5p009p_m25_e010</t>
  </si>
  <si>
    <t>Ilustrar uma lista de compras em uma folha de caderno com linhas. A letra deve lembrar uma letra manuscrita de homem. Escrever em cxAA:
BANANA
LEITE
OVOS
AVEIA
SABONETE</t>
  </si>
  <si>
    <t>i0593_5p009p_m25_e010</t>
  </si>
  <si>
    <t>Ilustrar uma página de um livro (algo simples, talvez com alguma gracinha na tipografia ou uma ilustração bem simples com o texto). Escrever em letra de imprensa -  cxAA:
BATATINHA QUANDO NASCE,
ESPALHA RAMA PELO CHÃO.
BEBÊZINHO QUANDO DORME,
PÕE A MÃO NO CORAÇÃO.</t>
  </si>
  <si>
    <t>i0594_5p009p_m25_e010</t>
  </si>
  <si>
    <t xml:space="preserve">Ilustrar um bilhete, num papel rosa claro, com letra que lembre a de uma mulher. Escrever em cxAA.
QUERIDO, 
VOU CHEGAR MAIS TARDE HOJE.
SE PRECISAR, ME LIGUE.
LAURA
</t>
  </si>
  <si>
    <t>i0595_5p009p_m25_e010</t>
  </si>
  <si>
    <t xml:space="preserve">Ilustrar um convite de aniversário de criança. O tema pode ser genérico (com balões de festa). Escrever em cxAA:
VOCÊ ESTÁ CONVIDADO PARA A MINHA FESTA!
SERÁ NO DIA 7 DE DEZEMBRO, ÀS 17H.
RUA MARIA ARRUDA, NÚMERO 20
</t>
  </si>
  <si>
    <t>i0397_5p009p_m25_e010</t>
  </si>
  <si>
    <t>Foto gerada por IA de uma bola. Fazer recorte orgânico.</t>
  </si>
  <si>
    <t>i0398_5p009p_m25_e010</t>
  </si>
  <si>
    <t>EDICAO_ARTE</t>
  </si>
  <si>
    <t>foto gerada por IA de um dado. Fazer ajustes conforme indicado.</t>
  </si>
  <si>
    <t>SIGLA ARTE</t>
  </si>
  <si>
    <t>CRÉDITO A SER PUBLICADO</t>
  </si>
  <si>
    <t>Acervo da editora</t>
  </si>
  <si>
    <t>xx</t>
  </si>
  <si>
    <t>Sigla ZZ (ver documento de ils. técnicas)</t>
  </si>
  <si>
    <t>zz</t>
  </si>
  <si>
    <t>Ver documento de ils. Técnicas</t>
  </si>
  <si>
    <t>ILUSTRAÇOES DE PROVAS OFICIAIS (somente se não houver crédito)</t>
  </si>
  <si>
    <t>yv</t>
  </si>
  <si>
    <t>Confirmar com Iconografia a cada projeto</t>
  </si>
  <si>
    <t>ILUSTRAÇÕES DE PLACAS DE TRÂNSITO</t>
  </si>
  <si>
    <t>yy</t>
  </si>
  <si>
    <t>ILUSTRAÇÕES DE BANDEIRAS DE PAÍS</t>
  </si>
  <si>
    <t>yp</t>
  </si>
  <si>
    <t>ILUSTRAÇÕES DE BANDEIRAS DE ESTADO</t>
  </si>
  <si>
    <t>ye</t>
  </si>
  <si>
    <t>ILUSTRAÇÕES GERADAS POR PROGRAMAS C/ IA</t>
  </si>
  <si>
    <t>a</t>
  </si>
  <si>
    <t>3 Pixel Studio</t>
  </si>
  <si>
    <t>px</t>
  </si>
  <si>
    <t>Robson Olivieri</t>
  </si>
  <si>
    <t>A7 Estudio</t>
  </si>
  <si>
    <t>ao</t>
  </si>
  <si>
    <t>Jorge Ribeiro</t>
  </si>
  <si>
    <t xml:space="preserve">Adilson Farias </t>
  </si>
  <si>
    <t>af</t>
  </si>
  <si>
    <t>Adilson Farias</t>
  </si>
  <si>
    <t xml:space="preserve">Adilson Secco </t>
  </si>
  <si>
    <t>ac</t>
  </si>
  <si>
    <t>Adilson Secco</t>
  </si>
  <si>
    <t>Adriano Cesar Moreno Pátaro</t>
  </si>
  <si>
    <t>ad</t>
  </si>
  <si>
    <t>Adriano Pátaro</t>
  </si>
  <si>
    <t>Adriel Contieri</t>
  </si>
  <si>
    <t>av</t>
  </si>
  <si>
    <t>Águeda Horn</t>
  </si>
  <si>
    <t>ah</t>
  </si>
  <si>
    <t>Alessandra Tozi</t>
  </si>
  <si>
    <t>az</t>
  </si>
  <si>
    <t>Alexandre Affonso</t>
  </si>
  <si>
    <t>ax</t>
  </si>
  <si>
    <t>Alexandre de Lima Barvik</t>
  </si>
  <si>
    <t>ab</t>
  </si>
  <si>
    <t>Alexandre de Souza</t>
  </si>
  <si>
    <t>xe</t>
  </si>
  <si>
    <t>Alexandre Koyama</t>
  </si>
  <si>
    <t>ak</t>
  </si>
  <si>
    <t>Alexandre Rampazo</t>
  </si>
  <si>
    <t>am</t>
  </si>
  <si>
    <t>Amanda Neves</t>
  </si>
  <si>
    <t>nv</t>
  </si>
  <si>
    <t>Ana Elisa Carneiro</t>
  </si>
  <si>
    <t>ae</t>
  </si>
  <si>
    <t>Ana Laura Alexius</t>
  </si>
  <si>
    <t>au</t>
  </si>
  <si>
    <t>Ana Alexius</t>
  </si>
  <si>
    <t>Ana Kozuki</t>
  </si>
  <si>
    <t>zk</t>
  </si>
  <si>
    <t>Andressa Meissner</t>
  </si>
  <si>
    <t>aq</t>
  </si>
  <si>
    <t>André Aguiar</t>
  </si>
  <si>
    <t>aa</t>
  </si>
  <si>
    <t>André Leandro Silva</t>
  </si>
  <si>
    <t>an</t>
  </si>
  <si>
    <t>André L. Silva</t>
  </si>
  <si>
    <t>André Rodrigues</t>
  </si>
  <si>
    <t>ag</t>
  </si>
  <si>
    <t xml:space="preserve">Angelo Shuman </t>
  </si>
  <si>
    <t>as</t>
  </si>
  <si>
    <t>Angelo Shuman</t>
  </si>
  <si>
    <t>Anna Anjos</t>
  </si>
  <si>
    <t>nn</t>
  </si>
  <si>
    <t>Anna Simonin</t>
  </si>
  <si>
    <t>ai</t>
  </si>
  <si>
    <t>Ariel Fajtlowicz</t>
  </si>
  <si>
    <t>aj</t>
  </si>
  <si>
    <t>Art Capri - Gustavo Machado</t>
  </si>
  <si>
    <t>gm</t>
  </si>
  <si>
    <t>Gustavo Machado</t>
  </si>
  <si>
    <t>Arthur Moreno Milan Parreira</t>
  </si>
  <si>
    <t>at</t>
  </si>
  <si>
    <t>Arthur M. M. Parreira</t>
  </si>
  <si>
    <t>Arthur Rosseto</t>
  </si>
  <si>
    <t>ar</t>
  </si>
  <si>
    <t>Bárbara Lô Sarzi</t>
  </si>
  <si>
    <t>ba</t>
  </si>
  <si>
    <t>Bárbara Sarzi</t>
  </si>
  <si>
    <t>Beatriz Carvalho</t>
  </si>
  <si>
    <t>bt</t>
  </si>
  <si>
    <t>Beatriz Mayumi</t>
  </si>
  <si>
    <t>bm</t>
  </si>
  <si>
    <t>Belli Studio Design</t>
  </si>
  <si>
    <t>bl</t>
  </si>
  <si>
    <t>Bernardo França</t>
  </si>
  <si>
    <t>be</t>
  </si>
  <si>
    <t>Bianca Nazari</t>
  </si>
  <si>
    <t>bi</t>
  </si>
  <si>
    <t>Brenda Bossato</t>
  </si>
  <si>
    <t>bd</t>
  </si>
  <si>
    <t>Brenda Goes</t>
  </si>
  <si>
    <t>bg</t>
  </si>
  <si>
    <t>Bruna Borges Campos</t>
  </si>
  <si>
    <t>bp</t>
  </si>
  <si>
    <t>Brunna Mancuso</t>
  </si>
  <si>
    <t>bs</t>
  </si>
  <si>
    <t>Bruna Menezes</t>
  </si>
  <si>
    <t>bz</t>
  </si>
  <si>
    <t>Bruno Badain</t>
  </si>
  <si>
    <t>bb</t>
  </si>
  <si>
    <t>Bruno H. S. Cerkuenik</t>
  </si>
  <si>
    <t>bc</t>
  </si>
  <si>
    <t>Bruno Cerkuenik</t>
  </si>
  <si>
    <t>Bruno Nunes Coelho</t>
  </si>
  <si>
    <t>bn</t>
  </si>
  <si>
    <t>Bruno Nunes</t>
  </si>
  <si>
    <t>Bruno Oliveira Sampaio</t>
  </si>
  <si>
    <t>br</t>
  </si>
  <si>
    <t>Bruno Sampaio</t>
  </si>
  <si>
    <t>Bruno Rosal de Vasconcelos</t>
  </si>
  <si>
    <t>bu</t>
  </si>
  <si>
    <t>Caio Hideki Takaso Tanaka</t>
  </si>
  <si>
    <t>ct</t>
  </si>
  <si>
    <t>Caio Tanaka</t>
  </si>
  <si>
    <t>Camila Cristiane Pereira dos Santos</t>
  </si>
  <si>
    <t>cd</t>
  </si>
  <si>
    <t>Camila Ferreira Carmona</t>
  </si>
  <si>
    <t>ca</t>
  </si>
  <si>
    <t>Camila Carmona</t>
  </si>
  <si>
    <t>Carlitos Pinheiro</t>
  </si>
  <si>
    <t>cq</t>
  </si>
  <si>
    <t>Carlito Pinheiro</t>
  </si>
  <si>
    <t>Carlos Alberto Borin Junior</t>
  </si>
  <si>
    <t>cj</t>
  </si>
  <si>
    <t>Carlos Borin</t>
  </si>
  <si>
    <t>Carlos Eduardo Nascimento</t>
  </si>
  <si>
    <t>cn</t>
  </si>
  <si>
    <t>Carmen Ferreira Martinez</t>
  </si>
  <si>
    <t>cc</t>
  </si>
  <si>
    <t>Carmen Martinez</t>
  </si>
  <si>
    <t>Carol Rempto</t>
  </si>
  <si>
    <t>cw</t>
  </si>
  <si>
    <t>Carol Sartori</t>
  </si>
  <si>
    <t>cx</t>
  </si>
  <si>
    <t>Carolina Coroa</t>
  </si>
  <si>
    <t>kk</t>
  </si>
  <si>
    <t>Caroline Romão Bezerra</t>
  </si>
  <si>
    <t>co</t>
  </si>
  <si>
    <t>Cartoon Pro</t>
  </si>
  <si>
    <t>cp</t>
  </si>
  <si>
    <t>Cássio Bittencourt</t>
  </si>
  <si>
    <t>cs</t>
  </si>
  <si>
    <t>Cássio Yoshiyaki Shibukawa</t>
  </si>
  <si>
    <t>cy</t>
  </si>
  <si>
    <t>Cátia Germani</t>
  </si>
  <si>
    <t>cm</t>
  </si>
  <si>
    <t>Cauê Zunchini</t>
  </si>
  <si>
    <t>ci</t>
  </si>
  <si>
    <t>Cecilia Andrade</t>
  </si>
  <si>
    <t>cl</t>
  </si>
  <si>
    <t xml:space="preserve">Chanceler </t>
  </si>
  <si>
    <t>ch</t>
  </si>
  <si>
    <t>Chris Borges</t>
  </si>
  <si>
    <t>cg</t>
  </si>
  <si>
    <t>Clarissa França</t>
  </si>
  <si>
    <t>cf</t>
  </si>
  <si>
    <t>Claudia Brito</t>
  </si>
  <si>
    <t>cb</t>
  </si>
  <si>
    <t>Claudia Souza</t>
  </si>
  <si>
    <t>cz</t>
  </si>
  <si>
    <t>Copa Studio</t>
  </si>
  <si>
    <t>ap</t>
  </si>
  <si>
    <t>Cria Ideias</t>
  </si>
  <si>
    <t>cr</t>
  </si>
  <si>
    <t>Cris Eich (Maria Cristina Pires de Carvalho)</t>
  </si>
  <si>
    <t>ce</t>
  </si>
  <si>
    <t>Cris Eich</t>
  </si>
  <si>
    <t>Cynthia Karina Sekiguchi</t>
  </si>
  <si>
    <t>ck</t>
  </si>
  <si>
    <t>Cynthia Sekiguchi</t>
  </si>
  <si>
    <t>Dani Mota</t>
  </si>
  <si>
    <t>dm</t>
  </si>
  <si>
    <t>Daniel Araujo</t>
  </si>
  <si>
    <t>da</t>
  </si>
  <si>
    <t>Daniel Carvalho</t>
  </si>
  <si>
    <t>dc</t>
  </si>
  <si>
    <t>Daniel Wu</t>
  </si>
  <si>
    <t>dw</t>
  </si>
  <si>
    <t>Daniel Zeppo</t>
  </si>
  <si>
    <t>dz</t>
  </si>
  <si>
    <t>Danielle Pioli</t>
  </si>
  <si>
    <t>dp</t>
  </si>
  <si>
    <t>Danillo Souza</t>
  </si>
  <si>
    <t>dl</t>
  </si>
  <si>
    <t>Danilo Santos - Red Dragon</t>
  </si>
  <si>
    <t>dd</t>
  </si>
  <si>
    <t>Danilo Santos</t>
  </si>
  <si>
    <t>Davi Augusto</t>
  </si>
  <si>
    <t>do</t>
  </si>
  <si>
    <t>David Renó</t>
  </si>
  <si>
    <t>dv</t>
  </si>
  <si>
    <t>Davi Renó</t>
  </si>
  <si>
    <t>Dayane A. Barbieri Ferreira</t>
  </si>
  <si>
    <t>db</t>
  </si>
  <si>
    <t>Dayane Barbieri</t>
  </si>
  <si>
    <t>Débora Ferreira</t>
  </si>
  <si>
    <t>df</t>
  </si>
  <si>
    <t>Débora Kamogawa</t>
  </si>
  <si>
    <t>dk</t>
  </si>
  <si>
    <t>Desenhorama Estúdio</t>
  </si>
  <si>
    <t>ds</t>
  </si>
  <si>
    <t>Deivy Lima Costa</t>
  </si>
  <si>
    <t>Dogzilla Studio - Walkir Fernandes</t>
  </si>
  <si>
    <t>dg</t>
  </si>
  <si>
    <t>Walkir Fernandes</t>
  </si>
  <si>
    <t>Dois de nós (Kime Rodrigues)</t>
  </si>
  <si>
    <t>dn</t>
  </si>
  <si>
    <t>Guilherme Rodrigues</t>
  </si>
  <si>
    <t>Eber Evangelista</t>
  </si>
  <si>
    <t>ee</t>
  </si>
  <si>
    <t>Edde Wagner Aguiar</t>
  </si>
  <si>
    <t>ew</t>
  </si>
  <si>
    <t>Edde Aguiar</t>
  </si>
  <si>
    <t>Edson Bellusci Cavalcante</t>
  </si>
  <si>
    <t>ed</t>
  </si>
  <si>
    <t>Edson Bellusci</t>
  </si>
  <si>
    <t>Edson Farias</t>
  </si>
  <si>
    <t>ef</t>
  </si>
  <si>
    <t>Eduardo A. Rosa Neto</t>
  </si>
  <si>
    <t>du</t>
  </si>
  <si>
    <t>Eduardo Rosa</t>
  </si>
  <si>
    <t>Eduardo Borges</t>
  </si>
  <si>
    <t>eb</t>
  </si>
  <si>
    <t>Eduardo Carriça dos Santos</t>
  </si>
  <si>
    <t>es</t>
  </si>
  <si>
    <t>Eduardo Carriça</t>
  </si>
  <si>
    <t>Ellen Beatriz Jacob</t>
  </si>
  <si>
    <t>ej</t>
  </si>
  <si>
    <t>Ellen Jacob</t>
  </si>
  <si>
    <t>Enágio Coelho</t>
  </si>
  <si>
    <t>en</t>
  </si>
  <si>
    <t>Erica Maria Rocha Santos (Erica Maradona)</t>
  </si>
  <si>
    <t>er</t>
  </si>
  <si>
    <t>Erica Maradona</t>
  </si>
  <si>
    <t>Erika Lourenço</t>
  </si>
  <si>
    <t>ek</t>
  </si>
  <si>
    <t>Estúdio Amplarena</t>
  </si>
  <si>
    <t>al</t>
  </si>
  <si>
    <t>Estúdio Guerra</t>
  </si>
  <si>
    <t>eg</t>
  </si>
  <si>
    <t>Estúdio Ilustranet</t>
  </si>
  <si>
    <t>it</t>
  </si>
  <si>
    <t>Rubens Tavares Lima Filho</t>
  </si>
  <si>
    <t>Estúdio Kiwi</t>
  </si>
  <si>
    <t>kw</t>
  </si>
  <si>
    <t>Thiago Lopes</t>
  </si>
  <si>
    <t>Estúdio Lab307</t>
  </si>
  <si>
    <t>lb</t>
  </si>
  <si>
    <t>Erik Malagrino</t>
  </si>
  <si>
    <t>Estúdio Meraki</t>
  </si>
  <si>
    <t>mk</t>
  </si>
  <si>
    <t>Natanaele Bilmaia</t>
  </si>
  <si>
    <t>Estúdio Mil</t>
  </si>
  <si>
    <t>em</t>
  </si>
  <si>
    <t>Estúdio Orangotango</t>
  </si>
  <si>
    <t>eo</t>
  </si>
  <si>
    <t>Estúdio Ornitorrinco</t>
  </si>
  <si>
    <t>ec</t>
  </si>
  <si>
    <t>Márcio Guerra</t>
  </si>
  <si>
    <t>Estúdio Um mais Dois</t>
  </si>
  <si>
    <t>ud</t>
  </si>
  <si>
    <t>Ezequiel Silva (Monge Lua)</t>
  </si>
  <si>
    <t>ez</t>
  </si>
  <si>
    <t>Ezequiel Silva</t>
  </si>
  <si>
    <t>Ewerton Xavier</t>
  </si>
  <si>
    <t>ex</t>
  </si>
  <si>
    <t>Fabio Eugenio</t>
  </si>
  <si>
    <t>fe</t>
  </si>
  <si>
    <t>Fabíola Petri</t>
  </si>
  <si>
    <t>fp</t>
  </si>
  <si>
    <t>Felipe Grigoli</t>
  </si>
  <si>
    <t>fg</t>
  </si>
  <si>
    <t>Fernanda Monteiro</t>
  </si>
  <si>
    <t>fm</t>
  </si>
  <si>
    <t>Fernanda Pardini Biagio</t>
  </si>
  <si>
    <t>fb</t>
  </si>
  <si>
    <t>Flávia Nunes</t>
  </si>
  <si>
    <t>fn</t>
  </si>
  <si>
    <t>Flavio Roberto Pereira</t>
  </si>
  <si>
    <t>fl</t>
  </si>
  <si>
    <t>Flavio Pereira</t>
  </si>
  <si>
    <t>Francine Matsumoto</t>
  </si>
  <si>
    <t>fr</t>
  </si>
  <si>
    <t>Fran Matsumoto</t>
  </si>
  <si>
    <t>Gabi Vasko</t>
  </si>
  <si>
    <t>gv</t>
  </si>
  <si>
    <t>Gabriela Abreu de Souza</t>
  </si>
  <si>
    <t>gs</t>
  </si>
  <si>
    <t>Gabriela Abreu</t>
  </si>
  <si>
    <t>Gabriela Heberle</t>
  </si>
  <si>
    <t>gb</t>
  </si>
  <si>
    <t>Gabriela Tozati</t>
  </si>
  <si>
    <t>gt</t>
  </si>
  <si>
    <t>Gabriella Imai</t>
  </si>
  <si>
    <t>gx</t>
  </si>
  <si>
    <t xml:space="preserve">Gilberto Audibert Alicio </t>
  </si>
  <si>
    <t>ga</t>
  </si>
  <si>
    <t>Gilberto Alicio</t>
  </si>
  <si>
    <t>Giovana Medeiros</t>
  </si>
  <si>
    <t>gi</t>
  </si>
  <si>
    <t>Girafa Listrada</t>
  </si>
  <si>
    <t>gl</t>
  </si>
  <si>
    <t>Bruna Assis Brasil</t>
  </si>
  <si>
    <t xml:space="preserve">Giully Leão </t>
  </si>
  <si>
    <t>gy</t>
  </si>
  <si>
    <t>Giully Leão</t>
  </si>
  <si>
    <t xml:space="preserve">Giz de Cera Studio </t>
  </si>
  <si>
    <t>gz</t>
  </si>
  <si>
    <t>Graphorama</t>
  </si>
  <si>
    <t>gh</t>
  </si>
  <si>
    <t>Graziela Andrade</t>
  </si>
  <si>
    <t>ge</t>
  </si>
  <si>
    <t>Guilherme Aranega - Estudio Rufus</t>
  </si>
  <si>
    <t>gn</t>
  </si>
  <si>
    <t>Guilherme Aranega</t>
  </si>
  <si>
    <t>Guilherme Casagrandi</t>
  </si>
  <si>
    <t>gg</t>
  </si>
  <si>
    <t>Guilherme Da Cas</t>
  </si>
  <si>
    <t>gc</t>
  </si>
  <si>
    <t>Gustavo Conti</t>
  </si>
  <si>
    <t>gu</t>
  </si>
  <si>
    <t>Gustavo Pedrosa</t>
  </si>
  <si>
    <t>gp</t>
  </si>
  <si>
    <t>Gustavo Ramos</t>
  </si>
  <si>
    <t>gr</t>
  </si>
  <si>
    <t>Heloísa Pintarelli - Somma</t>
  </si>
  <si>
    <t>he</t>
  </si>
  <si>
    <t>Henrique Dan Fuzitani</t>
  </si>
  <si>
    <t>hf</t>
  </si>
  <si>
    <t>Henrique Jorge</t>
  </si>
  <si>
    <t>hj</t>
  </si>
  <si>
    <t>Henrique Jorge G. M. Silva</t>
  </si>
  <si>
    <t>Hiro Kawahara</t>
  </si>
  <si>
    <t>hk</t>
  </si>
  <si>
    <t xml:space="preserve">Hiro Kawahara </t>
  </si>
  <si>
    <t>Hugo Araújo</t>
  </si>
  <si>
    <t>ha</t>
  </si>
  <si>
    <t>Iberá Júnior</t>
  </si>
  <si>
    <t>ij</t>
  </si>
  <si>
    <t>Ideário Lab - Renato Ventura</t>
  </si>
  <si>
    <t>id</t>
  </si>
  <si>
    <t xml:space="preserve">Reinaldo Rosa </t>
  </si>
  <si>
    <t>Ilustra Cartoon</t>
  </si>
  <si>
    <t>ic</t>
  </si>
  <si>
    <t>Imaginario Studio - Fabio Eiji</t>
  </si>
  <si>
    <t>ig</t>
  </si>
  <si>
    <t>Fabio Eiji Sirasuma</t>
  </si>
  <si>
    <t>Ingrid Skare</t>
  </si>
  <si>
    <t>ik</t>
  </si>
  <si>
    <t>Ingridhi Fratoni Borges</t>
  </si>
  <si>
    <t>ib</t>
  </si>
  <si>
    <t>Ingridhi Borges</t>
  </si>
  <si>
    <t>Inkdrop Estudio</t>
  </si>
  <si>
    <t>ie</t>
  </si>
  <si>
    <t>Irena Freitas</t>
  </si>
  <si>
    <t>if</t>
  </si>
  <si>
    <t>Isabela Santos Ferreira do Vale</t>
  </si>
  <si>
    <t>ss</t>
  </si>
  <si>
    <t>Isabela Santos</t>
  </si>
  <si>
    <t>Isadora Zeferino</t>
  </si>
  <si>
    <t>is</t>
  </si>
  <si>
    <t>Ísis Duarte</t>
  </si>
  <si>
    <t>iu</t>
  </si>
  <si>
    <t>Ivy Nunes</t>
  </si>
  <si>
    <t>iv</t>
  </si>
  <si>
    <t>Izaac Brito</t>
  </si>
  <si>
    <t>zb</t>
  </si>
  <si>
    <t>Jacqueline Amadio</t>
  </si>
  <si>
    <t>jc</t>
  </si>
  <si>
    <t>Jacquie Lima</t>
  </si>
  <si>
    <t>jl</t>
  </si>
  <si>
    <t>Janaina de Oliveira Castro</t>
  </si>
  <si>
    <t>ja</t>
  </si>
  <si>
    <t>Janaina Oliveira</t>
  </si>
  <si>
    <t>Janyne Azevedo</t>
  </si>
  <si>
    <t>jz</t>
  </si>
  <si>
    <t>Jessica Machado</t>
  </si>
  <si>
    <t>jg</t>
  </si>
  <si>
    <t>Jéssica Sinnema</t>
  </si>
  <si>
    <t>jt</t>
  </si>
  <si>
    <t>Jéssyca Gomes</t>
  </si>
  <si>
    <t>je</t>
  </si>
  <si>
    <t>Jéssyka Gomes</t>
  </si>
  <si>
    <t>João Ricardo Sampaio</t>
  </si>
  <si>
    <t>js</t>
  </si>
  <si>
    <t>João Sampaio</t>
  </si>
  <si>
    <t>João Vitor Vanzela</t>
  </si>
  <si>
    <t>jv</t>
  </si>
  <si>
    <t>Johannes de Paulo</t>
  </si>
  <si>
    <t>jp</t>
  </si>
  <si>
    <t>Jorge Henrique Brazilio dos Santos</t>
  </si>
  <si>
    <t>jh</t>
  </si>
  <si>
    <t>Jorge Brazílio</t>
  </si>
  <si>
    <t>Jorge Zaiba</t>
  </si>
  <si>
    <t>za</t>
  </si>
  <si>
    <t>José Vitor Elorza Costa</t>
  </si>
  <si>
    <t>zv</t>
  </si>
  <si>
    <t>José Vitor Elorza</t>
  </si>
  <si>
    <t>Jotabe Ilustração Infantil</t>
  </si>
  <si>
    <t>jb</t>
  </si>
  <si>
    <t>Julia Mello</t>
  </si>
  <si>
    <t>jm</t>
  </si>
  <si>
    <t>Julia Ponnick</t>
  </si>
  <si>
    <t>jn</t>
  </si>
  <si>
    <t>Juliana Del Anhol Azevedo</t>
  </si>
  <si>
    <t>jd</t>
  </si>
  <si>
    <t>Juliana Oliveira</t>
  </si>
  <si>
    <t>ju</t>
  </si>
  <si>
    <t>Juliana Oliveria</t>
  </si>
  <si>
    <t>Júnior Caramez (Antonio Carlos Caramez Jr.)</t>
  </si>
  <si>
    <t>jr</t>
  </si>
  <si>
    <t>Antonio Carlos Caramez Júnior</t>
  </si>
  <si>
    <t>Karina Oliveira</t>
  </si>
  <si>
    <t>ko</t>
  </si>
  <si>
    <t>Karina Tamaki Kobayashi</t>
  </si>
  <si>
    <t>kr</t>
  </si>
  <si>
    <t>Karyne Elise Teixeira</t>
  </si>
  <si>
    <t>ke</t>
  </si>
  <si>
    <t>Katharine Frota</t>
  </si>
  <si>
    <t>kf</t>
  </si>
  <si>
    <t>Keithy Kassiely Mostachi</t>
  </si>
  <si>
    <t>km</t>
  </si>
  <si>
    <t>Keithy Mostachi</t>
  </si>
  <si>
    <t>Kendra Rubio da Silva</t>
  </si>
  <si>
    <t>ks</t>
  </si>
  <si>
    <t>Kendra Rubio</t>
  </si>
  <si>
    <t>Kézia Trentini</t>
  </si>
  <si>
    <t>kt</t>
  </si>
  <si>
    <t>Kirlley Velôso</t>
  </si>
  <si>
    <t>kv</t>
  </si>
  <si>
    <t>Klayton Luz</t>
  </si>
  <si>
    <t>kl</t>
  </si>
  <si>
    <t>Kleber Maurício Coelho - GIZ DE CERA</t>
  </si>
  <si>
    <t>kb</t>
  </si>
  <si>
    <t>Kleber Maurício Coelho</t>
  </si>
  <si>
    <t>Laís Bicudo</t>
  </si>
  <si>
    <t>lc</t>
  </si>
  <si>
    <t xml:space="preserve">Laís Cristina Caldonazzo Garbelini </t>
  </si>
  <si>
    <t>lg</t>
  </si>
  <si>
    <t>Laís Garbelini</t>
  </si>
  <si>
    <t>Leandro Júnior Pimenta</t>
  </si>
  <si>
    <t>lt</t>
  </si>
  <si>
    <t>Leandro Pimenta</t>
  </si>
  <si>
    <t>Leandro Lassmar</t>
  </si>
  <si>
    <t xml:space="preserve">ls </t>
  </si>
  <si>
    <t xml:space="preserve">Leandro Lassmar </t>
  </si>
  <si>
    <t>Leo Gibran</t>
  </si>
  <si>
    <t>le</t>
  </si>
  <si>
    <t>Leo Natsume</t>
  </si>
  <si>
    <t>ln</t>
  </si>
  <si>
    <t>Leonardo de Moura Amaral - GIZ DE CERA</t>
  </si>
  <si>
    <t>la</t>
  </si>
  <si>
    <t>Leonardo de Moura Amaral</t>
  </si>
  <si>
    <t>Leonardo Mari</t>
  </si>
  <si>
    <t>lm</t>
  </si>
  <si>
    <t>Letícia Ribeiro</t>
  </si>
  <si>
    <t>lr</t>
  </si>
  <si>
    <t>Liberi</t>
  </si>
  <si>
    <t>l</t>
  </si>
  <si>
    <t>Lídia Farias</t>
  </si>
  <si>
    <t>ld</t>
  </si>
  <si>
    <t>Lislley Velani</t>
  </si>
  <si>
    <t>ly</t>
  </si>
  <si>
    <t>Lislley Gomes Feige</t>
  </si>
  <si>
    <t>Loquaz Design</t>
  </si>
  <si>
    <t>lq</t>
  </si>
  <si>
    <t>Lucas Kenzo Hamazaki</t>
  </si>
  <si>
    <t>kz</t>
  </si>
  <si>
    <t>Kenzo Hamazaki</t>
  </si>
  <si>
    <t>Lucas Palma</t>
  </si>
  <si>
    <t>lp</t>
  </si>
  <si>
    <t xml:space="preserve">Luciane Mori </t>
  </si>
  <si>
    <t>lu</t>
  </si>
  <si>
    <t>Luciane Mori</t>
  </si>
  <si>
    <t>Luciano Veronezi</t>
  </si>
  <si>
    <t>lv</t>
  </si>
  <si>
    <t>Luiz Fernando Fogaça</t>
  </si>
  <si>
    <t>lf</t>
  </si>
  <si>
    <t>Luiz F. Fogaça</t>
  </si>
  <si>
    <t>Luiz Lentini</t>
  </si>
  <si>
    <t>ll</t>
  </si>
  <si>
    <t>Luiz Perez Lentini</t>
  </si>
  <si>
    <t>Luiz Roberto Lúcio Correa</t>
  </si>
  <si>
    <t>bo</t>
  </si>
  <si>
    <t>Luiz Roberto</t>
  </si>
  <si>
    <t>Malu Menezes</t>
  </si>
  <si>
    <t>mx</t>
  </si>
  <si>
    <t>Marcela Pialarissi</t>
  </si>
  <si>
    <t>ma</t>
  </si>
  <si>
    <t>Marcello Araújo</t>
  </si>
  <si>
    <t>mj</t>
  </si>
  <si>
    <t>Marcello Araujo</t>
  </si>
  <si>
    <t>Marcelo Castro</t>
  </si>
  <si>
    <t>mc</t>
  </si>
  <si>
    <t>Marciano Palácio</t>
  </si>
  <si>
    <t>mz</t>
  </si>
  <si>
    <t>Marcos Farrell</t>
  </si>
  <si>
    <t>mr</t>
  </si>
  <si>
    <t>Marcos Machado</t>
  </si>
  <si>
    <t>mm</t>
  </si>
  <si>
    <t>Marcos Mello</t>
  </si>
  <si>
    <t>me</t>
  </si>
  <si>
    <t>Marco Mello</t>
  </si>
  <si>
    <t>Maria Gabriela Gama</t>
  </si>
  <si>
    <t>md</t>
  </si>
  <si>
    <t>Mariana Coan</t>
  </si>
  <si>
    <t>mq</t>
  </si>
  <si>
    <t>Minna Miná</t>
  </si>
  <si>
    <t>Mariana Valente</t>
  </si>
  <si>
    <t>mn</t>
  </si>
  <si>
    <t>Marília Bruno</t>
  </si>
  <si>
    <t>mb</t>
  </si>
  <si>
    <t xml:space="preserve">Marília Bruno </t>
  </si>
  <si>
    <t>Marilia Pirilo</t>
  </si>
  <si>
    <t>mp</t>
  </si>
  <si>
    <t>Mario Henrique Boaventura Nakano</t>
  </si>
  <si>
    <t>mh</t>
  </si>
  <si>
    <t>Mario Henrique</t>
  </si>
  <si>
    <t>Marlowa</t>
  </si>
  <si>
    <t>mw</t>
  </si>
  <si>
    <t>Maryane Vioto Silva</t>
  </si>
  <si>
    <t>mv</t>
  </si>
  <si>
    <t>Maurenilson Freire</t>
  </si>
  <si>
    <t>mu</t>
  </si>
  <si>
    <t>Maurício Loyola</t>
  </si>
  <si>
    <t>ml</t>
  </si>
  <si>
    <t>Maurício Planel</t>
  </si>
  <si>
    <t>mo</t>
  </si>
  <si>
    <t>Mauricio Planel</t>
  </si>
  <si>
    <t>Mauro Souza</t>
  </si>
  <si>
    <t>ms</t>
  </si>
  <si>
    <t>Melissa Garabeli</t>
  </si>
  <si>
    <t>mg</t>
  </si>
  <si>
    <t>Michael Altomani</t>
  </si>
  <si>
    <t>Michel Altomani</t>
  </si>
  <si>
    <t>Michel Ramalho</t>
  </si>
  <si>
    <t>mi</t>
  </si>
  <si>
    <t>Mosaico Fluído</t>
  </si>
  <si>
    <t>mf</t>
  </si>
  <si>
    <t>Motoca Design</t>
  </si>
  <si>
    <t>mt</t>
  </si>
  <si>
    <t>Murilo Moretti</t>
  </si>
  <si>
    <t>et</t>
  </si>
  <si>
    <t xml:space="preserve">Natanaele Lima Bilmaia </t>
  </si>
  <si>
    <t>nb</t>
  </si>
  <si>
    <t>Nathalia Ichioka</t>
  </si>
  <si>
    <t>ni</t>
  </si>
  <si>
    <t xml:space="preserve">Nelson Akira Ishikawa </t>
  </si>
  <si>
    <t>ne</t>
  </si>
  <si>
    <t xml:space="preserve">Nelson Ishikawa </t>
  </si>
  <si>
    <t>Nelson Cosentino</t>
  </si>
  <si>
    <t>nc</t>
  </si>
  <si>
    <t>Nicolas Furtado</t>
  </si>
  <si>
    <t>nf</t>
  </si>
  <si>
    <t>Nicole Santos</t>
  </si>
  <si>
    <t>ns</t>
  </si>
  <si>
    <t>Nik Neves</t>
  </si>
  <si>
    <t>nk</t>
  </si>
  <si>
    <t>Ohanna Schmitt Bolfe</t>
  </si>
  <si>
    <t>oh</t>
  </si>
  <si>
    <t>Ohanna Schmitt</t>
  </si>
  <si>
    <t>Patrícia Kelen Takahashi</t>
  </si>
  <si>
    <t>pk</t>
  </si>
  <si>
    <t>Patricia Paulozi de Menezes</t>
  </si>
  <si>
    <t>pp</t>
  </si>
  <si>
    <t>Patrícia Paulozi</t>
  </si>
  <si>
    <t>Patricia Pessoa</t>
  </si>
  <si>
    <t>pt</t>
  </si>
  <si>
    <t>Paula Diazzi Ferreira</t>
  </si>
  <si>
    <t>pa</t>
  </si>
  <si>
    <t>Paula Diazzi</t>
  </si>
  <si>
    <t>Paula Kranz</t>
  </si>
  <si>
    <t>pz</t>
  </si>
  <si>
    <t>Paula Radi</t>
  </si>
  <si>
    <t>pr</t>
  </si>
  <si>
    <t>Pedro Guilherme Pauletti Lorenzo</t>
  </si>
  <si>
    <t>pl</t>
  </si>
  <si>
    <t>Pedro Lorenzo</t>
  </si>
  <si>
    <t>Petra Mendes</t>
  </si>
  <si>
    <t>pm</t>
  </si>
  <si>
    <t>Poliana de Fátima Garcia</t>
  </si>
  <si>
    <t>po</t>
  </si>
  <si>
    <t>Poliana Garcia</t>
  </si>
  <si>
    <t>Poliana Fernandes dos Santos</t>
  </si>
  <si>
    <t>pf</t>
  </si>
  <si>
    <t>Pri Wi</t>
  </si>
  <si>
    <t>pw</t>
  </si>
  <si>
    <t>PriWi</t>
  </si>
  <si>
    <t xml:space="preserve">Priscilla Camacho </t>
  </si>
  <si>
    <t>ps</t>
  </si>
  <si>
    <t>Priscilla Camacho</t>
  </si>
  <si>
    <t>Quanta Studio (2014 em diante)</t>
  </si>
  <si>
    <t>qs</t>
  </si>
  <si>
    <t>Quanta Studio (até 2013)</t>
  </si>
  <si>
    <t>qt</t>
  </si>
  <si>
    <t>Rafael da Silva (ARTE)</t>
  </si>
  <si>
    <t>rd</t>
  </si>
  <si>
    <t>Rafael Silva</t>
  </si>
  <si>
    <t>Rafael da Silva Hatadani</t>
  </si>
  <si>
    <t>rh</t>
  </si>
  <si>
    <t>Rafael Hatadani</t>
  </si>
  <si>
    <t>Rafael Gallardo</t>
  </si>
  <si>
    <t>rf</t>
  </si>
  <si>
    <t>Rafael Lam</t>
  </si>
  <si>
    <t>rl</t>
  </si>
  <si>
    <t>Rafael Luís Gaion</t>
  </si>
  <si>
    <t>rn</t>
  </si>
  <si>
    <t>Rafael L. Gaion</t>
  </si>
  <si>
    <t>Rafael Luzio Rodrigues</t>
  </si>
  <si>
    <t>lz</t>
  </si>
  <si>
    <t xml:space="preserve">Rafael Luzio </t>
  </si>
  <si>
    <t>Rafael Martins - Somma</t>
  </si>
  <si>
    <t>Rafaela Harger</t>
  </si>
  <si>
    <t xml:space="preserve">rx </t>
  </si>
  <si>
    <t>Rafaela Hidalgo Pereira</t>
  </si>
  <si>
    <t>rp</t>
  </si>
  <si>
    <t>Rafaela H. Pereira</t>
  </si>
  <si>
    <t xml:space="preserve">Rafaela Panissa </t>
  </si>
  <si>
    <t>Rafaela Villela</t>
  </si>
  <si>
    <t>vi</t>
  </si>
  <si>
    <t>Raíssa Bulhões</t>
  </si>
  <si>
    <t>rs</t>
  </si>
  <si>
    <t>Raitan Ohi</t>
  </si>
  <si>
    <t>rt</t>
  </si>
  <si>
    <t>Raquel Silva</t>
  </si>
  <si>
    <t>rq</t>
  </si>
  <si>
    <t>Raquel Teixeira</t>
  </si>
  <si>
    <t>tx</t>
  </si>
  <si>
    <t>Raul Aguiar</t>
  </si>
  <si>
    <t>ra</t>
  </si>
  <si>
    <t>Ray Cardoso</t>
  </si>
  <si>
    <t>ay</t>
  </si>
  <si>
    <t>Rebecca Baniski</t>
  </si>
  <si>
    <t>bk</t>
  </si>
  <si>
    <t>Reinaldo Rosa - Ideario Lab</t>
  </si>
  <si>
    <t>il</t>
  </si>
  <si>
    <t>Reinaldo Rosa</t>
  </si>
  <si>
    <t>Renan de Oliveira Fonseca</t>
  </si>
  <si>
    <t>re</t>
  </si>
  <si>
    <t>Renan Fonseca</t>
  </si>
  <si>
    <t>Renan Nuche</t>
  </si>
  <si>
    <t>rz</t>
  </si>
  <si>
    <t>Renato Rodrigues</t>
  </si>
  <si>
    <t>xr</t>
  </si>
  <si>
    <t>Rivaldo Ferreira Barboza Filho</t>
  </si>
  <si>
    <t>rv</t>
  </si>
  <si>
    <t>Rivaldo Barboza</t>
  </si>
  <si>
    <t>Roberto Bigas</t>
  </si>
  <si>
    <t>rb</t>
  </si>
  <si>
    <t>Roberto Weigand</t>
  </si>
  <si>
    <t>rw</t>
  </si>
  <si>
    <t>Robson Araújo</t>
  </si>
  <si>
    <t>rj</t>
  </si>
  <si>
    <t>Rodrigo Arraya</t>
  </si>
  <si>
    <t>ry</t>
  </si>
  <si>
    <t>Rodrigo Cordeiro</t>
  </si>
  <si>
    <t>rk</t>
  </si>
  <si>
    <t>Rodrigo Gafa</t>
  </si>
  <si>
    <t>ro</t>
  </si>
  <si>
    <t>Roger Cartoon</t>
  </si>
  <si>
    <t>rg</t>
  </si>
  <si>
    <t>Rogério Casagrande da Rocha</t>
  </si>
  <si>
    <t>rr</t>
  </si>
  <si>
    <t>Rogério Casagrande</t>
  </si>
  <si>
    <t>Rogério Coelho</t>
  </si>
  <si>
    <t>rc</t>
  </si>
  <si>
    <t xml:space="preserve">Rogério Coelho </t>
  </si>
  <si>
    <t>Ronaldo Inácio De Lucena</t>
  </si>
  <si>
    <t>ri</t>
  </si>
  <si>
    <t>Ronaldo Lucena</t>
  </si>
  <si>
    <t>Rosana Urbes</t>
  </si>
  <si>
    <t>ru</t>
  </si>
  <si>
    <t>RS2 Comunicação</t>
  </si>
  <si>
    <t>sm</t>
  </si>
  <si>
    <t>Sabrina Eras</t>
  </si>
  <si>
    <t>se</t>
  </si>
  <si>
    <t>Samanta Flôor</t>
  </si>
  <si>
    <t>sf</t>
  </si>
  <si>
    <t>Samanda Flôor</t>
  </si>
  <si>
    <t xml:space="preserve">Samuel Silva Nascimento </t>
  </si>
  <si>
    <t>sa</t>
  </si>
  <si>
    <t>Samuel Silva</t>
  </si>
  <si>
    <t>Saulo Nunes Marques</t>
  </si>
  <si>
    <t>sq</t>
  </si>
  <si>
    <t>Saulo Nunes</t>
  </si>
  <si>
    <t>Sergio Luiz de Lima Filho</t>
  </si>
  <si>
    <t>Sergio Lima</t>
  </si>
  <si>
    <t>Sidney Siqueira Meireles</t>
  </si>
  <si>
    <t>sd</t>
  </si>
  <si>
    <t>Silvia Otofuji</t>
  </si>
  <si>
    <t>so</t>
  </si>
  <si>
    <t>Simone Bellusci Cavalcante</t>
  </si>
  <si>
    <t>si</t>
  </si>
  <si>
    <t xml:space="preserve">Simone </t>
  </si>
  <si>
    <t>Sonia Horn</t>
  </si>
  <si>
    <t>sh</t>
  </si>
  <si>
    <t>Sonia Vaz</t>
  </si>
  <si>
    <t>VAZ</t>
  </si>
  <si>
    <t xml:space="preserve">Sputinik Studio </t>
  </si>
  <si>
    <t>sk</t>
  </si>
  <si>
    <t>Sputinik Studio</t>
  </si>
  <si>
    <t>Studio Caparroz (Selma)</t>
  </si>
  <si>
    <t>sc</t>
  </si>
  <si>
    <t xml:space="preserve">Selma Caparroz </t>
  </si>
  <si>
    <t>Studio Maya</t>
  </si>
  <si>
    <t>my</t>
  </si>
  <si>
    <t>Studio OPZ</t>
  </si>
  <si>
    <t>oz</t>
  </si>
  <si>
    <t>Anderson Gabriel Capeloto Macohin</t>
  </si>
  <si>
    <t>Studio Pack</t>
  </si>
  <si>
    <t>sp</t>
  </si>
  <si>
    <t>Suppa</t>
  </si>
  <si>
    <t>su</t>
  </si>
  <si>
    <t>Vivian Suppa</t>
  </si>
  <si>
    <t>Sylvia Muniz</t>
  </si>
  <si>
    <t>sy</t>
  </si>
  <si>
    <t>Sylvia S. Nakamura</t>
  </si>
  <si>
    <t>sn</t>
  </si>
  <si>
    <t>Sylvia Nakamura</t>
  </si>
  <si>
    <t>Tamires Rose Azevedo</t>
  </si>
  <si>
    <t>tr</t>
  </si>
  <si>
    <t>Tamires Azevedo</t>
  </si>
  <si>
    <t>Tânia Machado</t>
  </si>
  <si>
    <t>tm</t>
  </si>
  <si>
    <t xml:space="preserve">Tatiana Paiva </t>
  </si>
  <si>
    <t>tp</t>
  </si>
  <si>
    <t>Tatiana Paiva</t>
  </si>
  <si>
    <t>Tatiane Santos Galheiro</t>
  </si>
  <si>
    <t>Thamires Paredes - Universo Paralelo</t>
  </si>
  <si>
    <t>th</t>
  </si>
  <si>
    <t>Thamires Paredes</t>
  </si>
  <si>
    <t>Thiago Araujo Lima (Thiago Limon)</t>
  </si>
  <si>
    <t>tl</t>
  </si>
  <si>
    <t>Thiago Lima</t>
  </si>
  <si>
    <t>Thiago Barbosa De Almeida</t>
  </si>
  <si>
    <t>ta</t>
  </si>
  <si>
    <t>Thiago Almeida</t>
  </si>
  <si>
    <t xml:space="preserve">Thiago Moura Januário </t>
  </si>
  <si>
    <t>tj</t>
  </si>
  <si>
    <t>Thiago Moura Januário</t>
  </si>
  <si>
    <t>Thiago Neumann</t>
  </si>
  <si>
    <t>tn</t>
  </si>
  <si>
    <t>Thiago Soares</t>
  </si>
  <si>
    <t>tg</t>
  </si>
  <si>
    <t xml:space="preserve">TypoStudio </t>
  </si>
  <si>
    <t>ts</t>
  </si>
  <si>
    <t>Veridiana Pegoraro Camelo</t>
  </si>
  <si>
    <t>vo</t>
  </si>
  <si>
    <t xml:space="preserve">Veridiana Scarpelli - IMAGERIA ESTUDIO </t>
  </si>
  <si>
    <t>vs</t>
  </si>
  <si>
    <t>Viridiana Scarpelli</t>
  </si>
  <si>
    <t>Victor Ferreira Lemos</t>
  </si>
  <si>
    <t>vf</t>
  </si>
  <si>
    <t>Victor Lemos</t>
  </si>
  <si>
    <t>Vinícius Soares Costa</t>
  </si>
  <si>
    <t>Vitor Locatelli</t>
  </si>
  <si>
    <t>vl</t>
  </si>
  <si>
    <t>Volpe Studio</t>
  </si>
  <si>
    <t>vp</t>
  </si>
  <si>
    <t xml:space="preserve">Waldomiro Neto </t>
  </si>
  <si>
    <t>wn</t>
  </si>
  <si>
    <t>Waldomiro Neto</t>
  </si>
  <si>
    <t xml:space="preserve">Wandson Rocha </t>
  </si>
  <si>
    <t>wr</t>
  </si>
  <si>
    <t>Wandson Rocha</t>
  </si>
  <si>
    <t>Wanick Correa Flores</t>
  </si>
  <si>
    <t>wk</t>
  </si>
  <si>
    <t>Wanick Correa</t>
  </si>
  <si>
    <t>Werllen Holanda</t>
  </si>
  <si>
    <t>wh</t>
  </si>
  <si>
    <t>EDICAO_EQUIPE</t>
  </si>
  <si>
    <t>CAPA</t>
  </si>
  <si>
    <t>AJUSTE</t>
  </si>
  <si>
    <t>SCRIBA</t>
  </si>
  <si>
    <t>PREVISAO</t>
  </si>
  <si>
    <t>Sintonia E010 - Gente Contente!</t>
  </si>
  <si>
    <t>Bons Amigos Pré Escola I - Vol 1 _PNLD2022</t>
  </si>
  <si>
    <t>MAT</t>
  </si>
  <si>
    <t>APRESENT.</t>
  </si>
  <si>
    <t>FTD</t>
  </si>
  <si>
    <t>Bons Amigos Pré Escola II - Vol 2_PNLD2022</t>
  </si>
  <si>
    <t>PORT</t>
  </si>
  <si>
    <t>ILUSTRANDO</t>
  </si>
  <si>
    <t>GRÁFICO</t>
  </si>
  <si>
    <t>SUMÁRIO</t>
  </si>
  <si>
    <t>SCRIBAPLAY</t>
  </si>
  <si>
    <t>FINALIZADO RAFE</t>
  </si>
  <si>
    <t>Bons Amigos Creche - Vol 1 PNLD2022</t>
  </si>
  <si>
    <t>GRAF TEC</t>
  </si>
  <si>
    <t>ABERTURA</t>
  </si>
  <si>
    <t>Bons Amigos Creche - Vol 2 PNLD2022</t>
  </si>
  <si>
    <t>AJUSTANDO</t>
  </si>
  <si>
    <t>MAPA</t>
  </si>
  <si>
    <t>PAGO RAFE</t>
  </si>
  <si>
    <t>Bons Amigos Pré-Escola - Guia Educ Infantil - PNLD2022</t>
  </si>
  <si>
    <t>FINALIZANDO</t>
  </si>
  <si>
    <t>LINHA TEMPO</t>
  </si>
  <si>
    <t>PAG.ESPECIAL</t>
  </si>
  <si>
    <t>INFOGRÁFICO</t>
  </si>
  <si>
    <t>MP-G</t>
  </si>
  <si>
    <t>ÚNICO</t>
  </si>
  <si>
    <t>MP-E</t>
  </si>
  <si>
    <t>EXCLUIDA</t>
  </si>
  <si>
    <t>IL TEC PADRÃO</t>
  </si>
  <si>
    <t>IL TEC MAT</t>
  </si>
  <si>
    <t>ATUALIZADO EM 22/08/2025</t>
  </si>
  <si>
    <t>Carolina Herrera (Lina Pin)</t>
  </si>
  <si>
    <t>hh</t>
  </si>
  <si>
    <t>Carolina Herrera</t>
  </si>
  <si>
    <t>Cássia Roriz</t>
  </si>
  <si>
    <t>cv</t>
  </si>
  <si>
    <t>Juliana Dacosta</t>
  </si>
  <si>
    <t>jx</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</si>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</sst>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Arial"/>
      <family val="2"/>
    </font>
    <font>
      <sz val="10"/>
      <color rgb="FFBF9000"/>
      <name val="Arial"/>
      <family val="2"/>
    </font>
    <font>
      <sz val="9"/>
      <color indexed="81"/>
      <name val="Segoe UI"/>
      <family val="2"/>
    </font>
    <font>
      <sz val="8"/>
      <name val="Calibri"/>
      <family val="2"/>
      <scheme val="minor"/>
    </font>
    <font>
      <b/>
      <sz val="10"/>
      <color theme="1"/>
      <name val="Arial"/>
      <family val="2"/>
    </font>
    <font>
      <b/>
      <sz val="11"/>
      <color theme="1"/>
      <name val="Calibri"/>
      <family val="2"/>
      <scheme val="minor"/>
    </font>
    <font>
      <sz val="10"/>
      <name val="Arial"/>
      <family val="2"/>
    </font>
    <font>
      <sz val="11"/>
      <name val="Calibri"/>
      <family val="2"/>
      <scheme val="minor"/>
    </font>
    <font>
      <b/>
      <sz val="11"/>
      <color theme="0"/>
      <name val="Calibri"/>
      <family val="2"/>
      <scheme val="minor"/>
    </font>
  </fonts>
  <fills count="10">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FF"/>
        <bgColor rgb="FFFFFFFF"/>
      </patternFill>
    </fill>
    <fill>
      <patternFill patternType="solid">
        <fgColor rgb="FFFFC5C5"/>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s>
  <borders count="6">
    <border>
      <left/>
      <right/>
      <top/>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48">
    <xf numFmtId="0" fontId="0" fillId="0" borderId="0" xfId="0"/>
    <xf numFmtId="0" fontId="0" fillId="0" borderId="0" xfId="0" applyAlignment="1">
      <alignment horizontal="center" vertical="center"/>
    </xf>
    <xf numFmtId="0" fontId="1" fillId="4" borderId="0" xfId="0" applyFont="1" applyFill="1" applyAlignment="1">
      <alignment wrapText="1"/>
    </xf>
    <xf numFmtId="0" fontId="2" fillId="4" borderId="0" xfId="0" applyFont="1" applyFill="1" applyAlignment="1">
      <alignment vertical="center"/>
    </xf>
    <xf numFmtId="0" fontId="0" fillId="0" borderId="0" xfId="0" applyAlignment="1">
      <alignment horizontal="center"/>
    </xf>
    <xf numFmtId="0" fontId="1" fillId="4" borderId="0" xfId="0" applyFont="1" applyFill="1" applyAlignment="1">
      <alignment horizontal="center" wrapText="1"/>
    </xf>
    <xf numFmtId="0" fontId="1" fillId="5" borderId="0" xfId="0" applyFont="1" applyFill="1"/>
    <xf numFmtId="0" fontId="0" fillId="0" borderId="0" xfId="0" applyAlignment="1">
      <alignment vertical="top"/>
    </xf>
    <xf numFmtId="0" fontId="0" fillId="0" borderId="0" xfId="0" applyAlignment="1" applyProtection="1">
      <alignment horizontal="center"/>
      <protection locked="0"/>
    </xf>
    <xf numFmtId="0" fontId="0" fillId="0" borderId="0" xfId="0" applyProtection="1">
      <protection locked="0"/>
    </xf>
    <xf numFmtId="14" fontId="0" fillId="0" borderId="0" xfId="0" applyNumberFormat="1" applyProtection="1">
      <protection locked="0"/>
    </xf>
    <xf numFmtId="0" fontId="0" fillId="0" borderId="2" xfId="0" applyBorder="1" applyAlignment="1" applyProtection="1">
      <alignment horizontal="center" vertical="center"/>
      <protection locked="0"/>
    </xf>
    <xf numFmtId="0" fontId="1" fillId="0" borderId="2"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lignment wrapText="1"/>
    </xf>
    <xf numFmtId="0" fontId="0" fillId="0" borderId="2" xfId="0" applyBorder="1" applyAlignment="1" applyProtection="1">
      <alignment vertical="center" wrapText="1"/>
      <protection locked="0"/>
    </xf>
    <xf numFmtId="14" fontId="0" fillId="0" borderId="2" xfId="0" applyNumberForma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0" xfId="0" applyFont="1" applyAlignment="1" applyProtection="1">
      <alignment horizontal="center"/>
      <protection locked="0"/>
    </xf>
    <xf numFmtId="0" fontId="0" fillId="0" borderId="2" xfId="0" applyBorder="1" applyAlignment="1" applyProtection="1">
      <alignment horizontal="center" vertical="center" wrapText="1"/>
      <protection locked="0"/>
    </xf>
    <xf numFmtId="0" fontId="0" fillId="0" borderId="0" xfId="0" applyAlignment="1">
      <alignment horizontal="left" vertical="center" wrapText="1"/>
    </xf>
    <xf numFmtId="0" fontId="0" fillId="0" borderId="0" xfId="0" applyAlignment="1">
      <alignment horizontal="left" vertical="center"/>
    </xf>
    <xf numFmtId="0" fontId="0" fillId="0" borderId="2" xfId="0"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0" fillId="0" borderId="0" xfId="0" applyAlignment="1" applyProtection="1">
      <alignment horizontal="left" vertical="center"/>
      <protection locked="0"/>
    </xf>
    <xf numFmtId="0" fontId="0" fillId="6" borderId="2" xfId="0" applyFill="1" applyBorder="1" applyAlignment="1">
      <alignment horizontal="center" vertical="center"/>
    </xf>
    <xf numFmtId="0" fontId="0" fillId="6" borderId="2" xfId="0" applyFill="1" applyBorder="1" applyAlignment="1">
      <alignment vertical="center"/>
    </xf>
    <xf numFmtId="0" fontId="7" fillId="4" borderId="0" xfId="0" applyFont="1" applyFill="1" applyAlignment="1">
      <alignment vertical="center"/>
    </xf>
    <xf numFmtId="0" fontId="7" fillId="4" borderId="0" xfId="0" applyFont="1" applyFill="1" applyAlignment="1">
      <alignment wrapText="1"/>
    </xf>
    <xf numFmtId="0" fontId="8" fillId="0" borderId="0" xfId="0" applyFont="1"/>
    <xf numFmtId="0" fontId="0" fillId="0" borderId="0" xfId="0" applyAlignment="1" applyProtection="1">
      <alignment wrapText="1"/>
      <protection locked="0"/>
    </xf>
    <xf numFmtId="14" fontId="0" fillId="0" borderId="0" xfId="0" applyNumberFormat="1" applyAlignment="1" applyProtection="1">
      <alignment horizontal="center"/>
      <protection locked="0"/>
    </xf>
    <xf numFmtId="0" fontId="0" fillId="6" borderId="2" xfId="0" applyFill="1" applyBorder="1" applyAlignment="1" applyProtection="1">
      <alignment horizontal="center" vertical="center"/>
      <protection locked="0"/>
    </xf>
    <xf numFmtId="0" fontId="9" fillId="7" borderId="3" xfId="0" applyFont="1" applyFill="1" applyBorder="1" applyAlignment="1">
      <alignment horizontal="center" vertical="center" wrapText="1"/>
    </xf>
    <xf numFmtId="0" fontId="9" fillId="7" borderId="4" xfId="0" applyFont="1" applyFill="1" applyBorder="1" applyAlignment="1">
      <alignment horizontal="center" vertical="center" wrapText="1"/>
    </xf>
    <xf numFmtId="14" fontId="9" fillId="7" borderId="4" xfId="0" applyNumberFormat="1" applyFont="1" applyFill="1" applyBorder="1" applyAlignment="1">
      <alignment horizontal="center" vertical="center" wrapText="1"/>
    </xf>
    <xf numFmtId="14" fontId="9" fillId="8" borderId="4" xfId="0" applyNumberFormat="1" applyFont="1" applyFill="1" applyBorder="1" applyAlignment="1">
      <alignment horizontal="center" vertical="center" wrapText="1"/>
    </xf>
    <xf numFmtId="14" fontId="9" fillId="8" borderId="1" xfId="0" applyNumberFormat="1" applyFont="1" applyFill="1" applyBorder="1" applyAlignment="1">
      <alignment horizontal="center" vertical="center" wrapText="1"/>
    </xf>
    <xf numFmtId="0" fontId="9" fillId="2" borderId="1" xfId="0" applyFont="1" applyFill="1" applyBorder="1" applyAlignment="1" applyProtection="1">
      <alignment vertical="center" wrapText="1"/>
      <protection locked="0"/>
    </xf>
    <xf numFmtId="0" fontId="9" fillId="8"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4" xfId="0" applyFont="1" applyFill="1" applyBorder="1" applyAlignment="1" applyProtection="1">
      <alignment horizontal="center" vertical="center" wrapText="1"/>
      <protection locked="0"/>
    </xf>
    <xf numFmtId="0" fontId="9" fillId="9" borderId="5"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cellXfs>
  <cellStyles count="1">
    <cellStyle name="Normal" xfId="0" builtinId="0"/>
  </cellStyles>
  <dxfs count="36">
    <dxf>
      <numFmt numFmtId="0" formatCode="General"/>
      <alignment vertical="center" textRotation="0" indent="0" justifyLastLine="0" shrinkToFit="0" readingOrder="0"/>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vertical="center" textRotation="0" indent="0" justifyLastLine="0" shrinkToFit="0" readingOrder="0"/>
    </dxf>
    <dxf>
      <numFmt numFmtId="0" formatCode="General"/>
    </dxf>
    <dxf>
      <numFmt numFmtId="0" formatCode="General"/>
    </dxf>
    <dxf>
      <numFmt numFmtId="0" formatCode="General"/>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font>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vertical="center" textRotation="0" indent="0" justifyLastLine="0" shrinkToFit="0" readingOrder="0"/>
    </dxf>
  </dxfs>
  <tableStyles count="0" defaultTableStyle="TableStyleMedium2" defaultPivotStyle="PivotStyleLight16"/>
  <colors>
    <mruColors>
      <color rgb="FFFF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15</xdr:col>
      <xdr:colOff>0</xdr:colOff>
      <xdr:row>145</xdr:row>
      <xdr:rowOff>0</xdr:rowOff>
    </xdr:from>
    <xdr:ext cx="184731" cy="264560"/>
    <xdr:sp macro="" textlink="">
      <xdr:nvSpPr>
        <xdr:cNvPr id="12" name="CaixaDeTexto 11">
          <a:extLst>
            <a:ext uri="{FF2B5EF4-FFF2-40B4-BE49-F238E27FC236}">
              <a16:creationId xmlns:a16="http://schemas.microsoft.com/office/drawing/2014/main" id="{C0D0B432-8808-E101-96C9-A52FA9314447}"/>
            </a:ext>
          </a:extLst>
        </xdr:cNvPr>
        <xdr:cNvSpPr txBox="1"/>
      </xdr:nvSpPr>
      <xdr:spPr>
        <a:xfrm>
          <a:off x="20507325" y="28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B992CC1F-D264-4A95-B549-4B4215D2878D}" autoFormatId="16" applyNumberFormats="0" applyBorderFormats="0" applyFontFormats="0" applyPatternFormats="0" applyAlignmentFormats="0" applyWidthHeightFormats="0">
  <queryTableRefresh nextId="27">
    <queryTableFields count="3">
      <queryTableField id="1" name="ATUALIZADO EM 17/07/2023" tableColumnId="1"/>
      <queryTableField id="2" name="SIGLA ARTE" tableColumnId="2"/>
      <queryTableField id="3" name="CRÉDITO A SER PUBLICADO" tableColumnId="3"/>
    </queryTableFields>
    <queryTableDeletedFields count="23">
      <deletedField name="Column4"/>
      <deletedField name="Column5"/>
      <deletedField name="Column6"/>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5F8BA-DDD4-4801-9886-F4BA0F4995B3}" name="STAT" displayName="STAT" ref="A1:AF145" totalsRowShown="0" dataDxfId="35">
  <autoFilter ref="A1:AF145" xr:uid="{E165F8BA-DDD4-4801-9886-F4BA0F4995B3}"/>
  <tableColumns count="32">
    <tableColumn id="3" xr3:uid="{79764688-5733-4708-A963-D86A93E99502}" name="retranca" dataDxfId="34"/>
    <tableColumn id="4" xr3:uid="{F4D6860E-F9E5-4226-BE4A-085EF905E108}" name="status" dataDxfId="33"/>
    <tableColumn id="5" xr3:uid="{FDA8529D-7CC0-4CF4-BA4D-F3B1985DD80F}" name="categoria" dataDxfId="32"/>
    <tableColumn id="6" xr3:uid="{2A270988-BF58-44CE-9E7C-6612F7F6084C}" name="localizacao" dataDxfId="31"/>
    <tableColumn id="7" xr3:uid="{A5CCE7ED-62A7-49A8-A1B4-83ABB42FA914}" name="pagina" dataDxfId="30"/>
    <tableColumn id="8" xr3:uid="{A5570D63-BA8F-4145-833D-523E6552C87E}" name="volume" dataDxfId="29"/>
    <tableColumn id="9" xr3:uid="{2EC71D1F-A09E-422E-A999-F0DBEE2397B5}" name="unidade" dataDxfId="28"/>
    <tableColumn id="10" xr3:uid="{8618B8D2-1763-4CBF-80BA-D247CCCCEA59}" name="capitulo_secao" dataDxfId="27"/>
    <tableColumn id="11" xr3:uid="{77BEDB7B-AFF9-4F1B-8960-96986297B9A5}" name="tipo" dataDxfId="26"/>
    <tableColumn id="12" xr3:uid="{D83F2011-5608-40C2-B53B-ADEFB7F72300}" name="NOME DA OBRA_x000a_ PARA RESGATE" dataDxfId="25"/>
    <tableColumn id="13" xr3:uid="{041164D8-7ACF-4F23-8368-3CEDCDB81B36}" name="PÁGINA PARA RESGATE" dataDxfId="24"/>
    <tableColumn id="14" xr3:uid="{32A0632B-7090-4A4F-A498-1A50C1E4292B}" name="VOLUME PARA RESGATE" dataDxfId="23"/>
    <tableColumn id="15" xr3:uid="{33113DA6-0281-4B34-97EA-B026FCC0150B}" name="VERSÃO PARA RESGATE" dataDxfId="22"/>
    <tableColumn id="16" xr3:uid="{4BE61EEA-04AD-4387-B63C-CCA491EDFF45}" name="PROPRIEDADE" dataDxfId="21"/>
    <tableColumn id="17" xr3:uid="{D3FCFCEA-5D20-4890-9D85-6C559107F5BC}" name="descricao" dataDxfId="20"/>
    <tableColumn id="19" xr3:uid="{AF7AB69E-A7C9-4096-9602-FA4522964412}" name="observacao_edit_nuc" dataDxfId="19"/>
    <tableColumn id="20" xr3:uid="{B3D4B613-E88D-4AA4-A701-0DBACE65F8D3}" name="lote" dataDxfId="18"/>
    <tableColumn id="21" xr3:uid="{29D024E0-DD1A-4F91-B77D-DCDB3792B910}" name="data_liberacao_para_arte" dataDxfId="17"/>
    <tableColumn id="22" xr3:uid="{94F986EF-B305-46B7-B347-208C3C3890F3}" name="data_envio_pedido" dataDxfId="16"/>
    <tableColumn id="24" xr3:uid="{A3F57D5C-FA07-4CEE-944E-5608AF1387BF}" name="data_recebimento_rafe" dataDxfId="15"/>
    <tableColumn id="25" xr3:uid="{7E9ADEC2-5BFD-40AE-AE14-FC125C946342}" name="data_retorno_rafe" dataDxfId="14"/>
    <tableColumn id="26" xr3:uid="{8ADF9C41-1FF9-4047-95F3-F97562561A4E}" name="data_recebimento_finalizada" dataDxfId="13"/>
    <tableColumn id="27" xr3:uid="{15CF7325-8A27-4785-A934-4EE5126711CF}" name="sigla" dataDxfId="12"/>
    <tableColumn id="28" xr3:uid="{CCE623E1-CEC9-425E-9B31-18F88A3F8ABD}" name="ilustrador" dataDxfId="11">
      <calculatedColumnFormula>IF(STAT[[#This Row],[sigla]]="","",VLOOKUP(STAT[[#This Row],[sigla]],CRÉDITOS_GERAIS4[[#All],[SIGLA ARTE]:[CRÉDITO A SER PUBLICADO]],2,0))</calculatedColumnFormula>
    </tableColumn>
    <tableColumn id="29" xr3:uid="{3491B0AF-2F14-437E-8820-D238F07CCCAC}" name="ilustrador_ajuste" dataDxfId="10"/>
    <tableColumn id="31" xr3:uid="{D13CC50C-B3FE-49D0-90E2-7AB224ABA24A}" name="credito" dataDxfId="9"/>
    <tableColumn id="32" xr3:uid="{1CB107D6-30FB-49EC-A905-43B220FEB055}" name="classificacao" dataDxfId="8"/>
    <tableColumn id="33" xr3:uid="{1E6AA802-AB3F-4E96-93BC-B545A284E41E}" name="observacao_arte" dataDxfId="7"/>
    <tableColumn id="30" xr3:uid="{02C0DC24-AF57-4413-ACC4-230A6ADA34D8}" name="pagamento" dataDxfId="6"/>
    <tableColumn id="1" xr3:uid="{CA1FF9FD-BA57-410B-A1F0-55AE85063DE2}" name="projeto" dataDxfId="1">
      <calculatedColumnFormula>"Sintonia Educação Infantil P009p"</calculatedColumnFormula>
    </tableColumn>
    <tableColumn id="2" xr3:uid="{8D7F6130-6EAE-4CE2-A243-36BF938A641D}" name="componente" dataDxfId="0">
      <calculatedColumnFormula>"Edinfa"</calculatedColumnFormula>
    </tableColumn>
    <tableColumn id="18" xr3:uid="{FF92BD25-F7BF-4497-8467-3A74634EC968}" name="ilustrador_resgate" dataDxfId="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16F92F-18BD-4A4C-859E-5A5F70AC0115}" name="CRÉDITOS_GERAIS4" displayName="CRÉDITOS_GERAIS4" ref="A1:C342" tableType="queryTable" totalsRowShown="0">
  <autoFilter ref="A1:C342" xr:uid="{EA16F92F-18BD-4A4C-859E-5A5F70AC0115}"/>
  <tableColumns count="3">
    <tableColumn id="1" xr3:uid="{B3979A70-C81B-4F1B-BC91-0B2DB24408EC}" uniqueName="1" name="ATUALIZADO EM 22/08/2025" queryTableFieldId="1" dataDxfId="5"/>
    <tableColumn id="2" xr3:uid="{5EF6155D-F1D7-4684-AA95-D25D27713282}" uniqueName="2" name="SIGLA ARTE" queryTableFieldId="2" dataDxfId="4"/>
    <tableColumn id="3" xr3:uid="{125DC552-2D3A-4F1D-80D2-D00A6F45FF61}" uniqueName="3" name="CRÉDITO A SER PUBLICADO" queryTableFieldId="3" dataDxfId="3"/>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9F0B-776B-4BCA-8B21-F3103B732D38}">
  <sheetPr codeName="Planilha1"/>
  <dimension ref="A1:AF147"/>
  <sheetViews>
    <sheetView tabSelected="1" topLeftCell="U137" zoomScale="70" zoomScaleNormal="70" workbookViewId="0">
      <selection activeCell="AB141" sqref="AB141"/>
    </sheetView>
  </sheetViews>
  <sheetFormatPr defaultRowHeight="14.4" x14ac:dyDescent="0.3"/>
  <cols>
    <col min="1" max="1" width="28.5546875" style="27" customWidth="1"/>
    <col min="2" max="2" width="14.6640625" style="8" customWidth="1"/>
    <col min="3" max="3" width="17" style="8" customWidth="1"/>
    <col min="4" max="4" width="12.44140625" style="8" customWidth="1"/>
    <col min="5" max="5" width="8.6640625" style="8" customWidth="1"/>
    <col min="6" max="6" width="8.33203125" style="8" customWidth="1"/>
    <col min="7" max="7" width="9.88671875" style="8" customWidth="1"/>
    <col min="8" max="8" width="11.44140625" style="8" customWidth="1"/>
    <col min="9" max="9" width="13.44140625" style="21" customWidth="1"/>
    <col min="10" max="10" width="40" style="16" customWidth="1"/>
    <col min="11" max="11" width="16.6640625" style="8" customWidth="1"/>
    <col min="12" max="12" width="17.44140625" style="8" customWidth="1"/>
    <col min="13" max="14" width="15.88671875" style="8" customWidth="1"/>
    <col min="15" max="15" width="88.88671875" style="33" customWidth="1"/>
    <col min="16" max="16" width="18" style="9" customWidth="1"/>
    <col min="17" max="17" width="11.33203125" style="16" customWidth="1"/>
    <col min="18" max="18" width="20.6640625" style="34" customWidth="1"/>
    <col min="19" max="20" width="15.5546875" style="10" customWidth="1"/>
    <col min="21" max="21" width="15" style="10" customWidth="1"/>
    <col min="22" max="22" width="15.33203125" style="10" customWidth="1"/>
    <col min="23" max="23" width="11.33203125" style="9" customWidth="1"/>
    <col min="24" max="24" width="41.44140625" customWidth="1"/>
    <col min="25" max="25" width="38.6640625" style="9" customWidth="1"/>
    <col min="26" max="26" width="40.109375" style="9" bestFit="1" customWidth="1"/>
    <col min="27" max="27" width="17.109375" style="9" bestFit="1" customWidth="1"/>
    <col min="28" max="28" width="39.33203125" style="9" bestFit="1" customWidth="1"/>
    <col min="29" max="29" width="18.33203125" style="9" customWidth="1"/>
    <col min="30" max="30" width="35.88671875" customWidth="1"/>
  </cols>
  <sheetData>
    <row r="1" spans="1:32" s="7" customFormat="1" ht="28.8" x14ac:dyDescent="0.3">
      <c r="A1" s="36" t="s">
        <v>1177</v>
      </c>
      <c r="B1" s="37" t="s">
        <v>1178</v>
      </c>
      <c r="C1" s="37" t="s">
        <v>1179</v>
      </c>
      <c r="D1" s="37" t="s">
        <v>1180</v>
      </c>
      <c r="E1" s="37" t="s">
        <v>1181</v>
      </c>
      <c r="F1" s="37" t="s">
        <v>1182</v>
      </c>
      <c r="G1" s="37" t="s">
        <v>1183</v>
      </c>
      <c r="H1" s="37" t="s">
        <v>1184</v>
      </c>
      <c r="I1" s="37" t="s">
        <v>1185</v>
      </c>
      <c r="J1" s="37" t="s">
        <v>0</v>
      </c>
      <c r="K1" s="37" t="s">
        <v>1</v>
      </c>
      <c r="L1" s="37" t="s">
        <v>2</v>
      </c>
      <c r="M1" s="37" t="s">
        <v>3</v>
      </c>
      <c r="N1" s="37" t="s">
        <v>4</v>
      </c>
      <c r="O1" s="37" t="s">
        <v>1186</v>
      </c>
      <c r="P1" s="37" t="s">
        <v>1187</v>
      </c>
      <c r="Q1" s="37" t="s">
        <v>1188</v>
      </c>
      <c r="R1" s="38" t="s">
        <v>1189</v>
      </c>
      <c r="S1" s="39" t="s">
        <v>1190</v>
      </c>
      <c r="T1" s="39" t="s">
        <v>1191</v>
      </c>
      <c r="U1" s="39" t="s">
        <v>1192</v>
      </c>
      <c r="V1" s="40" t="s">
        <v>1193</v>
      </c>
      <c r="W1" s="40" t="s">
        <v>1194</v>
      </c>
      <c r="X1" s="41" t="s">
        <v>1195</v>
      </c>
      <c r="Y1" s="42" t="s">
        <v>1196</v>
      </c>
      <c r="Z1" s="43" t="s">
        <v>1197</v>
      </c>
      <c r="AA1" s="42" t="s">
        <v>1198</v>
      </c>
      <c r="AB1" s="42" t="s">
        <v>1199</v>
      </c>
      <c r="AC1" s="44" t="s">
        <v>1200</v>
      </c>
      <c r="AD1" s="45" t="s">
        <v>1201</v>
      </c>
      <c r="AE1" s="46" t="s">
        <v>1202</v>
      </c>
      <c r="AF1" s="46" t="s">
        <v>1203</v>
      </c>
    </row>
    <row r="2" spans="1:32" ht="100.8" x14ac:dyDescent="0.3">
      <c r="A2" s="25" t="s">
        <v>5</v>
      </c>
      <c r="B2" s="11" t="s">
        <v>6</v>
      </c>
      <c r="C2" s="11" t="s">
        <v>7</v>
      </c>
      <c r="D2" s="11" t="s">
        <v>8</v>
      </c>
      <c r="E2" s="11">
        <v>7</v>
      </c>
      <c r="F2" s="11">
        <v>4</v>
      </c>
      <c r="G2" s="11">
        <v>1</v>
      </c>
      <c r="H2" s="11">
        <v>1</v>
      </c>
      <c r="I2" s="20" t="s">
        <v>9</v>
      </c>
      <c r="J2" s="27"/>
      <c r="K2" s="11"/>
      <c r="L2" s="11"/>
      <c r="M2" s="11"/>
      <c r="N2" s="11"/>
      <c r="O2" s="18" t="s">
        <v>10</v>
      </c>
      <c r="P2" s="15" t="s">
        <v>11</v>
      </c>
      <c r="Q2" s="11">
        <v>1</v>
      </c>
      <c r="R2" s="19">
        <v>45716</v>
      </c>
      <c r="S2" s="19">
        <v>45722</v>
      </c>
      <c r="T2" s="19"/>
      <c r="U2" s="19"/>
      <c r="V2" s="19">
        <v>45723</v>
      </c>
      <c r="W2" s="11" t="s">
        <v>12</v>
      </c>
      <c r="X2" s="28" t="str">
        <f>IF(STAT[[#This Row],[sigla]]="","",VLOOKUP(STAT[[#This Row],[sigla]],CRÉDITOS_GERAIS4[[#All],[SIGLA ARTE]:[CRÉDITO A SER PUBLICADO]],2,0))</f>
        <v>Vinícius Costa</v>
      </c>
      <c r="Y2" s="11"/>
      <c r="Z2" s="11" t="s">
        <v>13</v>
      </c>
      <c r="AA2" s="11">
        <v>8</v>
      </c>
      <c r="AB2" s="15"/>
      <c r="AC2" s="11" t="s">
        <v>14</v>
      </c>
      <c r="AD2" s="29" t="str">
        <f t="shared" ref="AD2:AD65" si="0">"Sintonia Educação Infantil P009p"</f>
        <v>Sintonia Educação Infantil P009p</v>
      </c>
      <c r="AE2" s="47" t="str">
        <f t="shared" ref="AE2:AE65" si="1">"Edinfa"</f>
        <v>Edinfa</v>
      </c>
      <c r="AF2" s="47"/>
    </row>
    <row r="3" spans="1:32" ht="43.2" x14ac:dyDescent="0.3">
      <c r="A3" s="25" t="s">
        <v>15</v>
      </c>
      <c r="B3" s="11" t="s">
        <v>6</v>
      </c>
      <c r="C3" s="11" t="s">
        <v>16</v>
      </c>
      <c r="D3" s="11" t="s">
        <v>8</v>
      </c>
      <c r="E3" s="11">
        <v>10</v>
      </c>
      <c r="F3" s="11">
        <v>4</v>
      </c>
      <c r="G3" s="11">
        <v>1</v>
      </c>
      <c r="H3" s="11">
        <v>1</v>
      </c>
      <c r="I3" s="20" t="s">
        <v>9</v>
      </c>
      <c r="J3" s="27"/>
      <c r="K3" s="11"/>
      <c r="L3" s="11"/>
      <c r="M3" s="11"/>
      <c r="N3" s="11"/>
      <c r="O3" s="18" t="s">
        <v>17</v>
      </c>
      <c r="P3" s="15"/>
      <c r="Q3" s="11">
        <v>1</v>
      </c>
      <c r="R3" s="19">
        <v>45716</v>
      </c>
      <c r="S3" s="19">
        <v>45722</v>
      </c>
      <c r="T3" s="19"/>
      <c r="U3" s="19"/>
      <c r="V3" s="19">
        <v>45723</v>
      </c>
      <c r="W3" s="11" t="s">
        <v>12</v>
      </c>
      <c r="X3" s="28" t="str">
        <f>IF(STAT[[#This Row],[sigla]]="","",VLOOKUP(STAT[[#This Row],[sigla]],CRÉDITOS_GERAIS4[[#All],[SIGLA ARTE]:[CRÉDITO A SER PUBLICADO]],2,0))</f>
        <v>Vinícius Costa</v>
      </c>
      <c r="Y3" s="11"/>
      <c r="Z3" s="11" t="s">
        <v>13</v>
      </c>
      <c r="AA3" s="11">
        <v>8</v>
      </c>
      <c r="AB3" s="15"/>
      <c r="AC3" s="11" t="s">
        <v>14</v>
      </c>
      <c r="AD3" s="29" t="str">
        <f t="shared" si="0"/>
        <v>Sintonia Educação Infantil P009p</v>
      </c>
      <c r="AE3" s="47" t="str">
        <f t="shared" si="1"/>
        <v>Edinfa</v>
      </c>
      <c r="AF3" s="47"/>
    </row>
    <row r="4" spans="1:32" ht="86.4" x14ac:dyDescent="0.3">
      <c r="A4" s="25" t="s">
        <v>18</v>
      </c>
      <c r="B4" s="11" t="s">
        <v>19</v>
      </c>
      <c r="C4" s="11" t="s">
        <v>7</v>
      </c>
      <c r="D4" s="11" t="s">
        <v>8</v>
      </c>
      <c r="E4" s="11">
        <v>13</v>
      </c>
      <c r="F4" s="11">
        <v>4</v>
      </c>
      <c r="G4" s="11">
        <v>1</v>
      </c>
      <c r="H4" s="11">
        <v>1</v>
      </c>
      <c r="I4" s="20" t="s">
        <v>9</v>
      </c>
      <c r="J4" s="27"/>
      <c r="K4" s="11"/>
      <c r="L4" s="11"/>
      <c r="M4" s="11"/>
      <c r="N4" s="11"/>
      <c r="O4" s="18" t="s">
        <v>20</v>
      </c>
      <c r="P4" s="15"/>
      <c r="Q4" s="11">
        <v>1</v>
      </c>
      <c r="R4" s="19">
        <v>45716</v>
      </c>
      <c r="S4" s="19">
        <v>45722</v>
      </c>
      <c r="T4" s="19"/>
      <c r="U4" s="19"/>
      <c r="V4" s="19">
        <v>45723</v>
      </c>
      <c r="W4" s="11" t="s">
        <v>12</v>
      </c>
      <c r="X4" s="28" t="str">
        <f>IF(STAT[[#This Row],[sigla]]="","",VLOOKUP(STAT[[#This Row],[sigla]],CRÉDITOS_GERAIS4[[#All],[SIGLA ARTE]:[CRÉDITO A SER PUBLICADO]],2,0))</f>
        <v>Vinícius Costa</v>
      </c>
      <c r="Y4" s="11"/>
      <c r="Z4" s="11" t="s">
        <v>13</v>
      </c>
      <c r="AA4" s="11">
        <v>8</v>
      </c>
      <c r="AB4" s="15"/>
      <c r="AC4" s="11" t="s">
        <v>14</v>
      </c>
      <c r="AD4" s="29" t="str">
        <f t="shared" si="0"/>
        <v>Sintonia Educação Infantil P009p</v>
      </c>
      <c r="AE4" s="47" t="str">
        <f t="shared" si="1"/>
        <v>Edinfa</v>
      </c>
      <c r="AF4" s="47"/>
    </row>
    <row r="5" spans="1:32" ht="86.4" x14ac:dyDescent="0.3">
      <c r="A5" s="25" t="s">
        <v>21</v>
      </c>
      <c r="B5" s="11" t="s">
        <v>6</v>
      </c>
      <c r="C5" s="11" t="s">
        <v>16</v>
      </c>
      <c r="D5" s="11" t="s">
        <v>8</v>
      </c>
      <c r="E5" s="11">
        <v>14</v>
      </c>
      <c r="F5" s="11">
        <v>4</v>
      </c>
      <c r="G5" s="11">
        <v>1</v>
      </c>
      <c r="H5" s="11">
        <v>1</v>
      </c>
      <c r="I5" s="20" t="s">
        <v>9</v>
      </c>
      <c r="J5" s="27"/>
      <c r="K5" s="11"/>
      <c r="L5" s="11"/>
      <c r="M5" s="11"/>
      <c r="N5" s="11"/>
      <c r="O5" s="18" t="s">
        <v>22</v>
      </c>
      <c r="P5" s="15"/>
      <c r="Q5" s="11">
        <v>1</v>
      </c>
      <c r="R5" s="19">
        <v>45716</v>
      </c>
      <c r="S5" s="19">
        <v>45722</v>
      </c>
      <c r="T5" s="19"/>
      <c r="U5" s="19"/>
      <c r="V5" s="19">
        <v>45723</v>
      </c>
      <c r="W5" s="11" t="s">
        <v>12</v>
      </c>
      <c r="X5" s="28" t="str">
        <f>IF(STAT[[#This Row],[sigla]]="","",VLOOKUP(STAT[[#This Row],[sigla]],CRÉDITOS_GERAIS4[[#All],[SIGLA ARTE]:[CRÉDITO A SER PUBLICADO]],2,0))</f>
        <v>Vinícius Costa</v>
      </c>
      <c r="Y5" s="11"/>
      <c r="Z5" s="11" t="s">
        <v>13</v>
      </c>
      <c r="AA5" s="11">
        <v>8</v>
      </c>
      <c r="AB5" s="15"/>
      <c r="AC5" s="11" t="s">
        <v>14</v>
      </c>
      <c r="AD5" s="29" t="str">
        <f t="shared" si="0"/>
        <v>Sintonia Educação Infantil P009p</v>
      </c>
      <c r="AE5" s="47" t="str">
        <f t="shared" si="1"/>
        <v>Edinfa</v>
      </c>
      <c r="AF5" s="47"/>
    </row>
    <row r="6" spans="1:32" ht="201.6" x14ac:dyDescent="0.3">
      <c r="A6" s="25" t="s">
        <v>23</v>
      </c>
      <c r="B6" s="11" t="s">
        <v>6</v>
      </c>
      <c r="C6" s="11" t="s">
        <v>7</v>
      </c>
      <c r="D6" s="11" t="s">
        <v>8</v>
      </c>
      <c r="E6" s="11">
        <v>22</v>
      </c>
      <c r="F6" s="11">
        <v>4</v>
      </c>
      <c r="G6" s="11">
        <v>2</v>
      </c>
      <c r="H6" s="11">
        <v>2</v>
      </c>
      <c r="I6" s="20" t="s">
        <v>9</v>
      </c>
      <c r="J6" s="27"/>
      <c r="K6" s="11"/>
      <c r="L6" s="11"/>
      <c r="M6" s="11"/>
      <c r="N6" s="11"/>
      <c r="O6" s="18" t="s">
        <v>24</v>
      </c>
      <c r="P6" s="15"/>
      <c r="Q6" s="11">
        <v>4</v>
      </c>
      <c r="R6" s="19">
        <v>45743</v>
      </c>
      <c r="S6" s="19">
        <v>45744</v>
      </c>
      <c r="T6" s="19"/>
      <c r="U6" s="19"/>
      <c r="V6" s="19">
        <v>45751</v>
      </c>
      <c r="W6" s="11" t="s">
        <v>25</v>
      </c>
      <c r="X6" s="28" t="str">
        <f>IF(STAT[[#This Row],[sigla]]="","",VLOOKUP(STAT[[#This Row],[sigla]],CRÉDITOS_GERAIS4[[#All],[SIGLA ARTE]:[CRÉDITO A SER PUBLICADO]],2,0))</f>
        <v>Heloísa Pintarelli</v>
      </c>
      <c r="Y6" s="11"/>
      <c r="Z6" s="11" t="s">
        <v>26</v>
      </c>
      <c r="AA6" s="11">
        <v>8</v>
      </c>
      <c r="AB6" s="15" t="s">
        <v>27</v>
      </c>
      <c r="AC6" s="11" t="s">
        <v>28</v>
      </c>
      <c r="AD6" s="29" t="str">
        <f t="shared" si="0"/>
        <v>Sintonia Educação Infantil P009p</v>
      </c>
      <c r="AE6" s="47" t="str">
        <f t="shared" si="1"/>
        <v>Edinfa</v>
      </c>
      <c r="AF6" s="47"/>
    </row>
    <row r="7" spans="1:32" ht="201.6" x14ac:dyDescent="0.3">
      <c r="A7" s="25" t="s">
        <v>29</v>
      </c>
      <c r="B7" s="11" t="s">
        <v>6</v>
      </c>
      <c r="C7" s="11" t="s">
        <v>16</v>
      </c>
      <c r="D7" s="11" t="s">
        <v>8</v>
      </c>
      <c r="E7" s="11">
        <v>26</v>
      </c>
      <c r="F7" s="11">
        <v>4</v>
      </c>
      <c r="G7" s="11">
        <v>2</v>
      </c>
      <c r="H7" s="11">
        <v>2</v>
      </c>
      <c r="I7" s="20" t="s">
        <v>9</v>
      </c>
      <c r="J7" s="27"/>
      <c r="K7" s="11"/>
      <c r="L7" s="11"/>
      <c r="M7" s="11"/>
      <c r="N7" s="11"/>
      <c r="O7" s="18" t="s">
        <v>30</v>
      </c>
      <c r="P7" s="15"/>
      <c r="Q7" s="11">
        <v>4</v>
      </c>
      <c r="R7" s="19">
        <v>45743</v>
      </c>
      <c r="S7" s="19">
        <v>45744</v>
      </c>
      <c r="T7" s="19">
        <v>45750</v>
      </c>
      <c r="U7" s="19">
        <v>45754</v>
      </c>
      <c r="V7" s="19">
        <v>45757</v>
      </c>
      <c r="W7" s="11" t="s">
        <v>31</v>
      </c>
      <c r="X7" s="28" t="str">
        <f>IF(STAT[[#This Row],[sigla]]="","",VLOOKUP(STAT[[#This Row],[sigla]],CRÉDITOS_GERAIS4[[#All],[SIGLA ARTE]:[CRÉDITO A SER PUBLICADO]],2,0))</f>
        <v>Débora Mini</v>
      </c>
      <c r="Y7" s="11"/>
      <c r="Z7" s="11" t="s">
        <v>32</v>
      </c>
      <c r="AA7" s="11">
        <v>4</v>
      </c>
      <c r="AB7" s="15" t="s">
        <v>33</v>
      </c>
      <c r="AC7" s="11" t="s">
        <v>28</v>
      </c>
      <c r="AD7" s="29" t="str">
        <f t="shared" si="0"/>
        <v>Sintonia Educação Infantil P009p</v>
      </c>
      <c r="AE7" s="47" t="str">
        <f t="shared" si="1"/>
        <v>Edinfa</v>
      </c>
      <c r="AF7" s="47"/>
    </row>
    <row r="8" spans="1:32" ht="57.6" x14ac:dyDescent="0.3">
      <c r="A8" s="25" t="s">
        <v>34</v>
      </c>
      <c r="B8" s="11" t="s">
        <v>6</v>
      </c>
      <c r="C8" s="11" t="s">
        <v>7</v>
      </c>
      <c r="D8" s="11" t="s">
        <v>8</v>
      </c>
      <c r="E8" s="11">
        <v>30</v>
      </c>
      <c r="F8" s="11">
        <v>4</v>
      </c>
      <c r="G8" s="11">
        <v>2</v>
      </c>
      <c r="H8" s="11">
        <v>2</v>
      </c>
      <c r="I8" s="20" t="s">
        <v>9</v>
      </c>
      <c r="J8" s="27"/>
      <c r="K8" s="11"/>
      <c r="L8" s="11"/>
      <c r="M8" s="11"/>
      <c r="N8" s="11"/>
      <c r="O8" s="18" t="s">
        <v>35</v>
      </c>
      <c r="P8" s="15"/>
      <c r="Q8" s="11">
        <v>4</v>
      </c>
      <c r="R8" s="19">
        <v>45743</v>
      </c>
      <c r="S8" s="19">
        <v>45744</v>
      </c>
      <c r="T8" s="19"/>
      <c r="U8" s="19"/>
      <c r="V8" s="19">
        <v>45751</v>
      </c>
      <c r="W8" s="11" t="s">
        <v>25</v>
      </c>
      <c r="X8" s="28" t="str">
        <f>IF(STAT[[#This Row],[sigla]]="","",VLOOKUP(STAT[[#This Row],[sigla]],CRÉDITOS_GERAIS4[[#All],[SIGLA ARTE]:[CRÉDITO A SER PUBLICADO]],2,0))</f>
        <v>Heloísa Pintarelli</v>
      </c>
      <c r="Y8" s="11"/>
      <c r="Z8" s="11" t="s">
        <v>26</v>
      </c>
      <c r="AA8" s="11">
        <v>8</v>
      </c>
      <c r="AB8" s="15" t="s">
        <v>27</v>
      </c>
      <c r="AC8" s="11" t="s">
        <v>28</v>
      </c>
      <c r="AD8" s="29" t="str">
        <f t="shared" si="0"/>
        <v>Sintonia Educação Infantil P009p</v>
      </c>
      <c r="AE8" s="47" t="str">
        <f t="shared" si="1"/>
        <v>Edinfa</v>
      </c>
      <c r="AF8" s="47"/>
    </row>
    <row r="9" spans="1:32" ht="100.8" x14ac:dyDescent="0.3">
      <c r="A9" s="25" t="s">
        <v>36</v>
      </c>
      <c r="B9" s="11" t="s">
        <v>6</v>
      </c>
      <c r="C9" s="11" t="s">
        <v>16</v>
      </c>
      <c r="D9" s="11" t="s">
        <v>8</v>
      </c>
      <c r="E9" s="11">
        <v>31</v>
      </c>
      <c r="F9" s="11">
        <v>4</v>
      </c>
      <c r="G9" s="11">
        <v>2</v>
      </c>
      <c r="H9" s="11">
        <v>2</v>
      </c>
      <c r="I9" s="20" t="s">
        <v>9</v>
      </c>
      <c r="J9" s="27"/>
      <c r="K9" s="11"/>
      <c r="L9" s="11"/>
      <c r="M9" s="11"/>
      <c r="N9" s="11"/>
      <c r="O9" s="18" t="s">
        <v>37</v>
      </c>
      <c r="P9" s="15"/>
      <c r="Q9" s="11">
        <v>4</v>
      </c>
      <c r="R9" s="19">
        <v>45743</v>
      </c>
      <c r="S9" s="19">
        <v>45744</v>
      </c>
      <c r="T9" s="19"/>
      <c r="U9" s="19"/>
      <c r="V9" s="19">
        <v>45751</v>
      </c>
      <c r="W9" s="11" t="s">
        <v>25</v>
      </c>
      <c r="X9" s="28" t="str">
        <f>IF(STAT[[#This Row],[sigla]]="","",VLOOKUP(STAT[[#This Row],[sigla]],CRÉDITOS_GERAIS4[[#All],[SIGLA ARTE]:[CRÉDITO A SER PUBLICADO]],2,0))</f>
        <v>Heloísa Pintarelli</v>
      </c>
      <c r="Y9" s="11"/>
      <c r="Z9" s="11" t="s">
        <v>26</v>
      </c>
      <c r="AA9" s="11">
        <v>8</v>
      </c>
      <c r="AB9" s="15" t="s">
        <v>27</v>
      </c>
      <c r="AC9" s="11" t="s">
        <v>28</v>
      </c>
      <c r="AD9" s="29" t="str">
        <f t="shared" si="0"/>
        <v>Sintonia Educação Infantil P009p</v>
      </c>
      <c r="AE9" s="47" t="str">
        <f t="shared" si="1"/>
        <v>Edinfa</v>
      </c>
      <c r="AF9" s="47"/>
    </row>
    <row r="10" spans="1:32" ht="115.2" x14ac:dyDescent="0.3">
      <c r="A10" s="25" t="s">
        <v>38</v>
      </c>
      <c r="B10" s="11" t="s">
        <v>6</v>
      </c>
      <c r="C10" s="11" t="s">
        <v>16</v>
      </c>
      <c r="D10" s="11" t="s">
        <v>8</v>
      </c>
      <c r="E10" s="11">
        <v>34</v>
      </c>
      <c r="F10" s="11">
        <v>4</v>
      </c>
      <c r="G10" s="11">
        <v>2</v>
      </c>
      <c r="H10" s="11">
        <v>2</v>
      </c>
      <c r="I10" s="20" t="s">
        <v>9</v>
      </c>
      <c r="J10" s="27"/>
      <c r="K10" s="11"/>
      <c r="L10" s="11"/>
      <c r="M10" s="11"/>
      <c r="N10" s="11"/>
      <c r="O10" s="18" t="s">
        <v>39</v>
      </c>
      <c r="P10" s="15"/>
      <c r="Q10" s="11">
        <v>4</v>
      </c>
      <c r="R10" s="19">
        <v>45743</v>
      </c>
      <c r="S10" s="19">
        <v>45744</v>
      </c>
      <c r="T10" s="19"/>
      <c r="U10" s="19"/>
      <c r="V10" s="19">
        <v>45751</v>
      </c>
      <c r="W10" s="11" t="s">
        <v>25</v>
      </c>
      <c r="X10" s="28" t="str">
        <f>IF(STAT[[#This Row],[sigla]]="","",VLOOKUP(STAT[[#This Row],[sigla]],CRÉDITOS_GERAIS4[[#All],[SIGLA ARTE]:[CRÉDITO A SER PUBLICADO]],2,0))</f>
        <v>Heloísa Pintarelli</v>
      </c>
      <c r="Y10" s="11"/>
      <c r="Z10" s="11" t="s">
        <v>26</v>
      </c>
      <c r="AA10" s="11">
        <v>7</v>
      </c>
      <c r="AB10" s="15" t="s">
        <v>27</v>
      </c>
      <c r="AC10" s="11" t="s">
        <v>28</v>
      </c>
      <c r="AD10" s="29" t="str">
        <f t="shared" si="0"/>
        <v>Sintonia Educação Infantil P009p</v>
      </c>
      <c r="AE10" s="47" t="str">
        <f t="shared" si="1"/>
        <v>Edinfa</v>
      </c>
      <c r="AF10" s="47"/>
    </row>
    <row r="11" spans="1:32" ht="43.2" x14ac:dyDescent="0.3">
      <c r="A11" s="25" t="s">
        <v>40</v>
      </c>
      <c r="B11" s="11" t="s">
        <v>6</v>
      </c>
      <c r="C11" s="11" t="s">
        <v>16</v>
      </c>
      <c r="D11" s="11" t="s">
        <v>8</v>
      </c>
      <c r="E11" s="11">
        <v>38</v>
      </c>
      <c r="F11" s="11">
        <v>4</v>
      </c>
      <c r="G11" s="11">
        <v>2</v>
      </c>
      <c r="H11" s="11">
        <v>2</v>
      </c>
      <c r="I11" s="20" t="s">
        <v>9</v>
      </c>
      <c r="J11" s="27"/>
      <c r="K11" s="11"/>
      <c r="L11" s="11"/>
      <c r="M11" s="11"/>
      <c r="N11" s="11"/>
      <c r="O11" s="18" t="s">
        <v>41</v>
      </c>
      <c r="P11" s="15"/>
      <c r="Q11" s="11">
        <v>4</v>
      </c>
      <c r="R11" s="19">
        <v>45743</v>
      </c>
      <c r="S11" s="19">
        <v>45744</v>
      </c>
      <c r="T11" s="19"/>
      <c r="U11" s="19"/>
      <c r="V11" s="19">
        <v>45751</v>
      </c>
      <c r="W11" s="11" t="s">
        <v>25</v>
      </c>
      <c r="X11" s="28" t="str">
        <f>IF(STAT[[#This Row],[sigla]]="","",VLOOKUP(STAT[[#This Row],[sigla]],CRÉDITOS_GERAIS4[[#All],[SIGLA ARTE]:[CRÉDITO A SER PUBLICADO]],2,0))</f>
        <v>Heloísa Pintarelli</v>
      </c>
      <c r="Y11" s="11"/>
      <c r="Z11" s="11" t="s">
        <v>26</v>
      </c>
      <c r="AA11" s="11">
        <v>8</v>
      </c>
      <c r="AB11" s="15" t="s">
        <v>27</v>
      </c>
      <c r="AC11" s="11" t="s">
        <v>28</v>
      </c>
      <c r="AD11" s="29" t="str">
        <f t="shared" si="0"/>
        <v>Sintonia Educação Infantil P009p</v>
      </c>
      <c r="AE11" s="47" t="str">
        <f t="shared" si="1"/>
        <v>Edinfa</v>
      </c>
      <c r="AF11" s="47"/>
    </row>
    <row r="12" spans="1:32" ht="28.8" x14ac:dyDescent="0.3">
      <c r="A12" s="25" t="s">
        <v>42</v>
      </c>
      <c r="B12" s="11" t="s">
        <v>19</v>
      </c>
      <c r="C12" s="11" t="s">
        <v>16</v>
      </c>
      <c r="D12" s="11" t="s">
        <v>8</v>
      </c>
      <c r="E12" s="11">
        <v>41</v>
      </c>
      <c r="F12" s="11">
        <v>4</v>
      </c>
      <c r="G12" s="11">
        <v>3</v>
      </c>
      <c r="H12" s="11">
        <v>3</v>
      </c>
      <c r="I12" s="20" t="s">
        <v>9</v>
      </c>
      <c r="J12" s="27"/>
      <c r="K12" s="11"/>
      <c r="L12" s="11"/>
      <c r="M12" s="11"/>
      <c r="N12" s="11"/>
      <c r="O12" s="18" t="s">
        <v>43</v>
      </c>
      <c r="P12" s="15"/>
      <c r="Q12" s="11">
        <v>6</v>
      </c>
      <c r="R12" s="19">
        <v>45744</v>
      </c>
      <c r="S12" s="19">
        <v>45749</v>
      </c>
      <c r="T12" s="19">
        <v>45754</v>
      </c>
      <c r="U12" s="19">
        <v>45756</v>
      </c>
      <c r="V12" s="19">
        <v>45757</v>
      </c>
      <c r="W12" s="11" t="s">
        <v>44</v>
      </c>
      <c r="X12" s="28" t="str">
        <f>IF(STAT[[#This Row],[sigla]]="","",VLOOKUP(STAT[[#This Row],[sigla]],CRÉDITOS_GERAIS4[[#All],[SIGLA ARTE]:[CRÉDITO A SER PUBLICADO]],2,0))</f>
        <v>Thais Castro</v>
      </c>
      <c r="Y12" s="11"/>
      <c r="Z12" s="11" t="s">
        <v>45</v>
      </c>
      <c r="AA12" s="11">
        <v>5</v>
      </c>
      <c r="AB12" s="15" t="s">
        <v>46</v>
      </c>
      <c r="AC12" s="11" t="s">
        <v>28</v>
      </c>
      <c r="AD12" s="29" t="str">
        <f t="shared" si="0"/>
        <v>Sintonia Educação Infantil P009p</v>
      </c>
      <c r="AE12" s="47" t="str">
        <f t="shared" si="1"/>
        <v>Edinfa</v>
      </c>
      <c r="AF12" s="47"/>
    </row>
    <row r="13" spans="1:32" ht="28.8" x14ac:dyDescent="0.3">
      <c r="A13" s="25" t="s">
        <v>47</v>
      </c>
      <c r="B13" s="11" t="s">
        <v>19</v>
      </c>
      <c r="C13" s="11" t="s">
        <v>16</v>
      </c>
      <c r="D13" s="11" t="s">
        <v>8</v>
      </c>
      <c r="E13" s="11">
        <v>41</v>
      </c>
      <c r="F13" s="11">
        <v>4</v>
      </c>
      <c r="G13" s="11">
        <v>3</v>
      </c>
      <c r="H13" s="11">
        <v>3</v>
      </c>
      <c r="I13" s="20" t="s">
        <v>9</v>
      </c>
      <c r="J13" s="27"/>
      <c r="K13" s="11"/>
      <c r="L13" s="11"/>
      <c r="M13" s="11"/>
      <c r="N13" s="11"/>
      <c r="O13" s="18" t="s">
        <v>48</v>
      </c>
      <c r="P13" s="15"/>
      <c r="Q13" s="11">
        <v>6</v>
      </c>
      <c r="R13" s="19">
        <v>45744</v>
      </c>
      <c r="S13" s="19">
        <v>45749</v>
      </c>
      <c r="T13" s="19">
        <v>45754</v>
      </c>
      <c r="U13" s="19">
        <v>45756</v>
      </c>
      <c r="V13" s="19">
        <v>45757</v>
      </c>
      <c r="W13" s="11" t="s">
        <v>44</v>
      </c>
      <c r="X13" s="28" t="str">
        <f>IF(STAT[[#This Row],[sigla]]="","",VLOOKUP(STAT[[#This Row],[sigla]],CRÉDITOS_GERAIS4[[#All],[SIGLA ARTE]:[CRÉDITO A SER PUBLICADO]],2,0))</f>
        <v>Thais Castro</v>
      </c>
      <c r="Y13" s="11"/>
      <c r="Z13" s="11" t="s">
        <v>45</v>
      </c>
      <c r="AA13" s="11">
        <v>13</v>
      </c>
      <c r="AB13" s="15" t="s">
        <v>46</v>
      </c>
      <c r="AC13" s="11" t="s">
        <v>28</v>
      </c>
      <c r="AD13" s="29" t="str">
        <f t="shared" si="0"/>
        <v>Sintonia Educação Infantil P009p</v>
      </c>
      <c r="AE13" s="47" t="str">
        <f t="shared" si="1"/>
        <v>Edinfa</v>
      </c>
      <c r="AF13" s="47"/>
    </row>
    <row r="14" spans="1:32" ht="28.8" x14ac:dyDescent="0.3">
      <c r="A14" s="25" t="s">
        <v>49</v>
      </c>
      <c r="B14" s="11" t="s">
        <v>19</v>
      </c>
      <c r="C14" s="11" t="s">
        <v>16</v>
      </c>
      <c r="D14" s="11" t="s">
        <v>8</v>
      </c>
      <c r="E14" s="11">
        <v>41</v>
      </c>
      <c r="F14" s="11">
        <v>4</v>
      </c>
      <c r="G14" s="11">
        <v>3</v>
      </c>
      <c r="H14" s="11">
        <v>3</v>
      </c>
      <c r="I14" s="20" t="s">
        <v>9</v>
      </c>
      <c r="J14" s="27"/>
      <c r="K14" s="11"/>
      <c r="L14" s="11"/>
      <c r="M14" s="11"/>
      <c r="N14" s="11"/>
      <c r="O14" s="18" t="s">
        <v>50</v>
      </c>
      <c r="P14" s="15"/>
      <c r="Q14" s="11">
        <v>6</v>
      </c>
      <c r="R14" s="19">
        <v>45744</v>
      </c>
      <c r="S14" s="19">
        <v>45749</v>
      </c>
      <c r="T14" s="19">
        <v>45754</v>
      </c>
      <c r="U14" s="19">
        <v>45756</v>
      </c>
      <c r="V14" s="19">
        <v>45757</v>
      </c>
      <c r="W14" s="11" t="s">
        <v>44</v>
      </c>
      <c r="X14" s="28" t="str">
        <f>IF(STAT[[#This Row],[sigla]]="","",VLOOKUP(STAT[[#This Row],[sigla]],CRÉDITOS_GERAIS4[[#All],[SIGLA ARTE]:[CRÉDITO A SER PUBLICADO]],2,0))</f>
        <v>Thais Castro</v>
      </c>
      <c r="Y14" s="11"/>
      <c r="Z14" s="11" t="s">
        <v>45</v>
      </c>
      <c r="AA14" s="11">
        <v>13</v>
      </c>
      <c r="AB14" s="15" t="s">
        <v>46</v>
      </c>
      <c r="AC14" s="11" t="s">
        <v>28</v>
      </c>
      <c r="AD14" s="29" t="str">
        <f t="shared" si="0"/>
        <v>Sintonia Educação Infantil P009p</v>
      </c>
      <c r="AE14" s="47" t="str">
        <f t="shared" si="1"/>
        <v>Edinfa</v>
      </c>
      <c r="AF14" s="47"/>
    </row>
    <row r="15" spans="1:32" ht="28.8" x14ac:dyDescent="0.3">
      <c r="A15" s="25" t="s">
        <v>51</v>
      </c>
      <c r="B15" s="11" t="s">
        <v>19</v>
      </c>
      <c r="C15" s="11" t="s">
        <v>16</v>
      </c>
      <c r="D15" s="11" t="s">
        <v>8</v>
      </c>
      <c r="E15" s="11">
        <v>41</v>
      </c>
      <c r="F15" s="11">
        <v>4</v>
      </c>
      <c r="G15" s="11">
        <v>3</v>
      </c>
      <c r="H15" s="11">
        <v>3</v>
      </c>
      <c r="I15" s="20" t="s">
        <v>9</v>
      </c>
      <c r="J15" s="27"/>
      <c r="K15" s="11"/>
      <c r="L15" s="11"/>
      <c r="M15" s="11"/>
      <c r="N15" s="11"/>
      <c r="O15" s="18" t="s">
        <v>52</v>
      </c>
      <c r="P15" s="15"/>
      <c r="Q15" s="11">
        <v>6</v>
      </c>
      <c r="R15" s="19">
        <v>45744</v>
      </c>
      <c r="S15" s="19">
        <v>45749</v>
      </c>
      <c r="T15" s="19">
        <v>45754</v>
      </c>
      <c r="U15" s="19">
        <v>45756</v>
      </c>
      <c r="V15" s="19">
        <v>45757</v>
      </c>
      <c r="W15" s="11" t="s">
        <v>44</v>
      </c>
      <c r="X15" s="28" t="str">
        <f>IF(STAT[[#This Row],[sigla]]="","",VLOOKUP(STAT[[#This Row],[sigla]],CRÉDITOS_GERAIS4[[#All],[SIGLA ARTE]:[CRÉDITO A SER PUBLICADO]],2,0))</f>
        <v>Thais Castro</v>
      </c>
      <c r="Y15" s="11"/>
      <c r="Z15" s="11" t="s">
        <v>45</v>
      </c>
      <c r="AA15" s="11">
        <v>13</v>
      </c>
      <c r="AB15" s="15" t="s">
        <v>46</v>
      </c>
      <c r="AC15" s="11" t="s">
        <v>28</v>
      </c>
      <c r="AD15" s="29" t="str">
        <f t="shared" si="0"/>
        <v>Sintonia Educação Infantil P009p</v>
      </c>
      <c r="AE15" s="47" t="str">
        <f t="shared" si="1"/>
        <v>Edinfa</v>
      </c>
      <c r="AF15" s="47"/>
    </row>
    <row r="16" spans="1:32" ht="201.6" x14ac:dyDescent="0.3">
      <c r="A16" s="25" t="s">
        <v>53</v>
      </c>
      <c r="B16" s="11" t="s">
        <v>19</v>
      </c>
      <c r="C16" s="11" t="s">
        <v>16</v>
      </c>
      <c r="D16" s="11" t="s">
        <v>8</v>
      </c>
      <c r="E16" s="11">
        <v>43</v>
      </c>
      <c r="F16" s="11">
        <v>4</v>
      </c>
      <c r="G16" s="11">
        <v>3</v>
      </c>
      <c r="H16" s="11">
        <v>3</v>
      </c>
      <c r="I16" s="20" t="s">
        <v>9</v>
      </c>
      <c r="J16" s="27"/>
      <c r="K16" s="11"/>
      <c r="L16" s="11"/>
      <c r="M16" s="11"/>
      <c r="N16" s="11"/>
      <c r="O16" s="18" t="s">
        <v>54</v>
      </c>
      <c r="P16" s="15"/>
      <c r="Q16" s="11">
        <v>6</v>
      </c>
      <c r="R16" s="19">
        <v>45744</v>
      </c>
      <c r="S16" s="19">
        <v>45749</v>
      </c>
      <c r="T16" s="19">
        <v>45754</v>
      </c>
      <c r="U16" s="19">
        <v>45756</v>
      </c>
      <c r="V16" s="19">
        <v>45757</v>
      </c>
      <c r="W16" s="11" t="s">
        <v>44</v>
      </c>
      <c r="X16" s="28" t="str">
        <f>IF(STAT[[#This Row],[sigla]]="","",VLOOKUP(STAT[[#This Row],[sigla]],CRÉDITOS_GERAIS4[[#All],[SIGLA ARTE]:[CRÉDITO A SER PUBLICADO]],2,0))</f>
        <v>Thais Castro</v>
      </c>
      <c r="Y16" s="11"/>
      <c r="Z16" s="11" t="s">
        <v>45</v>
      </c>
      <c r="AA16" s="11">
        <v>5</v>
      </c>
      <c r="AB16" s="15" t="s">
        <v>55</v>
      </c>
      <c r="AC16" s="11" t="s">
        <v>28</v>
      </c>
      <c r="AD16" s="29" t="str">
        <f t="shared" si="0"/>
        <v>Sintonia Educação Infantil P009p</v>
      </c>
      <c r="AE16" s="47" t="str">
        <f t="shared" si="1"/>
        <v>Edinfa</v>
      </c>
      <c r="AF16" s="47"/>
    </row>
    <row r="17" spans="1:32" ht="259.2" x14ac:dyDescent="0.3">
      <c r="A17" s="25" t="s">
        <v>56</v>
      </c>
      <c r="B17" s="11" t="s">
        <v>6</v>
      </c>
      <c r="C17" s="11" t="s">
        <v>16</v>
      </c>
      <c r="D17" s="11" t="s">
        <v>8</v>
      </c>
      <c r="E17" s="11">
        <v>46</v>
      </c>
      <c r="F17" s="11">
        <v>4</v>
      </c>
      <c r="G17" s="11">
        <v>3</v>
      </c>
      <c r="H17" s="11">
        <v>3</v>
      </c>
      <c r="I17" s="20" t="s">
        <v>9</v>
      </c>
      <c r="J17" s="27"/>
      <c r="K17" s="11"/>
      <c r="L17" s="11"/>
      <c r="M17" s="11"/>
      <c r="N17" s="11"/>
      <c r="O17" s="18" t="s">
        <v>57</v>
      </c>
      <c r="P17" s="15"/>
      <c r="Q17" s="11">
        <v>6</v>
      </c>
      <c r="R17" s="19">
        <v>45744</v>
      </c>
      <c r="S17" s="19">
        <v>45749</v>
      </c>
      <c r="T17" s="19">
        <v>45758</v>
      </c>
      <c r="U17" s="19">
        <v>45761</v>
      </c>
      <c r="V17" s="19">
        <v>45763</v>
      </c>
      <c r="W17" s="11" t="s">
        <v>31</v>
      </c>
      <c r="X17" s="28" t="str">
        <f>IF(STAT[[#This Row],[sigla]]="","",VLOOKUP(STAT[[#This Row],[sigla]],CRÉDITOS_GERAIS4[[#All],[SIGLA ARTE]:[CRÉDITO A SER PUBLICADO]],2,0))</f>
        <v>Débora Mini</v>
      </c>
      <c r="Y17" s="11"/>
      <c r="Z17" s="11" t="s">
        <v>32</v>
      </c>
      <c r="AA17" s="11">
        <v>5</v>
      </c>
      <c r="AB17" s="15" t="s">
        <v>58</v>
      </c>
      <c r="AC17" s="11" t="s">
        <v>28</v>
      </c>
      <c r="AD17" s="29" t="str">
        <f t="shared" si="0"/>
        <v>Sintonia Educação Infantil P009p</v>
      </c>
      <c r="AE17" s="47" t="str">
        <f t="shared" si="1"/>
        <v>Edinfa</v>
      </c>
      <c r="AF17" s="47"/>
    </row>
    <row r="18" spans="1:32" ht="230.4" x14ac:dyDescent="0.3">
      <c r="A18" s="25" t="s">
        <v>59</v>
      </c>
      <c r="B18" s="11" t="s">
        <v>6</v>
      </c>
      <c r="C18" s="11" t="s">
        <v>7</v>
      </c>
      <c r="D18" s="11" t="s">
        <v>8</v>
      </c>
      <c r="E18" s="11">
        <v>47</v>
      </c>
      <c r="F18" s="11">
        <v>4</v>
      </c>
      <c r="G18" s="11">
        <v>3</v>
      </c>
      <c r="H18" s="11">
        <v>3</v>
      </c>
      <c r="I18" s="20" t="s">
        <v>9</v>
      </c>
      <c r="J18" s="27"/>
      <c r="K18" s="11"/>
      <c r="L18" s="11"/>
      <c r="M18" s="11"/>
      <c r="N18" s="11"/>
      <c r="O18" s="18" t="s">
        <v>60</v>
      </c>
      <c r="P18" s="15"/>
      <c r="Q18" s="11">
        <v>6</v>
      </c>
      <c r="R18" s="19">
        <v>45744</v>
      </c>
      <c r="S18" s="19">
        <v>45749</v>
      </c>
      <c r="T18" s="19">
        <v>45758</v>
      </c>
      <c r="U18" s="19">
        <v>45761</v>
      </c>
      <c r="V18" s="19">
        <v>45763</v>
      </c>
      <c r="W18" s="11" t="s">
        <v>31</v>
      </c>
      <c r="X18" s="28" t="str">
        <f>IF(STAT[[#This Row],[sigla]]="","",VLOOKUP(STAT[[#This Row],[sigla]],CRÉDITOS_GERAIS4[[#All],[SIGLA ARTE]:[CRÉDITO A SER PUBLICADO]],2,0))</f>
        <v>Débora Mini</v>
      </c>
      <c r="Y18" s="11"/>
      <c r="Z18" s="11" t="s">
        <v>32</v>
      </c>
      <c r="AA18" s="11">
        <v>8</v>
      </c>
      <c r="AB18" s="15" t="s">
        <v>58</v>
      </c>
      <c r="AC18" s="11" t="s">
        <v>28</v>
      </c>
      <c r="AD18" s="29" t="str">
        <f t="shared" si="0"/>
        <v>Sintonia Educação Infantil P009p</v>
      </c>
      <c r="AE18" s="47" t="str">
        <f t="shared" si="1"/>
        <v>Edinfa</v>
      </c>
      <c r="AF18" s="47"/>
    </row>
    <row r="19" spans="1:32" ht="259.2" x14ac:dyDescent="0.3">
      <c r="A19" s="25" t="s">
        <v>61</v>
      </c>
      <c r="B19" s="11" t="s">
        <v>6</v>
      </c>
      <c r="C19" s="11" t="s">
        <v>7</v>
      </c>
      <c r="D19" s="11" t="s">
        <v>8</v>
      </c>
      <c r="E19" s="11">
        <v>49</v>
      </c>
      <c r="F19" s="11">
        <v>4</v>
      </c>
      <c r="G19" s="11">
        <v>3</v>
      </c>
      <c r="H19" s="11">
        <v>3</v>
      </c>
      <c r="I19" s="20" t="s">
        <v>9</v>
      </c>
      <c r="J19" s="27"/>
      <c r="K19" s="11"/>
      <c r="L19" s="11"/>
      <c r="M19" s="11"/>
      <c r="N19" s="11"/>
      <c r="O19" s="18" t="s">
        <v>62</v>
      </c>
      <c r="P19" s="15"/>
      <c r="Q19" s="11">
        <v>6</v>
      </c>
      <c r="R19" s="19">
        <v>45744</v>
      </c>
      <c r="S19" s="19">
        <v>45749</v>
      </c>
      <c r="T19" s="19">
        <v>45754</v>
      </c>
      <c r="U19" s="19">
        <v>45756</v>
      </c>
      <c r="V19" s="19">
        <v>45757</v>
      </c>
      <c r="W19" s="11" t="s">
        <v>44</v>
      </c>
      <c r="X19" s="28" t="str">
        <f>IF(STAT[[#This Row],[sigla]]="","",VLOOKUP(STAT[[#This Row],[sigla]],CRÉDITOS_GERAIS4[[#All],[SIGLA ARTE]:[CRÉDITO A SER PUBLICADO]],2,0))</f>
        <v>Thais Castro</v>
      </c>
      <c r="Y19" s="11"/>
      <c r="Z19" s="11" t="s">
        <v>45</v>
      </c>
      <c r="AA19" s="11">
        <v>8</v>
      </c>
      <c r="AB19" s="15" t="s">
        <v>46</v>
      </c>
      <c r="AC19" s="11" t="s">
        <v>28</v>
      </c>
      <c r="AD19" s="29" t="str">
        <f t="shared" si="0"/>
        <v>Sintonia Educação Infantil P009p</v>
      </c>
      <c r="AE19" s="47" t="str">
        <f t="shared" si="1"/>
        <v>Edinfa</v>
      </c>
      <c r="AF19" s="47"/>
    </row>
    <row r="20" spans="1:32" ht="43.2" x14ac:dyDescent="0.3">
      <c r="A20" s="25" t="s">
        <v>63</v>
      </c>
      <c r="B20" s="11" t="s">
        <v>19</v>
      </c>
      <c r="C20" s="11" t="s">
        <v>16</v>
      </c>
      <c r="D20" s="11" t="s">
        <v>8</v>
      </c>
      <c r="E20" s="11"/>
      <c r="F20" s="11">
        <v>4</v>
      </c>
      <c r="G20" s="11">
        <v>4</v>
      </c>
      <c r="H20" s="11">
        <v>4</v>
      </c>
      <c r="I20" s="20" t="s">
        <v>9</v>
      </c>
      <c r="J20" s="27"/>
      <c r="K20" s="11"/>
      <c r="L20" s="11"/>
      <c r="M20" s="11"/>
      <c r="N20" s="11"/>
      <c r="O20" s="18" t="s">
        <v>64</v>
      </c>
      <c r="P20" s="15"/>
      <c r="Q20" s="11">
        <v>7</v>
      </c>
      <c r="R20" s="19">
        <v>45749</v>
      </c>
      <c r="S20" s="19">
        <v>45750</v>
      </c>
      <c r="T20" s="19">
        <v>45754</v>
      </c>
      <c r="U20" s="19">
        <v>45755</v>
      </c>
      <c r="V20" s="19">
        <v>45756</v>
      </c>
      <c r="W20" s="11" t="s">
        <v>44</v>
      </c>
      <c r="X20" s="28" t="str">
        <f>IF(STAT[[#This Row],[sigla]]="","",VLOOKUP(STAT[[#This Row],[sigla]],CRÉDITOS_GERAIS4[[#All],[SIGLA ARTE]:[CRÉDITO A SER PUBLICADO]],2,0))</f>
        <v>Thais Castro</v>
      </c>
      <c r="Y20" s="11"/>
      <c r="Z20" s="11" t="s">
        <v>65</v>
      </c>
      <c r="AA20" s="11">
        <v>7</v>
      </c>
      <c r="AB20" s="15" t="s">
        <v>66</v>
      </c>
      <c r="AC20" s="11" t="s">
        <v>28</v>
      </c>
      <c r="AD20" s="29" t="str">
        <f t="shared" si="0"/>
        <v>Sintonia Educação Infantil P009p</v>
      </c>
      <c r="AE20" s="47" t="str">
        <f t="shared" si="1"/>
        <v>Edinfa</v>
      </c>
      <c r="AF20" s="47"/>
    </row>
    <row r="21" spans="1:32" ht="57.6" x14ac:dyDescent="0.3">
      <c r="A21" s="25" t="s">
        <v>67</v>
      </c>
      <c r="B21" s="11" t="s">
        <v>19</v>
      </c>
      <c r="C21" s="11" t="s">
        <v>16</v>
      </c>
      <c r="D21" s="11" t="s">
        <v>8</v>
      </c>
      <c r="E21" s="11"/>
      <c r="F21" s="11">
        <v>4</v>
      </c>
      <c r="G21" s="11">
        <v>4</v>
      </c>
      <c r="H21" s="11">
        <v>4</v>
      </c>
      <c r="I21" s="20" t="s">
        <v>9</v>
      </c>
      <c r="J21" s="27"/>
      <c r="K21" s="11"/>
      <c r="L21" s="11"/>
      <c r="M21" s="11"/>
      <c r="N21" s="11"/>
      <c r="O21" s="18" t="s">
        <v>68</v>
      </c>
      <c r="P21" s="15"/>
      <c r="Q21" s="11">
        <v>7</v>
      </c>
      <c r="R21" s="19">
        <v>45749</v>
      </c>
      <c r="S21" s="19">
        <v>45750</v>
      </c>
      <c r="T21" s="19">
        <v>45754</v>
      </c>
      <c r="U21" s="19">
        <v>45755</v>
      </c>
      <c r="V21" s="19">
        <v>45756</v>
      </c>
      <c r="W21" s="11" t="s">
        <v>44</v>
      </c>
      <c r="X21" s="28" t="str">
        <f>IF(STAT[[#This Row],[sigla]]="","",VLOOKUP(STAT[[#This Row],[sigla]],CRÉDITOS_GERAIS4[[#All],[SIGLA ARTE]:[CRÉDITO A SER PUBLICADO]],2,0))</f>
        <v>Thais Castro</v>
      </c>
      <c r="Y21" s="11"/>
      <c r="Z21" s="11" t="s">
        <v>65</v>
      </c>
      <c r="AA21" s="11">
        <v>7</v>
      </c>
      <c r="AB21" s="15" t="s">
        <v>66</v>
      </c>
      <c r="AC21" s="11" t="s">
        <v>28</v>
      </c>
      <c r="AD21" s="29" t="str">
        <f t="shared" si="0"/>
        <v>Sintonia Educação Infantil P009p</v>
      </c>
      <c r="AE21" s="47" t="str">
        <f t="shared" si="1"/>
        <v>Edinfa</v>
      </c>
      <c r="AF21" s="47"/>
    </row>
    <row r="22" spans="1:32" ht="72" x14ac:dyDescent="0.3">
      <c r="A22" s="25" t="s">
        <v>69</v>
      </c>
      <c r="B22" s="11" t="s">
        <v>19</v>
      </c>
      <c r="C22" s="11" t="s">
        <v>16</v>
      </c>
      <c r="D22" s="11" t="s">
        <v>8</v>
      </c>
      <c r="E22" s="11"/>
      <c r="F22" s="11">
        <v>4</v>
      </c>
      <c r="G22" s="11">
        <v>4</v>
      </c>
      <c r="H22" s="11">
        <v>4</v>
      </c>
      <c r="I22" s="20" t="s">
        <v>9</v>
      </c>
      <c r="J22" s="27"/>
      <c r="K22" s="11"/>
      <c r="L22" s="11"/>
      <c r="M22" s="11"/>
      <c r="N22" s="11"/>
      <c r="O22" s="18" t="s">
        <v>70</v>
      </c>
      <c r="P22" s="15"/>
      <c r="Q22" s="11">
        <v>7</v>
      </c>
      <c r="R22" s="19">
        <v>45749</v>
      </c>
      <c r="S22" s="19">
        <v>45750</v>
      </c>
      <c r="T22" s="19">
        <v>45754</v>
      </c>
      <c r="U22" s="19">
        <v>45755</v>
      </c>
      <c r="V22" s="19">
        <v>45756</v>
      </c>
      <c r="W22" s="11" t="s">
        <v>44</v>
      </c>
      <c r="X22" s="28" t="str">
        <f>IF(STAT[[#This Row],[sigla]]="","",VLOOKUP(STAT[[#This Row],[sigla]],CRÉDITOS_GERAIS4[[#All],[SIGLA ARTE]:[CRÉDITO A SER PUBLICADO]],2,0))</f>
        <v>Thais Castro</v>
      </c>
      <c r="Y22" s="11"/>
      <c r="Z22" s="11" t="s">
        <v>65</v>
      </c>
      <c r="AA22" s="11">
        <v>7</v>
      </c>
      <c r="AB22" s="15" t="s">
        <v>66</v>
      </c>
      <c r="AC22" s="11" t="s">
        <v>28</v>
      </c>
      <c r="AD22" s="29" t="str">
        <f t="shared" si="0"/>
        <v>Sintonia Educação Infantil P009p</v>
      </c>
      <c r="AE22" s="47" t="str">
        <f t="shared" si="1"/>
        <v>Edinfa</v>
      </c>
      <c r="AF22" s="47"/>
    </row>
    <row r="23" spans="1:32" ht="57.6" x14ac:dyDescent="0.3">
      <c r="A23" s="25" t="s">
        <v>71</v>
      </c>
      <c r="B23" s="11" t="s">
        <v>19</v>
      </c>
      <c r="C23" s="11" t="s">
        <v>72</v>
      </c>
      <c r="D23" s="11" t="s">
        <v>8</v>
      </c>
      <c r="E23" s="11"/>
      <c r="F23" s="11">
        <v>4</v>
      </c>
      <c r="G23" s="11">
        <v>4</v>
      </c>
      <c r="H23" s="11">
        <v>4</v>
      </c>
      <c r="I23" s="20" t="s">
        <v>9</v>
      </c>
      <c r="J23" s="27"/>
      <c r="K23" s="11"/>
      <c r="L23" s="11"/>
      <c r="M23" s="11"/>
      <c r="N23" s="11"/>
      <c r="O23" s="18" t="s">
        <v>73</v>
      </c>
      <c r="P23" s="15"/>
      <c r="Q23" s="11">
        <v>7</v>
      </c>
      <c r="R23" s="19">
        <v>45749</v>
      </c>
      <c r="S23" s="19">
        <v>45749</v>
      </c>
      <c r="T23" s="19"/>
      <c r="U23" s="19"/>
      <c r="V23" s="19">
        <v>45751</v>
      </c>
      <c r="W23" s="11" t="s">
        <v>12</v>
      </c>
      <c r="X23" s="28" t="str">
        <f>IF(STAT[[#This Row],[sigla]]="","",VLOOKUP(STAT[[#This Row],[sigla]],CRÉDITOS_GERAIS4[[#All],[SIGLA ARTE]:[CRÉDITO A SER PUBLICADO]],2,0))</f>
        <v>Vinícius Costa</v>
      </c>
      <c r="Y23" s="11"/>
      <c r="Z23" s="11" t="s">
        <v>13</v>
      </c>
      <c r="AA23" s="11">
        <v>8</v>
      </c>
      <c r="AB23" s="15"/>
      <c r="AC23" s="11" t="s">
        <v>14</v>
      </c>
      <c r="AD23" s="29" t="str">
        <f t="shared" si="0"/>
        <v>Sintonia Educação Infantil P009p</v>
      </c>
      <c r="AE23" s="47" t="str">
        <f t="shared" si="1"/>
        <v>Edinfa</v>
      </c>
      <c r="AF23" s="47"/>
    </row>
    <row r="24" spans="1:32" ht="43.2" x14ac:dyDescent="0.3">
      <c r="A24" s="25" t="s">
        <v>74</v>
      </c>
      <c r="B24" s="11" t="s">
        <v>19</v>
      </c>
      <c r="C24" s="11" t="s">
        <v>72</v>
      </c>
      <c r="D24" s="11" t="s">
        <v>8</v>
      </c>
      <c r="E24" s="11"/>
      <c r="F24" s="11">
        <v>4</v>
      </c>
      <c r="G24" s="11">
        <v>4</v>
      </c>
      <c r="H24" s="11">
        <v>4</v>
      </c>
      <c r="I24" s="20" t="s">
        <v>9</v>
      </c>
      <c r="J24" s="27"/>
      <c r="K24" s="11"/>
      <c r="L24" s="11"/>
      <c r="M24" s="11"/>
      <c r="N24" s="11"/>
      <c r="O24" s="18" t="s">
        <v>75</v>
      </c>
      <c r="P24" s="15"/>
      <c r="Q24" s="11">
        <v>7</v>
      </c>
      <c r="R24" s="19">
        <v>45749</v>
      </c>
      <c r="S24" s="19">
        <v>45749</v>
      </c>
      <c r="T24" s="19"/>
      <c r="U24" s="19"/>
      <c r="V24" s="19">
        <v>45751</v>
      </c>
      <c r="W24" s="11" t="s">
        <v>12</v>
      </c>
      <c r="X24" s="28" t="str">
        <f>IF(STAT[[#This Row],[sigla]]="","",VLOOKUP(STAT[[#This Row],[sigla]],CRÉDITOS_GERAIS4[[#All],[SIGLA ARTE]:[CRÉDITO A SER PUBLICADO]],2,0))</f>
        <v>Vinícius Costa</v>
      </c>
      <c r="Y24" s="11"/>
      <c r="Z24" s="11" t="s">
        <v>13</v>
      </c>
      <c r="AA24" s="11">
        <v>8</v>
      </c>
      <c r="AB24" s="15"/>
      <c r="AC24" s="11" t="s">
        <v>14</v>
      </c>
      <c r="AD24" s="29" t="str">
        <f t="shared" si="0"/>
        <v>Sintonia Educação Infantil P009p</v>
      </c>
      <c r="AE24" s="47" t="str">
        <f t="shared" si="1"/>
        <v>Edinfa</v>
      </c>
      <c r="AF24" s="47"/>
    </row>
    <row r="25" spans="1:32" ht="43.2" x14ac:dyDescent="0.3">
      <c r="A25" s="25" t="s">
        <v>76</v>
      </c>
      <c r="B25" s="11" t="s">
        <v>19</v>
      </c>
      <c r="C25" s="11" t="s">
        <v>72</v>
      </c>
      <c r="D25" s="11" t="s">
        <v>8</v>
      </c>
      <c r="E25" s="11"/>
      <c r="F25" s="11">
        <v>4</v>
      </c>
      <c r="G25" s="11">
        <v>4</v>
      </c>
      <c r="H25" s="11">
        <v>4</v>
      </c>
      <c r="I25" s="20" t="s">
        <v>9</v>
      </c>
      <c r="J25" s="27"/>
      <c r="K25" s="11"/>
      <c r="L25" s="11"/>
      <c r="M25" s="11"/>
      <c r="N25" s="11"/>
      <c r="O25" s="18" t="s">
        <v>77</v>
      </c>
      <c r="P25" s="15"/>
      <c r="Q25" s="11">
        <v>7</v>
      </c>
      <c r="R25" s="19">
        <v>45749</v>
      </c>
      <c r="S25" s="19">
        <v>45749</v>
      </c>
      <c r="T25" s="19"/>
      <c r="U25" s="19"/>
      <c r="V25" s="19">
        <v>45751</v>
      </c>
      <c r="W25" s="11" t="s">
        <v>12</v>
      </c>
      <c r="X25" s="28" t="str">
        <f>IF(STAT[[#This Row],[sigla]]="","",VLOOKUP(STAT[[#This Row],[sigla]],CRÉDITOS_GERAIS4[[#All],[SIGLA ARTE]:[CRÉDITO A SER PUBLICADO]],2,0))</f>
        <v>Vinícius Costa</v>
      </c>
      <c r="Y25" s="11"/>
      <c r="Z25" s="11" t="s">
        <v>13</v>
      </c>
      <c r="AA25" s="11">
        <v>8</v>
      </c>
      <c r="AB25" s="15"/>
      <c r="AC25" s="11" t="s">
        <v>14</v>
      </c>
      <c r="AD25" s="29" t="str">
        <f t="shared" si="0"/>
        <v>Sintonia Educação Infantil P009p</v>
      </c>
      <c r="AE25" s="47" t="str">
        <f t="shared" si="1"/>
        <v>Edinfa</v>
      </c>
      <c r="AF25" s="47"/>
    </row>
    <row r="26" spans="1:32" ht="43.2" x14ac:dyDescent="0.3">
      <c r="A26" s="25" t="s">
        <v>78</v>
      </c>
      <c r="B26" s="11" t="s">
        <v>19</v>
      </c>
      <c r="C26" s="11" t="s">
        <v>72</v>
      </c>
      <c r="D26" s="11" t="s">
        <v>8</v>
      </c>
      <c r="E26" s="11"/>
      <c r="F26" s="11">
        <v>4</v>
      </c>
      <c r="G26" s="11">
        <v>4</v>
      </c>
      <c r="H26" s="11">
        <v>4</v>
      </c>
      <c r="I26" s="20" t="s">
        <v>9</v>
      </c>
      <c r="J26" s="27"/>
      <c r="K26" s="11"/>
      <c r="L26" s="11"/>
      <c r="M26" s="11"/>
      <c r="N26" s="11"/>
      <c r="O26" s="18" t="s">
        <v>79</v>
      </c>
      <c r="P26" s="15"/>
      <c r="Q26" s="11">
        <v>7</v>
      </c>
      <c r="R26" s="19">
        <v>45749</v>
      </c>
      <c r="S26" s="19">
        <v>45749</v>
      </c>
      <c r="T26" s="19"/>
      <c r="U26" s="19"/>
      <c r="V26" s="19">
        <v>45751</v>
      </c>
      <c r="W26" s="11" t="s">
        <v>12</v>
      </c>
      <c r="X26" s="28" t="str">
        <f>IF(STAT[[#This Row],[sigla]]="","",VLOOKUP(STAT[[#This Row],[sigla]],CRÉDITOS_GERAIS4[[#All],[SIGLA ARTE]:[CRÉDITO A SER PUBLICADO]],2,0))</f>
        <v>Vinícius Costa</v>
      </c>
      <c r="Y26" s="11"/>
      <c r="Z26" s="11" t="s">
        <v>13</v>
      </c>
      <c r="AA26" s="11">
        <v>8</v>
      </c>
      <c r="AB26" s="15"/>
      <c r="AC26" s="11" t="s">
        <v>14</v>
      </c>
      <c r="AD26" s="29" t="str">
        <f t="shared" si="0"/>
        <v>Sintonia Educação Infantil P009p</v>
      </c>
      <c r="AE26" s="47" t="str">
        <f t="shared" si="1"/>
        <v>Edinfa</v>
      </c>
      <c r="AF26" s="47"/>
    </row>
    <row r="27" spans="1:32" ht="43.2" x14ac:dyDescent="0.3">
      <c r="A27" s="25" t="s">
        <v>80</v>
      </c>
      <c r="B27" s="11" t="s">
        <v>19</v>
      </c>
      <c r="C27" s="11" t="s">
        <v>16</v>
      </c>
      <c r="D27" s="11" t="s">
        <v>8</v>
      </c>
      <c r="E27" s="11"/>
      <c r="F27" s="11">
        <v>4</v>
      </c>
      <c r="G27" s="11">
        <v>4</v>
      </c>
      <c r="H27" s="11">
        <v>4</v>
      </c>
      <c r="I27" s="20" t="s">
        <v>9</v>
      </c>
      <c r="J27" s="27"/>
      <c r="K27" s="11"/>
      <c r="L27" s="11"/>
      <c r="M27" s="11"/>
      <c r="N27" s="11"/>
      <c r="O27" s="18" t="s">
        <v>81</v>
      </c>
      <c r="P27" s="15"/>
      <c r="Q27" s="11">
        <v>7</v>
      </c>
      <c r="R27" s="19">
        <v>45749</v>
      </c>
      <c r="S27" s="19">
        <v>45750</v>
      </c>
      <c r="T27" s="19">
        <v>45754</v>
      </c>
      <c r="U27" s="19">
        <v>45755</v>
      </c>
      <c r="V27" s="19">
        <v>45756</v>
      </c>
      <c r="W27" s="11" t="s">
        <v>44</v>
      </c>
      <c r="X27" s="28" t="str">
        <f>IF(STAT[[#This Row],[sigla]]="","",VLOOKUP(STAT[[#This Row],[sigla]],CRÉDITOS_GERAIS4[[#All],[SIGLA ARTE]:[CRÉDITO A SER PUBLICADO]],2,0))</f>
        <v>Thais Castro</v>
      </c>
      <c r="Y27" s="11"/>
      <c r="Z27" s="11" t="s">
        <v>65</v>
      </c>
      <c r="AA27" s="11">
        <v>7</v>
      </c>
      <c r="AB27" s="15" t="s">
        <v>66</v>
      </c>
      <c r="AC27" s="11" t="s">
        <v>28</v>
      </c>
      <c r="AD27" s="29" t="str">
        <f t="shared" si="0"/>
        <v>Sintonia Educação Infantil P009p</v>
      </c>
      <c r="AE27" s="47" t="str">
        <f t="shared" si="1"/>
        <v>Edinfa</v>
      </c>
      <c r="AF27" s="47"/>
    </row>
    <row r="28" spans="1:32" ht="43.2" x14ac:dyDescent="0.3">
      <c r="A28" s="25" t="s">
        <v>82</v>
      </c>
      <c r="B28" s="11" t="s">
        <v>19</v>
      </c>
      <c r="C28" s="11" t="s">
        <v>16</v>
      </c>
      <c r="D28" s="11" t="s">
        <v>8</v>
      </c>
      <c r="E28" s="11"/>
      <c r="F28" s="11">
        <v>4</v>
      </c>
      <c r="G28" s="11">
        <v>4</v>
      </c>
      <c r="H28" s="11">
        <v>4</v>
      </c>
      <c r="I28" s="20" t="s">
        <v>9</v>
      </c>
      <c r="J28" s="27"/>
      <c r="K28" s="11"/>
      <c r="L28" s="11"/>
      <c r="M28" s="11"/>
      <c r="N28" s="11"/>
      <c r="O28" s="18" t="s">
        <v>83</v>
      </c>
      <c r="P28" s="15"/>
      <c r="Q28" s="11">
        <v>7</v>
      </c>
      <c r="R28" s="19">
        <v>45749</v>
      </c>
      <c r="S28" s="19">
        <v>45750</v>
      </c>
      <c r="T28" s="19">
        <v>45754</v>
      </c>
      <c r="U28" s="19">
        <v>45755</v>
      </c>
      <c r="V28" s="19">
        <v>45756</v>
      </c>
      <c r="W28" s="11" t="s">
        <v>44</v>
      </c>
      <c r="X28" s="28" t="str">
        <f>IF(STAT[[#This Row],[sigla]]="","",VLOOKUP(STAT[[#This Row],[sigla]],CRÉDITOS_GERAIS4[[#All],[SIGLA ARTE]:[CRÉDITO A SER PUBLICADO]],2,0))</f>
        <v>Thais Castro</v>
      </c>
      <c r="Y28" s="11"/>
      <c r="Z28" s="11" t="s">
        <v>65</v>
      </c>
      <c r="AA28" s="11">
        <v>7</v>
      </c>
      <c r="AB28" s="15" t="s">
        <v>66</v>
      </c>
      <c r="AC28" s="11" t="s">
        <v>28</v>
      </c>
      <c r="AD28" s="29" t="str">
        <f t="shared" si="0"/>
        <v>Sintonia Educação Infantil P009p</v>
      </c>
      <c r="AE28" s="47" t="str">
        <f t="shared" si="1"/>
        <v>Edinfa</v>
      </c>
      <c r="AF28" s="47"/>
    </row>
    <row r="29" spans="1:32" ht="43.2" x14ac:dyDescent="0.3">
      <c r="A29" s="25" t="s">
        <v>84</v>
      </c>
      <c r="B29" s="11" t="s">
        <v>19</v>
      </c>
      <c r="C29" s="11" t="s">
        <v>16</v>
      </c>
      <c r="D29" s="11" t="s">
        <v>8</v>
      </c>
      <c r="E29" s="11"/>
      <c r="F29" s="11">
        <v>4</v>
      </c>
      <c r="G29" s="11">
        <v>4</v>
      </c>
      <c r="H29" s="11">
        <v>4</v>
      </c>
      <c r="I29" s="20" t="s">
        <v>9</v>
      </c>
      <c r="J29" s="27"/>
      <c r="K29" s="11"/>
      <c r="L29" s="11"/>
      <c r="M29" s="11"/>
      <c r="N29" s="11"/>
      <c r="O29" s="18" t="s">
        <v>85</v>
      </c>
      <c r="P29" s="15"/>
      <c r="Q29" s="11">
        <v>7</v>
      </c>
      <c r="R29" s="19">
        <v>45749</v>
      </c>
      <c r="S29" s="19">
        <v>45750</v>
      </c>
      <c r="T29" s="19">
        <v>45754</v>
      </c>
      <c r="U29" s="19">
        <v>45755</v>
      </c>
      <c r="V29" s="19">
        <v>45756</v>
      </c>
      <c r="W29" s="11" t="s">
        <v>44</v>
      </c>
      <c r="X29" s="28" t="str">
        <f>IF(STAT[[#This Row],[sigla]]="","",VLOOKUP(STAT[[#This Row],[sigla]],CRÉDITOS_GERAIS4[[#All],[SIGLA ARTE]:[CRÉDITO A SER PUBLICADO]],2,0))</f>
        <v>Thais Castro</v>
      </c>
      <c r="Y29" s="11"/>
      <c r="Z29" s="11" t="s">
        <v>65</v>
      </c>
      <c r="AA29" s="11">
        <v>7</v>
      </c>
      <c r="AB29" s="15" t="s">
        <v>66</v>
      </c>
      <c r="AC29" s="11" t="s">
        <v>28</v>
      </c>
      <c r="AD29" s="29" t="str">
        <f t="shared" si="0"/>
        <v>Sintonia Educação Infantil P009p</v>
      </c>
      <c r="AE29" s="47" t="str">
        <f t="shared" si="1"/>
        <v>Edinfa</v>
      </c>
      <c r="AF29" s="47"/>
    </row>
    <row r="30" spans="1:32" ht="43.2" x14ac:dyDescent="0.3">
      <c r="A30" s="25" t="s">
        <v>86</v>
      </c>
      <c r="B30" s="11" t="s">
        <v>19</v>
      </c>
      <c r="C30" s="11" t="s">
        <v>16</v>
      </c>
      <c r="D30" s="11" t="s">
        <v>8</v>
      </c>
      <c r="E30" s="11"/>
      <c r="F30" s="11">
        <v>4</v>
      </c>
      <c r="G30" s="11">
        <v>4</v>
      </c>
      <c r="H30" s="11">
        <v>4</v>
      </c>
      <c r="I30" s="20" t="s">
        <v>9</v>
      </c>
      <c r="J30" s="27"/>
      <c r="K30" s="11"/>
      <c r="L30" s="11"/>
      <c r="M30" s="11"/>
      <c r="N30" s="11"/>
      <c r="O30" s="18" t="s">
        <v>87</v>
      </c>
      <c r="P30" s="15"/>
      <c r="Q30" s="11">
        <v>7</v>
      </c>
      <c r="R30" s="19">
        <v>45749</v>
      </c>
      <c r="S30" s="19">
        <v>45750</v>
      </c>
      <c r="T30" s="19">
        <v>45754</v>
      </c>
      <c r="U30" s="19">
        <v>45755</v>
      </c>
      <c r="V30" s="19">
        <v>45756</v>
      </c>
      <c r="W30" s="11" t="s">
        <v>44</v>
      </c>
      <c r="X30" s="28" t="str">
        <f>IF(STAT[[#This Row],[sigla]]="","",VLOOKUP(STAT[[#This Row],[sigla]],CRÉDITOS_GERAIS4[[#All],[SIGLA ARTE]:[CRÉDITO A SER PUBLICADO]],2,0))</f>
        <v>Thais Castro</v>
      </c>
      <c r="Y30" s="11"/>
      <c r="Z30" s="11" t="s">
        <v>65</v>
      </c>
      <c r="AA30" s="11">
        <v>7</v>
      </c>
      <c r="AB30" s="15" t="s">
        <v>66</v>
      </c>
      <c r="AC30" s="11" t="s">
        <v>28</v>
      </c>
      <c r="AD30" s="29" t="str">
        <f t="shared" si="0"/>
        <v>Sintonia Educação Infantil P009p</v>
      </c>
      <c r="AE30" s="47" t="str">
        <f t="shared" si="1"/>
        <v>Edinfa</v>
      </c>
      <c r="AF30" s="47"/>
    </row>
    <row r="31" spans="1:32" ht="86.4" x14ac:dyDescent="0.3">
      <c r="A31" s="25" t="s">
        <v>88</v>
      </c>
      <c r="B31" s="11" t="s">
        <v>19</v>
      </c>
      <c r="C31" s="11" t="s">
        <v>16</v>
      </c>
      <c r="D31" s="11" t="s">
        <v>8</v>
      </c>
      <c r="E31" s="11"/>
      <c r="F31" s="11">
        <v>4</v>
      </c>
      <c r="G31" s="11">
        <v>4</v>
      </c>
      <c r="H31" s="11">
        <v>4</v>
      </c>
      <c r="I31" s="20" t="s">
        <v>9</v>
      </c>
      <c r="J31" s="27"/>
      <c r="K31" s="11"/>
      <c r="L31" s="11"/>
      <c r="M31" s="11"/>
      <c r="N31" s="11"/>
      <c r="O31" s="18" t="s">
        <v>89</v>
      </c>
      <c r="P31" s="15"/>
      <c r="Q31" s="11">
        <v>7</v>
      </c>
      <c r="R31" s="19">
        <v>45749</v>
      </c>
      <c r="S31" s="19">
        <v>45750</v>
      </c>
      <c r="T31" s="19">
        <v>45754</v>
      </c>
      <c r="U31" s="19">
        <v>45754</v>
      </c>
      <c r="V31" s="19">
        <v>45757</v>
      </c>
      <c r="W31" s="11" t="s">
        <v>90</v>
      </c>
      <c r="X31" s="28" t="str">
        <f>IF(STAT[[#This Row],[sigla]]="","",VLOOKUP(STAT[[#This Row],[sigla]],CRÉDITOS_GERAIS4[[#All],[SIGLA ARTE]:[CRÉDITO A SER PUBLICADO]],2,0))</f>
        <v>Gabriel Brum</v>
      </c>
      <c r="Y31" s="11"/>
      <c r="Z31" s="11" t="s">
        <v>91</v>
      </c>
      <c r="AA31" s="11">
        <v>8</v>
      </c>
      <c r="AB31" s="15" t="s">
        <v>55</v>
      </c>
      <c r="AC31" s="11" t="s">
        <v>28</v>
      </c>
      <c r="AD31" s="29" t="str">
        <f t="shared" si="0"/>
        <v>Sintonia Educação Infantil P009p</v>
      </c>
      <c r="AE31" s="47" t="str">
        <f t="shared" si="1"/>
        <v>Edinfa</v>
      </c>
      <c r="AF31" s="47"/>
    </row>
    <row r="32" spans="1:32" ht="43.2" x14ac:dyDescent="0.3">
      <c r="A32" s="25" t="s">
        <v>92</v>
      </c>
      <c r="B32" s="11" t="s">
        <v>6</v>
      </c>
      <c r="C32" s="11" t="s">
        <v>7</v>
      </c>
      <c r="D32" s="11" t="s">
        <v>8</v>
      </c>
      <c r="E32" s="11"/>
      <c r="F32" s="11">
        <v>4</v>
      </c>
      <c r="G32" s="11">
        <v>4</v>
      </c>
      <c r="H32" s="11">
        <v>4</v>
      </c>
      <c r="I32" s="20" t="s">
        <v>9</v>
      </c>
      <c r="J32" s="27"/>
      <c r="K32" s="11"/>
      <c r="L32" s="11"/>
      <c r="M32" s="11"/>
      <c r="N32" s="11"/>
      <c r="O32" s="18" t="s">
        <v>93</v>
      </c>
      <c r="P32" s="15"/>
      <c r="Q32" s="11">
        <v>7</v>
      </c>
      <c r="R32" s="19">
        <v>45749</v>
      </c>
      <c r="S32" s="19">
        <v>45750</v>
      </c>
      <c r="T32" s="19">
        <v>45755</v>
      </c>
      <c r="U32" s="19">
        <v>45756</v>
      </c>
      <c r="V32" s="19">
        <v>45758</v>
      </c>
      <c r="W32" s="11" t="s">
        <v>90</v>
      </c>
      <c r="X32" s="28" t="str">
        <f>IF(STAT[[#This Row],[sigla]]="","",VLOOKUP(STAT[[#This Row],[sigla]],CRÉDITOS_GERAIS4[[#All],[SIGLA ARTE]:[CRÉDITO A SER PUBLICADO]],2,0))</f>
        <v>Gabriel Brum</v>
      </c>
      <c r="Y32" s="11"/>
      <c r="Z32" s="11" t="s">
        <v>91</v>
      </c>
      <c r="AA32" s="11">
        <v>5</v>
      </c>
      <c r="AB32" s="15" t="s">
        <v>94</v>
      </c>
      <c r="AC32" s="11" t="s">
        <v>28</v>
      </c>
      <c r="AD32" s="29" t="str">
        <f t="shared" si="0"/>
        <v>Sintonia Educação Infantil P009p</v>
      </c>
      <c r="AE32" s="47" t="str">
        <f t="shared" si="1"/>
        <v>Edinfa</v>
      </c>
      <c r="AF32" s="47"/>
    </row>
    <row r="33" spans="1:32" ht="86.4" x14ac:dyDescent="0.3">
      <c r="A33" s="25" t="s">
        <v>95</v>
      </c>
      <c r="B33" s="11" t="s">
        <v>19</v>
      </c>
      <c r="C33" s="11" t="s">
        <v>16</v>
      </c>
      <c r="D33" s="11" t="s">
        <v>8</v>
      </c>
      <c r="E33" s="11"/>
      <c r="F33" s="11">
        <v>4</v>
      </c>
      <c r="G33" s="11">
        <v>4</v>
      </c>
      <c r="H33" s="11">
        <v>4</v>
      </c>
      <c r="I33" s="20" t="s">
        <v>9</v>
      </c>
      <c r="J33" s="27"/>
      <c r="K33" s="11"/>
      <c r="L33" s="11"/>
      <c r="M33" s="11"/>
      <c r="N33" s="11"/>
      <c r="O33" s="18" t="s">
        <v>96</v>
      </c>
      <c r="P33" s="15"/>
      <c r="Q33" s="11">
        <v>7</v>
      </c>
      <c r="R33" s="19">
        <v>45749</v>
      </c>
      <c r="S33" s="19">
        <v>45750</v>
      </c>
      <c r="T33" s="19">
        <v>45754</v>
      </c>
      <c r="U33" s="19">
        <v>45754</v>
      </c>
      <c r="V33" s="19">
        <v>45757</v>
      </c>
      <c r="W33" s="11" t="s">
        <v>90</v>
      </c>
      <c r="X33" s="28" t="str">
        <f>IF(STAT[[#This Row],[sigla]]="","",VLOOKUP(STAT[[#This Row],[sigla]],CRÉDITOS_GERAIS4[[#All],[SIGLA ARTE]:[CRÉDITO A SER PUBLICADO]],2,0))</f>
        <v>Gabriel Brum</v>
      </c>
      <c r="Y33" s="11"/>
      <c r="Z33" s="11" t="s">
        <v>91</v>
      </c>
      <c r="AA33" s="11">
        <v>6</v>
      </c>
      <c r="AB33" s="15" t="s">
        <v>55</v>
      </c>
      <c r="AC33" s="11" t="s">
        <v>28</v>
      </c>
      <c r="AD33" s="29" t="str">
        <f t="shared" si="0"/>
        <v>Sintonia Educação Infantil P009p</v>
      </c>
      <c r="AE33" s="47" t="str">
        <f t="shared" si="1"/>
        <v>Edinfa</v>
      </c>
      <c r="AF33" s="47"/>
    </row>
    <row r="34" spans="1:32" ht="302.39999999999998" x14ac:dyDescent="0.3">
      <c r="A34" s="25" t="s">
        <v>97</v>
      </c>
      <c r="B34" s="11" t="s">
        <v>19</v>
      </c>
      <c r="C34" s="11" t="s">
        <v>7</v>
      </c>
      <c r="D34" s="11" t="s">
        <v>8</v>
      </c>
      <c r="E34" s="11"/>
      <c r="F34" s="11">
        <v>4</v>
      </c>
      <c r="G34" s="11">
        <v>4</v>
      </c>
      <c r="H34" s="11">
        <v>4</v>
      </c>
      <c r="I34" s="20" t="s">
        <v>9</v>
      </c>
      <c r="J34" s="27"/>
      <c r="K34" s="11"/>
      <c r="L34" s="11"/>
      <c r="M34" s="11"/>
      <c r="N34" s="11"/>
      <c r="O34" s="18" t="s">
        <v>98</v>
      </c>
      <c r="P34" s="15"/>
      <c r="Q34" s="11">
        <v>7</v>
      </c>
      <c r="R34" s="19">
        <v>45749</v>
      </c>
      <c r="S34" s="19">
        <v>45750</v>
      </c>
      <c r="T34" s="19">
        <v>45755</v>
      </c>
      <c r="U34" s="19">
        <v>45756</v>
      </c>
      <c r="V34" s="19">
        <v>45758</v>
      </c>
      <c r="W34" s="11" t="s">
        <v>90</v>
      </c>
      <c r="X34" s="28" t="str">
        <f>IF(STAT[[#This Row],[sigla]]="","",VLOOKUP(STAT[[#This Row],[sigla]],CRÉDITOS_GERAIS4[[#All],[SIGLA ARTE]:[CRÉDITO A SER PUBLICADO]],2,0))</f>
        <v>Gabriel Brum</v>
      </c>
      <c r="Y34" s="11"/>
      <c r="Z34" s="11" t="s">
        <v>91</v>
      </c>
      <c r="AA34" s="11">
        <v>7</v>
      </c>
      <c r="AB34" s="15" t="s">
        <v>94</v>
      </c>
      <c r="AC34" s="11" t="s">
        <v>28</v>
      </c>
      <c r="AD34" s="29" t="str">
        <f t="shared" si="0"/>
        <v>Sintonia Educação Infantil P009p</v>
      </c>
      <c r="AE34" s="47" t="str">
        <f t="shared" si="1"/>
        <v>Edinfa</v>
      </c>
      <c r="AF34" s="47"/>
    </row>
    <row r="35" spans="1:32" ht="100.8" x14ac:dyDescent="0.3">
      <c r="A35" s="25" t="s">
        <v>99</v>
      </c>
      <c r="B35" s="11" t="s">
        <v>19</v>
      </c>
      <c r="C35" s="11" t="s">
        <v>16</v>
      </c>
      <c r="D35" s="11" t="s">
        <v>8</v>
      </c>
      <c r="E35" s="11"/>
      <c r="F35" s="11">
        <v>4</v>
      </c>
      <c r="G35" s="11">
        <v>4</v>
      </c>
      <c r="H35" s="11">
        <v>4</v>
      </c>
      <c r="I35" s="20" t="s">
        <v>9</v>
      </c>
      <c r="J35" s="27"/>
      <c r="K35" s="11"/>
      <c r="L35" s="11"/>
      <c r="M35" s="11"/>
      <c r="N35" s="11"/>
      <c r="O35" s="18" t="s">
        <v>100</v>
      </c>
      <c r="P35" s="15"/>
      <c r="Q35" s="11">
        <v>7</v>
      </c>
      <c r="R35" s="19">
        <v>45749</v>
      </c>
      <c r="S35" s="19">
        <v>45750</v>
      </c>
      <c r="T35" s="19">
        <v>45754</v>
      </c>
      <c r="U35" s="19">
        <v>45754</v>
      </c>
      <c r="V35" s="19">
        <v>45757</v>
      </c>
      <c r="W35" s="11" t="s">
        <v>90</v>
      </c>
      <c r="X35" s="28" t="str">
        <f>IF(STAT[[#This Row],[sigla]]="","",VLOOKUP(STAT[[#This Row],[sigla]],CRÉDITOS_GERAIS4[[#All],[SIGLA ARTE]:[CRÉDITO A SER PUBLICADO]],2,0))</f>
        <v>Gabriel Brum</v>
      </c>
      <c r="Y35" s="11"/>
      <c r="Z35" s="11" t="s">
        <v>91</v>
      </c>
      <c r="AA35" s="11">
        <v>7</v>
      </c>
      <c r="AB35" s="15" t="s">
        <v>55</v>
      </c>
      <c r="AC35" s="11" t="s">
        <v>28</v>
      </c>
      <c r="AD35" s="29" t="str">
        <f t="shared" si="0"/>
        <v>Sintonia Educação Infantil P009p</v>
      </c>
      <c r="AE35" s="47" t="str">
        <f t="shared" si="1"/>
        <v>Edinfa</v>
      </c>
      <c r="AF35" s="47"/>
    </row>
    <row r="36" spans="1:32" ht="86.4" x14ac:dyDescent="0.3">
      <c r="A36" s="25" t="s">
        <v>101</v>
      </c>
      <c r="B36" s="11" t="s">
        <v>19</v>
      </c>
      <c r="C36" s="11" t="s">
        <v>7</v>
      </c>
      <c r="D36" s="11" t="s">
        <v>8</v>
      </c>
      <c r="E36" s="11"/>
      <c r="F36" s="11">
        <v>4</v>
      </c>
      <c r="G36" s="11">
        <v>4</v>
      </c>
      <c r="H36" s="11">
        <v>4</v>
      </c>
      <c r="I36" s="20" t="s">
        <v>9</v>
      </c>
      <c r="J36" s="27"/>
      <c r="K36" s="11"/>
      <c r="L36" s="11"/>
      <c r="M36" s="11"/>
      <c r="N36" s="11"/>
      <c r="O36" s="18" t="s">
        <v>102</v>
      </c>
      <c r="P36" s="15"/>
      <c r="Q36" s="11">
        <v>7</v>
      </c>
      <c r="R36" s="19">
        <v>45749</v>
      </c>
      <c r="S36" s="19">
        <v>45750</v>
      </c>
      <c r="T36" s="19">
        <v>45755</v>
      </c>
      <c r="U36" s="19">
        <v>45756</v>
      </c>
      <c r="V36" s="19">
        <v>45758</v>
      </c>
      <c r="W36" s="11" t="s">
        <v>90</v>
      </c>
      <c r="X36" s="28" t="str">
        <f>IF(STAT[[#This Row],[sigla]]="","",VLOOKUP(STAT[[#This Row],[sigla]],CRÉDITOS_GERAIS4[[#All],[SIGLA ARTE]:[CRÉDITO A SER PUBLICADO]],2,0))</f>
        <v>Gabriel Brum</v>
      </c>
      <c r="Y36" s="11"/>
      <c r="Z36" s="11" t="s">
        <v>91</v>
      </c>
      <c r="AA36" s="11">
        <v>8</v>
      </c>
      <c r="AB36" s="18" t="s">
        <v>94</v>
      </c>
      <c r="AC36" s="11" t="s">
        <v>28</v>
      </c>
      <c r="AD36" s="29" t="str">
        <f t="shared" si="0"/>
        <v>Sintonia Educação Infantil P009p</v>
      </c>
      <c r="AE36" s="47" t="str">
        <f t="shared" si="1"/>
        <v>Edinfa</v>
      </c>
      <c r="AF36" s="47"/>
    </row>
    <row r="37" spans="1:32" ht="86.4" x14ac:dyDescent="0.3">
      <c r="A37" s="25" t="s">
        <v>103</v>
      </c>
      <c r="B37" s="11" t="s">
        <v>19</v>
      </c>
      <c r="C37" s="11" t="s">
        <v>7</v>
      </c>
      <c r="D37" s="11" t="s">
        <v>8</v>
      </c>
      <c r="E37" s="11"/>
      <c r="F37" s="11">
        <v>4</v>
      </c>
      <c r="G37" s="11">
        <v>4</v>
      </c>
      <c r="H37" s="11">
        <v>4</v>
      </c>
      <c r="I37" s="20" t="s">
        <v>9</v>
      </c>
      <c r="J37" s="27"/>
      <c r="K37" s="11"/>
      <c r="L37" s="11"/>
      <c r="M37" s="11"/>
      <c r="N37" s="11"/>
      <c r="O37" s="18" t="s">
        <v>104</v>
      </c>
      <c r="P37" s="15"/>
      <c r="Q37" s="11">
        <v>7</v>
      </c>
      <c r="R37" s="19">
        <v>45749</v>
      </c>
      <c r="S37" s="19">
        <v>45750</v>
      </c>
      <c r="T37" s="19"/>
      <c r="U37" s="19"/>
      <c r="V37" s="19">
        <v>45758</v>
      </c>
      <c r="W37" s="11" t="s">
        <v>90</v>
      </c>
      <c r="X37" s="28" t="str">
        <f>IF(STAT[[#This Row],[sigla]]="","",VLOOKUP(STAT[[#This Row],[sigla]],CRÉDITOS_GERAIS4[[#All],[SIGLA ARTE]:[CRÉDITO A SER PUBLICADO]],2,0))</f>
        <v>Gabriel Brum</v>
      </c>
      <c r="Y37" s="11" t="s">
        <v>13</v>
      </c>
      <c r="Z37" s="11" t="s">
        <v>91</v>
      </c>
      <c r="AA37" s="11">
        <v>14</v>
      </c>
      <c r="AB37" s="18" t="s">
        <v>105</v>
      </c>
      <c r="AC37" s="11" t="s">
        <v>14</v>
      </c>
      <c r="AD37" s="29" t="str">
        <f t="shared" si="0"/>
        <v>Sintonia Educação Infantil P009p</v>
      </c>
      <c r="AE37" s="47" t="str">
        <f t="shared" si="1"/>
        <v>Edinfa</v>
      </c>
      <c r="AF37" s="47"/>
    </row>
    <row r="38" spans="1:32" ht="86.4" x14ac:dyDescent="0.3">
      <c r="A38" s="25" t="s">
        <v>106</v>
      </c>
      <c r="B38" s="11" t="s">
        <v>19</v>
      </c>
      <c r="C38" s="11" t="s">
        <v>7</v>
      </c>
      <c r="D38" s="11" t="s">
        <v>8</v>
      </c>
      <c r="E38" s="11"/>
      <c r="F38" s="11">
        <v>4</v>
      </c>
      <c r="G38" s="11">
        <v>4</v>
      </c>
      <c r="H38" s="11">
        <v>4</v>
      </c>
      <c r="I38" s="20" t="s">
        <v>9</v>
      </c>
      <c r="J38" s="27"/>
      <c r="K38" s="11"/>
      <c r="L38" s="11"/>
      <c r="M38" s="11"/>
      <c r="N38" s="11"/>
      <c r="O38" s="18" t="s">
        <v>107</v>
      </c>
      <c r="P38" s="15"/>
      <c r="Q38" s="11">
        <v>7</v>
      </c>
      <c r="R38" s="19">
        <v>45749</v>
      </c>
      <c r="S38" s="19">
        <v>45750</v>
      </c>
      <c r="T38" s="19"/>
      <c r="U38" s="19"/>
      <c r="V38" s="19">
        <v>45758</v>
      </c>
      <c r="W38" s="11" t="s">
        <v>90</v>
      </c>
      <c r="X38" s="28" t="str">
        <f>IF(STAT[[#This Row],[sigla]]="","",VLOOKUP(STAT[[#This Row],[sigla]],CRÉDITOS_GERAIS4[[#All],[SIGLA ARTE]:[CRÉDITO A SER PUBLICADO]],2,0))</f>
        <v>Gabriel Brum</v>
      </c>
      <c r="Y38" s="11" t="s">
        <v>13</v>
      </c>
      <c r="Z38" s="11" t="s">
        <v>91</v>
      </c>
      <c r="AA38" s="11">
        <v>14</v>
      </c>
      <c r="AB38" s="18" t="s">
        <v>105</v>
      </c>
      <c r="AC38" s="11" t="s">
        <v>14</v>
      </c>
      <c r="AD38" s="29" t="str">
        <f t="shared" si="0"/>
        <v>Sintonia Educação Infantil P009p</v>
      </c>
      <c r="AE38" s="47" t="str">
        <f t="shared" si="1"/>
        <v>Edinfa</v>
      </c>
      <c r="AF38" s="47"/>
    </row>
    <row r="39" spans="1:32" ht="86.4" x14ac:dyDescent="0.3">
      <c r="A39" s="25" t="s">
        <v>108</v>
      </c>
      <c r="B39" s="11" t="s">
        <v>19</v>
      </c>
      <c r="C39" s="11" t="s">
        <v>7</v>
      </c>
      <c r="D39" s="11" t="s">
        <v>8</v>
      </c>
      <c r="E39" s="11"/>
      <c r="F39" s="11">
        <v>4</v>
      </c>
      <c r="G39" s="11">
        <v>4</v>
      </c>
      <c r="H39" s="11">
        <v>4</v>
      </c>
      <c r="I39" s="20" t="s">
        <v>9</v>
      </c>
      <c r="J39" s="11"/>
      <c r="K39" s="11"/>
      <c r="L39" s="11"/>
      <c r="M39" s="11"/>
      <c r="N39" s="11"/>
      <c r="O39" s="18" t="s">
        <v>109</v>
      </c>
      <c r="P39" s="15"/>
      <c r="Q39" s="11">
        <v>7</v>
      </c>
      <c r="R39" s="19">
        <v>45749</v>
      </c>
      <c r="S39" s="19">
        <v>45750</v>
      </c>
      <c r="T39" s="19"/>
      <c r="U39" s="19"/>
      <c r="V39" s="19">
        <v>45758</v>
      </c>
      <c r="W39" s="11" t="s">
        <v>90</v>
      </c>
      <c r="X39" s="28" t="str">
        <f>IF(STAT[[#This Row],[sigla]]="","",VLOOKUP(STAT[[#This Row],[sigla]],CRÉDITOS_GERAIS4[[#All],[SIGLA ARTE]:[CRÉDITO A SER PUBLICADO]],2,0))</f>
        <v>Gabriel Brum</v>
      </c>
      <c r="Y39" s="11" t="s">
        <v>13</v>
      </c>
      <c r="Z39" s="11" t="s">
        <v>91</v>
      </c>
      <c r="AA39" s="11">
        <v>14</v>
      </c>
      <c r="AB39" s="18" t="s">
        <v>105</v>
      </c>
      <c r="AC39" s="11" t="s">
        <v>14</v>
      </c>
      <c r="AD39" s="29" t="str">
        <f t="shared" si="0"/>
        <v>Sintonia Educação Infantil P009p</v>
      </c>
      <c r="AE39" s="47" t="str">
        <f t="shared" si="1"/>
        <v>Edinfa</v>
      </c>
      <c r="AF39" s="47"/>
    </row>
    <row r="40" spans="1:32" x14ac:dyDescent="0.3">
      <c r="A40" s="14" t="s">
        <v>110</v>
      </c>
      <c r="B40" s="11" t="s">
        <v>19</v>
      </c>
      <c r="C40" s="11" t="s">
        <v>72</v>
      </c>
      <c r="D40" s="11" t="s">
        <v>8</v>
      </c>
      <c r="E40" s="11"/>
      <c r="F40" s="11">
        <v>4</v>
      </c>
      <c r="G40" s="11">
        <v>4</v>
      </c>
      <c r="H40" s="11">
        <v>4</v>
      </c>
      <c r="I40" s="20" t="s">
        <v>9</v>
      </c>
      <c r="J40" s="11"/>
      <c r="K40" s="11"/>
      <c r="L40" s="11"/>
      <c r="M40" s="11"/>
      <c r="N40" s="11"/>
      <c r="O40" s="18" t="s">
        <v>111</v>
      </c>
      <c r="P40" s="15"/>
      <c r="Q40" s="11">
        <v>7</v>
      </c>
      <c r="R40" s="19">
        <v>45749</v>
      </c>
      <c r="S40" s="19">
        <v>45749</v>
      </c>
      <c r="T40" s="19"/>
      <c r="U40" s="19"/>
      <c r="V40" s="19">
        <v>45751</v>
      </c>
      <c r="W40" s="11" t="s">
        <v>12</v>
      </c>
      <c r="X40" s="28" t="str">
        <f>IF(STAT[[#This Row],[sigla]]="","",VLOOKUP(STAT[[#This Row],[sigla]],CRÉDITOS_GERAIS4[[#All],[SIGLA ARTE]:[CRÉDITO A SER PUBLICADO]],2,0))</f>
        <v>Vinícius Costa</v>
      </c>
      <c r="Y40" s="11"/>
      <c r="Z40" s="11" t="s">
        <v>13</v>
      </c>
      <c r="AA40" s="11">
        <v>8</v>
      </c>
      <c r="AB40" s="15"/>
      <c r="AC40" s="11" t="s">
        <v>14</v>
      </c>
      <c r="AD40" s="29" t="str">
        <f t="shared" si="0"/>
        <v>Sintonia Educação Infantil P009p</v>
      </c>
      <c r="AE40" s="47" t="str">
        <f t="shared" si="1"/>
        <v>Edinfa</v>
      </c>
      <c r="AF40" s="47"/>
    </row>
    <row r="41" spans="1:32" ht="158.4" x14ac:dyDescent="0.3">
      <c r="A41" s="14" t="s">
        <v>112</v>
      </c>
      <c r="B41" s="11" t="s">
        <v>19</v>
      </c>
      <c r="C41" s="11" t="s">
        <v>16</v>
      </c>
      <c r="D41" s="11" t="s">
        <v>8</v>
      </c>
      <c r="E41" s="11"/>
      <c r="F41" s="11">
        <v>4</v>
      </c>
      <c r="G41" s="11">
        <v>5</v>
      </c>
      <c r="H41" s="11">
        <v>5</v>
      </c>
      <c r="I41" s="20" t="s">
        <v>9</v>
      </c>
      <c r="J41" s="11"/>
      <c r="K41" s="11"/>
      <c r="L41" s="11"/>
      <c r="M41" s="11"/>
      <c r="N41" s="11"/>
      <c r="O41" s="18" t="s">
        <v>113</v>
      </c>
      <c r="P41" s="15"/>
      <c r="Q41" s="11">
        <v>8</v>
      </c>
      <c r="R41" s="19">
        <v>45750</v>
      </c>
      <c r="S41" s="19">
        <v>45751</v>
      </c>
      <c r="T41" s="19"/>
      <c r="U41" s="19"/>
      <c r="V41" s="19">
        <v>45754</v>
      </c>
      <c r="W41" s="11" t="s">
        <v>25</v>
      </c>
      <c r="X41" s="28" t="str">
        <f>IF(STAT[[#This Row],[sigla]]="","",VLOOKUP(STAT[[#This Row],[sigla]],CRÉDITOS_GERAIS4[[#All],[SIGLA ARTE]:[CRÉDITO A SER PUBLICADO]],2,0))</f>
        <v>Heloísa Pintarelli</v>
      </c>
      <c r="Y41" s="11"/>
      <c r="Z41" s="11" t="s">
        <v>26</v>
      </c>
      <c r="AA41" s="11">
        <v>7</v>
      </c>
      <c r="AB41" s="15" t="s">
        <v>114</v>
      </c>
      <c r="AC41" s="11" t="s">
        <v>28</v>
      </c>
      <c r="AD41" s="29" t="str">
        <f t="shared" si="0"/>
        <v>Sintonia Educação Infantil P009p</v>
      </c>
      <c r="AE41" s="47" t="str">
        <f t="shared" si="1"/>
        <v>Edinfa</v>
      </c>
      <c r="AF41" s="47"/>
    </row>
    <row r="42" spans="1:32" ht="172.8" x14ac:dyDescent="0.3">
      <c r="A42" s="14" t="s">
        <v>115</v>
      </c>
      <c r="B42" s="11" t="s">
        <v>19</v>
      </c>
      <c r="C42" s="11" t="s">
        <v>16</v>
      </c>
      <c r="D42" s="11" t="s">
        <v>8</v>
      </c>
      <c r="E42" s="11"/>
      <c r="F42" s="11">
        <v>4</v>
      </c>
      <c r="G42" s="11">
        <v>5</v>
      </c>
      <c r="H42" s="11">
        <v>5</v>
      </c>
      <c r="I42" s="20" t="s">
        <v>9</v>
      </c>
      <c r="J42" s="11"/>
      <c r="K42" s="11"/>
      <c r="L42" s="11"/>
      <c r="M42" s="11"/>
      <c r="N42" s="11"/>
      <c r="O42" s="18" t="s">
        <v>116</v>
      </c>
      <c r="P42" s="15"/>
      <c r="Q42" s="11">
        <v>8</v>
      </c>
      <c r="R42" s="19">
        <v>45750</v>
      </c>
      <c r="S42" s="19">
        <v>45751</v>
      </c>
      <c r="T42" s="19">
        <v>45754</v>
      </c>
      <c r="U42" s="19">
        <v>45756</v>
      </c>
      <c r="V42" s="19">
        <v>45758</v>
      </c>
      <c r="W42" s="11" t="s">
        <v>44</v>
      </c>
      <c r="X42" s="28" t="str">
        <f>IF(STAT[[#This Row],[sigla]]="","",VLOOKUP(STAT[[#This Row],[sigla]],CRÉDITOS_GERAIS4[[#All],[SIGLA ARTE]:[CRÉDITO A SER PUBLICADO]],2,0))</f>
        <v>Thais Castro</v>
      </c>
      <c r="Y42" s="11"/>
      <c r="Z42" s="11" t="s">
        <v>65</v>
      </c>
      <c r="AA42" s="11">
        <v>5</v>
      </c>
      <c r="AB42" s="15" t="s">
        <v>117</v>
      </c>
      <c r="AC42" s="11" t="s">
        <v>28</v>
      </c>
      <c r="AD42" s="29" t="str">
        <f t="shared" si="0"/>
        <v>Sintonia Educação Infantil P009p</v>
      </c>
      <c r="AE42" s="47" t="str">
        <f t="shared" si="1"/>
        <v>Edinfa</v>
      </c>
      <c r="AF42" s="47"/>
    </row>
    <row r="43" spans="1:32" ht="43.2" x14ac:dyDescent="0.3">
      <c r="A43" s="14" t="s">
        <v>118</v>
      </c>
      <c r="B43" s="11" t="s">
        <v>19</v>
      </c>
      <c r="C43" s="11" t="s">
        <v>16</v>
      </c>
      <c r="D43" s="11" t="s">
        <v>8</v>
      </c>
      <c r="E43" s="11"/>
      <c r="F43" s="11">
        <v>4</v>
      </c>
      <c r="G43" s="11">
        <v>5</v>
      </c>
      <c r="H43" s="11">
        <v>5</v>
      </c>
      <c r="I43" s="20" t="s">
        <v>9</v>
      </c>
      <c r="J43" s="11"/>
      <c r="K43" s="11"/>
      <c r="L43" s="11"/>
      <c r="M43" s="11"/>
      <c r="N43" s="11"/>
      <c r="O43" s="18" t="s">
        <v>119</v>
      </c>
      <c r="P43" s="15"/>
      <c r="Q43" s="11">
        <v>8</v>
      </c>
      <c r="R43" s="19">
        <v>45750</v>
      </c>
      <c r="S43" s="19">
        <v>45751</v>
      </c>
      <c r="T43" s="19">
        <v>45758</v>
      </c>
      <c r="U43" s="19">
        <v>45761</v>
      </c>
      <c r="V43" s="19">
        <v>45763</v>
      </c>
      <c r="W43" s="11" t="s">
        <v>31</v>
      </c>
      <c r="X43" s="28" t="str">
        <f>IF(STAT[[#This Row],[sigla]]="","",VLOOKUP(STAT[[#This Row],[sigla]],CRÉDITOS_GERAIS4[[#All],[SIGLA ARTE]:[CRÉDITO A SER PUBLICADO]],2,0))</f>
        <v>Débora Mini</v>
      </c>
      <c r="Y43" s="11"/>
      <c r="Z43" s="11" t="s">
        <v>32</v>
      </c>
      <c r="AA43" s="11">
        <v>6</v>
      </c>
      <c r="AB43" s="15" t="s">
        <v>120</v>
      </c>
      <c r="AC43" s="11" t="s">
        <v>28</v>
      </c>
      <c r="AD43" s="29" t="str">
        <f t="shared" si="0"/>
        <v>Sintonia Educação Infantil P009p</v>
      </c>
      <c r="AE43" s="47" t="str">
        <f t="shared" si="1"/>
        <v>Edinfa</v>
      </c>
      <c r="AF43" s="47"/>
    </row>
    <row r="44" spans="1:32" ht="121.5" customHeight="1" x14ac:dyDescent="0.3">
      <c r="A44" s="14" t="s">
        <v>121</v>
      </c>
      <c r="B44" s="11" t="s">
        <v>19</v>
      </c>
      <c r="C44" s="11" t="s">
        <v>7</v>
      </c>
      <c r="D44" s="11" t="s">
        <v>8</v>
      </c>
      <c r="E44" s="11"/>
      <c r="F44" s="11">
        <v>4</v>
      </c>
      <c r="G44" s="11">
        <v>5</v>
      </c>
      <c r="H44" s="11">
        <v>5</v>
      </c>
      <c r="I44" s="20" t="s">
        <v>9</v>
      </c>
      <c r="J44" s="11"/>
      <c r="K44" s="11"/>
      <c r="L44" s="11"/>
      <c r="M44" s="11"/>
      <c r="N44" s="11"/>
      <c r="O44" s="18" t="s">
        <v>122</v>
      </c>
      <c r="P44" s="15"/>
      <c r="Q44" s="11">
        <v>8</v>
      </c>
      <c r="R44" s="19">
        <v>45750</v>
      </c>
      <c r="S44" s="19">
        <v>45750</v>
      </c>
      <c r="T44" s="19"/>
      <c r="U44" s="19"/>
      <c r="V44" s="19">
        <v>45754</v>
      </c>
      <c r="W44" s="11" t="s">
        <v>123</v>
      </c>
      <c r="X44" s="28" t="str">
        <f>IF(STAT[[#This Row],[sigla]]="","",VLOOKUP(STAT[[#This Row],[sigla]],CRÉDITOS_GERAIS4[[#All],[SIGLA ARTE]:[CRÉDITO A SER PUBLICADO]],2,0))</f>
        <v>Tatiane Galheiro</v>
      </c>
      <c r="Y44" s="11"/>
      <c r="Z44" s="11" t="s">
        <v>124</v>
      </c>
      <c r="AA44" s="11">
        <v>14</v>
      </c>
      <c r="AB44" s="15" t="s">
        <v>125</v>
      </c>
      <c r="AC44" s="11" t="s">
        <v>14</v>
      </c>
      <c r="AD44" s="29" t="str">
        <f t="shared" si="0"/>
        <v>Sintonia Educação Infantil P009p</v>
      </c>
      <c r="AE44" s="47" t="str">
        <f t="shared" si="1"/>
        <v>Edinfa</v>
      </c>
      <c r="AF44" s="47"/>
    </row>
    <row r="45" spans="1:32" ht="144" x14ac:dyDescent="0.3">
      <c r="A45" s="14" t="s">
        <v>126</v>
      </c>
      <c r="B45" s="11" t="s">
        <v>19</v>
      </c>
      <c r="C45" s="11" t="s">
        <v>7</v>
      </c>
      <c r="D45" s="11" t="s">
        <v>8</v>
      </c>
      <c r="E45" s="11"/>
      <c r="F45" s="11">
        <v>4</v>
      </c>
      <c r="G45" s="11">
        <v>5</v>
      </c>
      <c r="H45" s="11">
        <v>5</v>
      </c>
      <c r="I45" s="20" t="s">
        <v>9</v>
      </c>
      <c r="J45" s="27"/>
      <c r="K45" s="11"/>
      <c r="L45" s="11"/>
      <c r="M45" s="11"/>
      <c r="N45" s="11"/>
      <c r="O45" s="18" t="s">
        <v>127</v>
      </c>
      <c r="P45" s="15"/>
      <c r="Q45" s="11">
        <v>8</v>
      </c>
      <c r="R45" s="19">
        <v>45750</v>
      </c>
      <c r="S45" s="19">
        <v>45750</v>
      </c>
      <c r="T45" s="19"/>
      <c r="U45" s="19"/>
      <c r="V45" s="19">
        <v>45754</v>
      </c>
      <c r="W45" s="11" t="s">
        <v>123</v>
      </c>
      <c r="X45" s="28" t="str">
        <f>IF(STAT[[#This Row],[sigla]]="","",VLOOKUP(STAT[[#This Row],[sigla]],CRÉDITOS_GERAIS4[[#All],[SIGLA ARTE]:[CRÉDITO A SER PUBLICADO]],2,0))</f>
        <v>Tatiane Galheiro</v>
      </c>
      <c r="Y45" s="11"/>
      <c r="Z45" s="11" t="s">
        <v>124</v>
      </c>
      <c r="AA45" s="11">
        <v>14</v>
      </c>
      <c r="AB45" s="15" t="s">
        <v>125</v>
      </c>
      <c r="AC45" s="11" t="s">
        <v>14</v>
      </c>
      <c r="AD45" s="29" t="str">
        <f t="shared" si="0"/>
        <v>Sintonia Educação Infantil P009p</v>
      </c>
      <c r="AE45" s="47" t="str">
        <f t="shared" si="1"/>
        <v>Edinfa</v>
      </c>
      <c r="AF45" s="47"/>
    </row>
    <row r="46" spans="1:32" ht="57.6" x14ac:dyDescent="0.3">
      <c r="A46" s="14" t="s">
        <v>128</v>
      </c>
      <c r="B46" s="11" t="s">
        <v>19</v>
      </c>
      <c r="C46" s="11" t="s">
        <v>16</v>
      </c>
      <c r="D46" s="11" t="s">
        <v>8</v>
      </c>
      <c r="E46" s="11">
        <v>88</v>
      </c>
      <c r="F46" s="11">
        <v>4</v>
      </c>
      <c r="G46" s="11">
        <v>6</v>
      </c>
      <c r="H46" s="11">
        <v>6</v>
      </c>
      <c r="I46" s="20" t="s">
        <v>9</v>
      </c>
      <c r="J46" s="27"/>
      <c r="K46" s="11"/>
      <c r="L46" s="11"/>
      <c r="M46" s="11"/>
      <c r="N46" s="11"/>
      <c r="O46" s="18" t="s">
        <v>129</v>
      </c>
      <c r="P46" s="15"/>
      <c r="Q46" s="11">
        <v>9</v>
      </c>
      <c r="R46" s="19">
        <v>45755</v>
      </c>
      <c r="S46" s="19">
        <v>45756</v>
      </c>
      <c r="T46" s="19">
        <v>45758</v>
      </c>
      <c r="U46" s="19">
        <v>45761</v>
      </c>
      <c r="V46" s="19">
        <v>45762</v>
      </c>
      <c r="W46" s="11" t="s">
        <v>130</v>
      </c>
      <c r="X46" s="28" t="str">
        <f>IF(STAT[[#This Row],[sigla]]="","",VLOOKUP(STAT[[#This Row],[sigla]],CRÉDITOS_GERAIS4[[#All],[SIGLA ARTE]:[CRÉDITO A SER PUBLICADO]],2,0))</f>
        <v>Bianca Tavares</v>
      </c>
      <c r="Y46" s="11"/>
      <c r="Z46" s="11" t="s">
        <v>131</v>
      </c>
      <c r="AA46" s="11">
        <v>5</v>
      </c>
      <c r="AB46" s="15" t="s">
        <v>58</v>
      </c>
      <c r="AC46" s="11" t="s">
        <v>28</v>
      </c>
      <c r="AD46" s="29" t="str">
        <f t="shared" si="0"/>
        <v>Sintonia Educação Infantil P009p</v>
      </c>
      <c r="AE46" s="47" t="str">
        <f t="shared" si="1"/>
        <v>Edinfa</v>
      </c>
      <c r="AF46" s="47"/>
    </row>
    <row r="47" spans="1:32" ht="28.8" x14ac:dyDescent="0.3">
      <c r="A47" s="14" t="s">
        <v>132</v>
      </c>
      <c r="B47" s="11" t="s">
        <v>19</v>
      </c>
      <c r="C47" s="11" t="s">
        <v>16</v>
      </c>
      <c r="D47" s="11" t="s">
        <v>8</v>
      </c>
      <c r="E47" s="11">
        <v>91</v>
      </c>
      <c r="F47" s="11">
        <v>4</v>
      </c>
      <c r="G47" s="11">
        <v>6</v>
      </c>
      <c r="H47" s="11">
        <v>6</v>
      </c>
      <c r="I47" s="20" t="s">
        <v>9</v>
      </c>
      <c r="J47" s="27"/>
      <c r="K47" s="11"/>
      <c r="L47" s="11"/>
      <c r="M47" s="11"/>
      <c r="N47" s="11"/>
      <c r="O47" s="18" t="s">
        <v>133</v>
      </c>
      <c r="P47" s="15"/>
      <c r="Q47" s="11">
        <v>9</v>
      </c>
      <c r="R47" s="19">
        <v>45755</v>
      </c>
      <c r="S47" s="19">
        <v>45755</v>
      </c>
      <c r="T47" s="19"/>
      <c r="U47" s="19"/>
      <c r="V47" s="19">
        <v>45757</v>
      </c>
      <c r="W47" s="11" t="s">
        <v>12</v>
      </c>
      <c r="X47" s="28" t="str">
        <f>IF(STAT[[#This Row],[sigla]]="","",VLOOKUP(STAT[[#This Row],[sigla]],CRÉDITOS_GERAIS4[[#All],[SIGLA ARTE]:[CRÉDITO A SER PUBLICADO]],2,0))</f>
        <v>Vinícius Costa</v>
      </c>
      <c r="Y47" s="11"/>
      <c r="Z47" s="11" t="s">
        <v>13</v>
      </c>
      <c r="AA47" s="11">
        <v>8</v>
      </c>
      <c r="AB47" s="15"/>
      <c r="AC47" s="11" t="s">
        <v>14</v>
      </c>
      <c r="AD47" s="29" t="str">
        <f t="shared" si="0"/>
        <v>Sintonia Educação Infantil P009p</v>
      </c>
      <c r="AE47" s="47" t="str">
        <f t="shared" si="1"/>
        <v>Edinfa</v>
      </c>
      <c r="AF47" s="47"/>
    </row>
    <row r="48" spans="1:32" ht="28.8" x14ac:dyDescent="0.3">
      <c r="A48" s="14" t="s">
        <v>134</v>
      </c>
      <c r="B48" s="11" t="s">
        <v>19</v>
      </c>
      <c r="C48" s="11" t="s">
        <v>16</v>
      </c>
      <c r="D48" s="11" t="s">
        <v>8</v>
      </c>
      <c r="E48" s="11">
        <v>91</v>
      </c>
      <c r="F48" s="11">
        <v>4</v>
      </c>
      <c r="G48" s="11">
        <v>6</v>
      </c>
      <c r="H48" s="11">
        <v>6</v>
      </c>
      <c r="I48" s="20" t="s">
        <v>9</v>
      </c>
      <c r="J48" s="27"/>
      <c r="K48" s="11"/>
      <c r="L48" s="11"/>
      <c r="M48" s="11"/>
      <c r="N48" s="11"/>
      <c r="O48" s="18" t="s">
        <v>135</v>
      </c>
      <c r="P48" s="15"/>
      <c r="Q48" s="11">
        <v>9</v>
      </c>
      <c r="R48" s="19">
        <v>45755</v>
      </c>
      <c r="S48" s="19">
        <v>45755</v>
      </c>
      <c r="T48" s="19"/>
      <c r="U48" s="19"/>
      <c r="V48" s="19">
        <v>45757</v>
      </c>
      <c r="W48" s="11" t="s">
        <v>12</v>
      </c>
      <c r="X48" s="28" t="str">
        <f>IF(STAT[[#This Row],[sigla]]="","",VLOOKUP(STAT[[#This Row],[sigla]],CRÉDITOS_GERAIS4[[#All],[SIGLA ARTE]:[CRÉDITO A SER PUBLICADO]],2,0))</f>
        <v>Vinícius Costa</v>
      </c>
      <c r="Y48" s="11"/>
      <c r="Z48" s="11" t="s">
        <v>13</v>
      </c>
      <c r="AA48" s="11">
        <v>13</v>
      </c>
      <c r="AB48" s="15"/>
      <c r="AC48" s="11" t="s">
        <v>14</v>
      </c>
      <c r="AD48" s="29" t="str">
        <f t="shared" si="0"/>
        <v>Sintonia Educação Infantil P009p</v>
      </c>
      <c r="AE48" s="47" t="str">
        <f t="shared" si="1"/>
        <v>Edinfa</v>
      </c>
      <c r="AF48" s="47"/>
    </row>
    <row r="49" spans="1:32" ht="28.8" x14ac:dyDescent="0.3">
      <c r="A49" s="14" t="s">
        <v>136</v>
      </c>
      <c r="B49" s="11" t="s">
        <v>19</v>
      </c>
      <c r="C49" s="11" t="s">
        <v>16</v>
      </c>
      <c r="D49" s="11" t="s">
        <v>8</v>
      </c>
      <c r="E49" s="11">
        <v>91</v>
      </c>
      <c r="F49" s="11">
        <v>4</v>
      </c>
      <c r="G49" s="11">
        <v>6</v>
      </c>
      <c r="H49" s="11">
        <v>6</v>
      </c>
      <c r="I49" s="20" t="s">
        <v>9</v>
      </c>
      <c r="J49" s="27"/>
      <c r="K49" s="11"/>
      <c r="L49" s="11"/>
      <c r="M49" s="11"/>
      <c r="N49" s="11"/>
      <c r="O49" s="18" t="s">
        <v>137</v>
      </c>
      <c r="P49" s="15"/>
      <c r="Q49" s="11">
        <v>9</v>
      </c>
      <c r="R49" s="19">
        <v>45755</v>
      </c>
      <c r="S49" s="19">
        <v>45755</v>
      </c>
      <c r="T49" s="19"/>
      <c r="U49" s="19"/>
      <c r="V49" s="19">
        <v>45757</v>
      </c>
      <c r="W49" s="11" t="s">
        <v>12</v>
      </c>
      <c r="X49" s="28" t="str">
        <f>IF(STAT[[#This Row],[sigla]]="","",VLOOKUP(STAT[[#This Row],[sigla]],CRÉDITOS_GERAIS4[[#All],[SIGLA ARTE]:[CRÉDITO A SER PUBLICADO]],2,0))</f>
        <v>Vinícius Costa</v>
      </c>
      <c r="Y49" s="11"/>
      <c r="Z49" s="11" t="s">
        <v>13</v>
      </c>
      <c r="AA49" s="11">
        <v>13</v>
      </c>
      <c r="AB49" s="15"/>
      <c r="AC49" s="11" t="s">
        <v>14</v>
      </c>
      <c r="AD49" s="29" t="str">
        <f t="shared" si="0"/>
        <v>Sintonia Educação Infantil P009p</v>
      </c>
      <c r="AE49" s="47" t="str">
        <f t="shared" si="1"/>
        <v>Edinfa</v>
      </c>
      <c r="AF49" s="47"/>
    </row>
    <row r="50" spans="1:32" ht="28.8" x14ac:dyDescent="0.3">
      <c r="A50" s="14" t="s">
        <v>138</v>
      </c>
      <c r="B50" s="11" t="s">
        <v>19</v>
      </c>
      <c r="C50" s="11" t="s">
        <v>16</v>
      </c>
      <c r="D50" s="11" t="s">
        <v>8</v>
      </c>
      <c r="E50" s="11">
        <v>91</v>
      </c>
      <c r="F50" s="11">
        <v>4</v>
      </c>
      <c r="G50" s="11">
        <v>6</v>
      </c>
      <c r="H50" s="11">
        <v>6</v>
      </c>
      <c r="I50" s="20" t="s">
        <v>9</v>
      </c>
      <c r="J50" s="27"/>
      <c r="K50" s="11"/>
      <c r="L50" s="11"/>
      <c r="M50" s="11"/>
      <c r="N50" s="11"/>
      <c r="O50" s="18" t="s">
        <v>139</v>
      </c>
      <c r="P50" s="15"/>
      <c r="Q50" s="11">
        <v>9</v>
      </c>
      <c r="R50" s="19">
        <v>45755</v>
      </c>
      <c r="S50" s="19">
        <v>45755</v>
      </c>
      <c r="T50" s="19"/>
      <c r="U50" s="19"/>
      <c r="V50" s="19">
        <v>45757</v>
      </c>
      <c r="W50" s="11" t="s">
        <v>12</v>
      </c>
      <c r="X50" s="28" t="str">
        <f>IF(STAT[[#This Row],[sigla]]="","",VLOOKUP(STAT[[#This Row],[sigla]],CRÉDITOS_GERAIS4[[#All],[SIGLA ARTE]:[CRÉDITO A SER PUBLICADO]],2,0))</f>
        <v>Vinícius Costa</v>
      </c>
      <c r="Y50" s="11"/>
      <c r="Z50" s="11" t="s">
        <v>13</v>
      </c>
      <c r="AA50" s="11">
        <v>13</v>
      </c>
      <c r="AB50" s="15"/>
      <c r="AC50" s="11" t="s">
        <v>14</v>
      </c>
      <c r="AD50" s="29" t="str">
        <f t="shared" si="0"/>
        <v>Sintonia Educação Infantil P009p</v>
      </c>
      <c r="AE50" s="47" t="str">
        <f t="shared" si="1"/>
        <v>Edinfa</v>
      </c>
      <c r="AF50" s="47"/>
    </row>
    <row r="51" spans="1:32" ht="72" x14ac:dyDescent="0.3">
      <c r="A51" s="14" t="s">
        <v>140</v>
      </c>
      <c r="B51" s="11" t="s">
        <v>19</v>
      </c>
      <c r="C51" s="11" t="s">
        <v>16</v>
      </c>
      <c r="D51" s="11" t="s">
        <v>8</v>
      </c>
      <c r="E51" s="11">
        <v>93</v>
      </c>
      <c r="F51" s="11">
        <v>4</v>
      </c>
      <c r="G51" s="11">
        <v>6</v>
      </c>
      <c r="H51" s="11">
        <v>6</v>
      </c>
      <c r="I51" s="20" t="s">
        <v>9</v>
      </c>
      <c r="J51" s="27"/>
      <c r="K51" s="11"/>
      <c r="L51" s="11"/>
      <c r="M51" s="11"/>
      <c r="N51" s="11"/>
      <c r="O51" s="18" t="s">
        <v>141</v>
      </c>
      <c r="P51" s="15"/>
      <c r="Q51" s="11">
        <v>9</v>
      </c>
      <c r="R51" s="19">
        <v>45755</v>
      </c>
      <c r="S51" s="19">
        <v>45756</v>
      </c>
      <c r="T51" s="19">
        <v>45758</v>
      </c>
      <c r="U51" s="19">
        <v>45761</v>
      </c>
      <c r="V51" s="19">
        <v>45762</v>
      </c>
      <c r="W51" s="11" t="s">
        <v>130</v>
      </c>
      <c r="X51" s="28" t="str">
        <f>IF(STAT[[#This Row],[sigla]]="","",VLOOKUP(STAT[[#This Row],[sigla]],CRÉDITOS_GERAIS4[[#All],[SIGLA ARTE]:[CRÉDITO A SER PUBLICADO]],2,0))</f>
        <v>Bianca Tavares</v>
      </c>
      <c r="Y51" s="11"/>
      <c r="Z51" s="11" t="s">
        <v>131</v>
      </c>
      <c r="AA51" s="11">
        <v>4</v>
      </c>
      <c r="AB51" s="15" t="s">
        <v>58</v>
      </c>
      <c r="AC51" s="11" t="s">
        <v>28</v>
      </c>
      <c r="AD51" s="29" t="str">
        <f t="shared" si="0"/>
        <v>Sintonia Educação Infantil P009p</v>
      </c>
      <c r="AE51" s="47" t="str">
        <f t="shared" si="1"/>
        <v>Edinfa</v>
      </c>
      <c r="AF51" s="47"/>
    </row>
    <row r="52" spans="1:32" x14ac:dyDescent="0.3">
      <c r="A52" s="14" t="s">
        <v>142</v>
      </c>
      <c r="B52" s="11" t="s">
        <v>19</v>
      </c>
      <c r="C52" s="11" t="s">
        <v>16</v>
      </c>
      <c r="D52" s="11" t="s">
        <v>8</v>
      </c>
      <c r="E52" s="11">
        <v>94</v>
      </c>
      <c r="F52" s="11">
        <v>4</v>
      </c>
      <c r="G52" s="11">
        <v>6</v>
      </c>
      <c r="H52" s="11">
        <v>6</v>
      </c>
      <c r="I52" s="20" t="s">
        <v>9</v>
      </c>
      <c r="J52" s="27"/>
      <c r="K52" s="11"/>
      <c r="L52" s="11"/>
      <c r="M52" s="11"/>
      <c r="N52" s="11"/>
      <c r="O52" s="18" t="s">
        <v>143</v>
      </c>
      <c r="P52" s="15"/>
      <c r="Q52" s="11">
        <v>9</v>
      </c>
      <c r="R52" s="19">
        <v>45755</v>
      </c>
      <c r="S52" s="19">
        <v>45758</v>
      </c>
      <c r="T52" s="19">
        <v>45758</v>
      </c>
      <c r="U52" s="19">
        <v>45761</v>
      </c>
      <c r="V52" s="19">
        <v>45762</v>
      </c>
      <c r="W52" s="11" t="s">
        <v>144</v>
      </c>
      <c r="X52" s="28" t="str">
        <f>IF(STAT[[#This Row],[sigla]]="","",VLOOKUP(STAT[[#This Row],[sigla]],CRÉDITOS_GERAIS4[[#All],[SIGLA ARTE]:[CRÉDITO A SER PUBLICADO]],2,0))</f>
        <v>Clarice Baracho</v>
      </c>
      <c r="Y52" s="11"/>
      <c r="Z52" s="11" t="s">
        <v>145</v>
      </c>
      <c r="AA52" s="11">
        <v>7</v>
      </c>
      <c r="AB52" s="15" t="s">
        <v>146</v>
      </c>
      <c r="AC52" s="11" t="s">
        <v>28</v>
      </c>
      <c r="AD52" s="29" t="str">
        <f t="shared" si="0"/>
        <v>Sintonia Educação Infantil P009p</v>
      </c>
      <c r="AE52" s="47" t="str">
        <f t="shared" si="1"/>
        <v>Edinfa</v>
      </c>
      <c r="AF52" s="47"/>
    </row>
    <row r="53" spans="1:32" x14ac:dyDescent="0.3">
      <c r="A53" s="14" t="s">
        <v>147</v>
      </c>
      <c r="B53" s="11" t="s">
        <v>19</v>
      </c>
      <c r="C53" s="11" t="s">
        <v>16</v>
      </c>
      <c r="D53" s="11" t="s">
        <v>8</v>
      </c>
      <c r="E53" s="11">
        <v>94</v>
      </c>
      <c r="F53" s="11">
        <v>4</v>
      </c>
      <c r="G53" s="11">
        <v>6</v>
      </c>
      <c r="H53" s="11">
        <v>6</v>
      </c>
      <c r="I53" s="20" t="s">
        <v>9</v>
      </c>
      <c r="J53" s="27"/>
      <c r="K53" s="11"/>
      <c r="L53" s="11"/>
      <c r="M53" s="11"/>
      <c r="N53" s="11"/>
      <c r="O53" s="18" t="s">
        <v>148</v>
      </c>
      <c r="P53" s="15"/>
      <c r="Q53" s="11">
        <v>9</v>
      </c>
      <c r="R53" s="19">
        <v>45755</v>
      </c>
      <c r="S53" s="19">
        <v>45758</v>
      </c>
      <c r="T53" s="19">
        <v>45758</v>
      </c>
      <c r="U53" s="19">
        <v>45761</v>
      </c>
      <c r="V53" s="19">
        <v>45762</v>
      </c>
      <c r="W53" s="11" t="s">
        <v>144</v>
      </c>
      <c r="X53" s="28" t="str">
        <f>IF(STAT[[#This Row],[sigla]]="","",VLOOKUP(STAT[[#This Row],[sigla]],CRÉDITOS_GERAIS4[[#All],[SIGLA ARTE]:[CRÉDITO A SER PUBLICADO]],2,0))</f>
        <v>Clarice Baracho</v>
      </c>
      <c r="Y53" s="11"/>
      <c r="Z53" s="11" t="s">
        <v>145</v>
      </c>
      <c r="AA53" s="11">
        <v>8</v>
      </c>
      <c r="AB53" s="15" t="s">
        <v>146</v>
      </c>
      <c r="AC53" s="11" t="s">
        <v>28</v>
      </c>
      <c r="AD53" s="29" t="str">
        <f t="shared" si="0"/>
        <v>Sintonia Educação Infantil P009p</v>
      </c>
      <c r="AE53" s="47" t="str">
        <f t="shared" si="1"/>
        <v>Edinfa</v>
      </c>
      <c r="AF53" s="47"/>
    </row>
    <row r="54" spans="1:32" x14ac:dyDescent="0.3">
      <c r="A54" s="14" t="s">
        <v>149</v>
      </c>
      <c r="B54" s="11" t="s">
        <v>19</v>
      </c>
      <c r="C54" s="11" t="s">
        <v>16</v>
      </c>
      <c r="D54" s="11" t="s">
        <v>8</v>
      </c>
      <c r="E54" s="11">
        <v>94</v>
      </c>
      <c r="F54" s="11">
        <v>4</v>
      </c>
      <c r="G54" s="11">
        <v>6</v>
      </c>
      <c r="H54" s="11">
        <v>6</v>
      </c>
      <c r="I54" s="20" t="s">
        <v>9</v>
      </c>
      <c r="J54" s="27"/>
      <c r="K54" s="11"/>
      <c r="L54" s="11"/>
      <c r="M54" s="11"/>
      <c r="N54" s="11"/>
      <c r="O54" s="18" t="s">
        <v>150</v>
      </c>
      <c r="P54" s="15"/>
      <c r="Q54" s="11">
        <v>9</v>
      </c>
      <c r="R54" s="19">
        <v>45755</v>
      </c>
      <c r="S54" s="19">
        <v>45758</v>
      </c>
      <c r="T54" s="19">
        <v>45758</v>
      </c>
      <c r="U54" s="19">
        <v>45761</v>
      </c>
      <c r="V54" s="19">
        <v>45762</v>
      </c>
      <c r="W54" s="11" t="s">
        <v>144</v>
      </c>
      <c r="X54" s="28" t="str">
        <f>IF(STAT[[#This Row],[sigla]]="","",VLOOKUP(STAT[[#This Row],[sigla]],CRÉDITOS_GERAIS4[[#All],[SIGLA ARTE]:[CRÉDITO A SER PUBLICADO]],2,0))</f>
        <v>Clarice Baracho</v>
      </c>
      <c r="Y54" s="11"/>
      <c r="Z54" s="11" t="s">
        <v>145</v>
      </c>
      <c r="AA54" s="11">
        <v>8</v>
      </c>
      <c r="AB54" s="15" t="s">
        <v>146</v>
      </c>
      <c r="AC54" s="11" t="s">
        <v>28</v>
      </c>
      <c r="AD54" s="29" t="str">
        <f t="shared" si="0"/>
        <v>Sintonia Educação Infantil P009p</v>
      </c>
      <c r="AE54" s="47" t="str">
        <f t="shared" si="1"/>
        <v>Edinfa</v>
      </c>
      <c r="AF54" s="47"/>
    </row>
    <row r="55" spans="1:32" x14ac:dyDescent="0.3">
      <c r="A55" s="14" t="s">
        <v>151</v>
      </c>
      <c r="B55" s="11" t="s">
        <v>19</v>
      </c>
      <c r="C55" s="11" t="s">
        <v>16</v>
      </c>
      <c r="D55" s="11" t="s">
        <v>8</v>
      </c>
      <c r="E55" s="11">
        <v>94</v>
      </c>
      <c r="F55" s="11">
        <v>4</v>
      </c>
      <c r="G55" s="11">
        <v>6</v>
      </c>
      <c r="H55" s="11">
        <v>6</v>
      </c>
      <c r="I55" s="20" t="s">
        <v>9</v>
      </c>
      <c r="J55" s="27"/>
      <c r="K55" s="11"/>
      <c r="L55" s="11"/>
      <c r="M55" s="11"/>
      <c r="N55" s="11"/>
      <c r="O55" s="18" t="s">
        <v>152</v>
      </c>
      <c r="P55" s="15"/>
      <c r="Q55" s="11">
        <v>9</v>
      </c>
      <c r="R55" s="19">
        <v>45755</v>
      </c>
      <c r="S55" s="19">
        <v>45758</v>
      </c>
      <c r="T55" s="19">
        <v>45758</v>
      </c>
      <c r="U55" s="19">
        <v>45761</v>
      </c>
      <c r="V55" s="19">
        <v>45762</v>
      </c>
      <c r="W55" s="11" t="s">
        <v>144</v>
      </c>
      <c r="X55" s="28" t="str">
        <f>IF(STAT[[#This Row],[sigla]]="","",VLOOKUP(STAT[[#This Row],[sigla]],CRÉDITOS_GERAIS4[[#All],[SIGLA ARTE]:[CRÉDITO A SER PUBLICADO]],2,0))</f>
        <v>Clarice Baracho</v>
      </c>
      <c r="Y55" s="11"/>
      <c r="Z55" s="11" t="s">
        <v>145</v>
      </c>
      <c r="AA55" s="11">
        <v>8</v>
      </c>
      <c r="AB55" s="15" t="s">
        <v>146</v>
      </c>
      <c r="AC55" s="11" t="s">
        <v>28</v>
      </c>
      <c r="AD55" s="29" t="str">
        <f t="shared" si="0"/>
        <v>Sintonia Educação Infantil P009p</v>
      </c>
      <c r="AE55" s="47" t="str">
        <f t="shared" si="1"/>
        <v>Edinfa</v>
      </c>
      <c r="AF55" s="47"/>
    </row>
    <row r="56" spans="1:32" x14ac:dyDescent="0.3">
      <c r="A56" s="14" t="s">
        <v>153</v>
      </c>
      <c r="B56" s="11" t="s">
        <v>19</v>
      </c>
      <c r="C56" s="11" t="s">
        <v>16</v>
      </c>
      <c r="D56" s="11" t="s">
        <v>8</v>
      </c>
      <c r="E56" s="11">
        <v>94</v>
      </c>
      <c r="F56" s="11">
        <v>4</v>
      </c>
      <c r="G56" s="11">
        <v>6</v>
      </c>
      <c r="H56" s="11">
        <v>6</v>
      </c>
      <c r="I56" s="20" t="s">
        <v>9</v>
      </c>
      <c r="J56" s="27"/>
      <c r="K56" s="11"/>
      <c r="L56" s="11"/>
      <c r="M56" s="11"/>
      <c r="N56" s="11"/>
      <c r="O56" s="18" t="s">
        <v>154</v>
      </c>
      <c r="P56" s="15"/>
      <c r="Q56" s="11">
        <v>9</v>
      </c>
      <c r="R56" s="19">
        <v>45755</v>
      </c>
      <c r="S56" s="19">
        <v>45758</v>
      </c>
      <c r="T56" s="19">
        <v>45758</v>
      </c>
      <c r="U56" s="19">
        <v>45761</v>
      </c>
      <c r="V56" s="19">
        <v>45762</v>
      </c>
      <c r="W56" s="11" t="s">
        <v>144</v>
      </c>
      <c r="X56" s="28" t="str">
        <f>IF(STAT[[#This Row],[sigla]]="","",VLOOKUP(STAT[[#This Row],[sigla]],CRÉDITOS_GERAIS4[[#All],[SIGLA ARTE]:[CRÉDITO A SER PUBLICADO]],2,0))</f>
        <v>Clarice Baracho</v>
      </c>
      <c r="Y56" s="11"/>
      <c r="Z56" s="11" t="s">
        <v>145</v>
      </c>
      <c r="AA56" s="11">
        <v>8</v>
      </c>
      <c r="AB56" s="15" t="s">
        <v>146</v>
      </c>
      <c r="AC56" s="11" t="s">
        <v>28</v>
      </c>
      <c r="AD56" s="29" t="str">
        <f t="shared" si="0"/>
        <v>Sintonia Educação Infantil P009p</v>
      </c>
      <c r="AE56" s="47" t="str">
        <f t="shared" si="1"/>
        <v>Edinfa</v>
      </c>
      <c r="AF56" s="47"/>
    </row>
    <row r="57" spans="1:32" ht="72" x14ac:dyDescent="0.3">
      <c r="A57" s="14" t="s">
        <v>155</v>
      </c>
      <c r="B57" s="22" t="s">
        <v>156</v>
      </c>
      <c r="C57" s="11" t="s">
        <v>7</v>
      </c>
      <c r="D57" s="11" t="s">
        <v>8</v>
      </c>
      <c r="E57" s="11">
        <v>5</v>
      </c>
      <c r="F57" s="11">
        <v>5</v>
      </c>
      <c r="G57" s="11">
        <v>1</v>
      </c>
      <c r="H57" s="11">
        <v>1</v>
      </c>
      <c r="I57" s="20" t="s">
        <v>9</v>
      </c>
      <c r="J57" s="27"/>
      <c r="K57" s="11"/>
      <c r="L57" s="11"/>
      <c r="M57" s="11"/>
      <c r="N57" s="11"/>
      <c r="O57" s="18" t="s">
        <v>157</v>
      </c>
      <c r="P57" s="18"/>
      <c r="Q57" s="11">
        <v>13</v>
      </c>
      <c r="R57" s="19">
        <v>45777</v>
      </c>
      <c r="S57" s="19">
        <v>45777</v>
      </c>
      <c r="T57" s="19"/>
      <c r="U57" s="19"/>
      <c r="V57" s="19">
        <v>45782</v>
      </c>
      <c r="W57" s="11" t="s">
        <v>158</v>
      </c>
      <c r="X57" s="28" t="str">
        <f>IF(STAT[[#This Row],[sigla]]="","",VLOOKUP(STAT[[#This Row],[sigla]],CRÉDITOS_GERAIS4[[#All],[SIGLA ARTE]:[CRÉDITO A SER PUBLICADO]],2,0))</f>
        <v>Rafaela Panissa</v>
      </c>
      <c r="Y57" s="11"/>
      <c r="Z57" s="35" t="e">
        <f>IF(STAT[[#This Row],[sigla]]="","",VLOOKUP(STAT[[#This Row],[sigla]],#REF!,2,0))</f>
        <v>#REF!</v>
      </c>
      <c r="AA57" s="11">
        <v>8</v>
      </c>
      <c r="AB57" s="15" t="s">
        <v>159</v>
      </c>
      <c r="AC57" s="11" t="s">
        <v>14</v>
      </c>
      <c r="AD57" s="29" t="str">
        <f t="shared" si="0"/>
        <v>Sintonia Educação Infantil P009p</v>
      </c>
      <c r="AE57" s="47" t="str">
        <f t="shared" si="1"/>
        <v>Edinfa</v>
      </c>
      <c r="AF57" s="47"/>
    </row>
    <row r="58" spans="1:32" ht="28.8" x14ac:dyDescent="0.3">
      <c r="A58" s="14" t="s">
        <v>160</v>
      </c>
      <c r="B58" s="11" t="s">
        <v>6</v>
      </c>
      <c r="C58" s="11" t="s">
        <v>16</v>
      </c>
      <c r="D58" s="11" t="s">
        <v>8</v>
      </c>
      <c r="E58" s="11">
        <v>6</v>
      </c>
      <c r="F58" s="11">
        <v>5</v>
      </c>
      <c r="G58" s="11">
        <v>1</v>
      </c>
      <c r="H58" s="11">
        <v>1</v>
      </c>
      <c r="I58" s="20" t="s">
        <v>9</v>
      </c>
      <c r="J58" s="27"/>
      <c r="K58" s="11"/>
      <c r="L58" s="11"/>
      <c r="M58" s="11"/>
      <c r="N58" s="11"/>
      <c r="O58" s="18" t="s">
        <v>161</v>
      </c>
      <c r="P58" s="15"/>
      <c r="Q58" s="11">
        <v>10</v>
      </c>
      <c r="R58" s="19">
        <v>45772</v>
      </c>
      <c r="S58" s="19">
        <v>45772</v>
      </c>
      <c r="T58" s="19">
        <v>45775</v>
      </c>
      <c r="U58" s="19">
        <v>45775</v>
      </c>
      <c r="V58" s="19">
        <v>45777</v>
      </c>
      <c r="W58" s="11" t="s">
        <v>144</v>
      </c>
      <c r="X58" s="28" t="str">
        <f>IF(STAT[[#This Row],[sigla]]="","",VLOOKUP(STAT[[#This Row],[sigla]],CRÉDITOS_GERAIS4[[#All],[SIGLA ARTE]:[CRÉDITO A SER PUBLICADO]],2,0))</f>
        <v>Clarice Baracho</v>
      </c>
      <c r="Y58" s="11"/>
      <c r="Z58" s="11" t="s">
        <v>145</v>
      </c>
      <c r="AA58" s="11">
        <v>7</v>
      </c>
      <c r="AB58" s="15" t="s">
        <v>162</v>
      </c>
      <c r="AC58" s="11" t="s">
        <v>28</v>
      </c>
      <c r="AD58" s="29" t="str">
        <f t="shared" si="0"/>
        <v>Sintonia Educação Infantil P009p</v>
      </c>
      <c r="AE58" s="47" t="str">
        <f t="shared" si="1"/>
        <v>Edinfa</v>
      </c>
      <c r="AF58" s="47"/>
    </row>
    <row r="59" spans="1:32" ht="57.6" x14ac:dyDescent="0.3">
      <c r="A59" s="14" t="s">
        <v>163</v>
      </c>
      <c r="B59" s="11" t="s">
        <v>6</v>
      </c>
      <c r="C59" s="11" t="s">
        <v>16</v>
      </c>
      <c r="D59" s="11" t="s">
        <v>8</v>
      </c>
      <c r="E59" s="11">
        <v>8</v>
      </c>
      <c r="F59" s="11">
        <v>5</v>
      </c>
      <c r="G59" s="11">
        <v>1</v>
      </c>
      <c r="H59" s="11">
        <v>1</v>
      </c>
      <c r="I59" s="20" t="s">
        <v>9</v>
      </c>
      <c r="J59" s="27"/>
      <c r="K59" s="11"/>
      <c r="L59" s="11"/>
      <c r="M59" s="11"/>
      <c r="N59" s="11"/>
      <c r="O59" s="18" t="s">
        <v>164</v>
      </c>
      <c r="P59" s="15"/>
      <c r="Q59" s="11">
        <v>10</v>
      </c>
      <c r="R59" s="19">
        <v>45772</v>
      </c>
      <c r="S59" s="19">
        <v>45772</v>
      </c>
      <c r="T59" s="19">
        <v>45775</v>
      </c>
      <c r="U59" s="19">
        <v>45775</v>
      </c>
      <c r="V59" s="19">
        <v>45777</v>
      </c>
      <c r="W59" s="11" t="s">
        <v>144</v>
      </c>
      <c r="X59" s="28" t="str">
        <f>IF(STAT[[#This Row],[sigla]]="","",VLOOKUP(STAT[[#This Row],[sigla]],CRÉDITOS_GERAIS4[[#All],[SIGLA ARTE]:[CRÉDITO A SER PUBLICADO]],2,0))</f>
        <v>Clarice Baracho</v>
      </c>
      <c r="Y59" s="11"/>
      <c r="Z59" s="11" t="s">
        <v>145</v>
      </c>
      <c r="AA59" s="11">
        <v>8</v>
      </c>
      <c r="AB59" s="15" t="s">
        <v>162</v>
      </c>
      <c r="AC59" s="11" t="s">
        <v>28</v>
      </c>
      <c r="AD59" s="29" t="str">
        <f t="shared" si="0"/>
        <v>Sintonia Educação Infantil P009p</v>
      </c>
      <c r="AE59" s="47" t="str">
        <f t="shared" si="1"/>
        <v>Edinfa</v>
      </c>
      <c r="AF59" s="47"/>
    </row>
    <row r="60" spans="1:32" ht="75" customHeight="1" x14ac:dyDescent="0.3">
      <c r="A60" s="14" t="s">
        <v>165</v>
      </c>
      <c r="B60" s="11" t="s">
        <v>6</v>
      </c>
      <c r="C60" s="11" t="s">
        <v>16</v>
      </c>
      <c r="D60" s="11" t="s">
        <v>8</v>
      </c>
      <c r="E60" s="11">
        <v>8</v>
      </c>
      <c r="F60" s="11">
        <v>5</v>
      </c>
      <c r="G60" s="11">
        <v>1</v>
      </c>
      <c r="H60" s="11">
        <v>1</v>
      </c>
      <c r="I60" s="20" t="s">
        <v>9</v>
      </c>
      <c r="J60" s="27"/>
      <c r="K60" s="11"/>
      <c r="L60" s="11"/>
      <c r="M60" s="11"/>
      <c r="N60" s="11"/>
      <c r="O60" s="18" t="s">
        <v>166</v>
      </c>
      <c r="P60" s="15"/>
      <c r="Q60" s="11">
        <v>10</v>
      </c>
      <c r="R60" s="19">
        <v>45772</v>
      </c>
      <c r="S60" s="19">
        <v>45772</v>
      </c>
      <c r="T60" s="19">
        <v>45775</v>
      </c>
      <c r="U60" s="19">
        <v>45775</v>
      </c>
      <c r="V60" s="19">
        <v>45777</v>
      </c>
      <c r="W60" s="11" t="s">
        <v>144</v>
      </c>
      <c r="X60" s="28" t="str">
        <f>IF(STAT[[#This Row],[sigla]]="","",VLOOKUP(STAT[[#This Row],[sigla]],CRÉDITOS_GERAIS4[[#All],[SIGLA ARTE]:[CRÉDITO A SER PUBLICADO]],2,0))</f>
        <v>Clarice Baracho</v>
      </c>
      <c r="Y60" s="11"/>
      <c r="Z60" s="11" t="s">
        <v>145</v>
      </c>
      <c r="AA60" s="11">
        <v>8</v>
      </c>
      <c r="AB60" s="15" t="s">
        <v>162</v>
      </c>
      <c r="AC60" s="11" t="s">
        <v>28</v>
      </c>
      <c r="AD60" s="29" t="str">
        <f t="shared" si="0"/>
        <v>Sintonia Educação Infantil P009p</v>
      </c>
      <c r="AE60" s="47" t="str">
        <f t="shared" si="1"/>
        <v>Edinfa</v>
      </c>
      <c r="AF60" s="47"/>
    </row>
    <row r="61" spans="1:32" ht="72" x14ac:dyDescent="0.3">
      <c r="A61" s="14" t="s">
        <v>167</v>
      </c>
      <c r="B61" s="11" t="s">
        <v>6</v>
      </c>
      <c r="C61" s="11" t="s">
        <v>16</v>
      </c>
      <c r="D61" s="11" t="s">
        <v>8</v>
      </c>
      <c r="E61" s="11">
        <v>10</v>
      </c>
      <c r="F61" s="11">
        <v>5</v>
      </c>
      <c r="G61" s="11">
        <v>1</v>
      </c>
      <c r="H61" s="11">
        <v>1</v>
      </c>
      <c r="I61" s="20" t="s">
        <v>9</v>
      </c>
      <c r="J61" s="27"/>
      <c r="K61" s="11"/>
      <c r="L61" s="11"/>
      <c r="M61" s="11"/>
      <c r="N61" s="11"/>
      <c r="O61" s="18" t="s">
        <v>168</v>
      </c>
      <c r="P61" s="15"/>
      <c r="Q61" s="11">
        <v>10</v>
      </c>
      <c r="R61" s="19">
        <v>45772</v>
      </c>
      <c r="S61" s="19">
        <v>45772</v>
      </c>
      <c r="T61" s="19">
        <v>45775</v>
      </c>
      <c r="U61" s="19">
        <v>45775</v>
      </c>
      <c r="V61" s="19">
        <v>45777</v>
      </c>
      <c r="W61" s="11" t="s">
        <v>144</v>
      </c>
      <c r="X61" s="28" t="str">
        <f>IF(STAT[[#This Row],[sigla]]="","",VLOOKUP(STAT[[#This Row],[sigla]],CRÉDITOS_GERAIS4[[#All],[SIGLA ARTE]:[CRÉDITO A SER PUBLICADO]],2,0))</f>
        <v>Clarice Baracho</v>
      </c>
      <c r="Y61" s="11"/>
      <c r="Z61" s="11" t="s">
        <v>145</v>
      </c>
      <c r="AA61" s="11">
        <v>6</v>
      </c>
      <c r="AB61" s="15" t="s">
        <v>162</v>
      </c>
      <c r="AC61" s="11" t="s">
        <v>28</v>
      </c>
      <c r="AD61" s="29" t="str">
        <f t="shared" si="0"/>
        <v>Sintonia Educação Infantil P009p</v>
      </c>
      <c r="AE61" s="47" t="str">
        <f t="shared" si="1"/>
        <v>Edinfa</v>
      </c>
      <c r="AF61" s="47"/>
    </row>
    <row r="62" spans="1:32" ht="28.8" x14ac:dyDescent="0.3">
      <c r="A62" s="14" t="s">
        <v>169</v>
      </c>
      <c r="B62" s="11" t="s">
        <v>6</v>
      </c>
      <c r="C62" s="11" t="s">
        <v>16</v>
      </c>
      <c r="D62" s="11" t="s">
        <v>8</v>
      </c>
      <c r="E62" s="11">
        <v>12</v>
      </c>
      <c r="F62" s="11">
        <v>5</v>
      </c>
      <c r="G62" s="11">
        <v>1</v>
      </c>
      <c r="H62" s="11">
        <v>1</v>
      </c>
      <c r="I62" s="20" t="s">
        <v>9</v>
      </c>
      <c r="J62" s="27"/>
      <c r="K62" s="11"/>
      <c r="L62" s="11"/>
      <c r="M62" s="11"/>
      <c r="N62" s="11"/>
      <c r="O62" s="18" t="s">
        <v>170</v>
      </c>
      <c r="P62" s="15"/>
      <c r="Q62" s="11">
        <v>10</v>
      </c>
      <c r="R62" s="19">
        <v>45772</v>
      </c>
      <c r="S62" s="19">
        <v>45772</v>
      </c>
      <c r="T62" s="19">
        <v>45777</v>
      </c>
      <c r="U62" s="19">
        <v>45777</v>
      </c>
      <c r="V62" s="19">
        <v>45782</v>
      </c>
      <c r="W62" s="11" t="s">
        <v>31</v>
      </c>
      <c r="X62" s="28" t="str">
        <f>IF(STAT[[#This Row],[sigla]]="","",VLOOKUP(STAT[[#This Row],[sigla]],CRÉDITOS_GERAIS4[[#All],[SIGLA ARTE]:[CRÉDITO A SER PUBLICADO]],2,0))</f>
        <v>Débora Mini</v>
      </c>
      <c r="Y62" s="11"/>
      <c r="Z62" s="11" t="s">
        <v>32</v>
      </c>
      <c r="AA62" s="11">
        <v>7</v>
      </c>
      <c r="AB62" s="15" t="s">
        <v>171</v>
      </c>
      <c r="AC62" s="11" t="s">
        <v>28</v>
      </c>
      <c r="AD62" s="29" t="str">
        <f t="shared" si="0"/>
        <v>Sintonia Educação Infantil P009p</v>
      </c>
      <c r="AE62" s="47" t="str">
        <f t="shared" si="1"/>
        <v>Edinfa</v>
      </c>
      <c r="AF62" s="47"/>
    </row>
    <row r="63" spans="1:32" x14ac:dyDescent="0.3">
      <c r="A63" s="14" t="s">
        <v>172</v>
      </c>
      <c r="B63" s="11" t="s">
        <v>6</v>
      </c>
      <c r="C63" s="11" t="s">
        <v>16</v>
      </c>
      <c r="D63" s="11" t="s">
        <v>8</v>
      </c>
      <c r="E63" s="11">
        <v>18</v>
      </c>
      <c r="F63" s="11">
        <v>5</v>
      </c>
      <c r="G63" s="11">
        <v>1</v>
      </c>
      <c r="H63" s="11">
        <v>1</v>
      </c>
      <c r="I63" s="20" t="s">
        <v>9</v>
      </c>
      <c r="J63" s="27"/>
      <c r="K63" s="11"/>
      <c r="L63" s="11"/>
      <c r="M63" s="11"/>
      <c r="N63" s="11"/>
      <c r="O63" s="18" t="s">
        <v>173</v>
      </c>
      <c r="P63" s="15"/>
      <c r="Q63" s="11">
        <v>10</v>
      </c>
      <c r="R63" s="19">
        <v>45772</v>
      </c>
      <c r="S63" s="19">
        <v>45772</v>
      </c>
      <c r="T63" s="19"/>
      <c r="U63" s="19"/>
      <c r="V63" s="19">
        <v>45782</v>
      </c>
      <c r="W63" s="11" t="s">
        <v>31</v>
      </c>
      <c r="X63" s="28" t="str">
        <f>IF(STAT[[#This Row],[sigla]]="","",VLOOKUP(STAT[[#This Row],[sigla]],CRÉDITOS_GERAIS4[[#All],[SIGLA ARTE]:[CRÉDITO A SER PUBLICADO]],2,0))</f>
        <v>Débora Mini</v>
      </c>
      <c r="Y63" s="11" t="s">
        <v>13</v>
      </c>
      <c r="Z63" s="11" t="s">
        <v>32</v>
      </c>
      <c r="AA63" s="11">
        <v>14</v>
      </c>
      <c r="AB63" s="15" t="s">
        <v>174</v>
      </c>
      <c r="AC63" s="11" t="s">
        <v>14</v>
      </c>
      <c r="AD63" s="29" t="str">
        <f t="shared" si="0"/>
        <v>Sintonia Educação Infantil P009p</v>
      </c>
      <c r="AE63" s="47" t="str">
        <f t="shared" si="1"/>
        <v>Edinfa</v>
      </c>
      <c r="AF63" s="47"/>
    </row>
    <row r="64" spans="1:32" x14ac:dyDescent="0.3">
      <c r="A64" s="14" t="s">
        <v>175</v>
      </c>
      <c r="B64" s="11" t="s">
        <v>6</v>
      </c>
      <c r="C64" s="11" t="s">
        <v>16</v>
      </c>
      <c r="D64" s="11" t="s">
        <v>8</v>
      </c>
      <c r="E64" s="11">
        <v>18</v>
      </c>
      <c r="F64" s="11">
        <v>5</v>
      </c>
      <c r="G64" s="11">
        <v>1</v>
      </c>
      <c r="H64" s="11">
        <v>1</v>
      </c>
      <c r="I64" s="20" t="s">
        <v>9</v>
      </c>
      <c r="J64" s="27"/>
      <c r="K64" s="11"/>
      <c r="L64" s="11"/>
      <c r="M64" s="11"/>
      <c r="N64" s="11"/>
      <c r="O64" s="18" t="s">
        <v>176</v>
      </c>
      <c r="P64" s="15"/>
      <c r="Q64" s="11">
        <v>10</v>
      </c>
      <c r="R64" s="19">
        <v>45772</v>
      </c>
      <c r="S64" s="19">
        <v>45772</v>
      </c>
      <c r="T64" s="19"/>
      <c r="U64" s="19"/>
      <c r="V64" s="19">
        <v>45782</v>
      </c>
      <c r="W64" s="11" t="s">
        <v>31</v>
      </c>
      <c r="X64" s="28" t="str">
        <f>IF(STAT[[#This Row],[sigla]]="","",VLOOKUP(STAT[[#This Row],[sigla]],CRÉDITOS_GERAIS4[[#All],[SIGLA ARTE]:[CRÉDITO A SER PUBLICADO]],2,0))</f>
        <v>Débora Mini</v>
      </c>
      <c r="Y64" s="11" t="s">
        <v>13</v>
      </c>
      <c r="Z64" s="11" t="s">
        <v>32</v>
      </c>
      <c r="AA64" s="11">
        <v>14</v>
      </c>
      <c r="AB64" s="15" t="s">
        <v>174</v>
      </c>
      <c r="AC64" s="11" t="s">
        <v>14</v>
      </c>
      <c r="AD64" s="29" t="str">
        <f t="shared" si="0"/>
        <v>Sintonia Educação Infantil P009p</v>
      </c>
      <c r="AE64" s="47" t="str">
        <f t="shared" si="1"/>
        <v>Edinfa</v>
      </c>
      <c r="AF64" s="47"/>
    </row>
    <row r="65" spans="1:32" x14ac:dyDescent="0.3">
      <c r="A65" s="14" t="s">
        <v>177</v>
      </c>
      <c r="B65" s="11" t="s">
        <v>6</v>
      </c>
      <c r="C65" s="11" t="s">
        <v>16</v>
      </c>
      <c r="D65" s="11" t="s">
        <v>8</v>
      </c>
      <c r="E65" s="11">
        <v>18</v>
      </c>
      <c r="F65" s="11">
        <v>5</v>
      </c>
      <c r="G65" s="11">
        <v>1</v>
      </c>
      <c r="H65" s="11">
        <v>1</v>
      </c>
      <c r="I65" s="20" t="s">
        <v>9</v>
      </c>
      <c r="J65" s="27"/>
      <c r="K65" s="11"/>
      <c r="L65" s="11"/>
      <c r="M65" s="11"/>
      <c r="N65" s="11"/>
      <c r="O65" s="18" t="s">
        <v>178</v>
      </c>
      <c r="P65" s="15"/>
      <c r="Q65" s="11">
        <v>10</v>
      </c>
      <c r="R65" s="19">
        <v>45772</v>
      </c>
      <c r="S65" s="19">
        <v>45772</v>
      </c>
      <c r="T65" s="19"/>
      <c r="U65" s="19"/>
      <c r="V65" s="19">
        <v>45782</v>
      </c>
      <c r="W65" s="11" t="s">
        <v>31</v>
      </c>
      <c r="X65" s="28" t="str">
        <f>IF(STAT[[#This Row],[sigla]]="","",VLOOKUP(STAT[[#This Row],[sigla]],CRÉDITOS_GERAIS4[[#All],[SIGLA ARTE]:[CRÉDITO A SER PUBLICADO]],2,0))</f>
        <v>Débora Mini</v>
      </c>
      <c r="Y65" s="11" t="s">
        <v>13</v>
      </c>
      <c r="Z65" s="11" t="s">
        <v>32</v>
      </c>
      <c r="AA65" s="11">
        <v>14</v>
      </c>
      <c r="AB65" s="15" t="s">
        <v>174</v>
      </c>
      <c r="AC65" s="11" t="s">
        <v>14</v>
      </c>
      <c r="AD65" s="29" t="str">
        <f t="shared" si="0"/>
        <v>Sintonia Educação Infantil P009p</v>
      </c>
      <c r="AE65" s="47" t="str">
        <f t="shared" si="1"/>
        <v>Edinfa</v>
      </c>
      <c r="AF65" s="47"/>
    </row>
    <row r="66" spans="1:32" x14ac:dyDescent="0.3">
      <c r="A66" s="14" t="s">
        <v>179</v>
      </c>
      <c r="B66" s="11" t="s">
        <v>6</v>
      </c>
      <c r="C66" s="11" t="s">
        <v>16</v>
      </c>
      <c r="D66" s="11" t="s">
        <v>8</v>
      </c>
      <c r="E66" s="11">
        <v>18</v>
      </c>
      <c r="F66" s="11">
        <v>5</v>
      </c>
      <c r="G66" s="11">
        <v>1</v>
      </c>
      <c r="H66" s="11">
        <v>1</v>
      </c>
      <c r="I66" s="20" t="s">
        <v>9</v>
      </c>
      <c r="J66" s="27"/>
      <c r="K66" s="11"/>
      <c r="L66" s="11"/>
      <c r="M66" s="11"/>
      <c r="N66" s="11"/>
      <c r="O66" s="18" t="s">
        <v>180</v>
      </c>
      <c r="P66" s="15"/>
      <c r="Q66" s="11">
        <v>10</v>
      </c>
      <c r="R66" s="19">
        <v>45772</v>
      </c>
      <c r="S66" s="19">
        <v>45772</v>
      </c>
      <c r="T66" s="19"/>
      <c r="U66" s="19"/>
      <c r="V66" s="19">
        <v>45782</v>
      </c>
      <c r="W66" s="11" t="s">
        <v>31</v>
      </c>
      <c r="X66" s="28" t="str">
        <f>IF(STAT[[#This Row],[sigla]]="","",VLOOKUP(STAT[[#This Row],[sigla]],CRÉDITOS_GERAIS4[[#All],[SIGLA ARTE]:[CRÉDITO A SER PUBLICADO]],2,0))</f>
        <v>Débora Mini</v>
      </c>
      <c r="Y66" s="11" t="s">
        <v>13</v>
      </c>
      <c r="Z66" s="11" t="s">
        <v>32</v>
      </c>
      <c r="AA66" s="11">
        <v>14</v>
      </c>
      <c r="AB66" s="15" t="s">
        <v>174</v>
      </c>
      <c r="AC66" s="11" t="s">
        <v>14</v>
      </c>
      <c r="AD66" s="29" t="str">
        <f t="shared" ref="AD66:AD129" si="2">"Sintonia Educação Infantil P009p"</f>
        <v>Sintonia Educação Infantil P009p</v>
      </c>
      <c r="AE66" s="47" t="str">
        <f t="shared" ref="AE66:AE129" si="3">"Edinfa"</f>
        <v>Edinfa</v>
      </c>
      <c r="AF66" s="47"/>
    </row>
    <row r="67" spans="1:32" x14ac:dyDescent="0.3">
      <c r="A67" s="14" t="s">
        <v>181</v>
      </c>
      <c r="B67" s="11" t="s">
        <v>6</v>
      </c>
      <c r="C67" s="11" t="s">
        <v>16</v>
      </c>
      <c r="D67" s="11" t="s">
        <v>8</v>
      </c>
      <c r="E67" s="11">
        <v>18</v>
      </c>
      <c r="F67" s="11">
        <v>5</v>
      </c>
      <c r="G67" s="11">
        <v>1</v>
      </c>
      <c r="H67" s="11">
        <v>1</v>
      </c>
      <c r="I67" s="20" t="s">
        <v>9</v>
      </c>
      <c r="J67" s="27"/>
      <c r="K67" s="11"/>
      <c r="L67" s="11"/>
      <c r="M67" s="11"/>
      <c r="N67" s="11"/>
      <c r="O67" s="18" t="s">
        <v>182</v>
      </c>
      <c r="P67" s="15"/>
      <c r="Q67" s="11">
        <v>10</v>
      </c>
      <c r="R67" s="19">
        <v>45772</v>
      </c>
      <c r="S67" s="19">
        <v>45772</v>
      </c>
      <c r="T67" s="19"/>
      <c r="U67" s="19"/>
      <c r="V67" s="19">
        <v>45782</v>
      </c>
      <c r="W67" s="11" t="s">
        <v>31</v>
      </c>
      <c r="X67" s="28" t="str">
        <f>IF(STAT[[#This Row],[sigla]]="","",VLOOKUP(STAT[[#This Row],[sigla]],CRÉDITOS_GERAIS4[[#All],[SIGLA ARTE]:[CRÉDITO A SER PUBLICADO]],2,0))</f>
        <v>Débora Mini</v>
      </c>
      <c r="Y67" s="11" t="s">
        <v>13</v>
      </c>
      <c r="Z67" s="11" t="s">
        <v>32</v>
      </c>
      <c r="AA67" s="11">
        <v>14</v>
      </c>
      <c r="AB67" s="15" t="s">
        <v>174</v>
      </c>
      <c r="AC67" s="11" t="s">
        <v>14</v>
      </c>
      <c r="AD67" s="29" t="str">
        <f t="shared" si="2"/>
        <v>Sintonia Educação Infantil P009p</v>
      </c>
      <c r="AE67" s="47" t="str">
        <f t="shared" si="3"/>
        <v>Edinfa</v>
      </c>
      <c r="AF67" s="47"/>
    </row>
    <row r="68" spans="1:32" x14ac:dyDescent="0.3">
      <c r="A68" s="14" t="s">
        <v>183</v>
      </c>
      <c r="B68" s="11" t="s">
        <v>6</v>
      </c>
      <c r="C68" s="11" t="s">
        <v>16</v>
      </c>
      <c r="D68" s="11" t="s">
        <v>8</v>
      </c>
      <c r="E68" s="11">
        <v>18</v>
      </c>
      <c r="F68" s="11">
        <v>5</v>
      </c>
      <c r="G68" s="11">
        <v>1</v>
      </c>
      <c r="H68" s="11">
        <v>1</v>
      </c>
      <c r="I68" s="20" t="s">
        <v>9</v>
      </c>
      <c r="J68" s="27"/>
      <c r="K68" s="11"/>
      <c r="L68" s="11"/>
      <c r="M68" s="11"/>
      <c r="N68" s="11"/>
      <c r="O68" s="18" t="s">
        <v>184</v>
      </c>
      <c r="P68" s="15"/>
      <c r="Q68" s="11">
        <v>10</v>
      </c>
      <c r="R68" s="19">
        <v>45772</v>
      </c>
      <c r="S68" s="19">
        <v>45772</v>
      </c>
      <c r="T68" s="19"/>
      <c r="U68" s="19"/>
      <c r="V68" s="19">
        <v>45782</v>
      </c>
      <c r="W68" s="11" t="s">
        <v>31</v>
      </c>
      <c r="X68" s="28" t="str">
        <f>IF(STAT[[#This Row],[sigla]]="","",VLOOKUP(STAT[[#This Row],[sigla]],CRÉDITOS_GERAIS4[[#All],[SIGLA ARTE]:[CRÉDITO A SER PUBLICADO]],2,0))</f>
        <v>Débora Mini</v>
      </c>
      <c r="Y68" s="11" t="s">
        <v>13</v>
      </c>
      <c r="Z68" s="11" t="s">
        <v>32</v>
      </c>
      <c r="AA68" s="11">
        <v>14</v>
      </c>
      <c r="AB68" s="15" t="s">
        <v>174</v>
      </c>
      <c r="AC68" s="11" t="s">
        <v>14</v>
      </c>
      <c r="AD68" s="29" t="str">
        <f t="shared" si="2"/>
        <v>Sintonia Educação Infantil P009p</v>
      </c>
      <c r="AE68" s="47" t="str">
        <f t="shared" si="3"/>
        <v>Edinfa</v>
      </c>
      <c r="AF68" s="47"/>
    </row>
    <row r="69" spans="1:32" x14ac:dyDescent="0.3">
      <c r="A69" s="14" t="s">
        <v>185</v>
      </c>
      <c r="B69" s="11" t="s">
        <v>6</v>
      </c>
      <c r="C69" s="11" t="s">
        <v>16</v>
      </c>
      <c r="D69" s="11" t="s">
        <v>8</v>
      </c>
      <c r="E69" s="11">
        <v>18</v>
      </c>
      <c r="F69" s="11">
        <v>5</v>
      </c>
      <c r="G69" s="11">
        <v>1</v>
      </c>
      <c r="H69" s="11">
        <v>1</v>
      </c>
      <c r="I69" s="20" t="s">
        <v>9</v>
      </c>
      <c r="J69" s="27"/>
      <c r="K69" s="11"/>
      <c r="L69" s="11"/>
      <c r="M69" s="11"/>
      <c r="N69" s="11"/>
      <c r="O69" s="18" t="s">
        <v>186</v>
      </c>
      <c r="P69" s="15"/>
      <c r="Q69" s="11">
        <v>10</v>
      </c>
      <c r="R69" s="19">
        <v>45772</v>
      </c>
      <c r="S69" s="19">
        <v>45772</v>
      </c>
      <c r="T69" s="19"/>
      <c r="U69" s="19"/>
      <c r="V69" s="19">
        <v>45782</v>
      </c>
      <c r="W69" s="11" t="s">
        <v>31</v>
      </c>
      <c r="X69" s="28" t="str">
        <f>IF(STAT[[#This Row],[sigla]]="","",VLOOKUP(STAT[[#This Row],[sigla]],CRÉDITOS_GERAIS4[[#All],[SIGLA ARTE]:[CRÉDITO A SER PUBLICADO]],2,0))</f>
        <v>Débora Mini</v>
      </c>
      <c r="Y69" s="11" t="s">
        <v>13</v>
      </c>
      <c r="Z69" s="11" t="s">
        <v>32</v>
      </c>
      <c r="AA69" s="11">
        <v>14</v>
      </c>
      <c r="AB69" s="15" t="s">
        <v>174</v>
      </c>
      <c r="AC69" s="11" t="s">
        <v>14</v>
      </c>
      <c r="AD69" s="29" t="str">
        <f t="shared" si="2"/>
        <v>Sintonia Educação Infantil P009p</v>
      </c>
      <c r="AE69" s="47" t="str">
        <f t="shared" si="3"/>
        <v>Edinfa</v>
      </c>
      <c r="AF69" s="47"/>
    </row>
    <row r="70" spans="1:32" ht="148.5" customHeight="1" x14ac:dyDescent="0.3">
      <c r="A70" s="14" t="s">
        <v>187</v>
      </c>
      <c r="B70" s="11" t="s">
        <v>6</v>
      </c>
      <c r="C70" s="11" t="s">
        <v>16</v>
      </c>
      <c r="D70" s="11" t="s">
        <v>8</v>
      </c>
      <c r="E70" s="11">
        <v>18</v>
      </c>
      <c r="F70" s="11">
        <v>5</v>
      </c>
      <c r="G70" s="11">
        <v>1</v>
      </c>
      <c r="H70" s="11">
        <v>1</v>
      </c>
      <c r="I70" s="20" t="s">
        <v>9</v>
      </c>
      <c r="J70" s="27"/>
      <c r="K70" s="11"/>
      <c r="L70" s="11"/>
      <c r="M70" s="11"/>
      <c r="N70" s="11"/>
      <c r="O70" s="18" t="s">
        <v>188</v>
      </c>
      <c r="P70" s="15"/>
      <c r="Q70" s="11">
        <v>10</v>
      </c>
      <c r="R70" s="19">
        <v>45772</v>
      </c>
      <c r="S70" s="19">
        <v>45772</v>
      </c>
      <c r="T70" s="19">
        <v>45777</v>
      </c>
      <c r="U70" s="19">
        <v>45777</v>
      </c>
      <c r="V70" s="19">
        <v>45782</v>
      </c>
      <c r="W70" s="11" t="s">
        <v>31</v>
      </c>
      <c r="X70" s="28" t="str">
        <f>IF(STAT[[#This Row],[sigla]]="","",VLOOKUP(STAT[[#This Row],[sigla]],CRÉDITOS_GERAIS4[[#All],[SIGLA ARTE]:[CRÉDITO A SER PUBLICADO]],2,0))</f>
        <v>Débora Mini</v>
      </c>
      <c r="Y70" s="11"/>
      <c r="Z70" s="11" t="s">
        <v>32</v>
      </c>
      <c r="AA70" s="11">
        <v>5</v>
      </c>
      <c r="AB70" s="15" t="s">
        <v>171</v>
      </c>
      <c r="AC70" s="11" t="s">
        <v>28</v>
      </c>
      <c r="AD70" s="29" t="str">
        <f t="shared" si="2"/>
        <v>Sintonia Educação Infantil P009p</v>
      </c>
      <c r="AE70" s="47" t="str">
        <f t="shared" si="3"/>
        <v>Edinfa</v>
      </c>
      <c r="AF70" s="47"/>
    </row>
    <row r="71" spans="1:32" x14ac:dyDescent="0.3">
      <c r="A71" s="14" t="s">
        <v>189</v>
      </c>
      <c r="B71" s="11" t="s">
        <v>19</v>
      </c>
      <c r="C71" s="11" t="s">
        <v>16</v>
      </c>
      <c r="D71" s="11" t="s">
        <v>8</v>
      </c>
      <c r="E71" s="11">
        <v>90</v>
      </c>
      <c r="F71" s="11">
        <v>5</v>
      </c>
      <c r="G71" s="11">
        <v>6</v>
      </c>
      <c r="H71" s="11">
        <v>6</v>
      </c>
      <c r="I71" s="20" t="s">
        <v>9</v>
      </c>
      <c r="J71" s="27"/>
      <c r="K71" s="11"/>
      <c r="L71" s="11"/>
      <c r="M71" s="11"/>
      <c r="N71" s="11"/>
      <c r="O71" s="18" t="s">
        <v>190</v>
      </c>
      <c r="P71" s="15"/>
      <c r="Q71" s="11">
        <v>11</v>
      </c>
      <c r="R71" s="19">
        <v>45772</v>
      </c>
      <c r="S71" s="19">
        <v>45775</v>
      </c>
      <c r="T71" s="19">
        <v>45777</v>
      </c>
      <c r="U71" s="19">
        <v>45777</v>
      </c>
      <c r="V71" s="19">
        <v>45782</v>
      </c>
      <c r="W71" s="11" t="s">
        <v>90</v>
      </c>
      <c r="X71" s="28" t="str">
        <f>IF(STAT[[#This Row],[sigla]]="","",VLOOKUP(STAT[[#This Row],[sigla]],CRÉDITOS_GERAIS4[[#All],[SIGLA ARTE]:[CRÉDITO A SER PUBLICADO]],2,0))</f>
        <v>Gabriel Brum</v>
      </c>
      <c r="Y71" s="11"/>
      <c r="Z71" s="11" t="s">
        <v>191</v>
      </c>
      <c r="AA71" s="11">
        <v>8</v>
      </c>
      <c r="AB71" s="15" t="s">
        <v>192</v>
      </c>
      <c r="AC71" s="11" t="s">
        <v>28</v>
      </c>
      <c r="AD71" s="29" t="str">
        <f t="shared" si="2"/>
        <v>Sintonia Educação Infantil P009p</v>
      </c>
      <c r="AE71" s="47" t="str">
        <f t="shared" si="3"/>
        <v>Edinfa</v>
      </c>
      <c r="AF71" s="47"/>
    </row>
    <row r="72" spans="1:32" x14ac:dyDescent="0.3">
      <c r="A72" s="14" t="s">
        <v>193</v>
      </c>
      <c r="B72" s="11" t="s">
        <v>19</v>
      </c>
      <c r="C72" s="11" t="s">
        <v>16</v>
      </c>
      <c r="D72" s="11" t="s">
        <v>8</v>
      </c>
      <c r="E72" s="11">
        <v>90</v>
      </c>
      <c r="F72" s="11">
        <v>5</v>
      </c>
      <c r="G72" s="11">
        <v>6</v>
      </c>
      <c r="H72" s="11">
        <v>6</v>
      </c>
      <c r="I72" s="20" t="s">
        <v>9</v>
      </c>
      <c r="J72" s="27"/>
      <c r="K72" s="11"/>
      <c r="L72" s="11"/>
      <c r="M72" s="11"/>
      <c r="N72" s="11"/>
      <c r="O72" s="18" t="s">
        <v>194</v>
      </c>
      <c r="P72" s="15"/>
      <c r="Q72" s="11">
        <v>11</v>
      </c>
      <c r="R72" s="19">
        <v>45772</v>
      </c>
      <c r="S72" s="19">
        <v>45775</v>
      </c>
      <c r="T72" s="19">
        <v>45777</v>
      </c>
      <c r="U72" s="19">
        <v>45777</v>
      </c>
      <c r="V72" s="19">
        <v>45782</v>
      </c>
      <c r="W72" s="11" t="s">
        <v>90</v>
      </c>
      <c r="X72" s="28" t="str">
        <f>IF(STAT[[#This Row],[sigla]]="","",VLOOKUP(STAT[[#This Row],[sigla]],CRÉDITOS_GERAIS4[[#All],[SIGLA ARTE]:[CRÉDITO A SER PUBLICADO]],2,0))</f>
        <v>Gabriel Brum</v>
      </c>
      <c r="Y72" s="11"/>
      <c r="Z72" s="11" t="s">
        <v>191</v>
      </c>
      <c r="AA72" s="11">
        <v>8</v>
      </c>
      <c r="AB72" s="15" t="s">
        <v>192</v>
      </c>
      <c r="AC72" s="11" t="s">
        <v>28</v>
      </c>
      <c r="AD72" s="29" t="str">
        <f t="shared" si="2"/>
        <v>Sintonia Educação Infantil P009p</v>
      </c>
      <c r="AE72" s="47" t="str">
        <f t="shared" si="3"/>
        <v>Edinfa</v>
      </c>
      <c r="AF72" s="47"/>
    </row>
    <row r="73" spans="1:32" x14ac:dyDescent="0.3">
      <c r="A73" s="14" t="s">
        <v>195</v>
      </c>
      <c r="B73" s="11" t="s">
        <v>19</v>
      </c>
      <c r="C73" s="11" t="s">
        <v>16</v>
      </c>
      <c r="D73" s="11" t="s">
        <v>8</v>
      </c>
      <c r="E73" s="11">
        <v>90</v>
      </c>
      <c r="F73" s="11">
        <v>5</v>
      </c>
      <c r="G73" s="11">
        <v>6</v>
      </c>
      <c r="H73" s="11">
        <v>6</v>
      </c>
      <c r="I73" s="20" t="s">
        <v>9</v>
      </c>
      <c r="J73" s="27"/>
      <c r="K73" s="11"/>
      <c r="L73" s="11"/>
      <c r="M73" s="11"/>
      <c r="N73" s="11"/>
      <c r="O73" s="18" t="s">
        <v>196</v>
      </c>
      <c r="P73" s="15"/>
      <c r="Q73" s="11">
        <v>11</v>
      </c>
      <c r="R73" s="19">
        <v>45772</v>
      </c>
      <c r="S73" s="19">
        <v>45775</v>
      </c>
      <c r="T73" s="19">
        <v>45777</v>
      </c>
      <c r="U73" s="19">
        <v>45777</v>
      </c>
      <c r="V73" s="19">
        <v>45782</v>
      </c>
      <c r="W73" s="11" t="s">
        <v>90</v>
      </c>
      <c r="X73" s="28" t="str">
        <f>IF(STAT[[#This Row],[sigla]]="","",VLOOKUP(STAT[[#This Row],[sigla]],CRÉDITOS_GERAIS4[[#All],[SIGLA ARTE]:[CRÉDITO A SER PUBLICADO]],2,0))</f>
        <v>Gabriel Brum</v>
      </c>
      <c r="Y73" s="11"/>
      <c r="Z73" s="11" t="s">
        <v>191</v>
      </c>
      <c r="AA73" s="11">
        <v>8</v>
      </c>
      <c r="AB73" s="15" t="s">
        <v>192</v>
      </c>
      <c r="AC73" s="11" t="s">
        <v>28</v>
      </c>
      <c r="AD73" s="29" t="str">
        <f t="shared" si="2"/>
        <v>Sintonia Educação Infantil P009p</v>
      </c>
      <c r="AE73" s="47" t="str">
        <f t="shared" si="3"/>
        <v>Edinfa</v>
      </c>
      <c r="AF73" s="47"/>
    </row>
    <row r="74" spans="1:32" x14ac:dyDescent="0.3">
      <c r="A74" s="14" t="s">
        <v>197</v>
      </c>
      <c r="B74" s="11" t="s">
        <v>19</v>
      </c>
      <c r="C74" s="11" t="s">
        <v>16</v>
      </c>
      <c r="D74" s="11" t="s">
        <v>8</v>
      </c>
      <c r="E74" s="11">
        <v>90</v>
      </c>
      <c r="F74" s="11">
        <v>5</v>
      </c>
      <c r="G74" s="11">
        <v>6</v>
      </c>
      <c r="H74" s="11">
        <v>6</v>
      </c>
      <c r="I74" s="20" t="s">
        <v>9</v>
      </c>
      <c r="J74" s="27"/>
      <c r="K74" s="11"/>
      <c r="L74" s="11"/>
      <c r="M74" s="11"/>
      <c r="N74" s="11"/>
      <c r="O74" s="18" t="s">
        <v>198</v>
      </c>
      <c r="P74" s="15"/>
      <c r="Q74" s="11">
        <v>11</v>
      </c>
      <c r="R74" s="19">
        <v>45772</v>
      </c>
      <c r="S74" s="19">
        <v>45775</v>
      </c>
      <c r="T74" s="19">
        <v>45777</v>
      </c>
      <c r="U74" s="19">
        <v>45777</v>
      </c>
      <c r="V74" s="19">
        <v>45782</v>
      </c>
      <c r="W74" s="11" t="s">
        <v>90</v>
      </c>
      <c r="X74" s="28" t="str">
        <f>IF(STAT[[#This Row],[sigla]]="","",VLOOKUP(STAT[[#This Row],[sigla]],CRÉDITOS_GERAIS4[[#All],[SIGLA ARTE]:[CRÉDITO A SER PUBLICADO]],2,0))</f>
        <v>Gabriel Brum</v>
      </c>
      <c r="Y74" s="11"/>
      <c r="Z74" s="11" t="s">
        <v>191</v>
      </c>
      <c r="AA74" s="11">
        <v>8</v>
      </c>
      <c r="AB74" s="15" t="s">
        <v>192</v>
      </c>
      <c r="AC74" s="11" t="s">
        <v>28</v>
      </c>
      <c r="AD74" s="29" t="str">
        <f t="shared" si="2"/>
        <v>Sintonia Educação Infantil P009p</v>
      </c>
      <c r="AE74" s="47" t="str">
        <f t="shared" si="3"/>
        <v>Edinfa</v>
      </c>
      <c r="AF74" s="47"/>
    </row>
    <row r="75" spans="1:32" ht="86.4" x14ac:dyDescent="0.3">
      <c r="A75" s="14" t="s">
        <v>199</v>
      </c>
      <c r="B75" s="11" t="s">
        <v>19</v>
      </c>
      <c r="C75" s="11" t="s">
        <v>16</v>
      </c>
      <c r="D75" s="11" t="s">
        <v>8</v>
      </c>
      <c r="E75" s="11">
        <v>91</v>
      </c>
      <c r="F75" s="11">
        <v>5</v>
      </c>
      <c r="G75" s="11">
        <v>6</v>
      </c>
      <c r="H75" s="11">
        <v>6</v>
      </c>
      <c r="I75" s="20" t="s">
        <v>9</v>
      </c>
      <c r="J75" s="27"/>
      <c r="K75" s="11"/>
      <c r="L75" s="11"/>
      <c r="M75" s="11"/>
      <c r="N75" s="11"/>
      <c r="O75" s="18" t="s">
        <v>200</v>
      </c>
      <c r="P75" s="15"/>
      <c r="Q75" s="11">
        <v>11</v>
      </c>
      <c r="R75" s="19">
        <v>45772</v>
      </c>
      <c r="S75" s="19">
        <v>45775</v>
      </c>
      <c r="T75" s="19">
        <v>45777</v>
      </c>
      <c r="U75" s="19">
        <v>45777</v>
      </c>
      <c r="V75" s="19">
        <v>45782</v>
      </c>
      <c r="W75" s="11" t="s">
        <v>90</v>
      </c>
      <c r="X75" s="28" t="str">
        <f>IF(STAT[[#This Row],[sigla]]="","",VLOOKUP(STAT[[#This Row],[sigla]],CRÉDITOS_GERAIS4[[#All],[SIGLA ARTE]:[CRÉDITO A SER PUBLICADO]],2,0))</f>
        <v>Gabriel Brum</v>
      </c>
      <c r="Y75" s="11"/>
      <c r="Z75" s="11" t="s">
        <v>191</v>
      </c>
      <c r="AA75" s="11">
        <v>5</v>
      </c>
      <c r="AB75" s="15" t="s">
        <v>192</v>
      </c>
      <c r="AC75" s="11" t="s">
        <v>28</v>
      </c>
      <c r="AD75" s="29" t="str">
        <f t="shared" si="2"/>
        <v>Sintonia Educação Infantil P009p</v>
      </c>
      <c r="AE75" s="47" t="str">
        <f t="shared" si="3"/>
        <v>Edinfa</v>
      </c>
      <c r="AF75" s="47"/>
    </row>
    <row r="76" spans="1:32" ht="129.6" x14ac:dyDescent="0.3">
      <c r="A76" s="14" t="s">
        <v>201</v>
      </c>
      <c r="B76" s="11" t="s">
        <v>19</v>
      </c>
      <c r="C76" s="11" t="s">
        <v>16</v>
      </c>
      <c r="D76" s="11" t="s">
        <v>8</v>
      </c>
      <c r="E76" s="11">
        <v>93</v>
      </c>
      <c r="F76" s="11">
        <v>5</v>
      </c>
      <c r="G76" s="11">
        <v>6</v>
      </c>
      <c r="H76" s="11">
        <v>6</v>
      </c>
      <c r="I76" s="20" t="s">
        <v>9</v>
      </c>
      <c r="J76" s="27"/>
      <c r="K76" s="11"/>
      <c r="L76" s="11"/>
      <c r="M76" s="11"/>
      <c r="N76" s="11"/>
      <c r="O76" s="18" t="s">
        <v>202</v>
      </c>
      <c r="P76" s="15"/>
      <c r="Q76" s="11">
        <v>11</v>
      </c>
      <c r="R76" s="19">
        <v>45772</v>
      </c>
      <c r="S76" s="19">
        <v>45775</v>
      </c>
      <c r="T76" s="19">
        <v>45777</v>
      </c>
      <c r="U76" s="19">
        <v>45777</v>
      </c>
      <c r="V76" s="19">
        <v>45782</v>
      </c>
      <c r="W76" s="11" t="s">
        <v>90</v>
      </c>
      <c r="X76" s="28" t="str">
        <f>IF(STAT[[#This Row],[sigla]]="","",VLOOKUP(STAT[[#This Row],[sigla]],CRÉDITOS_GERAIS4[[#All],[SIGLA ARTE]:[CRÉDITO A SER PUBLICADO]],2,0))</f>
        <v>Gabriel Brum</v>
      </c>
      <c r="Y76" s="11"/>
      <c r="Z76" s="11" t="s">
        <v>191</v>
      </c>
      <c r="AA76" s="11">
        <v>7</v>
      </c>
      <c r="AB76" s="15" t="s">
        <v>192</v>
      </c>
      <c r="AC76" s="11" t="s">
        <v>28</v>
      </c>
      <c r="AD76" s="29" t="str">
        <f t="shared" si="2"/>
        <v>Sintonia Educação Infantil P009p</v>
      </c>
      <c r="AE76" s="47" t="str">
        <f t="shared" si="3"/>
        <v>Edinfa</v>
      </c>
      <c r="AF76" s="47"/>
    </row>
    <row r="77" spans="1:32" ht="144" x14ac:dyDescent="0.3">
      <c r="A77" s="14" t="s">
        <v>203</v>
      </c>
      <c r="B77" s="11" t="s">
        <v>19</v>
      </c>
      <c r="C77" s="11" t="s">
        <v>7</v>
      </c>
      <c r="D77" s="11" t="s">
        <v>8</v>
      </c>
      <c r="E77" s="11">
        <v>95</v>
      </c>
      <c r="F77" s="11">
        <v>5</v>
      </c>
      <c r="G77" s="11">
        <v>6</v>
      </c>
      <c r="H77" s="11">
        <v>6</v>
      </c>
      <c r="I77" s="20" t="s">
        <v>9</v>
      </c>
      <c r="J77" s="27"/>
      <c r="K77" s="11"/>
      <c r="L77" s="11"/>
      <c r="M77" s="11"/>
      <c r="N77" s="11"/>
      <c r="O77" s="18" t="s">
        <v>204</v>
      </c>
      <c r="P77" s="18"/>
      <c r="Q77" s="11">
        <v>14</v>
      </c>
      <c r="R77" s="19">
        <v>45785</v>
      </c>
      <c r="S77" s="19">
        <v>45786</v>
      </c>
      <c r="T77" s="19"/>
      <c r="U77" s="19"/>
      <c r="V77" s="19">
        <v>45786</v>
      </c>
      <c r="W77" s="11" t="s">
        <v>12</v>
      </c>
      <c r="X77" s="28" t="str">
        <f>IF(STAT[[#This Row],[sigla]]="","",VLOOKUP(STAT[[#This Row],[sigla]],CRÉDITOS_GERAIS4[[#All],[SIGLA ARTE]:[CRÉDITO A SER PUBLICADO]],2,0))</f>
        <v>Vinícius Costa</v>
      </c>
      <c r="Y77" s="11"/>
      <c r="Z77" s="11" t="s">
        <v>13</v>
      </c>
      <c r="AA77" s="11">
        <v>8</v>
      </c>
      <c r="AB77" s="15"/>
      <c r="AC77" s="11" t="s">
        <v>14</v>
      </c>
      <c r="AD77" s="29" t="str">
        <f t="shared" si="2"/>
        <v>Sintonia Educação Infantil P009p</v>
      </c>
      <c r="AE77" s="47" t="str">
        <f t="shared" si="3"/>
        <v>Edinfa</v>
      </c>
      <c r="AF77" s="47"/>
    </row>
    <row r="78" spans="1:32" ht="129.6" x14ac:dyDescent="0.3">
      <c r="A78" s="14" t="s">
        <v>205</v>
      </c>
      <c r="B78" s="11" t="s">
        <v>19</v>
      </c>
      <c r="C78" s="11" t="s">
        <v>7</v>
      </c>
      <c r="D78" s="11" t="s">
        <v>8</v>
      </c>
      <c r="E78" s="11">
        <v>95</v>
      </c>
      <c r="F78" s="11">
        <v>5</v>
      </c>
      <c r="G78" s="11">
        <v>6</v>
      </c>
      <c r="H78" s="11">
        <v>6</v>
      </c>
      <c r="I78" s="20" t="s">
        <v>9</v>
      </c>
      <c r="J78" s="27"/>
      <c r="K78" s="11"/>
      <c r="L78" s="11"/>
      <c r="M78" s="11"/>
      <c r="N78" s="11"/>
      <c r="O78" s="18" t="s">
        <v>206</v>
      </c>
      <c r="P78" s="18"/>
      <c r="Q78" s="11">
        <v>14</v>
      </c>
      <c r="R78" s="19">
        <v>45785</v>
      </c>
      <c r="S78" s="19">
        <v>45786</v>
      </c>
      <c r="T78" s="19"/>
      <c r="U78" s="19"/>
      <c r="V78" s="19">
        <v>45786</v>
      </c>
      <c r="W78" s="11" t="s">
        <v>12</v>
      </c>
      <c r="X78" s="28" t="str">
        <f>IF(STAT[[#This Row],[sigla]]="","",VLOOKUP(STAT[[#This Row],[sigla]],CRÉDITOS_GERAIS4[[#All],[SIGLA ARTE]:[CRÉDITO A SER PUBLICADO]],2,0))</f>
        <v>Vinícius Costa</v>
      </c>
      <c r="Y78" s="11"/>
      <c r="Z78" s="11" t="s">
        <v>13</v>
      </c>
      <c r="AA78" s="11">
        <v>8</v>
      </c>
      <c r="AB78" s="15"/>
      <c r="AC78" s="11" t="s">
        <v>14</v>
      </c>
      <c r="AD78" s="29" t="str">
        <f t="shared" si="2"/>
        <v>Sintonia Educação Infantil P009p</v>
      </c>
      <c r="AE78" s="47" t="str">
        <f t="shared" si="3"/>
        <v>Edinfa</v>
      </c>
      <c r="AF78" s="47"/>
    </row>
    <row r="79" spans="1:32" ht="129.6" x14ac:dyDescent="0.3">
      <c r="A79" s="14" t="s">
        <v>207</v>
      </c>
      <c r="B79" s="11" t="s">
        <v>19</v>
      </c>
      <c r="C79" s="11" t="s">
        <v>7</v>
      </c>
      <c r="D79" s="11" t="s">
        <v>8</v>
      </c>
      <c r="E79" s="11">
        <v>95</v>
      </c>
      <c r="F79" s="11">
        <v>5</v>
      </c>
      <c r="G79" s="11">
        <v>6</v>
      </c>
      <c r="H79" s="11">
        <v>6</v>
      </c>
      <c r="I79" s="20" t="s">
        <v>9</v>
      </c>
      <c r="J79" s="27"/>
      <c r="K79" s="11"/>
      <c r="L79" s="11"/>
      <c r="M79" s="11"/>
      <c r="N79" s="11"/>
      <c r="O79" s="18" t="s">
        <v>208</v>
      </c>
      <c r="P79" s="18"/>
      <c r="Q79" s="11">
        <v>14</v>
      </c>
      <c r="R79" s="19">
        <v>45785</v>
      </c>
      <c r="S79" s="19">
        <v>45786</v>
      </c>
      <c r="T79" s="19"/>
      <c r="U79" s="19"/>
      <c r="V79" s="19">
        <v>45786</v>
      </c>
      <c r="W79" s="11" t="s">
        <v>12</v>
      </c>
      <c r="X79" s="28" t="str">
        <f>IF(STAT[[#This Row],[sigla]]="","",VLOOKUP(STAT[[#This Row],[sigla]],CRÉDITOS_GERAIS4[[#All],[SIGLA ARTE]:[CRÉDITO A SER PUBLICADO]],2,0))</f>
        <v>Vinícius Costa</v>
      </c>
      <c r="Y79" s="11"/>
      <c r="Z79" s="11" t="s">
        <v>13</v>
      </c>
      <c r="AA79" s="11">
        <v>8</v>
      </c>
      <c r="AB79" s="15"/>
      <c r="AC79" s="11" t="s">
        <v>14</v>
      </c>
      <c r="AD79" s="29" t="str">
        <f t="shared" si="2"/>
        <v>Sintonia Educação Infantil P009p</v>
      </c>
      <c r="AE79" s="47" t="str">
        <f t="shared" si="3"/>
        <v>Edinfa</v>
      </c>
      <c r="AF79" s="47"/>
    </row>
    <row r="80" spans="1:32" ht="129.6" x14ac:dyDescent="0.3">
      <c r="A80" s="14" t="s">
        <v>209</v>
      </c>
      <c r="B80" s="11" t="s">
        <v>19</v>
      </c>
      <c r="C80" s="11" t="s">
        <v>7</v>
      </c>
      <c r="D80" s="11" t="s">
        <v>8</v>
      </c>
      <c r="E80" s="11">
        <v>95</v>
      </c>
      <c r="F80" s="11">
        <v>5</v>
      </c>
      <c r="G80" s="11">
        <v>6</v>
      </c>
      <c r="H80" s="11">
        <v>6</v>
      </c>
      <c r="I80" s="20" t="s">
        <v>9</v>
      </c>
      <c r="J80" s="27"/>
      <c r="K80" s="11"/>
      <c r="L80" s="11"/>
      <c r="M80" s="11"/>
      <c r="N80" s="11"/>
      <c r="O80" s="18" t="s">
        <v>210</v>
      </c>
      <c r="P80" s="18"/>
      <c r="Q80" s="11">
        <v>14</v>
      </c>
      <c r="R80" s="19">
        <v>45785</v>
      </c>
      <c r="S80" s="19">
        <v>45786</v>
      </c>
      <c r="T80" s="19"/>
      <c r="U80" s="19"/>
      <c r="V80" s="19">
        <v>45786</v>
      </c>
      <c r="W80" s="11" t="s">
        <v>12</v>
      </c>
      <c r="X80" s="28" t="str">
        <f>IF(STAT[[#This Row],[sigla]]="","",VLOOKUP(STAT[[#This Row],[sigla]],CRÉDITOS_GERAIS4[[#All],[SIGLA ARTE]:[CRÉDITO A SER PUBLICADO]],2,0))</f>
        <v>Vinícius Costa</v>
      </c>
      <c r="Y80" s="11"/>
      <c r="Z80" s="11" t="s">
        <v>13</v>
      </c>
      <c r="AA80" s="11">
        <v>8</v>
      </c>
      <c r="AB80" s="15"/>
      <c r="AC80" s="11" t="s">
        <v>14</v>
      </c>
      <c r="AD80" s="29" t="str">
        <f t="shared" si="2"/>
        <v>Sintonia Educação Infantil P009p</v>
      </c>
      <c r="AE80" s="47" t="str">
        <f t="shared" si="3"/>
        <v>Edinfa</v>
      </c>
      <c r="AF80" s="47"/>
    </row>
    <row r="81" spans="1:32" ht="28.8" x14ac:dyDescent="0.3">
      <c r="A81" s="14" t="s">
        <v>211</v>
      </c>
      <c r="B81" s="11" t="s">
        <v>19</v>
      </c>
      <c r="C81" s="11" t="s">
        <v>16</v>
      </c>
      <c r="D81" s="11" t="s">
        <v>8</v>
      </c>
      <c r="E81" s="11">
        <v>22</v>
      </c>
      <c r="F81" s="11">
        <v>5</v>
      </c>
      <c r="G81" s="11">
        <v>2</v>
      </c>
      <c r="H81" s="11">
        <v>2</v>
      </c>
      <c r="I81" s="20" t="s">
        <v>9</v>
      </c>
      <c r="J81" s="27"/>
      <c r="K81" s="11"/>
      <c r="L81" s="11"/>
      <c r="M81" s="11"/>
      <c r="N81" s="11"/>
      <c r="O81" s="18" t="s">
        <v>212</v>
      </c>
      <c r="P81" s="15"/>
      <c r="Q81" s="11">
        <v>12</v>
      </c>
      <c r="R81" s="19">
        <v>45777</v>
      </c>
      <c r="S81" s="19">
        <v>45784</v>
      </c>
      <c r="T81" s="19">
        <v>45785</v>
      </c>
      <c r="U81" s="19">
        <v>45786</v>
      </c>
      <c r="V81" s="19">
        <v>45791</v>
      </c>
      <c r="W81" s="11" t="s">
        <v>144</v>
      </c>
      <c r="X81" s="28" t="str">
        <f>IF(STAT[[#This Row],[sigla]]="","",VLOOKUP(STAT[[#This Row],[sigla]],CRÉDITOS_GERAIS4[[#All],[SIGLA ARTE]:[CRÉDITO A SER PUBLICADO]],2,0))</f>
        <v>Clarice Baracho</v>
      </c>
      <c r="Y81" s="11"/>
      <c r="Z81" s="11" t="s">
        <v>145</v>
      </c>
      <c r="AA81" s="11">
        <v>7</v>
      </c>
      <c r="AB81" s="15" t="s">
        <v>213</v>
      </c>
      <c r="AC81" s="11" t="s">
        <v>28</v>
      </c>
      <c r="AD81" s="29" t="str">
        <f t="shared" si="2"/>
        <v>Sintonia Educação Infantil P009p</v>
      </c>
      <c r="AE81" s="47" t="str">
        <f t="shared" si="3"/>
        <v>Edinfa</v>
      </c>
      <c r="AF81" s="47"/>
    </row>
    <row r="82" spans="1:32" x14ac:dyDescent="0.3">
      <c r="A82" s="14" t="s">
        <v>214</v>
      </c>
      <c r="B82" s="11" t="s">
        <v>19</v>
      </c>
      <c r="C82" s="11" t="s">
        <v>16</v>
      </c>
      <c r="D82" s="11" t="s">
        <v>8</v>
      </c>
      <c r="E82" s="11">
        <v>24</v>
      </c>
      <c r="F82" s="11">
        <v>5</v>
      </c>
      <c r="G82" s="11">
        <v>2</v>
      </c>
      <c r="H82" s="11">
        <v>2</v>
      </c>
      <c r="I82" s="20" t="s">
        <v>9</v>
      </c>
      <c r="J82" s="27"/>
      <c r="K82" s="11"/>
      <c r="L82" s="11"/>
      <c r="M82" s="11"/>
      <c r="N82" s="11"/>
      <c r="O82" s="18" t="s">
        <v>215</v>
      </c>
      <c r="P82" s="15"/>
      <c r="Q82" s="11"/>
      <c r="R82" s="19"/>
      <c r="S82" s="19"/>
      <c r="T82" s="19"/>
      <c r="U82" s="19"/>
      <c r="V82" s="19"/>
      <c r="W82" s="11" t="s">
        <v>216</v>
      </c>
      <c r="X82" s="28" t="str">
        <f>IF(STAT[[#This Row],[sigla]]="","",VLOOKUP(STAT[[#This Row],[sigla]],CRÉDITOS_GERAIS4[[#All],[SIGLA ARTE]:[CRÉDITO A SER PUBLICADO]],2,0))</f>
        <v>Arquivo da editora</v>
      </c>
      <c r="Y82" s="11"/>
      <c r="Z82" s="11" t="str">
        <f>STAT[[#This Row],[ilustrador]]</f>
        <v>Arquivo da editora</v>
      </c>
      <c r="AA82" s="11"/>
      <c r="AB82" s="15"/>
      <c r="AC82" s="11" t="s">
        <v>14</v>
      </c>
      <c r="AD82" s="29" t="str">
        <f t="shared" si="2"/>
        <v>Sintonia Educação Infantil P009p</v>
      </c>
      <c r="AE82" s="47" t="str">
        <f t="shared" si="3"/>
        <v>Edinfa</v>
      </c>
      <c r="AF82" s="47"/>
    </row>
    <row r="83" spans="1:32" ht="43.2" x14ac:dyDescent="0.3">
      <c r="A83" s="14" t="s">
        <v>217</v>
      </c>
      <c r="B83" s="11" t="s">
        <v>19</v>
      </c>
      <c r="C83" s="11" t="s">
        <v>16</v>
      </c>
      <c r="D83" s="11" t="s">
        <v>8</v>
      </c>
      <c r="E83" s="11">
        <v>26</v>
      </c>
      <c r="F83" s="11">
        <v>5</v>
      </c>
      <c r="G83" s="11">
        <v>2</v>
      </c>
      <c r="H83" s="11">
        <v>2</v>
      </c>
      <c r="I83" s="20" t="s">
        <v>9</v>
      </c>
      <c r="J83" s="27"/>
      <c r="K83" s="11"/>
      <c r="L83" s="11"/>
      <c r="M83" s="11"/>
      <c r="N83" s="11"/>
      <c r="O83" s="18" t="s">
        <v>218</v>
      </c>
      <c r="P83" s="15"/>
      <c r="Q83" s="11">
        <v>12</v>
      </c>
      <c r="R83" s="19">
        <v>45777</v>
      </c>
      <c r="S83" s="19">
        <v>45784</v>
      </c>
      <c r="T83" s="19">
        <v>45785</v>
      </c>
      <c r="U83" s="19">
        <v>45786</v>
      </c>
      <c r="V83" s="19">
        <v>45791</v>
      </c>
      <c r="W83" s="11" t="s">
        <v>144</v>
      </c>
      <c r="X83" s="28" t="str">
        <f>IF(STAT[[#This Row],[sigla]]="","",VLOOKUP(STAT[[#This Row],[sigla]],CRÉDITOS_GERAIS4[[#All],[SIGLA ARTE]:[CRÉDITO A SER PUBLICADO]],2,0))</f>
        <v>Clarice Baracho</v>
      </c>
      <c r="Y83" s="11"/>
      <c r="Z83" s="11" t="s">
        <v>145</v>
      </c>
      <c r="AA83" s="11">
        <v>7</v>
      </c>
      <c r="AB83" s="15" t="s">
        <v>213</v>
      </c>
      <c r="AC83" s="11" t="s">
        <v>28</v>
      </c>
      <c r="AD83" s="29" t="str">
        <f t="shared" si="2"/>
        <v>Sintonia Educação Infantil P009p</v>
      </c>
      <c r="AE83" s="47" t="str">
        <f t="shared" si="3"/>
        <v>Edinfa</v>
      </c>
      <c r="AF83" s="47"/>
    </row>
    <row r="84" spans="1:32" ht="57.6" x14ac:dyDescent="0.3">
      <c r="A84" s="14" t="s">
        <v>219</v>
      </c>
      <c r="B84" s="11" t="s">
        <v>19</v>
      </c>
      <c r="C84" s="11" t="s">
        <v>16</v>
      </c>
      <c r="D84" s="11" t="s">
        <v>8</v>
      </c>
      <c r="E84" s="11">
        <v>30</v>
      </c>
      <c r="F84" s="11">
        <v>5</v>
      </c>
      <c r="G84" s="11">
        <v>2</v>
      </c>
      <c r="H84" s="11">
        <v>2</v>
      </c>
      <c r="I84" s="20" t="s">
        <v>9</v>
      </c>
      <c r="J84" s="27"/>
      <c r="K84" s="11"/>
      <c r="L84" s="11"/>
      <c r="M84" s="11"/>
      <c r="N84" s="11"/>
      <c r="O84" s="18" t="s">
        <v>220</v>
      </c>
      <c r="P84" s="15"/>
      <c r="Q84" s="11">
        <v>12</v>
      </c>
      <c r="R84" s="19">
        <v>45777</v>
      </c>
      <c r="S84" s="19">
        <v>45784</v>
      </c>
      <c r="T84" s="19">
        <v>45785</v>
      </c>
      <c r="U84" s="19">
        <v>45786</v>
      </c>
      <c r="V84" s="19">
        <v>45791</v>
      </c>
      <c r="W84" s="11" t="s">
        <v>144</v>
      </c>
      <c r="X84" s="28" t="str">
        <f>IF(STAT[[#This Row],[sigla]]="","",VLOOKUP(STAT[[#This Row],[sigla]],CRÉDITOS_GERAIS4[[#All],[SIGLA ARTE]:[CRÉDITO A SER PUBLICADO]],2,0))</f>
        <v>Clarice Baracho</v>
      </c>
      <c r="Y84" s="11"/>
      <c r="Z84" s="11" t="s">
        <v>145</v>
      </c>
      <c r="AA84" s="11">
        <v>6</v>
      </c>
      <c r="AB84" s="15" t="s">
        <v>213</v>
      </c>
      <c r="AC84" s="11" t="s">
        <v>28</v>
      </c>
      <c r="AD84" s="29" t="str">
        <f t="shared" si="2"/>
        <v>Sintonia Educação Infantil P009p</v>
      </c>
      <c r="AE84" s="47" t="str">
        <f t="shared" si="3"/>
        <v>Edinfa</v>
      </c>
      <c r="AF84" s="47"/>
    </row>
    <row r="85" spans="1:32" x14ac:dyDescent="0.3">
      <c r="A85" s="14" t="s">
        <v>221</v>
      </c>
      <c r="B85" s="11" t="s">
        <v>156</v>
      </c>
      <c r="C85" s="11" t="s">
        <v>16</v>
      </c>
      <c r="D85" s="11" t="s">
        <v>8</v>
      </c>
      <c r="E85" s="11">
        <v>31</v>
      </c>
      <c r="F85" s="11">
        <v>5</v>
      </c>
      <c r="G85" s="11">
        <v>2</v>
      </c>
      <c r="H85" s="11">
        <v>2</v>
      </c>
      <c r="I85" s="20" t="s">
        <v>9</v>
      </c>
      <c r="J85" s="27"/>
      <c r="K85" s="11"/>
      <c r="L85" s="11"/>
      <c r="M85" s="11"/>
      <c r="N85" s="11"/>
      <c r="O85" s="18" t="s">
        <v>222</v>
      </c>
      <c r="P85" s="15"/>
      <c r="Q85" s="11">
        <v>19</v>
      </c>
      <c r="R85" s="19">
        <v>45820</v>
      </c>
      <c r="S85" s="19">
        <v>45820</v>
      </c>
      <c r="T85" s="19"/>
      <c r="U85" s="19"/>
      <c r="V85" s="19">
        <v>45821</v>
      </c>
      <c r="W85" s="11" t="s">
        <v>216</v>
      </c>
      <c r="X85" s="28" t="str">
        <f>IF(STAT[[#This Row],[sigla]]="","",VLOOKUP(STAT[[#This Row],[sigla]],CRÉDITOS_GERAIS4[[#All],[SIGLA ARTE]:[CRÉDITO A SER PUBLICADO]],2,0))</f>
        <v>Arquivo da editora</v>
      </c>
      <c r="Y85" s="11" t="s">
        <v>223</v>
      </c>
      <c r="Z85" s="11" t="str">
        <f>STAT[[#This Row],[ilustrador]]</f>
        <v>Arquivo da editora</v>
      </c>
      <c r="AA85" s="11">
        <v>13</v>
      </c>
      <c r="AB85" s="15" t="s">
        <v>216</v>
      </c>
      <c r="AC85" s="11" t="s">
        <v>14</v>
      </c>
      <c r="AD85" s="29" t="str">
        <f t="shared" si="2"/>
        <v>Sintonia Educação Infantil P009p</v>
      </c>
      <c r="AE85" s="47" t="str">
        <f t="shared" si="3"/>
        <v>Edinfa</v>
      </c>
      <c r="AF85" s="47"/>
    </row>
    <row r="86" spans="1:32" x14ac:dyDescent="0.3">
      <c r="A86" s="14" t="s">
        <v>224</v>
      </c>
      <c r="B86" s="11" t="s">
        <v>156</v>
      </c>
      <c r="C86" s="11" t="s">
        <v>16</v>
      </c>
      <c r="D86" s="11" t="s">
        <v>8</v>
      </c>
      <c r="E86" s="11">
        <v>31</v>
      </c>
      <c r="F86" s="11">
        <v>5</v>
      </c>
      <c r="G86" s="11">
        <v>2</v>
      </c>
      <c r="H86" s="11">
        <v>2</v>
      </c>
      <c r="I86" s="20" t="s">
        <v>9</v>
      </c>
      <c r="J86" s="27"/>
      <c r="K86" s="11"/>
      <c r="L86" s="11"/>
      <c r="M86" s="11"/>
      <c r="N86" s="11"/>
      <c r="O86" s="18" t="s">
        <v>225</v>
      </c>
      <c r="P86" s="15"/>
      <c r="Q86" s="11">
        <v>19</v>
      </c>
      <c r="R86" s="19">
        <v>45820</v>
      </c>
      <c r="S86" s="19">
        <v>45820</v>
      </c>
      <c r="T86" s="19"/>
      <c r="U86" s="19"/>
      <c r="V86" s="19">
        <v>45821</v>
      </c>
      <c r="W86" s="11" t="s">
        <v>216</v>
      </c>
      <c r="X86" s="28" t="str">
        <f>IF(STAT[[#This Row],[sigla]]="","",VLOOKUP(STAT[[#This Row],[sigla]],CRÉDITOS_GERAIS4[[#All],[SIGLA ARTE]:[CRÉDITO A SER PUBLICADO]],2,0))</f>
        <v>Arquivo da editora</v>
      </c>
      <c r="Y86" s="11" t="s">
        <v>223</v>
      </c>
      <c r="Z86" s="11" t="str">
        <f>STAT[[#This Row],[ilustrador]]</f>
        <v>Arquivo da editora</v>
      </c>
      <c r="AA86" s="11">
        <v>13</v>
      </c>
      <c r="AB86" s="15" t="s">
        <v>216</v>
      </c>
      <c r="AC86" s="11" t="s">
        <v>14</v>
      </c>
      <c r="AD86" s="29" t="str">
        <f t="shared" si="2"/>
        <v>Sintonia Educação Infantil P009p</v>
      </c>
      <c r="AE86" s="47" t="str">
        <f t="shared" si="3"/>
        <v>Edinfa</v>
      </c>
      <c r="AF86" s="47"/>
    </row>
    <row r="87" spans="1:32" x14ac:dyDescent="0.3">
      <c r="A87" s="14" t="s">
        <v>226</v>
      </c>
      <c r="B87" s="11" t="s">
        <v>19</v>
      </c>
      <c r="C87" s="11" t="s">
        <v>16</v>
      </c>
      <c r="D87" s="11" t="s">
        <v>8</v>
      </c>
      <c r="E87" s="11">
        <v>31</v>
      </c>
      <c r="F87" s="11">
        <v>5</v>
      </c>
      <c r="G87" s="11">
        <v>2</v>
      </c>
      <c r="H87" s="11">
        <v>2</v>
      </c>
      <c r="I87" s="20" t="s">
        <v>9</v>
      </c>
      <c r="J87" s="27"/>
      <c r="K87" s="11"/>
      <c r="L87" s="11"/>
      <c r="M87" s="11"/>
      <c r="N87" s="11"/>
      <c r="O87" s="18" t="s">
        <v>227</v>
      </c>
      <c r="P87" s="15"/>
      <c r="Q87" s="11">
        <v>12</v>
      </c>
      <c r="R87" s="19">
        <v>45777</v>
      </c>
      <c r="S87" s="19">
        <v>45784</v>
      </c>
      <c r="T87" s="19"/>
      <c r="U87" s="19"/>
      <c r="V87" s="19">
        <v>45784</v>
      </c>
      <c r="W87" s="11" t="s">
        <v>216</v>
      </c>
      <c r="X87" s="28" t="str">
        <f>IF(STAT[[#This Row],[sigla]]="","",VLOOKUP(STAT[[#This Row],[sigla]],CRÉDITOS_GERAIS4[[#All],[SIGLA ARTE]:[CRÉDITO A SER PUBLICADO]],2,0))</f>
        <v>Arquivo da editora</v>
      </c>
      <c r="Y87" s="11" t="s">
        <v>13</v>
      </c>
      <c r="Z87" s="11" t="s">
        <v>228</v>
      </c>
      <c r="AA87" s="11">
        <v>13</v>
      </c>
      <c r="AB87" s="15" t="s">
        <v>125</v>
      </c>
      <c r="AC87" s="11" t="s">
        <v>14</v>
      </c>
      <c r="AD87" s="29" t="str">
        <f t="shared" si="2"/>
        <v>Sintonia Educação Infantil P009p</v>
      </c>
      <c r="AE87" s="47" t="str">
        <f t="shared" si="3"/>
        <v>Edinfa</v>
      </c>
      <c r="AF87" s="47"/>
    </row>
    <row r="88" spans="1:32" x14ac:dyDescent="0.3">
      <c r="A88" s="14" t="s">
        <v>229</v>
      </c>
      <c r="B88" s="11" t="s">
        <v>156</v>
      </c>
      <c r="C88" s="11" t="s">
        <v>16</v>
      </c>
      <c r="D88" s="11" t="s">
        <v>8</v>
      </c>
      <c r="E88" s="11">
        <v>31</v>
      </c>
      <c r="F88" s="11">
        <v>5</v>
      </c>
      <c r="G88" s="11">
        <v>2</v>
      </c>
      <c r="H88" s="11">
        <v>2</v>
      </c>
      <c r="I88" s="20" t="s">
        <v>9</v>
      </c>
      <c r="J88" s="27"/>
      <c r="K88" s="11"/>
      <c r="L88" s="11"/>
      <c r="M88" s="11"/>
      <c r="N88" s="11"/>
      <c r="O88" s="18" t="s">
        <v>230</v>
      </c>
      <c r="P88" s="15"/>
      <c r="Q88" s="11">
        <v>19</v>
      </c>
      <c r="R88" s="19">
        <v>45820</v>
      </c>
      <c r="S88" s="19">
        <v>45820</v>
      </c>
      <c r="T88" s="19"/>
      <c r="U88" s="19"/>
      <c r="V88" s="19">
        <v>45821</v>
      </c>
      <c r="W88" s="11" t="s">
        <v>216</v>
      </c>
      <c r="X88" s="28" t="str">
        <f>IF(STAT[[#This Row],[sigla]]="","",VLOOKUP(STAT[[#This Row],[sigla]],CRÉDITOS_GERAIS4[[#All],[SIGLA ARTE]:[CRÉDITO A SER PUBLICADO]],2,0))</f>
        <v>Arquivo da editora</v>
      </c>
      <c r="Y88" s="11" t="s">
        <v>223</v>
      </c>
      <c r="Z88" s="11" t="str">
        <f>STAT[[#This Row],[ilustrador]]</f>
        <v>Arquivo da editora</v>
      </c>
      <c r="AA88" s="11">
        <v>13</v>
      </c>
      <c r="AB88" s="15" t="s">
        <v>216</v>
      </c>
      <c r="AC88" s="11" t="s">
        <v>14</v>
      </c>
      <c r="AD88" s="29" t="str">
        <f t="shared" si="2"/>
        <v>Sintonia Educação Infantil P009p</v>
      </c>
      <c r="AE88" s="47" t="str">
        <f t="shared" si="3"/>
        <v>Edinfa</v>
      </c>
      <c r="AF88" s="47"/>
    </row>
    <row r="89" spans="1:32" x14ac:dyDescent="0.3">
      <c r="A89" s="14" t="s">
        <v>231</v>
      </c>
      <c r="B89" s="11" t="s">
        <v>156</v>
      </c>
      <c r="C89" s="11" t="s">
        <v>16</v>
      </c>
      <c r="D89" s="11" t="s">
        <v>8</v>
      </c>
      <c r="E89" s="11">
        <v>31</v>
      </c>
      <c r="F89" s="11">
        <v>5</v>
      </c>
      <c r="G89" s="11">
        <v>2</v>
      </c>
      <c r="H89" s="11">
        <v>2</v>
      </c>
      <c r="I89" s="20" t="s">
        <v>9</v>
      </c>
      <c r="J89" s="27"/>
      <c r="K89" s="11"/>
      <c r="L89" s="11"/>
      <c r="M89" s="11"/>
      <c r="N89" s="11"/>
      <c r="O89" s="18" t="s">
        <v>232</v>
      </c>
      <c r="P89" s="15"/>
      <c r="Q89" s="11">
        <v>19</v>
      </c>
      <c r="R89" s="19">
        <v>45820</v>
      </c>
      <c r="S89" s="19">
        <v>45820</v>
      </c>
      <c r="T89" s="19"/>
      <c r="U89" s="19"/>
      <c r="V89" s="19">
        <v>45821</v>
      </c>
      <c r="W89" s="11" t="s">
        <v>216</v>
      </c>
      <c r="X89" s="28" t="str">
        <f>IF(STAT[[#This Row],[sigla]]="","",VLOOKUP(STAT[[#This Row],[sigla]],CRÉDITOS_GERAIS4[[#All],[SIGLA ARTE]:[CRÉDITO A SER PUBLICADO]],2,0))</f>
        <v>Arquivo da editora</v>
      </c>
      <c r="Y89" s="11" t="s">
        <v>223</v>
      </c>
      <c r="Z89" s="11" t="str">
        <f>STAT[[#This Row],[ilustrador]]</f>
        <v>Arquivo da editora</v>
      </c>
      <c r="AA89" s="11">
        <v>13</v>
      </c>
      <c r="AB89" s="15" t="s">
        <v>216</v>
      </c>
      <c r="AC89" s="11" t="s">
        <v>14</v>
      </c>
      <c r="AD89" s="29" t="str">
        <f t="shared" si="2"/>
        <v>Sintonia Educação Infantil P009p</v>
      </c>
      <c r="AE89" s="47" t="str">
        <f t="shared" si="3"/>
        <v>Edinfa</v>
      </c>
      <c r="AF89" s="47"/>
    </row>
    <row r="90" spans="1:32" ht="28.8" x14ac:dyDescent="0.3">
      <c r="A90" s="14" t="s">
        <v>233</v>
      </c>
      <c r="B90" s="11" t="s">
        <v>19</v>
      </c>
      <c r="C90" s="11" t="s">
        <v>16</v>
      </c>
      <c r="D90" s="11" t="s">
        <v>8</v>
      </c>
      <c r="E90" s="11">
        <v>31</v>
      </c>
      <c r="F90" s="11">
        <v>5</v>
      </c>
      <c r="G90" s="11">
        <v>2</v>
      </c>
      <c r="H90" s="11">
        <v>2</v>
      </c>
      <c r="I90" s="20" t="s">
        <v>9</v>
      </c>
      <c r="J90" s="27"/>
      <c r="K90" s="11"/>
      <c r="L90" s="11"/>
      <c r="M90" s="11"/>
      <c r="N90" s="11"/>
      <c r="O90" s="18" t="s">
        <v>234</v>
      </c>
      <c r="P90" s="15"/>
      <c r="Q90" s="11">
        <v>12</v>
      </c>
      <c r="R90" s="19">
        <v>45777</v>
      </c>
      <c r="S90" s="19">
        <v>45784</v>
      </c>
      <c r="T90" s="19"/>
      <c r="U90" s="19"/>
      <c r="V90" s="19">
        <v>45784</v>
      </c>
      <c r="W90" s="11" t="s">
        <v>216</v>
      </c>
      <c r="X90" s="28" t="str">
        <f>IF(STAT[[#This Row],[sigla]]="","",VLOOKUP(STAT[[#This Row],[sigla]],CRÉDITOS_GERAIS4[[#All],[SIGLA ARTE]:[CRÉDITO A SER PUBLICADO]],2,0))</f>
        <v>Arquivo da editora</v>
      </c>
      <c r="Y90" s="11" t="s">
        <v>13</v>
      </c>
      <c r="Z90" s="11" t="s">
        <v>228</v>
      </c>
      <c r="AA90" s="11">
        <v>13</v>
      </c>
      <c r="AB90" s="15" t="s">
        <v>125</v>
      </c>
      <c r="AC90" s="11" t="s">
        <v>14</v>
      </c>
      <c r="AD90" s="29" t="str">
        <f t="shared" si="2"/>
        <v>Sintonia Educação Infantil P009p</v>
      </c>
      <c r="AE90" s="47" t="str">
        <f t="shared" si="3"/>
        <v>Edinfa</v>
      </c>
      <c r="AF90" s="47"/>
    </row>
    <row r="91" spans="1:32" x14ac:dyDescent="0.3">
      <c r="A91" s="14" t="s">
        <v>235</v>
      </c>
      <c r="B91" s="11" t="s">
        <v>19</v>
      </c>
      <c r="C91" s="11" t="s">
        <v>16</v>
      </c>
      <c r="D91" s="11" t="s">
        <v>8</v>
      </c>
      <c r="E91" s="11">
        <v>31</v>
      </c>
      <c r="F91" s="11">
        <v>5</v>
      </c>
      <c r="G91" s="11">
        <v>2</v>
      </c>
      <c r="H91" s="11">
        <v>2</v>
      </c>
      <c r="I91" s="20" t="s">
        <v>9</v>
      </c>
      <c r="J91" s="27"/>
      <c r="K91" s="11"/>
      <c r="L91" s="11"/>
      <c r="M91" s="11"/>
      <c r="N91" s="11"/>
      <c r="O91" s="18" t="s">
        <v>236</v>
      </c>
      <c r="P91" s="15"/>
      <c r="Q91" s="11"/>
      <c r="R91" s="19"/>
      <c r="S91" s="19"/>
      <c r="T91" s="19"/>
      <c r="U91" s="19"/>
      <c r="V91" s="19"/>
      <c r="W91" s="11" t="s">
        <v>216</v>
      </c>
      <c r="X91" s="28" t="str">
        <f>IF(STAT[[#This Row],[sigla]]="","",VLOOKUP(STAT[[#This Row],[sigla]],CRÉDITOS_GERAIS4[[#All],[SIGLA ARTE]:[CRÉDITO A SER PUBLICADO]],2,0))</f>
        <v>Arquivo da editora</v>
      </c>
      <c r="Y91" s="11"/>
      <c r="Z91" s="11" t="str">
        <f>STAT[[#This Row],[ilustrador]]</f>
        <v>Arquivo da editora</v>
      </c>
      <c r="AA91" s="11"/>
      <c r="AB91" s="15"/>
      <c r="AC91" s="11" t="s">
        <v>14</v>
      </c>
      <c r="AD91" s="29" t="str">
        <f t="shared" si="2"/>
        <v>Sintonia Educação Infantil P009p</v>
      </c>
      <c r="AE91" s="47" t="str">
        <f t="shared" si="3"/>
        <v>Edinfa</v>
      </c>
      <c r="AF91" s="47"/>
    </row>
    <row r="92" spans="1:32" ht="57.6" x14ac:dyDescent="0.3">
      <c r="A92" s="14" t="s">
        <v>237</v>
      </c>
      <c r="B92" s="11" t="s">
        <v>19</v>
      </c>
      <c r="C92" s="11" t="s">
        <v>16</v>
      </c>
      <c r="D92" s="11" t="s">
        <v>8</v>
      </c>
      <c r="E92" s="11">
        <v>32</v>
      </c>
      <c r="F92" s="11">
        <v>5</v>
      </c>
      <c r="G92" s="11">
        <v>2</v>
      </c>
      <c r="H92" s="11">
        <v>2</v>
      </c>
      <c r="I92" s="20" t="s">
        <v>238</v>
      </c>
      <c r="J92" s="27"/>
      <c r="K92" s="11"/>
      <c r="L92" s="11"/>
      <c r="M92" s="11"/>
      <c r="N92" s="11"/>
      <c r="O92" s="18" t="s">
        <v>239</v>
      </c>
      <c r="P92" s="15"/>
      <c r="Q92" s="11">
        <v>12</v>
      </c>
      <c r="R92" s="19">
        <v>45777</v>
      </c>
      <c r="S92" s="19">
        <v>45784</v>
      </c>
      <c r="T92" s="19"/>
      <c r="U92" s="19"/>
      <c r="V92" s="19">
        <v>45784</v>
      </c>
      <c r="W92" s="11" t="s">
        <v>90</v>
      </c>
      <c r="X92" s="28" t="str">
        <f>IF(STAT[[#This Row],[sigla]]="","",VLOOKUP(STAT[[#This Row],[sigla]],CRÉDITOS_GERAIS4[[#All],[SIGLA ARTE]:[CRÉDITO A SER PUBLICADO]],2,0))</f>
        <v>Gabriel Brum</v>
      </c>
      <c r="Y92" s="11" t="s">
        <v>13</v>
      </c>
      <c r="Z92" s="11" t="s">
        <v>191</v>
      </c>
      <c r="AA92" s="11">
        <v>13</v>
      </c>
      <c r="AB92" s="15" t="s">
        <v>240</v>
      </c>
      <c r="AC92" s="11" t="s">
        <v>14</v>
      </c>
      <c r="AD92" s="29" t="str">
        <f t="shared" si="2"/>
        <v>Sintonia Educação Infantil P009p</v>
      </c>
      <c r="AE92" s="47" t="str">
        <f t="shared" si="3"/>
        <v>Edinfa</v>
      </c>
      <c r="AF92" s="47"/>
    </row>
    <row r="93" spans="1:32" x14ac:dyDescent="0.3">
      <c r="A93" s="14" t="s">
        <v>241</v>
      </c>
      <c r="B93" s="11" t="s">
        <v>19</v>
      </c>
      <c r="C93" s="11" t="s">
        <v>16</v>
      </c>
      <c r="D93" s="11" t="s">
        <v>8</v>
      </c>
      <c r="E93" s="11">
        <v>34</v>
      </c>
      <c r="F93" s="11">
        <v>5</v>
      </c>
      <c r="G93" s="11">
        <v>2</v>
      </c>
      <c r="H93" s="11">
        <v>2</v>
      </c>
      <c r="I93" s="20" t="s">
        <v>9</v>
      </c>
      <c r="J93" s="27"/>
      <c r="K93" s="11"/>
      <c r="L93" s="11"/>
      <c r="M93" s="11"/>
      <c r="N93" s="11"/>
      <c r="O93" s="18" t="s">
        <v>242</v>
      </c>
      <c r="P93" s="15"/>
      <c r="Q93" s="11">
        <v>20</v>
      </c>
      <c r="R93" s="19">
        <v>45832</v>
      </c>
      <c r="S93" s="19"/>
      <c r="T93" s="19"/>
      <c r="U93" s="19"/>
      <c r="V93" s="19"/>
      <c r="W93" s="11" t="s">
        <v>216</v>
      </c>
      <c r="X93" s="28" t="str">
        <f>IF(STAT[[#This Row],[sigla]]="","",VLOOKUP(STAT[[#This Row],[sigla]],CRÉDITOS_GERAIS4[[#All],[SIGLA ARTE]:[CRÉDITO A SER PUBLICADO]],2,0))</f>
        <v>Arquivo da editora</v>
      </c>
      <c r="Y93" s="11"/>
      <c r="Z93" s="11" t="str">
        <f>STAT[[#This Row],[ilustrador]]</f>
        <v>Arquivo da editora</v>
      </c>
      <c r="AA93" s="11"/>
      <c r="AB93" s="15"/>
      <c r="AC93" s="11" t="s">
        <v>14</v>
      </c>
      <c r="AD93" s="29" t="str">
        <f t="shared" si="2"/>
        <v>Sintonia Educação Infantil P009p</v>
      </c>
      <c r="AE93" s="47" t="str">
        <f t="shared" si="3"/>
        <v>Edinfa</v>
      </c>
      <c r="AF93" s="47"/>
    </row>
    <row r="94" spans="1:32" x14ac:dyDescent="0.3">
      <c r="A94" s="14" t="s">
        <v>243</v>
      </c>
      <c r="B94" s="11" t="s">
        <v>19</v>
      </c>
      <c r="C94" s="11" t="s">
        <v>16</v>
      </c>
      <c r="D94" s="11" t="s">
        <v>8</v>
      </c>
      <c r="E94" s="11">
        <v>34</v>
      </c>
      <c r="F94" s="11">
        <v>5</v>
      </c>
      <c r="G94" s="11">
        <v>2</v>
      </c>
      <c r="H94" s="11">
        <v>2</v>
      </c>
      <c r="I94" s="20" t="s">
        <v>9</v>
      </c>
      <c r="J94" s="27"/>
      <c r="K94" s="11"/>
      <c r="L94" s="11"/>
      <c r="M94" s="11"/>
      <c r="N94" s="11"/>
      <c r="O94" s="18" t="s">
        <v>244</v>
      </c>
      <c r="P94" s="15"/>
      <c r="Q94" s="11">
        <v>20</v>
      </c>
      <c r="R94" s="19">
        <v>45832</v>
      </c>
      <c r="S94" s="19"/>
      <c r="T94" s="19"/>
      <c r="U94" s="19"/>
      <c r="V94" s="19"/>
      <c r="W94" s="11" t="s">
        <v>216</v>
      </c>
      <c r="X94" s="28" t="str">
        <f>IF(STAT[[#This Row],[sigla]]="","",VLOOKUP(STAT[[#This Row],[sigla]],CRÉDITOS_GERAIS4[[#All],[SIGLA ARTE]:[CRÉDITO A SER PUBLICADO]],2,0))</f>
        <v>Arquivo da editora</v>
      </c>
      <c r="Y94" s="11"/>
      <c r="Z94" s="11" t="str">
        <f>STAT[[#This Row],[ilustrador]]</f>
        <v>Arquivo da editora</v>
      </c>
      <c r="AA94" s="11"/>
      <c r="AB94" s="15"/>
      <c r="AC94" s="11" t="s">
        <v>14</v>
      </c>
      <c r="AD94" s="29" t="str">
        <f t="shared" si="2"/>
        <v>Sintonia Educação Infantil P009p</v>
      </c>
      <c r="AE94" s="47" t="str">
        <f t="shared" si="3"/>
        <v>Edinfa</v>
      </c>
      <c r="AF94" s="47"/>
    </row>
    <row r="95" spans="1:32" x14ac:dyDescent="0.3">
      <c r="A95" s="14" t="s">
        <v>245</v>
      </c>
      <c r="B95" s="11" t="s">
        <v>19</v>
      </c>
      <c r="C95" s="11" t="s">
        <v>16</v>
      </c>
      <c r="D95" s="11" t="s">
        <v>8</v>
      </c>
      <c r="E95" s="11">
        <v>34</v>
      </c>
      <c r="F95" s="11">
        <v>5</v>
      </c>
      <c r="G95" s="11">
        <v>2</v>
      </c>
      <c r="H95" s="11">
        <v>2</v>
      </c>
      <c r="I95" s="20" t="s">
        <v>9</v>
      </c>
      <c r="J95" s="27"/>
      <c r="K95" s="11"/>
      <c r="L95" s="11"/>
      <c r="M95" s="11"/>
      <c r="N95" s="11"/>
      <c r="O95" s="18" t="s">
        <v>246</v>
      </c>
      <c r="P95" s="15"/>
      <c r="Q95" s="11">
        <v>20</v>
      </c>
      <c r="R95" s="19">
        <v>45832</v>
      </c>
      <c r="S95" s="19"/>
      <c r="T95" s="19"/>
      <c r="U95" s="19"/>
      <c r="V95" s="19"/>
      <c r="W95" s="11" t="s">
        <v>216</v>
      </c>
      <c r="X95" s="28" t="str">
        <f>IF(STAT[[#This Row],[sigla]]="","",VLOOKUP(STAT[[#This Row],[sigla]],CRÉDITOS_GERAIS4[[#All],[SIGLA ARTE]:[CRÉDITO A SER PUBLICADO]],2,0))</f>
        <v>Arquivo da editora</v>
      </c>
      <c r="Y95" s="11"/>
      <c r="Z95" s="11" t="str">
        <f>STAT[[#This Row],[ilustrador]]</f>
        <v>Arquivo da editora</v>
      </c>
      <c r="AA95" s="11"/>
      <c r="AB95" s="15"/>
      <c r="AC95" s="11" t="s">
        <v>14</v>
      </c>
      <c r="AD95" s="29" t="str">
        <f t="shared" si="2"/>
        <v>Sintonia Educação Infantil P009p</v>
      </c>
      <c r="AE95" s="47" t="str">
        <f t="shared" si="3"/>
        <v>Edinfa</v>
      </c>
      <c r="AF95" s="47"/>
    </row>
    <row r="96" spans="1:32" x14ac:dyDescent="0.3">
      <c r="A96" s="14" t="s">
        <v>247</v>
      </c>
      <c r="B96" s="11" t="s">
        <v>19</v>
      </c>
      <c r="C96" s="11" t="s">
        <v>16</v>
      </c>
      <c r="D96" s="11" t="s">
        <v>8</v>
      </c>
      <c r="E96" s="11">
        <v>34</v>
      </c>
      <c r="F96" s="11">
        <v>5</v>
      </c>
      <c r="G96" s="11">
        <v>2</v>
      </c>
      <c r="H96" s="11">
        <v>2</v>
      </c>
      <c r="I96" s="20" t="s">
        <v>9</v>
      </c>
      <c r="J96" s="27"/>
      <c r="K96" s="11"/>
      <c r="L96" s="11"/>
      <c r="M96" s="11"/>
      <c r="N96" s="11"/>
      <c r="O96" s="18" t="s">
        <v>248</v>
      </c>
      <c r="P96" s="15"/>
      <c r="Q96" s="11">
        <v>20</v>
      </c>
      <c r="R96" s="19">
        <v>45832</v>
      </c>
      <c r="S96" s="19"/>
      <c r="T96" s="19"/>
      <c r="U96" s="19"/>
      <c r="V96" s="19"/>
      <c r="W96" s="11" t="s">
        <v>216</v>
      </c>
      <c r="X96" s="28" t="str">
        <f>IF(STAT[[#This Row],[sigla]]="","",VLOOKUP(STAT[[#This Row],[sigla]],CRÉDITOS_GERAIS4[[#All],[SIGLA ARTE]:[CRÉDITO A SER PUBLICADO]],2,0))</f>
        <v>Arquivo da editora</v>
      </c>
      <c r="Y96" s="11"/>
      <c r="Z96" s="11" t="str">
        <f>STAT[[#This Row],[ilustrador]]</f>
        <v>Arquivo da editora</v>
      </c>
      <c r="AA96" s="11"/>
      <c r="AB96" s="15"/>
      <c r="AC96" s="11" t="s">
        <v>14</v>
      </c>
      <c r="AD96" s="29" t="str">
        <f t="shared" si="2"/>
        <v>Sintonia Educação Infantil P009p</v>
      </c>
      <c r="AE96" s="47" t="str">
        <f t="shared" si="3"/>
        <v>Edinfa</v>
      </c>
      <c r="AF96" s="47"/>
    </row>
    <row r="97" spans="1:32" x14ac:dyDescent="0.3">
      <c r="A97" s="14" t="s">
        <v>249</v>
      </c>
      <c r="B97" s="11" t="s">
        <v>19</v>
      </c>
      <c r="C97" s="11" t="s">
        <v>16</v>
      </c>
      <c r="D97" s="11" t="s">
        <v>8</v>
      </c>
      <c r="E97" s="11">
        <v>34</v>
      </c>
      <c r="F97" s="11">
        <v>5</v>
      </c>
      <c r="G97" s="11">
        <v>2</v>
      </c>
      <c r="H97" s="11">
        <v>2</v>
      </c>
      <c r="I97" s="20" t="s">
        <v>9</v>
      </c>
      <c r="J97" s="27"/>
      <c r="K97" s="11"/>
      <c r="L97" s="11"/>
      <c r="M97" s="11"/>
      <c r="N97" s="11"/>
      <c r="O97" s="18" t="s">
        <v>250</v>
      </c>
      <c r="P97" s="15"/>
      <c r="Q97" s="11">
        <v>20</v>
      </c>
      <c r="R97" s="19">
        <v>45832</v>
      </c>
      <c r="S97" s="19"/>
      <c r="T97" s="19"/>
      <c r="U97" s="19"/>
      <c r="V97" s="19"/>
      <c r="W97" s="11" t="s">
        <v>216</v>
      </c>
      <c r="X97" s="28" t="str">
        <f>IF(STAT[[#This Row],[sigla]]="","",VLOOKUP(STAT[[#This Row],[sigla]],CRÉDITOS_GERAIS4[[#All],[SIGLA ARTE]:[CRÉDITO A SER PUBLICADO]],2,0))</f>
        <v>Arquivo da editora</v>
      </c>
      <c r="Y97" s="11"/>
      <c r="Z97" s="11" t="str">
        <f>STAT[[#This Row],[ilustrador]]</f>
        <v>Arquivo da editora</v>
      </c>
      <c r="AA97" s="11"/>
      <c r="AB97" s="15"/>
      <c r="AC97" s="11" t="s">
        <v>14</v>
      </c>
      <c r="AD97" s="29" t="str">
        <f t="shared" si="2"/>
        <v>Sintonia Educação Infantil P009p</v>
      </c>
      <c r="AE97" s="47" t="str">
        <f t="shared" si="3"/>
        <v>Edinfa</v>
      </c>
      <c r="AF97" s="47"/>
    </row>
    <row r="98" spans="1:32" x14ac:dyDescent="0.3">
      <c r="A98" s="14" t="s">
        <v>251</v>
      </c>
      <c r="B98" s="11" t="s">
        <v>19</v>
      </c>
      <c r="C98" s="11" t="s">
        <v>16</v>
      </c>
      <c r="D98" s="11" t="s">
        <v>8</v>
      </c>
      <c r="E98" s="11">
        <v>34</v>
      </c>
      <c r="F98" s="11">
        <v>5</v>
      </c>
      <c r="G98" s="11">
        <v>2</v>
      </c>
      <c r="H98" s="11">
        <v>2</v>
      </c>
      <c r="I98" s="20" t="s">
        <v>9</v>
      </c>
      <c r="J98" s="27"/>
      <c r="K98" s="11"/>
      <c r="L98" s="11"/>
      <c r="M98" s="11"/>
      <c r="N98" s="11"/>
      <c r="O98" s="18" t="s">
        <v>252</v>
      </c>
      <c r="P98" s="15"/>
      <c r="Q98" s="11">
        <v>20</v>
      </c>
      <c r="R98" s="19">
        <v>45832</v>
      </c>
      <c r="S98" s="19"/>
      <c r="T98" s="19"/>
      <c r="U98" s="19"/>
      <c r="V98" s="19"/>
      <c r="W98" s="11" t="s">
        <v>216</v>
      </c>
      <c r="X98" s="28" t="str">
        <f>IF(STAT[[#This Row],[sigla]]="","",VLOOKUP(STAT[[#This Row],[sigla]],CRÉDITOS_GERAIS4[[#All],[SIGLA ARTE]:[CRÉDITO A SER PUBLICADO]],2,0))</f>
        <v>Arquivo da editora</v>
      </c>
      <c r="Y98" s="11"/>
      <c r="Z98" s="11" t="str">
        <f>STAT[[#This Row],[ilustrador]]</f>
        <v>Arquivo da editora</v>
      </c>
      <c r="AA98" s="11"/>
      <c r="AB98" s="15"/>
      <c r="AC98" s="11" t="s">
        <v>14</v>
      </c>
      <c r="AD98" s="29" t="str">
        <f t="shared" si="2"/>
        <v>Sintonia Educação Infantil P009p</v>
      </c>
      <c r="AE98" s="47" t="str">
        <f t="shared" si="3"/>
        <v>Edinfa</v>
      </c>
      <c r="AF98" s="47"/>
    </row>
    <row r="99" spans="1:32" x14ac:dyDescent="0.3">
      <c r="A99" s="14" t="s">
        <v>253</v>
      </c>
      <c r="B99" s="11" t="s">
        <v>19</v>
      </c>
      <c r="C99" s="11" t="s">
        <v>16</v>
      </c>
      <c r="D99" s="11" t="s">
        <v>8</v>
      </c>
      <c r="E99" s="11">
        <v>34</v>
      </c>
      <c r="F99" s="11">
        <v>5</v>
      </c>
      <c r="G99" s="11">
        <v>2</v>
      </c>
      <c r="H99" s="11">
        <v>2</v>
      </c>
      <c r="I99" s="20" t="s">
        <v>9</v>
      </c>
      <c r="J99" s="27"/>
      <c r="K99" s="11"/>
      <c r="L99" s="11"/>
      <c r="M99" s="11"/>
      <c r="N99" s="11"/>
      <c r="O99" s="18" t="s">
        <v>254</v>
      </c>
      <c r="P99" s="15"/>
      <c r="Q99" s="11">
        <v>20</v>
      </c>
      <c r="R99" s="19">
        <v>45832</v>
      </c>
      <c r="S99" s="19"/>
      <c r="T99" s="19"/>
      <c r="U99" s="19"/>
      <c r="V99" s="19"/>
      <c r="W99" s="11" t="s">
        <v>216</v>
      </c>
      <c r="X99" s="28" t="str">
        <f>IF(STAT[[#This Row],[sigla]]="","",VLOOKUP(STAT[[#This Row],[sigla]],CRÉDITOS_GERAIS4[[#All],[SIGLA ARTE]:[CRÉDITO A SER PUBLICADO]],2,0))</f>
        <v>Arquivo da editora</v>
      </c>
      <c r="Y99" s="11"/>
      <c r="Z99" s="11" t="str">
        <f>STAT[[#This Row],[ilustrador]]</f>
        <v>Arquivo da editora</v>
      </c>
      <c r="AA99" s="11"/>
      <c r="AB99" s="15"/>
      <c r="AC99" s="11" t="s">
        <v>14</v>
      </c>
      <c r="AD99" s="29" t="str">
        <f t="shared" si="2"/>
        <v>Sintonia Educação Infantil P009p</v>
      </c>
      <c r="AE99" s="47" t="str">
        <f t="shared" si="3"/>
        <v>Edinfa</v>
      </c>
      <c r="AF99" s="47"/>
    </row>
    <row r="100" spans="1:32" x14ac:dyDescent="0.3">
      <c r="A100" s="14" t="s">
        <v>255</v>
      </c>
      <c r="B100" s="11" t="s">
        <v>19</v>
      </c>
      <c r="C100" s="11" t="s">
        <v>16</v>
      </c>
      <c r="D100" s="11" t="s">
        <v>8</v>
      </c>
      <c r="E100" s="11">
        <v>34</v>
      </c>
      <c r="F100" s="11">
        <v>5</v>
      </c>
      <c r="G100" s="11">
        <v>2</v>
      </c>
      <c r="H100" s="11">
        <v>2</v>
      </c>
      <c r="I100" s="20" t="s">
        <v>9</v>
      </c>
      <c r="J100" s="27"/>
      <c r="K100" s="11"/>
      <c r="L100" s="11"/>
      <c r="M100" s="11"/>
      <c r="N100" s="11"/>
      <c r="O100" s="18" t="s">
        <v>256</v>
      </c>
      <c r="P100" s="15"/>
      <c r="Q100" s="11">
        <v>20</v>
      </c>
      <c r="R100" s="19">
        <v>45832</v>
      </c>
      <c r="S100" s="19"/>
      <c r="T100" s="19"/>
      <c r="U100" s="19"/>
      <c r="V100" s="19"/>
      <c r="W100" s="11" t="s">
        <v>216</v>
      </c>
      <c r="X100" s="28" t="str">
        <f>IF(STAT[[#This Row],[sigla]]="","",VLOOKUP(STAT[[#This Row],[sigla]],CRÉDITOS_GERAIS4[[#All],[SIGLA ARTE]:[CRÉDITO A SER PUBLICADO]],2,0))</f>
        <v>Arquivo da editora</v>
      </c>
      <c r="Y100" s="11"/>
      <c r="Z100" s="11" t="str">
        <f>STAT[[#This Row],[ilustrador]]</f>
        <v>Arquivo da editora</v>
      </c>
      <c r="AA100" s="11"/>
      <c r="AB100" s="15"/>
      <c r="AC100" s="11" t="s">
        <v>14</v>
      </c>
      <c r="AD100" s="29" t="str">
        <f t="shared" si="2"/>
        <v>Sintonia Educação Infantil P009p</v>
      </c>
      <c r="AE100" s="47" t="str">
        <f t="shared" si="3"/>
        <v>Edinfa</v>
      </c>
      <c r="AF100" s="47"/>
    </row>
    <row r="101" spans="1:32" x14ac:dyDescent="0.3">
      <c r="A101" s="14" t="s">
        <v>257</v>
      </c>
      <c r="B101" s="11" t="s">
        <v>19</v>
      </c>
      <c r="C101" s="11" t="s">
        <v>16</v>
      </c>
      <c r="D101" s="11" t="s">
        <v>8</v>
      </c>
      <c r="E101" s="11">
        <v>34</v>
      </c>
      <c r="F101" s="11">
        <v>5</v>
      </c>
      <c r="G101" s="11">
        <v>2</v>
      </c>
      <c r="H101" s="11">
        <v>2</v>
      </c>
      <c r="I101" s="20" t="s">
        <v>9</v>
      </c>
      <c r="J101" s="27"/>
      <c r="K101" s="11"/>
      <c r="L101" s="11"/>
      <c r="M101" s="11"/>
      <c r="N101" s="11"/>
      <c r="O101" s="18" t="s">
        <v>258</v>
      </c>
      <c r="P101" s="15"/>
      <c r="Q101" s="11">
        <v>20</v>
      </c>
      <c r="R101" s="19">
        <v>45832</v>
      </c>
      <c r="S101" s="19"/>
      <c r="T101" s="19"/>
      <c r="U101" s="19"/>
      <c r="V101" s="19"/>
      <c r="W101" s="11" t="s">
        <v>216</v>
      </c>
      <c r="X101" s="28" t="str">
        <f>IF(STAT[[#This Row],[sigla]]="","",VLOOKUP(STAT[[#This Row],[sigla]],CRÉDITOS_GERAIS4[[#All],[SIGLA ARTE]:[CRÉDITO A SER PUBLICADO]],2,0))</f>
        <v>Arquivo da editora</v>
      </c>
      <c r="Y101" s="11"/>
      <c r="Z101" s="11" t="str">
        <f>STAT[[#This Row],[ilustrador]]</f>
        <v>Arquivo da editora</v>
      </c>
      <c r="AA101" s="11"/>
      <c r="AB101" s="15"/>
      <c r="AC101" s="11" t="s">
        <v>14</v>
      </c>
      <c r="AD101" s="29" t="str">
        <f t="shared" si="2"/>
        <v>Sintonia Educação Infantil P009p</v>
      </c>
      <c r="AE101" s="47" t="str">
        <f t="shared" si="3"/>
        <v>Edinfa</v>
      </c>
      <c r="AF101" s="47"/>
    </row>
    <row r="102" spans="1:32" x14ac:dyDescent="0.3">
      <c r="A102" s="14" t="s">
        <v>259</v>
      </c>
      <c r="B102" s="11" t="s">
        <v>19</v>
      </c>
      <c r="C102" s="11" t="s">
        <v>16</v>
      </c>
      <c r="D102" s="11" t="s">
        <v>8</v>
      </c>
      <c r="E102" s="11">
        <v>34</v>
      </c>
      <c r="F102" s="11">
        <v>5</v>
      </c>
      <c r="G102" s="11">
        <v>2</v>
      </c>
      <c r="H102" s="11">
        <v>2</v>
      </c>
      <c r="I102" s="20" t="s">
        <v>9</v>
      </c>
      <c r="J102" s="27"/>
      <c r="K102" s="11"/>
      <c r="L102" s="11"/>
      <c r="M102" s="11"/>
      <c r="N102" s="11"/>
      <c r="O102" s="18" t="s">
        <v>260</v>
      </c>
      <c r="P102" s="15"/>
      <c r="Q102" s="11">
        <v>20</v>
      </c>
      <c r="R102" s="19">
        <v>45832</v>
      </c>
      <c r="S102" s="19"/>
      <c r="T102" s="19"/>
      <c r="U102" s="19"/>
      <c r="V102" s="19"/>
      <c r="W102" s="11" t="s">
        <v>216</v>
      </c>
      <c r="X102" s="28" t="str">
        <f>IF(STAT[[#This Row],[sigla]]="","",VLOOKUP(STAT[[#This Row],[sigla]],CRÉDITOS_GERAIS4[[#All],[SIGLA ARTE]:[CRÉDITO A SER PUBLICADO]],2,0))</f>
        <v>Arquivo da editora</v>
      </c>
      <c r="Y102" s="11"/>
      <c r="Z102" s="11" t="str">
        <f>STAT[[#This Row],[ilustrador]]</f>
        <v>Arquivo da editora</v>
      </c>
      <c r="AA102" s="11"/>
      <c r="AB102" s="15"/>
      <c r="AC102" s="11" t="s">
        <v>14</v>
      </c>
      <c r="AD102" s="29" t="str">
        <f t="shared" si="2"/>
        <v>Sintonia Educação Infantil P009p</v>
      </c>
      <c r="AE102" s="47" t="str">
        <f t="shared" si="3"/>
        <v>Edinfa</v>
      </c>
      <c r="AF102" s="47"/>
    </row>
    <row r="103" spans="1:32" x14ac:dyDescent="0.3">
      <c r="A103" s="14" t="s">
        <v>261</v>
      </c>
      <c r="B103" s="11" t="s">
        <v>19</v>
      </c>
      <c r="C103" s="11" t="s">
        <v>16</v>
      </c>
      <c r="D103" s="11" t="s">
        <v>8</v>
      </c>
      <c r="E103" s="11">
        <v>34</v>
      </c>
      <c r="F103" s="11">
        <v>5</v>
      </c>
      <c r="G103" s="11">
        <v>2</v>
      </c>
      <c r="H103" s="11">
        <v>2</v>
      </c>
      <c r="I103" s="20" t="s">
        <v>9</v>
      </c>
      <c r="J103" s="27"/>
      <c r="K103" s="11"/>
      <c r="L103" s="11"/>
      <c r="M103" s="11"/>
      <c r="N103" s="11"/>
      <c r="O103" s="18" t="s">
        <v>262</v>
      </c>
      <c r="P103" s="15"/>
      <c r="Q103" s="11">
        <v>20</v>
      </c>
      <c r="R103" s="19">
        <v>45832</v>
      </c>
      <c r="S103" s="19"/>
      <c r="T103" s="19"/>
      <c r="U103" s="19"/>
      <c r="V103" s="19"/>
      <c r="W103" s="11" t="s">
        <v>216</v>
      </c>
      <c r="X103" s="28" t="str">
        <f>IF(STAT[[#This Row],[sigla]]="","",VLOOKUP(STAT[[#This Row],[sigla]],CRÉDITOS_GERAIS4[[#All],[SIGLA ARTE]:[CRÉDITO A SER PUBLICADO]],2,0))</f>
        <v>Arquivo da editora</v>
      </c>
      <c r="Y103" s="11"/>
      <c r="Z103" s="11" t="str">
        <f>STAT[[#This Row],[ilustrador]]</f>
        <v>Arquivo da editora</v>
      </c>
      <c r="AA103" s="11"/>
      <c r="AB103" s="15"/>
      <c r="AC103" s="11" t="s">
        <v>14</v>
      </c>
      <c r="AD103" s="29" t="str">
        <f t="shared" si="2"/>
        <v>Sintonia Educação Infantil P009p</v>
      </c>
      <c r="AE103" s="47" t="str">
        <f t="shared" si="3"/>
        <v>Edinfa</v>
      </c>
      <c r="AF103" s="47"/>
    </row>
    <row r="104" spans="1:32" x14ac:dyDescent="0.3">
      <c r="A104" s="14" t="s">
        <v>263</v>
      </c>
      <c r="B104" s="11" t="s">
        <v>19</v>
      </c>
      <c r="C104" s="11" t="s">
        <v>16</v>
      </c>
      <c r="D104" s="11" t="s">
        <v>8</v>
      </c>
      <c r="E104" s="11">
        <v>41</v>
      </c>
      <c r="F104" s="11">
        <v>5</v>
      </c>
      <c r="G104" s="11">
        <v>3</v>
      </c>
      <c r="H104" s="11">
        <v>3</v>
      </c>
      <c r="I104" s="20" t="s">
        <v>9</v>
      </c>
      <c r="J104" s="27"/>
      <c r="K104" s="11"/>
      <c r="L104" s="11"/>
      <c r="M104" s="11"/>
      <c r="N104" s="11"/>
      <c r="O104" s="18" t="s">
        <v>264</v>
      </c>
      <c r="P104" s="15"/>
      <c r="Q104" s="11">
        <v>15</v>
      </c>
      <c r="R104" s="19">
        <v>45791</v>
      </c>
      <c r="S104" s="19">
        <v>45791</v>
      </c>
      <c r="T104" s="19">
        <v>45796</v>
      </c>
      <c r="U104" s="19">
        <v>45797</v>
      </c>
      <c r="V104" s="19">
        <v>45798</v>
      </c>
      <c r="W104" s="11" t="s">
        <v>90</v>
      </c>
      <c r="X104" s="28" t="str">
        <f>IF(STAT[[#This Row],[sigla]]="","",VLOOKUP(STAT[[#This Row],[sigla]],CRÉDITOS_GERAIS4[[#All],[SIGLA ARTE]:[CRÉDITO A SER PUBLICADO]],2,0))</f>
        <v>Gabriel Brum</v>
      </c>
      <c r="Y104" s="11"/>
      <c r="Z104" s="11" t="s">
        <v>191</v>
      </c>
      <c r="AA104" s="11">
        <v>8</v>
      </c>
      <c r="AB104" s="15" t="s">
        <v>265</v>
      </c>
      <c r="AC104" s="11" t="s">
        <v>28</v>
      </c>
      <c r="AD104" s="29" t="str">
        <f t="shared" si="2"/>
        <v>Sintonia Educação Infantil P009p</v>
      </c>
      <c r="AE104" s="47" t="str">
        <f t="shared" si="3"/>
        <v>Edinfa</v>
      </c>
      <c r="AF104" s="47"/>
    </row>
    <row r="105" spans="1:32" ht="43.2" x14ac:dyDescent="0.3">
      <c r="A105" s="14" t="s">
        <v>266</v>
      </c>
      <c r="B105" s="11" t="s">
        <v>19</v>
      </c>
      <c r="C105" s="11" t="s">
        <v>16</v>
      </c>
      <c r="D105" s="11" t="s">
        <v>8</v>
      </c>
      <c r="E105" s="11">
        <v>43</v>
      </c>
      <c r="F105" s="11">
        <v>5</v>
      </c>
      <c r="G105" s="11">
        <v>3</v>
      </c>
      <c r="H105" s="11">
        <v>3</v>
      </c>
      <c r="I105" s="20" t="s">
        <v>9</v>
      </c>
      <c r="J105" s="27"/>
      <c r="K105" s="11"/>
      <c r="L105" s="11"/>
      <c r="M105" s="11"/>
      <c r="N105" s="11"/>
      <c r="O105" s="18" t="s">
        <v>267</v>
      </c>
      <c r="P105" s="15"/>
      <c r="Q105" s="11">
        <v>15</v>
      </c>
      <c r="R105" s="19">
        <v>45791</v>
      </c>
      <c r="S105" s="19">
        <v>45791</v>
      </c>
      <c r="T105" s="19">
        <v>45793</v>
      </c>
      <c r="U105" s="19">
        <v>45797</v>
      </c>
      <c r="V105" s="19">
        <v>45799</v>
      </c>
      <c r="W105" s="11" t="s">
        <v>144</v>
      </c>
      <c r="X105" s="28" t="str">
        <f>IF(STAT[[#This Row],[sigla]]="","",VLOOKUP(STAT[[#This Row],[sigla]],CRÉDITOS_GERAIS4[[#All],[SIGLA ARTE]:[CRÉDITO A SER PUBLICADO]],2,0))</f>
        <v>Clarice Baracho</v>
      </c>
      <c r="Y105" s="11"/>
      <c r="Z105" s="11" t="s">
        <v>145</v>
      </c>
      <c r="AA105" s="11">
        <v>4</v>
      </c>
      <c r="AB105" s="15" t="s">
        <v>268</v>
      </c>
      <c r="AC105" s="11" t="s">
        <v>28</v>
      </c>
      <c r="AD105" s="29" t="str">
        <f t="shared" si="2"/>
        <v>Sintonia Educação Infantil P009p</v>
      </c>
      <c r="AE105" s="47" t="str">
        <f t="shared" si="3"/>
        <v>Edinfa</v>
      </c>
      <c r="AF105" s="47"/>
    </row>
    <row r="106" spans="1:32" x14ac:dyDescent="0.3">
      <c r="A106" s="14" t="s">
        <v>269</v>
      </c>
      <c r="B106" s="11" t="s">
        <v>19</v>
      </c>
      <c r="C106" s="11" t="s">
        <v>16</v>
      </c>
      <c r="D106" s="11" t="s">
        <v>8</v>
      </c>
      <c r="E106" s="11">
        <v>45</v>
      </c>
      <c r="F106" s="11">
        <v>5</v>
      </c>
      <c r="G106" s="11">
        <v>3</v>
      </c>
      <c r="H106" s="11">
        <v>3</v>
      </c>
      <c r="I106" s="20" t="s">
        <v>9</v>
      </c>
      <c r="J106" s="27"/>
      <c r="K106" s="11"/>
      <c r="L106" s="11"/>
      <c r="M106" s="11"/>
      <c r="N106" s="11"/>
      <c r="O106" s="18" t="s">
        <v>270</v>
      </c>
      <c r="P106" s="15"/>
      <c r="Q106" s="11"/>
      <c r="R106" s="19"/>
      <c r="S106" s="19"/>
      <c r="T106" s="19"/>
      <c r="U106" s="19"/>
      <c r="V106" s="19"/>
      <c r="W106" s="11" t="s">
        <v>216</v>
      </c>
      <c r="X106" s="28" t="str">
        <f>IF(STAT[[#This Row],[sigla]]="","",VLOOKUP(STAT[[#This Row],[sigla]],CRÉDITOS_GERAIS4[[#All],[SIGLA ARTE]:[CRÉDITO A SER PUBLICADO]],2,0))</f>
        <v>Arquivo da editora</v>
      </c>
      <c r="Y106" s="11"/>
      <c r="Z106" s="11" t="str">
        <f>STAT[[#This Row],[ilustrador]]</f>
        <v>Arquivo da editora</v>
      </c>
      <c r="AA106" s="11"/>
      <c r="AB106" s="15"/>
      <c r="AC106" s="11"/>
      <c r="AD106" s="29" t="str">
        <f t="shared" si="2"/>
        <v>Sintonia Educação Infantil P009p</v>
      </c>
      <c r="AE106" s="47" t="str">
        <f t="shared" si="3"/>
        <v>Edinfa</v>
      </c>
      <c r="AF106" s="47"/>
    </row>
    <row r="107" spans="1:32" x14ac:dyDescent="0.3">
      <c r="A107" s="14" t="s">
        <v>271</v>
      </c>
      <c r="B107" s="11" t="s">
        <v>19</v>
      </c>
      <c r="C107" s="11" t="s">
        <v>16</v>
      </c>
      <c r="D107" s="11" t="s">
        <v>8</v>
      </c>
      <c r="E107" s="11">
        <v>45</v>
      </c>
      <c r="F107" s="11">
        <v>5</v>
      </c>
      <c r="G107" s="11">
        <v>3</v>
      </c>
      <c r="H107" s="11">
        <v>3</v>
      </c>
      <c r="I107" s="20" t="s">
        <v>9</v>
      </c>
      <c r="J107" s="27"/>
      <c r="K107" s="11"/>
      <c r="L107" s="11"/>
      <c r="M107" s="11"/>
      <c r="N107" s="11"/>
      <c r="O107" s="18" t="s">
        <v>272</v>
      </c>
      <c r="P107" s="15"/>
      <c r="Q107" s="11"/>
      <c r="R107" s="19"/>
      <c r="S107" s="19"/>
      <c r="T107" s="19"/>
      <c r="U107" s="19"/>
      <c r="V107" s="19"/>
      <c r="W107" s="11" t="s">
        <v>216</v>
      </c>
      <c r="X107" s="28" t="str">
        <f>IF(STAT[[#This Row],[sigla]]="","",VLOOKUP(STAT[[#This Row],[sigla]],CRÉDITOS_GERAIS4[[#All],[SIGLA ARTE]:[CRÉDITO A SER PUBLICADO]],2,0))</f>
        <v>Arquivo da editora</v>
      </c>
      <c r="Y107" s="11"/>
      <c r="Z107" s="11" t="str">
        <f>STAT[[#This Row],[ilustrador]]</f>
        <v>Arquivo da editora</v>
      </c>
      <c r="AA107" s="11"/>
      <c r="AB107" s="15"/>
      <c r="AC107" s="11"/>
      <c r="AD107" s="29" t="str">
        <f t="shared" si="2"/>
        <v>Sintonia Educação Infantil P009p</v>
      </c>
      <c r="AE107" s="47" t="str">
        <f t="shared" si="3"/>
        <v>Edinfa</v>
      </c>
      <c r="AF107" s="47"/>
    </row>
    <row r="108" spans="1:32" x14ac:dyDescent="0.3">
      <c r="A108" s="14" t="s">
        <v>273</v>
      </c>
      <c r="B108" s="11" t="s">
        <v>19</v>
      </c>
      <c r="C108" s="11" t="s">
        <v>16</v>
      </c>
      <c r="D108" s="11" t="s">
        <v>8</v>
      </c>
      <c r="E108" s="11">
        <v>45</v>
      </c>
      <c r="F108" s="11">
        <v>5</v>
      </c>
      <c r="G108" s="11">
        <v>3</v>
      </c>
      <c r="H108" s="11">
        <v>3</v>
      </c>
      <c r="I108" s="20" t="s">
        <v>9</v>
      </c>
      <c r="J108" s="27"/>
      <c r="K108" s="11"/>
      <c r="L108" s="11"/>
      <c r="M108" s="11"/>
      <c r="N108" s="11"/>
      <c r="O108" s="18" t="s">
        <v>274</v>
      </c>
      <c r="P108" s="15"/>
      <c r="Q108" s="11"/>
      <c r="R108" s="19"/>
      <c r="S108" s="19"/>
      <c r="T108" s="19"/>
      <c r="U108" s="19"/>
      <c r="V108" s="19"/>
      <c r="W108" s="11" t="s">
        <v>216</v>
      </c>
      <c r="X108" s="28" t="str">
        <f>IF(STAT[[#This Row],[sigla]]="","",VLOOKUP(STAT[[#This Row],[sigla]],CRÉDITOS_GERAIS4[[#All],[SIGLA ARTE]:[CRÉDITO A SER PUBLICADO]],2,0))</f>
        <v>Arquivo da editora</v>
      </c>
      <c r="Y108" s="11"/>
      <c r="Z108" s="11" t="str">
        <f>STAT[[#This Row],[ilustrador]]</f>
        <v>Arquivo da editora</v>
      </c>
      <c r="AA108" s="11"/>
      <c r="AB108" s="15"/>
      <c r="AC108" s="11"/>
      <c r="AD108" s="29" t="str">
        <f t="shared" si="2"/>
        <v>Sintonia Educação Infantil P009p</v>
      </c>
      <c r="AE108" s="47" t="str">
        <f t="shared" si="3"/>
        <v>Edinfa</v>
      </c>
      <c r="AF108" s="47"/>
    </row>
    <row r="109" spans="1:32" x14ac:dyDescent="0.3">
      <c r="A109" s="14" t="s">
        <v>275</v>
      </c>
      <c r="B109" s="11" t="s">
        <v>19</v>
      </c>
      <c r="C109" s="11" t="s">
        <v>16</v>
      </c>
      <c r="D109" s="11" t="s">
        <v>8</v>
      </c>
      <c r="E109" s="11">
        <v>45</v>
      </c>
      <c r="F109" s="11">
        <v>5</v>
      </c>
      <c r="G109" s="11">
        <v>3</v>
      </c>
      <c r="H109" s="11">
        <v>3</v>
      </c>
      <c r="I109" s="20" t="s">
        <v>9</v>
      </c>
      <c r="J109" s="27"/>
      <c r="K109" s="11"/>
      <c r="L109" s="11"/>
      <c r="M109" s="11"/>
      <c r="N109" s="11"/>
      <c r="O109" s="18" t="s">
        <v>276</v>
      </c>
      <c r="P109" s="15"/>
      <c r="Q109" s="11"/>
      <c r="R109" s="19"/>
      <c r="S109" s="19"/>
      <c r="T109" s="19"/>
      <c r="U109" s="19"/>
      <c r="V109" s="19"/>
      <c r="W109" s="11" t="s">
        <v>216</v>
      </c>
      <c r="X109" s="28" t="str">
        <f>IF(STAT[[#This Row],[sigla]]="","",VLOOKUP(STAT[[#This Row],[sigla]],CRÉDITOS_GERAIS4[[#All],[SIGLA ARTE]:[CRÉDITO A SER PUBLICADO]],2,0))</f>
        <v>Arquivo da editora</v>
      </c>
      <c r="Y109" s="11"/>
      <c r="Z109" s="11" t="str">
        <f>STAT[[#This Row],[ilustrador]]</f>
        <v>Arquivo da editora</v>
      </c>
      <c r="AA109" s="11"/>
      <c r="AB109" s="15"/>
      <c r="AC109" s="11"/>
      <c r="AD109" s="29" t="str">
        <f t="shared" si="2"/>
        <v>Sintonia Educação Infantil P009p</v>
      </c>
      <c r="AE109" s="47" t="str">
        <f t="shared" si="3"/>
        <v>Edinfa</v>
      </c>
      <c r="AF109" s="47"/>
    </row>
    <row r="110" spans="1:32" x14ac:dyDescent="0.3">
      <c r="A110" s="14" t="s">
        <v>277</v>
      </c>
      <c r="B110" s="11" t="s">
        <v>19</v>
      </c>
      <c r="C110" s="11" t="s">
        <v>16</v>
      </c>
      <c r="D110" s="11" t="s">
        <v>8</v>
      </c>
      <c r="E110" s="11">
        <v>45</v>
      </c>
      <c r="F110" s="11">
        <v>5</v>
      </c>
      <c r="G110" s="11">
        <v>3</v>
      </c>
      <c r="H110" s="11">
        <v>3</v>
      </c>
      <c r="I110" s="20" t="s">
        <v>9</v>
      </c>
      <c r="J110" s="27"/>
      <c r="K110" s="11"/>
      <c r="L110" s="11"/>
      <c r="M110" s="11"/>
      <c r="N110" s="11"/>
      <c r="O110" s="18" t="s">
        <v>278</v>
      </c>
      <c r="P110" s="15"/>
      <c r="Q110" s="11"/>
      <c r="R110" s="19"/>
      <c r="S110" s="19"/>
      <c r="T110" s="19"/>
      <c r="U110" s="19"/>
      <c r="V110" s="19"/>
      <c r="W110" s="11" t="s">
        <v>216</v>
      </c>
      <c r="X110" s="28" t="str">
        <f>IF(STAT[[#This Row],[sigla]]="","",VLOOKUP(STAT[[#This Row],[sigla]],CRÉDITOS_GERAIS4[[#All],[SIGLA ARTE]:[CRÉDITO A SER PUBLICADO]],2,0))</f>
        <v>Arquivo da editora</v>
      </c>
      <c r="Y110" s="11"/>
      <c r="Z110" s="11" t="str">
        <f>STAT[[#This Row],[ilustrador]]</f>
        <v>Arquivo da editora</v>
      </c>
      <c r="AA110" s="11"/>
      <c r="AB110" s="15"/>
      <c r="AC110" s="11"/>
      <c r="AD110" s="29" t="str">
        <f t="shared" si="2"/>
        <v>Sintonia Educação Infantil P009p</v>
      </c>
      <c r="AE110" s="47" t="str">
        <f t="shared" si="3"/>
        <v>Edinfa</v>
      </c>
      <c r="AF110" s="47"/>
    </row>
    <row r="111" spans="1:32" x14ac:dyDescent="0.3">
      <c r="A111" s="14" t="s">
        <v>279</v>
      </c>
      <c r="B111" s="11" t="s">
        <v>19</v>
      </c>
      <c r="C111" s="11" t="s">
        <v>16</v>
      </c>
      <c r="D111" s="11" t="s">
        <v>8</v>
      </c>
      <c r="E111" s="11">
        <v>45</v>
      </c>
      <c r="F111" s="11">
        <v>5</v>
      </c>
      <c r="G111" s="11">
        <v>3</v>
      </c>
      <c r="H111" s="11">
        <v>3</v>
      </c>
      <c r="I111" s="20" t="s">
        <v>9</v>
      </c>
      <c r="J111" s="27"/>
      <c r="K111" s="11"/>
      <c r="L111" s="11"/>
      <c r="M111" s="11"/>
      <c r="N111" s="11"/>
      <c r="O111" s="18" t="s">
        <v>280</v>
      </c>
      <c r="P111" s="15"/>
      <c r="Q111" s="11"/>
      <c r="R111" s="19"/>
      <c r="S111" s="19"/>
      <c r="T111" s="19"/>
      <c r="U111" s="19"/>
      <c r="V111" s="19"/>
      <c r="W111" s="11" t="s">
        <v>216</v>
      </c>
      <c r="X111" s="28" t="str">
        <f>IF(STAT[[#This Row],[sigla]]="","",VLOOKUP(STAT[[#This Row],[sigla]],CRÉDITOS_GERAIS4[[#All],[SIGLA ARTE]:[CRÉDITO A SER PUBLICADO]],2,0))</f>
        <v>Arquivo da editora</v>
      </c>
      <c r="Y111" s="11"/>
      <c r="Z111" s="11" t="str">
        <f>STAT[[#This Row],[ilustrador]]</f>
        <v>Arquivo da editora</v>
      </c>
      <c r="AA111" s="11"/>
      <c r="AB111" s="15"/>
      <c r="AC111" s="11"/>
      <c r="AD111" s="29" t="str">
        <f t="shared" si="2"/>
        <v>Sintonia Educação Infantil P009p</v>
      </c>
      <c r="AE111" s="47" t="str">
        <f t="shared" si="3"/>
        <v>Edinfa</v>
      </c>
      <c r="AF111" s="47"/>
    </row>
    <row r="112" spans="1:32" x14ac:dyDescent="0.3">
      <c r="A112" s="14" t="s">
        <v>281</v>
      </c>
      <c r="B112" s="11" t="s">
        <v>19</v>
      </c>
      <c r="C112" s="11" t="s">
        <v>16</v>
      </c>
      <c r="D112" s="11" t="s">
        <v>8</v>
      </c>
      <c r="E112" s="11">
        <v>45</v>
      </c>
      <c r="F112" s="11">
        <v>5</v>
      </c>
      <c r="G112" s="11">
        <v>3</v>
      </c>
      <c r="H112" s="11">
        <v>3</v>
      </c>
      <c r="I112" s="20" t="s">
        <v>9</v>
      </c>
      <c r="J112" s="27"/>
      <c r="K112" s="11"/>
      <c r="L112" s="11"/>
      <c r="M112" s="11"/>
      <c r="N112" s="11"/>
      <c r="O112" s="18" t="s">
        <v>282</v>
      </c>
      <c r="P112" s="15"/>
      <c r="Q112" s="11"/>
      <c r="R112" s="19"/>
      <c r="S112" s="19"/>
      <c r="T112" s="19"/>
      <c r="U112" s="19"/>
      <c r="V112" s="19"/>
      <c r="W112" s="11" t="s">
        <v>216</v>
      </c>
      <c r="X112" s="28" t="str">
        <f>IF(STAT[[#This Row],[sigla]]="","",VLOOKUP(STAT[[#This Row],[sigla]],CRÉDITOS_GERAIS4[[#All],[SIGLA ARTE]:[CRÉDITO A SER PUBLICADO]],2,0))</f>
        <v>Arquivo da editora</v>
      </c>
      <c r="Y112" s="11"/>
      <c r="Z112" s="11" t="str">
        <f>STAT[[#This Row],[ilustrador]]</f>
        <v>Arquivo da editora</v>
      </c>
      <c r="AA112" s="11"/>
      <c r="AB112" s="15"/>
      <c r="AC112" s="11"/>
      <c r="AD112" s="29" t="str">
        <f t="shared" si="2"/>
        <v>Sintonia Educação Infantil P009p</v>
      </c>
      <c r="AE112" s="47" t="str">
        <f t="shared" si="3"/>
        <v>Edinfa</v>
      </c>
      <c r="AF112" s="47"/>
    </row>
    <row r="113" spans="1:32" x14ac:dyDescent="0.3">
      <c r="A113" s="14" t="s">
        <v>283</v>
      </c>
      <c r="B113" s="11" t="s">
        <v>19</v>
      </c>
      <c r="C113" s="11" t="s">
        <v>16</v>
      </c>
      <c r="D113" s="11" t="s">
        <v>8</v>
      </c>
      <c r="E113" s="11">
        <v>45</v>
      </c>
      <c r="F113" s="11">
        <v>5</v>
      </c>
      <c r="G113" s="11">
        <v>3</v>
      </c>
      <c r="H113" s="11">
        <v>3</v>
      </c>
      <c r="I113" s="20" t="s">
        <v>9</v>
      </c>
      <c r="J113" s="27"/>
      <c r="K113" s="11"/>
      <c r="L113" s="11"/>
      <c r="M113" s="11"/>
      <c r="N113" s="11"/>
      <c r="O113" s="18" t="s">
        <v>284</v>
      </c>
      <c r="P113" s="15"/>
      <c r="Q113" s="11"/>
      <c r="R113" s="19"/>
      <c r="S113" s="19"/>
      <c r="T113" s="19"/>
      <c r="U113" s="19"/>
      <c r="V113" s="19"/>
      <c r="W113" s="11" t="s">
        <v>216</v>
      </c>
      <c r="X113" s="28" t="str">
        <f>IF(STAT[[#This Row],[sigla]]="","",VLOOKUP(STAT[[#This Row],[sigla]],CRÉDITOS_GERAIS4[[#All],[SIGLA ARTE]:[CRÉDITO A SER PUBLICADO]],2,0))</f>
        <v>Arquivo da editora</v>
      </c>
      <c r="Y113" s="11" t="s">
        <v>285</v>
      </c>
      <c r="Z113" s="11" t="str">
        <f>STAT[[#This Row],[ilustrador]]</f>
        <v>Arquivo da editora</v>
      </c>
      <c r="AA113" s="11"/>
      <c r="AB113" s="15"/>
      <c r="AC113" s="11"/>
      <c r="AD113" s="29" t="str">
        <f t="shared" si="2"/>
        <v>Sintonia Educação Infantil P009p</v>
      </c>
      <c r="AE113" s="47" t="str">
        <f t="shared" si="3"/>
        <v>Edinfa</v>
      </c>
      <c r="AF113" s="47"/>
    </row>
    <row r="114" spans="1:32" x14ac:dyDescent="0.3">
      <c r="A114" s="14" t="s">
        <v>286</v>
      </c>
      <c r="B114" s="11" t="s">
        <v>19</v>
      </c>
      <c r="C114" s="11" t="s">
        <v>16</v>
      </c>
      <c r="D114" s="11" t="s">
        <v>8</v>
      </c>
      <c r="E114" s="11">
        <v>45</v>
      </c>
      <c r="F114" s="11">
        <v>5</v>
      </c>
      <c r="G114" s="11">
        <v>3</v>
      </c>
      <c r="H114" s="11">
        <v>3</v>
      </c>
      <c r="I114" s="20" t="s">
        <v>9</v>
      </c>
      <c r="J114" s="27"/>
      <c r="K114" s="11"/>
      <c r="L114" s="11"/>
      <c r="M114" s="11"/>
      <c r="N114" s="11"/>
      <c r="O114" s="18" t="s">
        <v>287</v>
      </c>
      <c r="P114" s="15"/>
      <c r="Q114" s="11"/>
      <c r="R114" s="19"/>
      <c r="S114" s="19"/>
      <c r="T114" s="19"/>
      <c r="U114" s="19"/>
      <c r="V114" s="19"/>
      <c r="W114" s="11" t="s">
        <v>216</v>
      </c>
      <c r="X114" s="28" t="str">
        <f>IF(STAT[[#This Row],[sigla]]="","",VLOOKUP(STAT[[#This Row],[sigla]],CRÉDITOS_GERAIS4[[#All],[SIGLA ARTE]:[CRÉDITO A SER PUBLICADO]],2,0))</f>
        <v>Arquivo da editora</v>
      </c>
      <c r="Y114" s="11"/>
      <c r="Z114" s="11" t="str">
        <f>STAT[[#This Row],[ilustrador]]</f>
        <v>Arquivo da editora</v>
      </c>
      <c r="AA114" s="11"/>
      <c r="AB114" s="15"/>
      <c r="AC114" s="11"/>
      <c r="AD114" s="29" t="str">
        <f t="shared" si="2"/>
        <v>Sintonia Educação Infantil P009p</v>
      </c>
      <c r="AE114" s="47" t="str">
        <f t="shared" si="3"/>
        <v>Edinfa</v>
      </c>
      <c r="AF114" s="47"/>
    </row>
    <row r="115" spans="1:32" ht="28.8" x14ac:dyDescent="0.3">
      <c r="A115" s="14" t="s">
        <v>288</v>
      </c>
      <c r="B115" s="11" t="s">
        <v>19</v>
      </c>
      <c r="C115" s="11" t="s">
        <v>16</v>
      </c>
      <c r="D115" s="11" t="s">
        <v>8</v>
      </c>
      <c r="E115" s="11">
        <v>47</v>
      </c>
      <c r="F115" s="11">
        <v>5</v>
      </c>
      <c r="G115" s="11">
        <v>3</v>
      </c>
      <c r="H115" s="11">
        <v>3</v>
      </c>
      <c r="I115" s="20" t="s">
        <v>9</v>
      </c>
      <c r="J115" s="27"/>
      <c r="K115" s="11"/>
      <c r="L115" s="11"/>
      <c r="M115" s="11"/>
      <c r="N115" s="11"/>
      <c r="O115" s="18" t="s">
        <v>289</v>
      </c>
      <c r="P115" s="15"/>
      <c r="Q115" s="11">
        <v>15</v>
      </c>
      <c r="R115" s="19">
        <v>45791</v>
      </c>
      <c r="S115" s="19">
        <v>45791</v>
      </c>
      <c r="T115" s="19">
        <v>45793</v>
      </c>
      <c r="U115" s="19">
        <v>45797</v>
      </c>
      <c r="V115" s="19">
        <v>45799</v>
      </c>
      <c r="W115" s="11" t="s">
        <v>144</v>
      </c>
      <c r="X115" s="28" t="str">
        <f>IF(STAT[[#This Row],[sigla]]="","",VLOOKUP(STAT[[#This Row],[sigla]],CRÉDITOS_GERAIS4[[#All],[SIGLA ARTE]:[CRÉDITO A SER PUBLICADO]],2,0))</f>
        <v>Clarice Baracho</v>
      </c>
      <c r="Y115" s="11"/>
      <c r="Z115" s="11" t="s">
        <v>145</v>
      </c>
      <c r="AA115" s="11">
        <v>7</v>
      </c>
      <c r="AB115" s="15" t="s">
        <v>268</v>
      </c>
      <c r="AC115" s="11" t="s">
        <v>28</v>
      </c>
      <c r="AD115" s="29" t="str">
        <f t="shared" si="2"/>
        <v>Sintonia Educação Infantil P009p</v>
      </c>
      <c r="AE115" s="47" t="str">
        <f t="shared" si="3"/>
        <v>Edinfa</v>
      </c>
      <c r="AF115" s="47"/>
    </row>
    <row r="116" spans="1:32" ht="28.8" x14ac:dyDescent="0.3">
      <c r="A116" s="14" t="s">
        <v>290</v>
      </c>
      <c r="B116" s="11" t="s">
        <v>19</v>
      </c>
      <c r="C116" s="11" t="s">
        <v>16</v>
      </c>
      <c r="D116" s="11" t="s">
        <v>8</v>
      </c>
      <c r="E116" s="11">
        <v>49</v>
      </c>
      <c r="F116" s="11">
        <v>5</v>
      </c>
      <c r="G116" s="11">
        <v>3</v>
      </c>
      <c r="H116" s="11">
        <v>3</v>
      </c>
      <c r="I116" s="20" t="s">
        <v>9</v>
      </c>
      <c r="J116" s="27"/>
      <c r="K116" s="11"/>
      <c r="L116" s="11"/>
      <c r="M116" s="11"/>
      <c r="N116" s="11"/>
      <c r="O116" s="18" t="s">
        <v>291</v>
      </c>
      <c r="P116" s="15"/>
      <c r="Q116" s="11">
        <v>15</v>
      </c>
      <c r="R116" s="19">
        <v>45791</v>
      </c>
      <c r="S116" s="19">
        <v>45791</v>
      </c>
      <c r="T116" s="19">
        <v>45796</v>
      </c>
      <c r="U116" s="19">
        <v>45797</v>
      </c>
      <c r="V116" s="19">
        <v>45798</v>
      </c>
      <c r="W116" s="11" t="s">
        <v>90</v>
      </c>
      <c r="X116" s="28" t="str">
        <f>IF(STAT[[#This Row],[sigla]]="","",VLOOKUP(STAT[[#This Row],[sigla]],CRÉDITOS_GERAIS4[[#All],[SIGLA ARTE]:[CRÉDITO A SER PUBLICADO]],2,0))</f>
        <v>Gabriel Brum</v>
      </c>
      <c r="Y116" s="11"/>
      <c r="Z116" s="11" t="s">
        <v>191</v>
      </c>
      <c r="AA116" s="11">
        <v>5</v>
      </c>
      <c r="AB116" s="15" t="s">
        <v>265</v>
      </c>
      <c r="AC116" s="11" t="s">
        <v>28</v>
      </c>
      <c r="AD116" s="29" t="str">
        <f t="shared" si="2"/>
        <v>Sintonia Educação Infantil P009p</v>
      </c>
      <c r="AE116" s="47" t="str">
        <f t="shared" si="3"/>
        <v>Edinfa</v>
      </c>
      <c r="AF116" s="47"/>
    </row>
    <row r="117" spans="1:32" ht="86.4" x14ac:dyDescent="0.3">
      <c r="A117" s="14" t="s">
        <v>292</v>
      </c>
      <c r="B117" s="11" t="s">
        <v>19</v>
      </c>
      <c r="C117" s="11" t="s">
        <v>16</v>
      </c>
      <c r="D117" s="11" t="s">
        <v>8</v>
      </c>
      <c r="E117" s="11">
        <v>52</v>
      </c>
      <c r="F117" s="11">
        <v>5</v>
      </c>
      <c r="G117" s="11">
        <v>3</v>
      </c>
      <c r="H117" s="11">
        <v>3</v>
      </c>
      <c r="I117" s="20" t="s">
        <v>9</v>
      </c>
      <c r="J117" s="27"/>
      <c r="K117" s="11"/>
      <c r="L117" s="11"/>
      <c r="M117" s="11"/>
      <c r="N117" s="11"/>
      <c r="O117" s="18" t="s">
        <v>293</v>
      </c>
      <c r="P117" s="15"/>
      <c r="Q117" s="11">
        <v>15</v>
      </c>
      <c r="R117" s="19">
        <v>45791</v>
      </c>
      <c r="S117" s="19">
        <v>45791</v>
      </c>
      <c r="T117" s="19">
        <v>45796</v>
      </c>
      <c r="U117" s="19">
        <v>45797</v>
      </c>
      <c r="V117" s="19">
        <v>45798</v>
      </c>
      <c r="W117" s="11" t="s">
        <v>90</v>
      </c>
      <c r="X117" s="28" t="str">
        <f>IF(STAT[[#This Row],[sigla]]="","",VLOOKUP(STAT[[#This Row],[sigla]],CRÉDITOS_GERAIS4[[#All],[SIGLA ARTE]:[CRÉDITO A SER PUBLICADO]],2,0))</f>
        <v>Gabriel Brum</v>
      </c>
      <c r="Y117" s="11"/>
      <c r="Z117" s="11" t="s">
        <v>191</v>
      </c>
      <c r="AA117" s="11">
        <v>4</v>
      </c>
      <c r="AB117" s="15" t="s">
        <v>265</v>
      </c>
      <c r="AC117" s="11" t="s">
        <v>28</v>
      </c>
      <c r="AD117" s="29" t="str">
        <f t="shared" si="2"/>
        <v>Sintonia Educação Infantil P009p</v>
      </c>
      <c r="AE117" s="47" t="str">
        <f t="shared" si="3"/>
        <v>Edinfa</v>
      </c>
      <c r="AF117" s="47"/>
    </row>
    <row r="118" spans="1:32" ht="57.6" x14ac:dyDescent="0.3">
      <c r="A118" s="14" t="s">
        <v>294</v>
      </c>
      <c r="B118" s="11" t="s">
        <v>19</v>
      </c>
      <c r="C118" s="11" t="s">
        <v>16</v>
      </c>
      <c r="D118" s="11" t="s">
        <v>8</v>
      </c>
      <c r="E118" s="11">
        <v>56</v>
      </c>
      <c r="F118" s="11">
        <v>5</v>
      </c>
      <c r="G118" s="11">
        <v>4</v>
      </c>
      <c r="H118" s="11">
        <v>4</v>
      </c>
      <c r="I118" s="20" t="s">
        <v>9</v>
      </c>
      <c r="J118" s="27"/>
      <c r="K118" s="11"/>
      <c r="L118" s="11"/>
      <c r="M118" s="11"/>
      <c r="N118" s="11"/>
      <c r="O118" s="18" t="s">
        <v>295</v>
      </c>
      <c r="P118" s="15"/>
      <c r="Q118" s="11">
        <v>16</v>
      </c>
      <c r="R118" s="19">
        <v>45796</v>
      </c>
      <c r="S118" s="19">
        <v>45797</v>
      </c>
      <c r="T118" s="19">
        <v>45803</v>
      </c>
      <c r="U118" s="19">
        <v>45803</v>
      </c>
      <c r="V118" s="19">
        <v>45804</v>
      </c>
      <c r="W118" s="11" t="s">
        <v>90</v>
      </c>
      <c r="X118" s="28" t="str">
        <f>IF(STAT[[#This Row],[sigla]]="","",VLOOKUP(STAT[[#This Row],[sigla]],CRÉDITOS_GERAIS4[[#All],[SIGLA ARTE]:[CRÉDITO A SER PUBLICADO]],2,0))</f>
        <v>Gabriel Brum</v>
      </c>
      <c r="Y118" s="11"/>
      <c r="Z118" s="11" t="str">
        <f>STAT[[#This Row],[ilustrador]]</f>
        <v>Gabriel Brum</v>
      </c>
      <c r="AA118" s="11">
        <v>7</v>
      </c>
      <c r="AB118" s="15" t="s">
        <v>296</v>
      </c>
      <c r="AC118" s="11" t="s">
        <v>28</v>
      </c>
      <c r="AD118" s="29" t="str">
        <f t="shared" si="2"/>
        <v>Sintonia Educação Infantil P009p</v>
      </c>
      <c r="AE118" s="47" t="str">
        <f t="shared" si="3"/>
        <v>Edinfa</v>
      </c>
      <c r="AF118" s="47"/>
    </row>
    <row r="119" spans="1:32" ht="43.2" x14ac:dyDescent="0.3">
      <c r="A119" s="14" t="s">
        <v>297</v>
      </c>
      <c r="B119" s="11" t="s">
        <v>19</v>
      </c>
      <c r="C119" s="11" t="s">
        <v>16</v>
      </c>
      <c r="D119" s="11" t="s">
        <v>8</v>
      </c>
      <c r="E119" s="11">
        <v>56</v>
      </c>
      <c r="F119" s="11">
        <v>5</v>
      </c>
      <c r="G119" s="11">
        <v>4</v>
      </c>
      <c r="H119" s="11">
        <v>4</v>
      </c>
      <c r="I119" s="20" t="s">
        <v>9</v>
      </c>
      <c r="J119" s="27"/>
      <c r="K119" s="11"/>
      <c r="L119" s="11"/>
      <c r="M119" s="11"/>
      <c r="N119" s="11"/>
      <c r="O119" s="18" t="s">
        <v>298</v>
      </c>
      <c r="P119" s="15"/>
      <c r="Q119" s="11">
        <v>16</v>
      </c>
      <c r="R119" s="19">
        <v>45796</v>
      </c>
      <c r="S119" s="19">
        <v>45797</v>
      </c>
      <c r="T119" s="19">
        <v>45803</v>
      </c>
      <c r="U119" s="19">
        <v>45803</v>
      </c>
      <c r="V119" s="19">
        <v>45804</v>
      </c>
      <c r="W119" s="11" t="s">
        <v>90</v>
      </c>
      <c r="X119" s="28" t="str">
        <f>IF(STAT[[#This Row],[sigla]]="","",VLOOKUP(STAT[[#This Row],[sigla]],CRÉDITOS_GERAIS4[[#All],[SIGLA ARTE]:[CRÉDITO A SER PUBLICADO]],2,0))</f>
        <v>Gabriel Brum</v>
      </c>
      <c r="Y119" s="11"/>
      <c r="Z119" s="11" t="str">
        <f>STAT[[#This Row],[ilustrador]]</f>
        <v>Gabriel Brum</v>
      </c>
      <c r="AA119" s="11">
        <v>7</v>
      </c>
      <c r="AB119" s="15" t="s">
        <v>296</v>
      </c>
      <c r="AC119" s="11" t="s">
        <v>28</v>
      </c>
      <c r="AD119" s="29" t="str">
        <f t="shared" si="2"/>
        <v>Sintonia Educação Infantil P009p</v>
      </c>
      <c r="AE119" s="47" t="str">
        <f t="shared" si="3"/>
        <v>Edinfa</v>
      </c>
      <c r="AF119" s="47"/>
    </row>
    <row r="120" spans="1:32" ht="43.2" x14ac:dyDescent="0.3">
      <c r="A120" s="14" t="s">
        <v>299</v>
      </c>
      <c r="B120" s="11" t="s">
        <v>19</v>
      </c>
      <c r="C120" s="11" t="s">
        <v>16</v>
      </c>
      <c r="D120" s="11" t="s">
        <v>8</v>
      </c>
      <c r="E120" s="11">
        <v>56</v>
      </c>
      <c r="F120" s="11">
        <v>5</v>
      </c>
      <c r="G120" s="11">
        <v>4</v>
      </c>
      <c r="H120" s="11">
        <v>4</v>
      </c>
      <c r="I120" s="20" t="s">
        <v>9</v>
      </c>
      <c r="J120" s="27"/>
      <c r="K120" s="11"/>
      <c r="L120" s="11"/>
      <c r="M120" s="11"/>
      <c r="N120" s="11"/>
      <c r="O120" s="18" t="s">
        <v>300</v>
      </c>
      <c r="P120" s="15"/>
      <c r="Q120" s="11">
        <v>16</v>
      </c>
      <c r="R120" s="19">
        <v>45796</v>
      </c>
      <c r="S120" s="19">
        <v>45797</v>
      </c>
      <c r="T120" s="19">
        <v>45803</v>
      </c>
      <c r="U120" s="19">
        <v>45803</v>
      </c>
      <c r="V120" s="19">
        <v>45804</v>
      </c>
      <c r="W120" s="11" t="s">
        <v>90</v>
      </c>
      <c r="X120" s="28" t="str">
        <f>IF(STAT[[#This Row],[sigla]]="","",VLOOKUP(STAT[[#This Row],[sigla]],CRÉDITOS_GERAIS4[[#All],[SIGLA ARTE]:[CRÉDITO A SER PUBLICADO]],2,0))</f>
        <v>Gabriel Brum</v>
      </c>
      <c r="Y120" s="11"/>
      <c r="Z120" s="11" t="str">
        <f>STAT[[#This Row],[ilustrador]]</f>
        <v>Gabriel Brum</v>
      </c>
      <c r="AA120" s="11">
        <v>7</v>
      </c>
      <c r="AB120" s="15" t="s">
        <v>296</v>
      </c>
      <c r="AC120" s="11" t="s">
        <v>28</v>
      </c>
      <c r="AD120" s="29" t="str">
        <f t="shared" si="2"/>
        <v>Sintonia Educação Infantil P009p</v>
      </c>
      <c r="AE120" s="47" t="str">
        <f t="shared" si="3"/>
        <v>Edinfa</v>
      </c>
      <c r="AF120" s="47"/>
    </row>
    <row r="121" spans="1:32" ht="43.2" x14ac:dyDescent="0.3">
      <c r="A121" s="14" t="s">
        <v>301</v>
      </c>
      <c r="B121" s="11" t="s">
        <v>19</v>
      </c>
      <c r="C121" s="11" t="s">
        <v>16</v>
      </c>
      <c r="D121" s="11" t="s">
        <v>8</v>
      </c>
      <c r="E121" s="11">
        <v>58</v>
      </c>
      <c r="F121" s="11">
        <v>5</v>
      </c>
      <c r="G121" s="11">
        <v>4</v>
      </c>
      <c r="H121" s="11">
        <v>4</v>
      </c>
      <c r="I121" s="20" t="s">
        <v>9</v>
      </c>
      <c r="J121" s="27"/>
      <c r="K121" s="11"/>
      <c r="L121" s="11"/>
      <c r="M121" s="11"/>
      <c r="N121" s="11"/>
      <c r="O121" s="18" t="s">
        <v>302</v>
      </c>
      <c r="P121" s="15"/>
      <c r="Q121" s="11">
        <v>16</v>
      </c>
      <c r="R121" s="19">
        <v>45796</v>
      </c>
      <c r="S121" s="19">
        <v>45797</v>
      </c>
      <c r="T121" s="19"/>
      <c r="U121" s="19"/>
      <c r="V121" s="19">
        <v>45797</v>
      </c>
      <c r="W121" s="11" t="s">
        <v>158</v>
      </c>
      <c r="X121" s="28" t="str">
        <f>IF(STAT[[#This Row],[sigla]]="","",VLOOKUP(STAT[[#This Row],[sigla]],CRÉDITOS_GERAIS4[[#All],[SIGLA ARTE]:[CRÉDITO A SER PUBLICADO]],2,0))</f>
        <v>Rafaela Panissa</v>
      </c>
      <c r="Y121" s="11"/>
      <c r="Z121" s="11" t="s">
        <v>223</v>
      </c>
      <c r="AA121" s="11">
        <v>8</v>
      </c>
      <c r="AB121" s="15" t="s">
        <v>159</v>
      </c>
      <c r="AC121" s="11" t="s">
        <v>14</v>
      </c>
      <c r="AD121" s="29" t="str">
        <f t="shared" si="2"/>
        <v>Sintonia Educação Infantil P009p</v>
      </c>
      <c r="AE121" s="47" t="str">
        <f t="shared" si="3"/>
        <v>Edinfa</v>
      </c>
      <c r="AF121" s="47"/>
    </row>
    <row r="122" spans="1:32" ht="100.8" x14ac:dyDescent="0.3">
      <c r="A122" s="14" t="s">
        <v>303</v>
      </c>
      <c r="B122" s="11" t="s">
        <v>19</v>
      </c>
      <c r="C122" s="11" t="s">
        <v>16</v>
      </c>
      <c r="D122" s="11" t="s">
        <v>8</v>
      </c>
      <c r="E122" s="11">
        <v>60</v>
      </c>
      <c r="F122" s="11">
        <v>5</v>
      </c>
      <c r="G122" s="11">
        <v>4</v>
      </c>
      <c r="H122" s="11">
        <v>4</v>
      </c>
      <c r="I122" s="20" t="s">
        <v>9</v>
      </c>
      <c r="J122" s="27"/>
      <c r="K122" s="11"/>
      <c r="L122" s="11"/>
      <c r="M122" s="11"/>
      <c r="N122" s="11"/>
      <c r="O122" s="18" t="s">
        <v>304</v>
      </c>
      <c r="P122" s="15"/>
      <c r="Q122" s="11">
        <v>16</v>
      </c>
      <c r="R122" s="19">
        <v>45796</v>
      </c>
      <c r="S122" s="19">
        <v>45797</v>
      </c>
      <c r="T122" s="19">
        <v>45803</v>
      </c>
      <c r="U122" s="19">
        <v>45803</v>
      </c>
      <c r="V122" s="19">
        <v>45805</v>
      </c>
      <c r="W122" s="11" t="s">
        <v>90</v>
      </c>
      <c r="X122" s="28" t="str">
        <f>IF(STAT[[#This Row],[sigla]]="","",VLOOKUP(STAT[[#This Row],[sigla]],CRÉDITOS_GERAIS4[[#All],[SIGLA ARTE]:[CRÉDITO A SER PUBLICADO]],2,0))</f>
        <v>Gabriel Brum</v>
      </c>
      <c r="Y122" s="11"/>
      <c r="Z122" s="11" t="str">
        <f>STAT[[#This Row],[ilustrador]]</f>
        <v>Gabriel Brum</v>
      </c>
      <c r="AA122" s="11">
        <v>5</v>
      </c>
      <c r="AB122" s="15" t="s">
        <v>296</v>
      </c>
      <c r="AC122" s="11" t="s">
        <v>28</v>
      </c>
      <c r="AD122" s="29" t="str">
        <f t="shared" si="2"/>
        <v>Sintonia Educação Infantil P009p</v>
      </c>
      <c r="AE122" s="47" t="str">
        <f t="shared" si="3"/>
        <v>Edinfa</v>
      </c>
      <c r="AF122" s="47"/>
    </row>
    <row r="123" spans="1:32" ht="43.2" x14ac:dyDescent="0.3">
      <c r="A123" s="14" t="s">
        <v>305</v>
      </c>
      <c r="B123" s="11" t="s">
        <v>19</v>
      </c>
      <c r="C123" s="11" t="s">
        <v>16</v>
      </c>
      <c r="D123" s="11" t="s">
        <v>8</v>
      </c>
      <c r="E123" s="11">
        <v>64</v>
      </c>
      <c r="F123" s="11">
        <v>5</v>
      </c>
      <c r="G123" s="11">
        <v>4</v>
      </c>
      <c r="H123" s="11">
        <v>4</v>
      </c>
      <c r="I123" s="20" t="s">
        <v>9</v>
      </c>
      <c r="J123" s="27"/>
      <c r="K123" s="11"/>
      <c r="L123" s="11"/>
      <c r="M123" s="11"/>
      <c r="N123" s="11"/>
      <c r="O123" s="18" t="s">
        <v>306</v>
      </c>
      <c r="P123" s="15"/>
      <c r="Q123" s="11">
        <v>16</v>
      </c>
      <c r="R123" s="19">
        <v>45796</v>
      </c>
      <c r="S123" s="19">
        <v>45797</v>
      </c>
      <c r="T123" s="19">
        <v>45803</v>
      </c>
      <c r="U123" s="19">
        <v>45803</v>
      </c>
      <c r="V123" s="19">
        <v>45804</v>
      </c>
      <c r="W123" s="11" t="s">
        <v>90</v>
      </c>
      <c r="X123" s="28" t="str">
        <f>IF(STAT[[#This Row],[sigla]]="","",VLOOKUP(STAT[[#This Row],[sigla]],CRÉDITOS_GERAIS4[[#All],[SIGLA ARTE]:[CRÉDITO A SER PUBLICADO]],2,0))</f>
        <v>Gabriel Brum</v>
      </c>
      <c r="Y123" s="11"/>
      <c r="Z123" s="11" t="str">
        <f>STAT[[#This Row],[ilustrador]]</f>
        <v>Gabriel Brum</v>
      </c>
      <c r="AA123" s="11">
        <v>5</v>
      </c>
      <c r="AB123" s="15" t="s">
        <v>296</v>
      </c>
      <c r="AC123" s="11" t="s">
        <v>28</v>
      </c>
      <c r="AD123" s="29" t="str">
        <f t="shared" si="2"/>
        <v>Sintonia Educação Infantil P009p</v>
      </c>
      <c r="AE123" s="47" t="str">
        <f t="shared" si="3"/>
        <v>Edinfa</v>
      </c>
      <c r="AF123" s="47"/>
    </row>
    <row r="124" spans="1:32" ht="57.6" x14ac:dyDescent="0.3">
      <c r="A124" s="14" t="s">
        <v>307</v>
      </c>
      <c r="B124" s="11" t="s">
        <v>19</v>
      </c>
      <c r="C124" s="11" t="s">
        <v>16</v>
      </c>
      <c r="D124" s="11" t="s">
        <v>8</v>
      </c>
      <c r="E124" s="11">
        <v>65</v>
      </c>
      <c r="F124" s="11">
        <v>5</v>
      </c>
      <c r="G124" s="11">
        <v>4</v>
      </c>
      <c r="H124" s="11">
        <v>4</v>
      </c>
      <c r="I124" s="20" t="s">
        <v>9</v>
      </c>
      <c r="J124" s="27"/>
      <c r="K124" s="11"/>
      <c r="L124" s="11"/>
      <c r="M124" s="11"/>
      <c r="N124" s="11"/>
      <c r="O124" s="18" t="s">
        <v>308</v>
      </c>
      <c r="P124" s="15"/>
      <c r="Q124" s="11">
        <v>16</v>
      </c>
      <c r="R124" s="19">
        <v>45796</v>
      </c>
      <c r="S124" s="19">
        <v>45797</v>
      </c>
      <c r="T124" s="19">
        <v>45803</v>
      </c>
      <c r="U124" s="19">
        <v>45803</v>
      </c>
      <c r="V124" s="19">
        <v>45805</v>
      </c>
      <c r="W124" s="11" t="s">
        <v>90</v>
      </c>
      <c r="X124" s="28" t="str">
        <f>IF(STAT[[#This Row],[sigla]]="","",VLOOKUP(STAT[[#This Row],[sigla]],CRÉDITOS_GERAIS4[[#All],[SIGLA ARTE]:[CRÉDITO A SER PUBLICADO]],2,0))</f>
        <v>Gabriel Brum</v>
      </c>
      <c r="Y124" s="11"/>
      <c r="Z124" s="11" t="str">
        <f>STAT[[#This Row],[ilustrador]]</f>
        <v>Gabriel Brum</v>
      </c>
      <c r="AA124" s="11">
        <v>4</v>
      </c>
      <c r="AB124" s="15" t="s">
        <v>296</v>
      </c>
      <c r="AC124" s="11" t="s">
        <v>28</v>
      </c>
      <c r="AD124" s="29" t="str">
        <f t="shared" si="2"/>
        <v>Sintonia Educação Infantil P009p</v>
      </c>
      <c r="AE124" s="47" t="str">
        <f t="shared" si="3"/>
        <v>Edinfa</v>
      </c>
      <c r="AF124" s="47"/>
    </row>
    <row r="125" spans="1:32" ht="57.6" x14ac:dyDescent="0.3">
      <c r="A125" s="14" t="s">
        <v>309</v>
      </c>
      <c r="B125" s="11" t="s">
        <v>19</v>
      </c>
      <c r="C125" s="11" t="s">
        <v>16</v>
      </c>
      <c r="D125" s="11" t="s">
        <v>8</v>
      </c>
      <c r="E125" s="11">
        <v>66</v>
      </c>
      <c r="F125" s="11">
        <v>5</v>
      </c>
      <c r="G125" s="11">
        <v>4</v>
      </c>
      <c r="H125" s="11">
        <v>4</v>
      </c>
      <c r="I125" s="20" t="s">
        <v>9</v>
      </c>
      <c r="J125" s="27"/>
      <c r="K125" s="11"/>
      <c r="L125" s="11"/>
      <c r="M125" s="11"/>
      <c r="N125" s="11"/>
      <c r="O125" s="18" t="s">
        <v>310</v>
      </c>
      <c r="P125" s="15"/>
      <c r="Q125" s="11">
        <v>16</v>
      </c>
      <c r="R125" s="19">
        <v>45796</v>
      </c>
      <c r="S125" s="19">
        <v>45797</v>
      </c>
      <c r="T125" s="19">
        <v>45803</v>
      </c>
      <c r="U125" s="19">
        <v>45803</v>
      </c>
      <c r="V125" s="19">
        <v>45805</v>
      </c>
      <c r="W125" s="11" t="s">
        <v>90</v>
      </c>
      <c r="X125" s="28" t="str">
        <f>IF(STAT[[#This Row],[sigla]]="","",VLOOKUP(STAT[[#This Row],[sigla]],CRÉDITOS_GERAIS4[[#All],[SIGLA ARTE]:[CRÉDITO A SER PUBLICADO]],2,0))</f>
        <v>Gabriel Brum</v>
      </c>
      <c r="Y125" s="11"/>
      <c r="Z125" s="11" t="str">
        <f>STAT[[#This Row],[ilustrador]]</f>
        <v>Gabriel Brum</v>
      </c>
      <c r="AA125" s="11">
        <v>5</v>
      </c>
      <c r="AB125" s="15" t="s">
        <v>296</v>
      </c>
      <c r="AC125" s="11" t="s">
        <v>28</v>
      </c>
      <c r="AD125" s="29" t="str">
        <f t="shared" si="2"/>
        <v>Sintonia Educação Infantil P009p</v>
      </c>
      <c r="AE125" s="47" t="str">
        <f t="shared" si="3"/>
        <v>Edinfa</v>
      </c>
      <c r="AF125" s="47"/>
    </row>
    <row r="126" spans="1:32" ht="100.8" x14ac:dyDescent="0.3">
      <c r="A126" s="14" t="s">
        <v>311</v>
      </c>
      <c r="B126" s="11" t="s">
        <v>19</v>
      </c>
      <c r="C126" s="11" t="s">
        <v>16</v>
      </c>
      <c r="D126" s="11" t="s">
        <v>8</v>
      </c>
      <c r="E126" s="11">
        <v>70</v>
      </c>
      <c r="F126" s="11">
        <v>5</v>
      </c>
      <c r="G126" s="11">
        <v>5</v>
      </c>
      <c r="H126" s="11">
        <v>5</v>
      </c>
      <c r="I126" s="20" t="s">
        <v>9</v>
      </c>
      <c r="J126" s="27"/>
      <c r="K126" s="11"/>
      <c r="L126" s="11"/>
      <c r="M126" s="11"/>
      <c r="N126" s="11"/>
      <c r="O126" s="18" t="s">
        <v>312</v>
      </c>
      <c r="P126" s="15"/>
      <c r="Q126" s="11">
        <v>17</v>
      </c>
      <c r="R126" s="19">
        <v>45797</v>
      </c>
      <c r="S126" s="19">
        <v>45798</v>
      </c>
      <c r="T126" s="19">
        <v>45800</v>
      </c>
      <c r="U126" s="19">
        <v>45800</v>
      </c>
      <c r="V126" s="19">
        <v>45805</v>
      </c>
      <c r="W126" s="11" t="s">
        <v>130</v>
      </c>
      <c r="X126" s="28" t="str">
        <f>IF(STAT[[#This Row],[sigla]]="","",VLOOKUP(STAT[[#This Row],[sigla]],CRÉDITOS_GERAIS4[[#All],[SIGLA ARTE]:[CRÉDITO A SER PUBLICADO]],2,0))</f>
        <v>Bianca Tavares</v>
      </c>
      <c r="Y126" s="11"/>
      <c r="Z126" s="11" t="str">
        <f>STAT[[#This Row],[ilustrador]]</f>
        <v>Bianca Tavares</v>
      </c>
      <c r="AA126" s="11">
        <v>4</v>
      </c>
      <c r="AB126" s="15" t="s">
        <v>313</v>
      </c>
      <c r="AC126" s="11" t="s">
        <v>28</v>
      </c>
      <c r="AD126" s="29" t="str">
        <f t="shared" si="2"/>
        <v>Sintonia Educação Infantil P009p</v>
      </c>
      <c r="AE126" s="47" t="str">
        <f t="shared" si="3"/>
        <v>Edinfa</v>
      </c>
      <c r="AF126" s="47"/>
    </row>
    <row r="127" spans="1:32" ht="86.4" x14ac:dyDescent="0.3">
      <c r="A127" s="14" t="s">
        <v>314</v>
      </c>
      <c r="B127" s="11" t="s">
        <v>19</v>
      </c>
      <c r="C127" s="11" t="s">
        <v>16</v>
      </c>
      <c r="D127" s="11" t="s">
        <v>8</v>
      </c>
      <c r="E127" s="11">
        <v>71</v>
      </c>
      <c r="F127" s="11">
        <v>5</v>
      </c>
      <c r="G127" s="11">
        <v>5</v>
      </c>
      <c r="H127" s="11">
        <v>5</v>
      </c>
      <c r="I127" s="20" t="s">
        <v>9</v>
      </c>
      <c r="J127" s="27"/>
      <c r="K127" s="11"/>
      <c r="L127" s="11"/>
      <c r="M127" s="11"/>
      <c r="N127" s="11"/>
      <c r="O127" s="18" t="s">
        <v>315</v>
      </c>
      <c r="P127" s="15"/>
      <c r="Q127" s="11">
        <v>17</v>
      </c>
      <c r="R127" s="19">
        <v>45797</v>
      </c>
      <c r="S127" s="19">
        <v>45798</v>
      </c>
      <c r="T127" s="19">
        <v>45800</v>
      </c>
      <c r="U127" s="19">
        <v>45800</v>
      </c>
      <c r="V127" s="19">
        <v>45805</v>
      </c>
      <c r="W127" s="11" t="s">
        <v>130</v>
      </c>
      <c r="X127" s="28" t="str">
        <f>IF(STAT[[#This Row],[sigla]]="","",VLOOKUP(STAT[[#This Row],[sigla]],CRÉDITOS_GERAIS4[[#All],[SIGLA ARTE]:[CRÉDITO A SER PUBLICADO]],2,0))</f>
        <v>Bianca Tavares</v>
      </c>
      <c r="Y127" s="11"/>
      <c r="Z127" s="11" t="str">
        <f>STAT[[#This Row],[ilustrador]]</f>
        <v>Bianca Tavares</v>
      </c>
      <c r="AA127" s="11">
        <v>3</v>
      </c>
      <c r="AB127" s="15" t="s">
        <v>313</v>
      </c>
      <c r="AC127" s="11" t="s">
        <v>28</v>
      </c>
      <c r="AD127" s="29" t="str">
        <f t="shared" si="2"/>
        <v>Sintonia Educação Infantil P009p</v>
      </c>
      <c r="AE127" s="47" t="str">
        <f t="shared" si="3"/>
        <v>Edinfa</v>
      </c>
      <c r="AF127" s="47"/>
    </row>
    <row r="128" spans="1:32" ht="43.2" x14ac:dyDescent="0.3">
      <c r="A128" s="14" t="s">
        <v>316</v>
      </c>
      <c r="B128" s="11" t="s">
        <v>19</v>
      </c>
      <c r="C128" s="11" t="s">
        <v>16</v>
      </c>
      <c r="D128" s="11" t="s">
        <v>8</v>
      </c>
      <c r="E128" s="11">
        <v>72</v>
      </c>
      <c r="F128" s="11">
        <v>5</v>
      </c>
      <c r="G128" s="11">
        <v>5</v>
      </c>
      <c r="H128" s="11">
        <v>5</v>
      </c>
      <c r="I128" s="20" t="s">
        <v>9</v>
      </c>
      <c r="J128" s="27"/>
      <c r="K128" s="11"/>
      <c r="L128" s="11"/>
      <c r="M128" s="11"/>
      <c r="N128" s="11"/>
      <c r="O128" s="18" t="s">
        <v>317</v>
      </c>
      <c r="P128" s="15"/>
      <c r="Q128" s="11">
        <v>17</v>
      </c>
      <c r="R128" s="19">
        <v>45797</v>
      </c>
      <c r="S128" s="19">
        <v>45798</v>
      </c>
      <c r="T128" s="19">
        <v>45800</v>
      </c>
      <c r="U128" s="19">
        <v>45800</v>
      </c>
      <c r="V128" s="19">
        <v>45805</v>
      </c>
      <c r="W128" s="11" t="s">
        <v>130</v>
      </c>
      <c r="X128" s="28" t="str">
        <f>IF(STAT[[#This Row],[sigla]]="","",VLOOKUP(STAT[[#This Row],[sigla]],CRÉDITOS_GERAIS4[[#All],[SIGLA ARTE]:[CRÉDITO A SER PUBLICADO]],2,0))</f>
        <v>Bianca Tavares</v>
      </c>
      <c r="Y128" s="11"/>
      <c r="Z128" s="11" t="str">
        <f>STAT[[#This Row],[ilustrador]]</f>
        <v>Bianca Tavares</v>
      </c>
      <c r="AA128" s="11">
        <v>5</v>
      </c>
      <c r="AB128" s="15" t="s">
        <v>313</v>
      </c>
      <c r="AC128" s="11" t="s">
        <v>28</v>
      </c>
      <c r="AD128" s="29" t="str">
        <f t="shared" si="2"/>
        <v>Sintonia Educação Infantil P009p</v>
      </c>
      <c r="AE128" s="47" t="str">
        <f t="shared" si="3"/>
        <v>Edinfa</v>
      </c>
      <c r="AF128" s="47"/>
    </row>
    <row r="129" spans="1:32" ht="28.8" x14ac:dyDescent="0.3">
      <c r="A129" s="14" t="s">
        <v>318</v>
      </c>
      <c r="B129" s="11" t="s">
        <v>19</v>
      </c>
      <c r="C129" s="11" t="s">
        <v>16</v>
      </c>
      <c r="D129" s="11" t="s">
        <v>8</v>
      </c>
      <c r="E129" s="11">
        <v>72</v>
      </c>
      <c r="F129" s="11">
        <v>5</v>
      </c>
      <c r="G129" s="11">
        <v>5</v>
      </c>
      <c r="H129" s="11">
        <v>5</v>
      </c>
      <c r="I129" s="20" t="s">
        <v>9</v>
      </c>
      <c r="J129" s="27"/>
      <c r="K129" s="11"/>
      <c r="L129" s="11"/>
      <c r="M129" s="11"/>
      <c r="N129" s="11"/>
      <c r="O129" s="18" t="s">
        <v>319</v>
      </c>
      <c r="P129" s="15"/>
      <c r="Q129" s="11">
        <v>17</v>
      </c>
      <c r="R129" s="19">
        <v>45797</v>
      </c>
      <c r="S129" s="19">
        <v>45798</v>
      </c>
      <c r="T129" s="19">
        <v>45800</v>
      </c>
      <c r="U129" s="19">
        <v>45800</v>
      </c>
      <c r="V129" s="19">
        <v>45805</v>
      </c>
      <c r="W129" s="11" t="s">
        <v>130</v>
      </c>
      <c r="X129" s="28" t="str">
        <f>IF(STAT[[#This Row],[sigla]]="","",VLOOKUP(STAT[[#This Row],[sigla]],CRÉDITOS_GERAIS4[[#All],[SIGLA ARTE]:[CRÉDITO A SER PUBLICADO]],2,0))</f>
        <v>Bianca Tavares</v>
      </c>
      <c r="Y129" s="11"/>
      <c r="Z129" s="11" t="str">
        <f>STAT[[#This Row],[ilustrador]]</f>
        <v>Bianca Tavares</v>
      </c>
      <c r="AA129" s="11">
        <v>5</v>
      </c>
      <c r="AB129" s="15" t="s">
        <v>313</v>
      </c>
      <c r="AC129" s="11" t="s">
        <v>28</v>
      </c>
      <c r="AD129" s="29" t="str">
        <f t="shared" si="2"/>
        <v>Sintonia Educação Infantil P009p</v>
      </c>
      <c r="AE129" s="47" t="str">
        <f t="shared" si="3"/>
        <v>Edinfa</v>
      </c>
      <c r="AF129" s="47"/>
    </row>
    <row r="130" spans="1:32" ht="28.8" x14ac:dyDescent="0.3">
      <c r="A130" s="14" t="s">
        <v>320</v>
      </c>
      <c r="B130" s="11" t="s">
        <v>19</v>
      </c>
      <c r="C130" s="11" t="s">
        <v>16</v>
      </c>
      <c r="D130" s="11" t="s">
        <v>8</v>
      </c>
      <c r="E130" s="11">
        <v>72</v>
      </c>
      <c r="F130" s="11">
        <v>5</v>
      </c>
      <c r="G130" s="11">
        <v>5</v>
      </c>
      <c r="H130" s="11">
        <v>5</v>
      </c>
      <c r="I130" s="20" t="s">
        <v>9</v>
      </c>
      <c r="J130" s="27"/>
      <c r="K130" s="11"/>
      <c r="L130" s="11"/>
      <c r="M130" s="11"/>
      <c r="N130" s="11"/>
      <c r="O130" s="18" t="s">
        <v>321</v>
      </c>
      <c r="P130" s="15"/>
      <c r="Q130" s="11">
        <v>17</v>
      </c>
      <c r="R130" s="19">
        <v>45797</v>
      </c>
      <c r="S130" s="19">
        <v>45798</v>
      </c>
      <c r="T130" s="19">
        <v>45800</v>
      </c>
      <c r="U130" s="19">
        <v>45800</v>
      </c>
      <c r="V130" s="19">
        <v>45805</v>
      </c>
      <c r="W130" s="11" t="s">
        <v>130</v>
      </c>
      <c r="X130" s="28" t="str">
        <f>IF(STAT[[#This Row],[sigla]]="","",VLOOKUP(STAT[[#This Row],[sigla]],CRÉDITOS_GERAIS4[[#All],[SIGLA ARTE]:[CRÉDITO A SER PUBLICADO]],2,0))</f>
        <v>Bianca Tavares</v>
      </c>
      <c r="Y130" s="11"/>
      <c r="Z130" s="11" t="str">
        <f>STAT[[#This Row],[ilustrador]]</f>
        <v>Bianca Tavares</v>
      </c>
      <c r="AA130" s="11">
        <v>5</v>
      </c>
      <c r="AB130" s="15" t="s">
        <v>313</v>
      </c>
      <c r="AC130" s="11" t="s">
        <v>28</v>
      </c>
      <c r="AD130" s="29" t="str">
        <f t="shared" ref="AD130:AD145" si="4">"Sintonia Educação Infantil P009p"</f>
        <v>Sintonia Educação Infantil P009p</v>
      </c>
      <c r="AE130" s="47" t="str">
        <f t="shared" ref="AE130:AE145" si="5">"Edinfa"</f>
        <v>Edinfa</v>
      </c>
      <c r="AF130" s="47"/>
    </row>
    <row r="131" spans="1:32" ht="43.2" x14ac:dyDescent="0.3">
      <c r="A131" s="14" t="s">
        <v>322</v>
      </c>
      <c r="B131" s="11" t="s">
        <v>19</v>
      </c>
      <c r="C131" s="11" t="s">
        <v>16</v>
      </c>
      <c r="D131" s="11" t="s">
        <v>8</v>
      </c>
      <c r="E131" s="11">
        <v>72</v>
      </c>
      <c r="F131" s="11">
        <v>5</v>
      </c>
      <c r="G131" s="11">
        <v>5</v>
      </c>
      <c r="H131" s="11">
        <v>5</v>
      </c>
      <c r="I131" s="20" t="s">
        <v>9</v>
      </c>
      <c r="J131" s="27"/>
      <c r="K131" s="11"/>
      <c r="L131" s="11"/>
      <c r="M131" s="11"/>
      <c r="N131" s="11"/>
      <c r="O131" s="18" t="s">
        <v>323</v>
      </c>
      <c r="P131" s="15"/>
      <c r="Q131" s="11">
        <v>17</v>
      </c>
      <c r="R131" s="19">
        <v>45797</v>
      </c>
      <c r="S131" s="19">
        <v>45798</v>
      </c>
      <c r="T131" s="19">
        <v>45800</v>
      </c>
      <c r="U131" s="19">
        <v>45800</v>
      </c>
      <c r="V131" s="19">
        <v>45805</v>
      </c>
      <c r="W131" s="11" t="s">
        <v>130</v>
      </c>
      <c r="X131" s="28" t="str">
        <f>IF(STAT[[#This Row],[sigla]]="","",VLOOKUP(STAT[[#This Row],[sigla]],CRÉDITOS_GERAIS4[[#All],[SIGLA ARTE]:[CRÉDITO A SER PUBLICADO]],2,0))</f>
        <v>Bianca Tavares</v>
      </c>
      <c r="Y131" s="11"/>
      <c r="Z131" s="11" t="str">
        <f>STAT[[#This Row],[ilustrador]]</f>
        <v>Bianca Tavares</v>
      </c>
      <c r="AA131" s="11">
        <v>13</v>
      </c>
      <c r="AB131" s="15" t="s">
        <v>313</v>
      </c>
      <c r="AC131" s="11" t="s">
        <v>28</v>
      </c>
      <c r="AD131" s="29" t="str">
        <f t="shared" si="4"/>
        <v>Sintonia Educação Infantil P009p</v>
      </c>
      <c r="AE131" s="47" t="str">
        <f t="shared" si="5"/>
        <v>Edinfa</v>
      </c>
      <c r="AF131" s="47"/>
    </row>
    <row r="132" spans="1:32" ht="72" x14ac:dyDescent="0.3">
      <c r="A132" s="14" t="s">
        <v>324</v>
      </c>
      <c r="B132" s="11" t="s">
        <v>19</v>
      </c>
      <c r="C132" s="11" t="s">
        <v>16</v>
      </c>
      <c r="D132" s="11" t="s">
        <v>8</v>
      </c>
      <c r="E132" s="11">
        <v>76</v>
      </c>
      <c r="F132" s="11">
        <v>5</v>
      </c>
      <c r="G132" s="11">
        <v>5</v>
      </c>
      <c r="H132" s="11">
        <v>5</v>
      </c>
      <c r="I132" s="20" t="s">
        <v>9</v>
      </c>
      <c r="J132" s="27"/>
      <c r="K132" s="11"/>
      <c r="L132" s="11"/>
      <c r="M132" s="11"/>
      <c r="N132" s="11"/>
      <c r="O132" s="18" t="s">
        <v>325</v>
      </c>
      <c r="P132" s="15"/>
      <c r="Q132" s="11">
        <v>17</v>
      </c>
      <c r="R132" s="19">
        <v>45797</v>
      </c>
      <c r="S132" s="19">
        <v>45798</v>
      </c>
      <c r="T132" s="19">
        <v>45800</v>
      </c>
      <c r="U132" s="19">
        <v>45800</v>
      </c>
      <c r="V132" s="19">
        <v>45805</v>
      </c>
      <c r="W132" s="11" t="s">
        <v>130</v>
      </c>
      <c r="X132" s="28" t="str">
        <f>IF(STAT[[#This Row],[sigla]]="","",VLOOKUP(STAT[[#This Row],[sigla]],CRÉDITOS_GERAIS4[[#All],[SIGLA ARTE]:[CRÉDITO A SER PUBLICADO]],2,0))</f>
        <v>Bianca Tavares</v>
      </c>
      <c r="Y132" s="11"/>
      <c r="Z132" s="11" t="str">
        <f>STAT[[#This Row],[ilustrador]]</f>
        <v>Bianca Tavares</v>
      </c>
      <c r="AA132" s="11">
        <v>5</v>
      </c>
      <c r="AB132" s="15" t="s">
        <v>313</v>
      </c>
      <c r="AC132" s="11" t="s">
        <v>28</v>
      </c>
      <c r="AD132" s="29" t="str">
        <f t="shared" si="4"/>
        <v>Sintonia Educação Infantil P009p</v>
      </c>
      <c r="AE132" s="47" t="str">
        <f t="shared" si="5"/>
        <v>Edinfa</v>
      </c>
      <c r="AF132" s="47"/>
    </row>
    <row r="133" spans="1:32" ht="72" x14ac:dyDescent="0.3">
      <c r="A133" s="14" t="s">
        <v>326</v>
      </c>
      <c r="B133" s="11" t="s">
        <v>19</v>
      </c>
      <c r="C133" s="11" t="s">
        <v>16</v>
      </c>
      <c r="D133" s="11" t="s">
        <v>8</v>
      </c>
      <c r="E133" s="11">
        <v>77</v>
      </c>
      <c r="F133" s="11">
        <v>5</v>
      </c>
      <c r="G133" s="11">
        <v>5</v>
      </c>
      <c r="H133" s="11">
        <v>5</v>
      </c>
      <c r="I133" s="20" t="s">
        <v>9</v>
      </c>
      <c r="J133" s="27"/>
      <c r="K133" s="11"/>
      <c r="L133" s="11"/>
      <c r="M133" s="11"/>
      <c r="N133" s="11"/>
      <c r="O133" s="18" t="s">
        <v>327</v>
      </c>
      <c r="P133" s="15"/>
      <c r="Q133" s="11">
        <v>17</v>
      </c>
      <c r="R133" s="19">
        <v>45797</v>
      </c>
      <c r="S133" s="19">
        <v>45799</v>
      </c>
      <c r="T133" s="19">
        <v>45800</v>
      </c>
      <c r="U133" s="19">
        <v>45800</v>
      </c>
      <c r="V133" s="19">
        <v>45804</v>
      </c>
      <c r="W133" s="11" t="s">
        <v>44</v>
      </c>
      <c r="X133" s="28" t="str">
        <f>IF(STAT[[#This Row],[sigla]]="","",VLOOKUP(STAT[[#This Row],[sigla]],CRÉDITOS_GERAIS4[[#All],[SIGLA ARTE]:[CRÉDITO A SER PUBLICADO]],2,0))</f>
        <v>Thais Castro</v>
      </c>
      <c r="Y133" s="11"/>
      <c r="Z133" s="11" t="str">
        <f>STAT[[#This Row],[ilustrador]]</f>
        <v>Thais Castro</v>
      </c>
      <c r="AA133" s="11">
        <v>2</v>
      </c>
      <c r="AB133" s="15" t="s">
        <v>328</v>
      </c>
      <c r="AC133" s="11" t="s">
        <v>28</v>
      </c>
      <c r="AD133" s="29" t="str">
        <f t="shared" si="4"/>
        <v>Sintonia Educação Infantil P009p</v>
      </c>
      <c r="AE133" s="47" t="str">
        <f t="shared" si="5"/>
        <v>Edinfa</v>
      </c>
      <c r="AF133" s="47"/>
    </row>
    <row r="134" spans="1:32" ht="57.6" x14ac:dyDescent="0.3">
      <c r="A134" s="14" t="s">
        <v>329</v>
      </c>
      <c r="B134" s="11" t="s">
        <v>19</v>
      </c>
      <c r="C134" s="11" t="s">
        <v>16</v>
      </c>
      <c r="D134" s="11" t="s">
        <v>8</v>
      </c>
      <c r="E134" s="11">
        <v>79</v>
      </c>
      <c r="F134" s="11">
        <v>5</v>
      </c>
      <c r="G134" s="11">
        <v>5</v>
      </c>
      <c r="H134" s="11">
        <v>5</v>
      </c>
      <c r="I134" s="20" t="s">
        <v>9</v>
      </c>
      <c r="J134" s="27"/>
      <c r="K134" s="11"/>
      <c r="L134" s="11"/>
      <c r="M134" s="11"/>
      <c r="N134" s="11"/>
      <c r="O134" s="18" t="s">
        <v>330</v>
      </c>
      <c r="P134" s="15"/>
      <c r="Q134" s="11">
        <v>17</v>
      </c>
      <c r="R134" s="19">
        <v>45797</v>
      </c>
      <c r="S134" s="19">
        <v>45798</v>
      </c>
      <c r="T134" s="19">
        <v>45800</v>
      </c>
      <c r="U134" s="19">
        <v>45800</v>
      </c>
      <c r="V134" s="19">
        <v>45805</v>
      </c>
      <c r="W134" s="11" t="s">
        <v>130</v>
      </c>
      <c r="X134" s="28" t="str">
        <f>IF(STAT[[#This Row],[sigla]]="","",VLOOKUP(STAT[[#This Row],[sigla]],CRÉDITOS_GERAIS4[[#All],[SIGLA ARTE]:[CRÉDITO A SER PUBLICADO]],2,0))</f>
        <v>Bianca Tavares</v>
      </c>
      <c r="Y134" s="11"/>
      <c r="Z134" s="11" t="str">
        <f>STAT[[#This Row],[ilustrador]]</f>
        <v>Bianca Tavares</v>
      </c>
      <c r="AA134" s="11">
        <v>5</v>
      </c>
      <c r="AB134" s="15" t="s">
        <v>313</v>
      </c>
      <c r="AC134" s="11" t="s">
        <v>28</v>
      </c>
      <c r="AD134" s="29" t="str">
        <f t="shared" si="4"/>
        <v>Sintonia Educação Infantil P009p</v>
      </c>
      <c r="AE134" s="47" t="str">
        <f t="shared" si="5"/>
        <v>Edinfa</v>
      </c>
      <c r="AF134" s="47"/>
    </row>
    <row r="135" spans="1:32" ht="63.75" customHeight="1" x14ac:dyDescent="0.3">
      <c r="A135" s="14" t="s">
        <v>331</v>
      </c>
      <c r="B135" s="11" t="s">
        <v>19</v>
      </c>
      <c r="C135" s="11" t="s">
        <v>16</v>
      </c>
      <c r="D135" s="11" t="s">
        <v>8</v>
      </c>
      <c r="E135" s="11">
        <v>80</v>
      </c>
      <c r="F135" s="11">
        <v>5</v>
      </c>
      <c r="G135" s="11">
        <v>5</v>
      </c>
      <c r="H135" s="11">
        <v>5</v>
      </c>
      <c r="I135" s="20" t="s">
        <v>9</v>
      </c>
      <c r="J135" s="27"/>
      <c r="K135" s="11"/>
      <c r="L135" s="11"/>
      <c r="M135" s="11"/>
      <c r="N135" s="11"/>
      <c r="O135" s="26" t="s">
        <v>332</v>
      </c>
      <c r="P135" s="15"/>
      <c r="Q135" s="11">
        <v>17</v>
      </c>
      <c r="R135" s="19">
        <v>45797</v>
      </c>
      <c r="S135" s="19">
        <v>45798</v>
      </c>
      <c r="T135" s="19">
        <v>45800</v>
      </c>
      <c r="U135" s="19">
        <v>45803</v>
      </c>
      <c r="V135" s="19">
        <v>45805</v>
      </c>
      <c r="W135" s="11" t="s">
        <v>333</v>
      </c>
      <c r="X135" s="28" t="str">
        <f>IF(STAT[[#This Row],[sigla]]="","",VLOOKUP(STAT[[#This Row],[sigla]],CRÉDITOS_GERAIS4[[#All],[SIGLA ARTE]:[CRÉDITO A SER PUBLICADO]],2,0))</f>
        <v>Sergio Lima</v>
      </c>
      <c r="Y135" s="11"/>
      <c r="Z135" s="11" t="str">
        <f>STAT[[#This Row],[ilustrador]]</f>
        <v>Sergio Lima</v>
      </c>
      <c r="AA135" s="11">
        <v>7</v>
      </c>
      <c r="AB135" s="15" t="s">
        <v>328</v>
      </c>
      <c r="AC135" s="11" t="s">
        <v>14</v>
      </c>
      <c r="AD135" s="29" t="str">
        <f t="shared" si="4"/>
        <v>Sintonia Educação Infantil P009p</v>
      </c>
      <c r="AE135" s="47" t="str">
        <f t="shared" si="5"/>
        <v>Edinfa</v>
      </c>
      <c r="AF135" s="47"/>
    </row>
    <row r="136" spans="1:32" ht="105.75" customHeight="1" x14ac:dyDescent="0.3">
      <c r="A136" s="14" t="s">
        <v>334</v>
      </c>
      <c r="B136" s="11" t="s">
        <v>19</v>
      </c>
      <c r="C136" s="11" t="s">
        <v>16</v>
      </c>
      <c r="D136" s="11" t="s">
        <v>8</v>
      </c>
      <c r="E136" s="11">
        <v>82</v>
      </c>
      <c r="F136" s="11">
        <v>5</v>
      </c>
      <c r="G136" s="11">
        <v>5</v>
      </c>
      <c r="H136" s="11">
        <v>5</v>
      </c>
      <c r="I136" s="20" t="s">
        <v>9</v>
      </c>
      <c r="J136" s="27"/>
      <c r="K136" s="11"/>
      <c r="L136" s="11"/>
      <c r="M136" s="11"/>
      <c r="N136" s="11"/>
      <c r="O136" s="26" t="s">
        <v>335</v>
      </c>
      <c r="P136" s="15"/>
      <c r="Q136" s="11">
        <v>17</v>
      </c>
      <c r="R136" s="19">
        <v>45797</v>
      </c>
      <c r="S136" s="19">
        <v>45798</v>
      </c>
      <c r="T136" s="19">
        <v>45800</v>
      </c>
      <c r="U136" s="19">
        <v>45800</v>
      </c>
      <c r="V136" s="19">
        <v>45805</v>
      </c>
      <c r="W136" s="11" t="s">
        <v>130</v>
      </c>
      <c r="X136" s="28" t="str">
        <f>IF(STAT[[#This Row],[sigla]]="","",VLOOKUP(STAT[[#This Row],[sigla]],CRÉDITOS_GERAIS4[[#All],[SIGLA ARTE]:[CRÉDITO A SER PUBLICADO]],2,0))</f>
        <v>Bianca Tavares</v>
      </c>
      <c r="Y136" s="11"/>
      <c r="Z136" s="11" t="str">
        <f>STAT[[#This Row],[ilustrador]]</f>
        <v>Bianca Tavares</v>
      </c>
      <c r="AA136" s="11">
        <v>5</v>
      </c>
      <c r="AB136" s="15" t="s">
        <v>313</v>
      </c>
      <c r="AC136" s="11" t="s">
        <v>28</v>
      </c>
      <c r="AD136" s="29" t="str">
        <f t="shared" si="4"/>
        <v>Sintonia Educação Infantil P009p</v>
      </c>
      <c r="AE136" s="47" t="str">
        <f t="shared" si="5"/>
        <v>Edinfa</v>
      </c>
      <c r="AF136" s="47"/>
    </row>
    <row r="137" spans="1:32" ht="26.4" x14ac:dyDescent="0.3">
      <c r="A137" s="14" t="s">
        <v>336</v>
      </c>
      <c r="B137" s="11" t="s">
        <v>19</v>
      </c>
      <c r="C137" s="11" t="s">
        <v>16</v>
      </c>
      <c r="D137" s="11" t="s">
        <v>8</v>
      </c>
      <c r="E137" s="11">
        <v>39</v>
      </c>
      <c r="F137" s="11">
        <v>5</v>
      </c>
      <c r="G137" s="11">
        <v>3</v>
      </c>
      <c r="H137" s="11">
        <v>3</v>
      </c>
      <c r="I137" s="20" t="s">
        <v>9</v>
      </c>
      <c r="J137" s="27"/>
      <c r="K137" s="11"/>
      <c r="L137" s="11"/>
      <c r="M137" s="11"/>
      <c r="N137" s="11"/>
      <c r="O137" s="26" t="s">
        <v>337</v>
      </c>
      <c r="P137" s="15"/>
      <c r="Q137" s="11">
        <v>18</v>
      </c>
      <c r="R137" s="19">
        <v>45798</v>
      </c>
      <c r="S137" s="19">
        <v>45798</v>
      </c>
      <c r="T137" s="19"/>
      <c r="U137" s="19"/>
      <c r="V137" s="19">
        <v>45799</v>
      </c>
      <c r="W137" s="11" t="s">
        <v>158</v>
      </c>
      <c r="X137" s="28" t="str">
        <f>IF(STAT[[#This Row],[sigla]]="","",VLOOKUP(STAT[[#This Row],[sigla]],CRÉDITOS_GERAIS4[[#All],[SIGLA ARTE]:[CRÉDITO A SER PUBLICADO]],2,0))</f>
        <v>Rafaela Panissa</v>
      </c>
      <c r="Y137" s="11"/>
      <c r="Z137" s="11" t="s">
        <v>223</v>
      </c>
      <c r="AA137" s="11">
        <v>7</v>
      </c>
      <c r="AB137" s="15" t="s">
        <v>159</v>
      </c>
      <c r="AC137" s="11" t="s">
        <v>14</v>
      </c>
      <c r="AD137" s="29" t="str">
        <f t="shared" si="4"/>
        <v>Sintonia Educação Infantil P009p</v>
      </c>
      <c r="AE137" s="47" t="str">
        <f t="shared" si="5"/>
        <v>Edinfa</v>
      </c>
      <c r="AF137" s="47"/>
    </row>
    <row r="138" spans="1:32" ht="66" x14ac:dyDescent="0.3">
      <c r="A138" s="14" t="s">
        <v>338</v>
      </c>
      <c r="B138" s="11" t="s">
        <v>19</v>
      </c>
      <c r="C138" s="11" t="s">
        <v>16</v>
      </c>
      <c r="D138" s="11" t="s">
        <v>8</v>
      </c>
      <c r="E138" s="11">
        <v>42</v>
      </c>
      <c r="F138" s="11">
        <v>5</v>
      </c>
      <c r="G138" s="11">
        <v>3</v>
      </c>
      <c r="H138" s="11">
        <v>3</v>
      </c>
      <c r="I138" s="20" t="s">
        <v>9</v>
      </c>
      <c r="J138" s="27"/>
      <c r="K138" s="11"/>
      <c r="L138" s="11"/>
      <c r="M138" s="11"/>
      <c r="N138" s="11"/>
      <c r="O138" s="26" t="s">
        <v>339</v>
      </c>
      <c r="P138" s="15"/>
      <c r="Q138" s="11">
        <v>18</v>
      </c>
      <c r="R138" s="19">
        <v>45798</v>
      </c>
      <c r="S138" s="19">
        <v>45798</v>
      </c>
      <c r="T138" s="19"/>
      <c r="U138" s="19"/>
      <c r="V138" s="19">
        <v>45799</v>
      </c>
      <c r="W138" s="11" t="s">
        <v>158</v>
      </c>
      <c r="X138" s="28" t="str">
        <f>IF(STAT[[#This Row],[sigla]]="","",VLOOKUP(STAT[[#This Row],[sigla]],CRÉDITOS_GERAIS4[[#All],[SIGLA ARTE]:[CRÉDITO A SER PUBLICADO]],2,0))</f>
        <v>Rafaela Panissa</v>
      </c>
      <c r="Y138" s="11"/>
      <c r="Z138" s="11" t="s">
        <v>223</v>
      </c>
      <c r="AA138" s="11">
        <v>7</v>
      </c>
      <c r="AB138" s="15" t="s">
        <v>159</v>
      </c>
      <c r="AC138" s="11" t="s">
        <v>14</v>
      </c>
      <c r="AD138" s="29" t="str">
        <f t="shared" si="4"/>
        <v>Sintonia Educação Infantil P009p</v>
      </c>
      <c r="AE138" s="47" t="str">
        <f t="shared" si="5"/>
        <v>Edinfa</v>
      </c>
      <c r="AF138" s="47"/>
    </row>
    <row r="139" spans="1:32" ht="66" x14ac:dyDescent="0.3">
      <c r="A139" s="14" t="s">
        <v>340</v>
      </c>
      <c r="B139" s="11" t="s">
        <v>19</v>
      </c>
      <c r="C139" s="11" t="s">
        <v>16</v>
      </c>
      <c r="D139" s="11" t="s">
        <v>8</v>
      </c>
      <c r="E139" s="11">
        <v>42</v>
      </c>
      <c r="F139" s="11">
        <v>5</v>
      </c>
      <c r="G139" s="11">
        <v>3</v>
      </c>
      <c r="H139" s="11">
        <v>3</v>
      </c>
      <c r="I139" s="20" t="s">
        <v>9</v>
      </c>
      <c r="J139" s="27"/>
      <c r="K139" s="11"/>
      <c r="L139" s="11"/>
      <c r="M139" s="11"/>
      <c r="N139" s="11"/>
      <c r="O139" s="26" t="s">
        <v>341</v>
      </c>
      <c r="P139" s="15"/>
      <c r="Q139" s="11">
        <v>18</v>
      </c>
      <c r="R139" s="19">
        <v>45798</v>
      </c>
      <c r="S139" s="19">
        <v>45798</v>
      </c>
      <c r="T139" s="19"/>
      <c r="U139" s="19"/>
      <c r="V139" s="19">
        <v>45799</v>
      </c>
      <c r="W139" s="11" t="s">
        <v>158</v>
      </c>
      <c r="X139" s="28" t="str">
        <f>IF(STAT[[#This Row],[sigla]]="","",VLOOKUP(STAT[[#This Row],[sigla]],CRÉDITOS_GERAIS4[[#All],[SIGLA ARTE]:[CRÉDITO A SER PUBLICADO]],2,0))</f>
        <v>Rafaela Panissa</v>
      </c>
      <c r="Y139" s="11"/>
      <c r="Z139" s="11" t="s">
        <v>223</v>
      </c>
      <c r="AA139" s="11">
        <v>7</v>
      </c>
      <c r="AB139" s="15" t="s">
        <v>159</v>
      </c>
      <c r="AC139" s="11" t="s">
        <v>14</v>
      </c>
      <c r="AD139" s="29" t="str">
        <f t="shared" si="4"/>
        <v>Sintonia Educação Infantil P009p</v>
      </c>
      <c r="AE139" s="47" t="str">
        <f t="shared" si="5"/>
        <v>Edinfa</v>
      </c>
      <c r="AF139" s="47"/>
    </row>
    <row r="140" spans="1:32" ht="92.4" x14ac:dyDescent="0.3">
      <c r="A140" s="14" t="s">
        <v>342</v>
      </c>
      <c r="B140" s="11" t="s">
        <v>19</v>
      </c>
      <c r="C140" s="11" t="s">
        <v>16</v>
      </c>
      <c r="D140" s="11" t="s">
        <v>8</v>
      </c>
      <c r="E140" s="11">
        <v>42</v>
      </c>
      <c r="F140" s="11">
        <v>5</v>
      </c>
      <c r="G140" s="11">
        <v>3</v>
      </c>
      <c r="H140" s="11">
        <v>3</v>
      </c>
      <c r="I140" s="20" t="s">
        <v>9</v>
      </c>
      <c r="J140" s="27"/>
      <c r="K140" s="11"/>
      <c r="L140" s="11"/>
      <c r="M140" s="11"/>
      <c r="N140" s="11"/>
      <c r="O140" s="26" t="s">
        <v>343</v>
      </c>
      <c r="P140" s="15"/>
      <c r="Q140" s="11">
        <v>18</v>
      </c>
      <c r="R140" s="19">
        <v>45798</v>
      </c>
      <c r="S140" s="19">
        <v>45798</v>
      </c>
      <c r="T140" s="19"/>
      <c r="U140" s="19"/>
      <c r="V140" s="19">
        <v>45799</v>
      </c>
      <c r="W140" s="11" t="s">
        <v>158</v>
      </c>
      <c r="X140" s="28" t="str">
        <f>IF(STAT[[#This Row],[sigla]]="","",VLOOKUP(STAT[[#This Row],[sigla]],CRÉDITOS_GERAIS4[[#All],[SIGLA ARTE]:[CRÉDITO A SER PUBLICADO]],2,0))</f>
        <v>Rafaela Panissa</v>
      </c>
      <c r="Y140" s="11"/>
      <c r="Z140" s="11" t="s">
        <v>223</v>
      </c>
      <c r="AA140" s="11">
        <v>7</v>
      </c>
      <c r="AB140" s="15" t="s">
        <v>159</v>
      </c>
      <c r="AC140" s="11" t="s">
        <v>14</v>
      </c>
      <c r="AD140" s="29" t="str">
        <f t="shared" si="4"/>
        <v>Sintonia Educação Infantil P009p</v>
      </c>
      <c r="AE140" s="47" t="str">
        <f t="shared" si="5"/>
        <v>Edinfa</v>
      </c>
      <c r="AF140" s="47"/>
    </row>
    <row r="141" spans="1:32" ht="79.2" x14ac:dyDescent="0.3">
      <c r="A141" s="14" t="s">
        <v>344</v>
      </c>
      <c r="B141" s="11" t="s">
        <v>19</v>
      </c>
      <c r="C141" s="11" t="s">
        <v>16</v>
      </c>
      <c r="D141" s="11" t="s">
        <v>8</v>
      </c>
      <c r="E141" s="11">
        <v>42</v>
      </c>
      <c r="F141" s="11">
        <v>5</v>
      </c>
      <c r="G141" s="11">
        <v>3</v>
      </c>
      <c r="H141" s="11">
        <v>3</v>
      </c>
      <c r="I141" s="20" t="s">
        <v>9</v>
      </c>
      <c r="J141" s="27"/>
      <c r="K141" s="11"/>
      <c r="L141" s="11"/>
      <c r="M141" s="11"/>
      <c r="N141" s="11"/>
      <c r="O141" s="26" t="s">
        <v>345</v>
      </c>
      <c r="P141" s="15"/>
      <c r="Q141" s="11">
        <v>18</v>
      </c>
      <c r="R141" s="19">
        <v>45798</v>
      </c>
      <c r="S141" s="19">
        <v>45798</v>
      </c>
      <c r="T141" s="19"/>
      <c r="U141" s="19"/>
      <c r="V141" s="19">
        <v>45799</v>
      </c>
      <c r="W141" s="11" t="s">
        <v>158</v>
      </c>
      <c r="X141" s="28" t="str">
        <f>IF(STAT[[#This Row],[sigla]]="","",VLOOKUP(STAT[[#This Row],[sigla]],CRÉDITOS_GERAIS4[[#All],[SIGLA ARTE]:[CRÉDITO A SER PUBLICADO]],2,0))</f>
        <v>Rafaela Panissa</v>
      </c>
      <c r="Y141" s="11"/>
      <c r="Z141" s="11" t="s">
        <v>223</v>
      </c>
      <c r="AA141" s="11">
        <v>7</v>
      </c>
      <c r="AB141" s="15" t="s">
        <v>159</v>
      </c>
      <c r="AC141" s="11" t="s">
        <v>14</v>
      </c>
      <c r="AD141" s="29" t="str">
        <f t="shared" si="4"/>
        <v>Sintonia Educação Infantil P009p</v>
      </c>
      <c r="AE141" s="47" t="str">
        <f t="shared" si="5"/>
        <v>Edinfa</v>
      </c>
      <c r="AF141" s="47"/>
    </row>
    <row r="142" spans="1:32" ht="79.2" x14ac:dyDescent="0.3">
      <c r="A142" s="14" t="s">
        <v>346</v>
      </c>
      <c r="B142" s="11" t="s">
        <v>19</v>
      </c>
      <c r="C142" s="11" t="s">
        <v>16</v>
      </c>
      <c r="D142" s="11" t="s">
        <v>8</v>
      </c>
      <c r="E142" s="11">
        <v>42</v>
      </c>
      <c r="F142" s="11">
        <v>5</v>
      </c>
      <c r="G142" s="11">
        <v>3</v>
      </c>
      <c r="H142" s="11">
        <v>3</v>
      </c>
      <c r="I142" s="20" t="s">
        <v>9</v>
      </c>
      <c r="J142" s="27"/>
      <c r="K142" s="11"/>
      <c r="L142" s="11"/>
      <c r="M142" s="11"/>
      <c r="N142" s="11"/>
      <c r="O142" s="26" t="s">
        <v>347</v>
      </c>
      <c r="P142" s="15"/>
      <c r="Q142" s="11">
        <v>18</v>
      </c>
      <c r="R142" s="19">
        <v>45798</v>
      </c>
      <c r="S142" s="19">
        <v>45798</v>
      </c>
      <c r="T142" s="19"/>
      <c r="U142" s="19"/>
      <c r="V142" s="19">
        <v>45799</v>
      </c>
      <c r="W142" s="11" t="s">
        <v>158</v>
      </c>
      <c r="X142" s="28" t="str">
        <f>IF(STAT[[#This Row],[sigla]]="","",VLOOKUP(STAT[[#This Row],[sigla]],CRÉDITOS_GERAIS4[[#All],[SIGLA ARTE]:[CRÉDITO A SER PUBLICADO]],2,0))</f>
        <v>Rafaela Panissa</v>
      </c>
      <c r="Y142" s="11"/>
      <c r="Z142" s="11" t="s">
        <v>223</v>
      </c>
      <c r="AA142" s="11">
        <v>7</v>
      </c>
      <c r="AB142" s="15" t="s">
        <v>159</v>
      </c>
      <c r="AC142" s="11" t="s">
        <v>14</v>
      </c>
      <c r="AD142" s="29" t="str">
        <f t="shared" si="4"/>
        <v>Sintonia Educação Infantil P009p</v>
      </c>
      <c r="AE142" s="47" t="str">
        <f t="shared" si="5"/>
        <v>Edinfa</v>
      </c>
      <c r="AF142" s="47"/>
    </row>
    <row r="143" spans="1:32" ht="105.6" x14ac:dyDescent="0.3">
      <c r="A143" s="14" t="s">
        <v>348</v>
      </c>
      <c r="B143" s="11" t="s">
        <v>19</v>
      </c>
      <c r="C143" s="11" t="s">
        <v>16</v>
      </c>
      <c r="D143" s="11" t="s">
        <v>8</v>
      </c>
      <c r="E143" s="11">
        <v>42</v>
      </c>
      <c r="F143" s="11">
        <v>5</v>
      </c>
      <c r="G143" s="11">
        <v>3</v>
      </c>
      <c r="H143" s="11">
        <v>3</v>
      </c>
      <c r="I143" s="20" t="s">
        <v>9</v>
      </c>
      <c r="J143" s="27"/>
      <c r="K143" s="11"/>
      <c r="L143" s="11"/>
      <c r="M143" s="11"/>
      <c r="N143" s="11"/>
      <c r="O143" s="26" t="s">
        <v>349</v>
      </c>
      <c r="P143" s="15"/>
      <c r="Q143" s="11">
        <v>18</v>
      </c>
      <c r="R143" s="19">
        <v>45798</v>
      </c>
      <c r="S143" s="19">
        <v>45798</v>
      </c>
      <c r="T143" s="19"/>
      <c r="U143" s="19"/>
      <c r="V143" s="19">
        <v>45799</v>
      </c>
      <c r="W143" s="11" t="s">
        <v>158</v>
      </c>
      <c r="X143" s="28" t="str">
        <f>IF(STAT[[#This Row],[sigla]]="","",VLOOKUP(STAT[[#This Row],[sigla]],CRÉDITOS_GERAIS4[[#All],[SIGLA ARTE]:[CRÉDITO A SER PUBLICADO]],2,0))</f>
        <v>Rafaela Panissa</v>
      </c>
      <c r="Y143" s="11"/>
      <c r="Z143" s="11" t="s">
        <v>223</v>
      </c>
      <c r="AA143" s="11">
        <v>7</v>
      </c>
      <c r="AB143" s="15" t="s">
        <v>159</v>
      </c>
      <c r="AC143" s="11" t="s">
        <v>14</v>
      </c>
      <c r="AD143" s="29" t="str">
        <f t="shared" si="4"/>
        <v>Sintonia Educação Infantil P009p</v>
      </c>
      <c r="AE143" s="47" t="str">
        <f t="shared" si="5"/>
        <v>Edinfa</v>
      </c>
      <c r="AF143" s="47"/>
    </row>
    <row r="144" spans="1:32" x14ac:dyDescent="0.3">
      <c r="A144" s="14" t="s">
        <v>350</v>
      </c>
      <c r="B144" s="11" t="s">
        <v>19</v>
      </c>
      <c r="C144" s="12" t="s">
        <v>16</v>
      </c>
      <c r="D144" s="12" t="s">
        <v>8</v>
      </c>
      <c r="E144" s="11">
        <v>31</v>
      </c>
      <c r="F144" s="12">
        <v>5</v>
      </c>
      <c r="G144" s="11">
        <v>2</v>
      </c>
      <c r="H144" s="12">
        <v>2</v>
      </c>
      <c r="I144" s="13" t="s">
        <v>9</v>
      </c>
      <c r="J144" s="27"/>
      <c r="K144" s="11"/>
      <c r="L144" s="11"/>
      <c r="M144" s="11"/>
      <c r="N144" s="11"/>
      <c r="O144" s="26" t="s">
        <v>351</v>
      </c>
      <c r="P144" s="15"/>
      <c r="Q144" s="11">
        <v>19</v>
      </c>
      <c r="R144" s="19">
        <v>45820</v>
      </c>
      <c r="S144" s="19">
        <v>45820</v>
      </c>
      <c r="T144" s="19"/>
      <c r="U144" s="19"/>
      <c r="V144" s="19">
        <v>45821</v>
      </c>
      <c r="W144" s="11" t="s">
        <v>216</v>
      </c>
      <c r="X144" s="28" t="str">
        <f>IF(STAT[[#This Row],[sigla]]="","",VLOOKUP(STAT[[#This Row],[sigla]],CRÉDITOS_GERAIS4[[#All],[SIGLA ARTE]:[CRÉDITO A SER PUBLICADO]],2,0))</f>
        <v>Arquivo da editora</v>
      </c>
      <c r="Y144" s="11" t="s">
        <v>223</v>
      </c>
      <c r="Z144" s="11" t="str">
        <f>STAT[[#This Row],[ilustrador]]</f>
        <v>Arquivo da editora</v>
      </c>
      <c r="AA144" s="11">
        <v>13</v>
      </c>
      <c r="AB144" s="15" t="s">
        <v>216</v>
      </c>
      <c r="AC144" s="11" t="s">
        <v>14</v>
      </c>
      <c r="AD144" s="29" t="str">
        <f t="shared" si="4"/>
        <v>Sintonia Educação Infantil P009p</v>
      </c>
      <c r="AE144" s="47" t="str">
        <f t="shared" si="5"/>
        <v>Edinfa</v>
      </c>
      <c r="AF144" s="47"/>
    </row>
    <row r="145" spans="1:32" x14ac:dyDescent="0.3">
      <c r="A145" s="14" t="s">
        <v>352</v>
      </c>
      <c r="B145" s="11" t="s">
        <v>353</v>
      </c>
      <c r="C145" s="12" t="s">
        <v>16</v>
      </c>
      <c r="D145" s="12" t="s">
        <v>8</v>
      </c>
      <c r="E145" s="11">
        <v>34</v>
      </c>
      <c r="F145" s="12">
        <v>5</v>
      </c>
      <c r="G145" s="11">
        <v>2</v>
      </c>
      <c r="H145" s="12">
        <v>2</v>
      </c>
      <c r="I145" s="13" t="s">
        <v>9</v>
      </c>
      <c r="J145" s="27"/>
      <c r="K145" s="11"/>
      <c r="L145" s="11"/>
      <c r="M145" s="11"/>
      <c r="N145" s="11"/>
      <c r="O145" s="26" t="s">
        <v>354</v>
      </c>
      <c r="P145" s="15"/>
      <c r="Q145" s="11">
        <v>20</v>
      </c>
      <c r="R145" s="19">
        <v>45832</v>
      </c>
      <c r="S145" s="19"/>
      <c r="T145" s="19"/>
      <c r="U145" s="19"/>
      <c r="V145" s="19"/>
      <c r="W145" s="11"/>
      <c r="X145" s="28" t="str">
        <f>IF(STAT[[#This Row],[sigla]]="","",VLOOKUP(STAT[[#This Row],[sigla]],CRÉDITOS_GERAIS4[[#All],[SIGLA ARTE]:[CRÉDITO A SER PUBLICADO]],2,0))</f>
        <v/>
      </c>
      <c r="Y145" s="11"/>
      <c r="Z145" s="11" t="str">
        <f>STAT[[#This Row],[ilustrador]]</f>
        <v/>
      </c>
      <c r="AA145" s="11"/>
      <c r="AB145" s="15"/>
      <c r="AC145" s="12"/>
      <c r="AD145" s="29" t="str">
        <f t="shared" si="4"/>
        <v>Sintonia Educação Infantil P009p</v>
      </c>
      <c r="AE145" s="47" t="str">
        <f t="shared" si="5"/>
        <v>Edinfa</v>
      </c>
      <c r="AF145" s="47"/>
    </row>
    <row r="147" spans="1:32" x14ac:dyDescent="0.3">
      <c r="Q147" s="11"/>
      <c r="R147" s="19"/>
      <c r="AA147" s="8"/>
    </row>
  </sheetData>
  <sheetProtection formatCells="0" formatColumns="0" formatRows="0" sort="0" autoFilter="0" pivotTables="0"/>
  <dataConsolidate/>
  <phoneticPr fontId="4" type="noConversion"/>
  <dataValidations count="1">
    <dataValidation allowBlank="1" showErrorMessage="1" sqref="B1:D1" xr:uid="{1308D559-FB5A-4116-BDE0-810F7C08F37E}"/>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1">
        <x14:dataValidation type="list" allowBlank="1" showInputMessage="1" showErrorMessage="1" xr:uid="{39745072-E50C-45A3-AE69-014CB84AE254}">
          <x14:formula1>
            <xm:f>LISTAS!$F:$F</xm:f>
          </x14:formula1>
          <xm:sqref>N45:N145 N2:N38</xm:sqref>
        </x14:dataValidation>
        <x14:dataValidation type="list" allowBlank="1" showInputMessage="1" showErrorMessage="1" xr:uid="{575AA042-CB2C-4F8F-A304-810CCCE229D9}">
          <x14:formula1>
            <xm:f>LISTAS!$G:$G</xm:f>
          </x14:formula1>
          <xm:sqref>AA91:AA143 AA2:AA87 AA89</xm:sqref>
        </x14:dataValidation>
        <x14:dataValidation type="list" allowBlank="1" showInputMessage="1" showErrorMessage="1" xr:uid="{9E9136CD-C7EC-47C1-B672-944ABFB4418C}">
          <x14:formula1>
            <xm:f>LISTAS!$H:$H</xm:f>
          </x14:formula1>
          <xm:sqref>AC2:AC145</xm:sqref>
        </x14:dataValidation>
        <x14:dataValidation type="list" allowBlank="1" showInputMessage="1" showErrorMessage="1" xr:uid="{ECB9CDE8-B356-4592-9FEF-336408628C10}">
          <x14:formula1>
            <xm:f>LISTAS!$J:$J</xm:f>
          </x14:formula1>
          <xm:sqref>J45:J145 J2:J38</xm:sqref>
        </x14:dataValidation>
        <x14:dataValidation type="list" allowBlank="1" showInputMessage="1" showErrorMessage="1" xr:uid="{6E617D77-B8DD-4934-9BF7-2C72AA5F2F7E}">
          <x14:formula1>
            <xm:f>créditos_base!$C$2:$C$340</xm:f>
          </x14:formula1>
          <xm:sqref>Y2:Y145</xm:sqref>
        </x14:dataValidation>
        <x14:dataValidation type="list" allowBlank="1" showInputMessage="1" showErrorMessage="1" xr:uid="{DE55F3F9-09A4-4E16-95EB-37B9DB73D7E4}">
          <x14:formula1>
            <xm:f>créditos_base!$B$2:$B$340</xm:f>
          </x14:formula1>
          <xm:sqref>W2:W1048576</xm:sqref>
        </x14:dataValidation>
        <x14:dataValidation type="list" allowBlank="1" showInputMessage="1" showErrorMessage="1" xr:uid="{D999C570-4016-4F23-8809-9D740E03429F}">
          <x14:formula1>
            <xm:f>LISTAS!$B$1:$B$10</xm:f>
          </x14:formula1>
          <xm:sqref>C2:C1048576</xm:sqref>
        </x14:dataValidation>
        <x14:dataValidation type="list" allowBlank="1" showInputMessage="1" showErrorMessage="1" xr:uid="{897D0200-AAEF-491A-AA37-30FE9259B4AF}">
          <x14:formula1>
            <xm:f>LISTAS!$C$1:$C$8</xm:f>
          </x14:formula1>
          <xm:sqref>D2:D1048576</xm:sqref>
        </x14:dataValidation>
        <x14:dataValidation type="list" allowBlank="1" showInputMessage="1" showErrorMessage="1" xr:uid="{7FDB2A14-4353-42AF-8CCF-99406D71039B}">
          <x14:formula1>
            <xm:f>LISTAS!$D$1:$D$7</xm:f>
          </x14:formula1>
          <xm:sqref>F2:F1048576</xm:sqref>
        </x14:dataValidation>
        <x14:dataValidation type="list" allowBlank="1" showInputMessage="1" showErrorMessage="1" xr:uid="{F6693808-BCC6-44F0-B19C-9ED182D5343A}">
          <x14:formula1>
            <xm:f>LISTAS!$E$1:$E$3</xm:f>
          </x14:formula1>
          <xm:sqref>I2:I1048576</xm:sqref>
        </x14:dataValidation>
        <x14:dataValidation type="list" allowBlank="1" showInputMessage="1" showErrorMessage="1" xr:uid="{A1B51B0B-1021-4120-BAB3-57BC3F3DD3BF}">
          <x14:formula1>
            <xm:f>LISTAS!$A$1:$A$9</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FF6B-7731-47B1-BDA5-13CF9341BCEC}">
  <dimension ref="A1:C342"/>
  <sheetViews>
    <sheetView topLeftCell="A322" workbookViewId="0">
      <selection activeCell="E333" sqref="E333"/>
    </sheetView>
  </sheetViews>
  <sheetFormatPr defaultRowHeight="14.4" x14ac:dyDescent="0.3"/>
  <cols>
    <col min="1" max="1" width="46.5546875" customWidth="1"/>
    <col min="2" max="2" width="13.33203125" bestFit="1" customWidth="1"/>
    <col min="3" max="3" width="42.88671875" bestFit="1" customWidth="1"/>
  </cols>
  <sheetData>
    <row r="1" spans="1:3" x14ac:dyDescent="0.3">
      <c r="A1" t="s">
        <v>1169</v>
      </c>
      <c r="B1" t="s">
        <v>355</v>
      </c>
      <c r="C1" t="s">
        <v>356</v>
      </c>
    </row>
    <row r="2" spans="1:3" x14ac:dyDescent="0.3">
      <c r="A2" t="s">
        <v>357</v>
      </c>
      <c r="B2" s="4" t="s">
        <v>358</v>
      </c>
      <c r="C2" t="s">
        <v>228</v>
      </c>
    </row>
    <row r="3" spans="1:3" x14ac:dyDescent="0.3">
      <c r="A3" t="s">
        <v>359</v>
      </c>
      <c r="B3" s="4" t="s">
        <v>360</v>
      </c>
      <c r="C3" t="s">
        <v>361</v>
      </c>
    </row>
    <row r="4" spans="1:3" ht="28.8" x14ac:dyDescent="0.3">
      <c r="A4" s="23" t="s">
        <v>362</v>
      </c>
      <c r="B4" s="1" t="s">
        <v>363</v>
      </c>
      <c r="C4" s="17" t="s">
        <v>364</v>
      </c>
    </row>
    <row r="5" spans="1:3" x14ac:dyDescent="0.3">
      <c r="A5" s="24" t="s">
        <v>365</v>
      </c>
      <c r="B5" s="1" t="s">
        <v>366</v>
      </c>
      <c r="C5" t="s">
        <v>228</v>
      </c>
    </row>
    <row r="6" spans="1:3" x14ac:dyDescent="0.3">
      <c r="A6" s="24" t="s">
        <v>367</v>
      </c>
      <c r="B6" s="1" t="s">
        <v>368</v>
      </c>
      <c r="C6" t="s">
        <v>228</v>
      </c>
    </row>
    <row r="7" spans="1:3" x14ac:dyDescent="0.3">
      <c r="A7" s="24" t="s">
        <v>369</v>
      </c>
      <c r="B7" s="1" t="s">
        <v>370</v>
      </c>
      <c r="C7" t="s">
        <v>228</v>
      </c>
    </row>
    <row r="8" spans="1:3" x14ac:dyDescent="0.3">
      <c r="A8" t="s">
        <v>371</v>
      </c>
      <c r="B8" s="4" t="s">
        <v>216</v>
      </c>
      <c r="C8" t="s">
        <v>228</v>
      </c>
    </row>
    <row r="9" spans="1:3" x14ac:dyDescent="0.3">
      <c r="A9" t="s">
        <v>125</v>
      </c>
      <c r="B9" s="4" t="s">
        <v>372</v>
      </c>
      <c r="C9" t="s">
        <v>125</v>
      </c>
    </row>
    <row r="10" spans="1:3" x14ac:dyDescent="0.3">
      <c r="A10" t="s">
        <v>373</v>
      </c>
      <c r="B10" s="4" t="s">
        <v>374</v>
      </c>
      <c r="C10" t="s">
        <v>375</v>
      </c>
    </row>
    <row r="11" spans="1:3" x14ac:dyDescent="0.3">
      <c r="A11" t="s">
        <v>376</v>
      </c>
      <c r="B11" s="4" t="s">
        <v>377</v>
      </c>
      <c r="C11" t="s">
        <v>378</v>
      </c>
    </row>
    <row r="12" spans="1:3" x14ac:dyDescent="0.3">
      <c r="A12" t="s">
        <v>379</v>
      </c>
      <c r="B12" s="4" t="s">
        <v>380</v>
      </c>
      <c r="C12" t="s">
        <v>381</v>
      </c>
    </row>
    <row r="13" spans="1:3" x14ac:dyDescent="0.3">
      <c r="A13" t="s">
        <v>382</v>
      </c>
      <c r="B13" s="4" t="s">
        <v>383</v>
      </c>
      <c r="C13" t="s">
        <v>384</v>
      </c>
    </row>
    <row r="14" spans="1:3" x14ac:dyDescent="0.3">
      <c r="A14" t="s">
        <v>385</v>
      </c>
      <c r="B14" s="4" t="s">
        <v>386</v>
      </c>
      <c r="C14" t="s">
        <v>387</v>
      </c>
    </row>
    <row r="15" spans="1:3" x14ac:dyDescent="0.3">
      <c r="A15" t="s">
        <v>388</v>
      </c>
      <c r="B15" s="4" t="s">
        <v>389</v>
      </c>
      <c r="C15" t="s">
        <v>388</v>
      </c>
    </row>
    <row r="16" spans="1:3" x14ac:dyDescent="0.3">
      <c r="A16" t="s">
        <v>390</v>
      </c>
      <c r="B16" s="4" t="s">
        <v>391</v>
      </c>
      <c r="C16" t="s">
        <v>390</v>
      </c>
    </row>
    <row r="17" spans="1:3" x14ac:dyDescent="0.3">
      <c r="A17" t="s">
        <v>392</v>
      </c>
      <c r="B17" s="4" t="s">
        <v>393</v>
      </c>
      <c r="C17" t="s">
        <v>392</v>
      </c>
    </row>
    <row r="18" spans="1:3" x14ac:dyDescent="0.3">
      <c r="A18" t="s">
        <v>394</v>
      </c>
      <c r="B18" s="4" t="s">
        <v>395</v>
      </c>
      <c r="C18" t="s">
        <v>394</v>
      </c>
    </row>
    <row r="19" spans="1:3" x14ac:dyDescent="0.3">
      <c r="A19" t="s">
        <v>396</v>
      </c>
      <c r="B19" s="4" t="s">
        <v>397</v>
      </c>
      <c r="C19" t="s">
        <v>396</v>
      </c>
    </row>
    <row r="20" spans="1:3" x14ac:dyDescent="0.3">
      <c r="A20" t="s">
        <v>398</v>
      </c>
      <c r="B20" s="4" t="s">
        <v>399</v>
      </c>
      <c r="C20" t="s">
        <v>398</v>
      </c>
    </row>
    <row r="21" spans="1:3" x14ac:dyDescent="0.3">
      <c r="A21" t="s">
        <v>400</v>
      </c>
      <c r="B21" s="4" t="s">
        <v>401</v>
      </c>
      <c r="C21" t="s">
        <v>400</v>
      </c>
    </row>
    <row r="22" spans="1:3" x14ac:dyDescent="0.3">
      <c r="A22" t="s">
        <v>402</v>
      </c>
      <c r="B22" s="4" t="s">
        <v>403</v>
      </c>
      <c r="C22" t="s">
        <v>402</v>
      </c>
    </row>
    <row r="23" spans="1:3" x14ac:dyDescent="0.3">
      <c r="A23" t="s">
        <v>404</v>
      </c>
      <c r="B23" s="4" t="s">
        <v>405</v>
      </c>
      <c r="C23" t="s">
        <v>404</v>
      </c>
    </row>
    <row r="24" spans="1:3" x14ac:dyDescent="0.3">
      <c r="A24" t="s">
        <v>406</v>
      </c>
      <c r="B24" s="4" t="s">
        <v>407</v>
      </c>
      <c r="C24" t="s">
        <v>406</v>
      </c>
    </row>
    <row r="25" spans="1:3" x14ac:dyDescent="0.3">
      <c r="A25" t="s">
        <v>408</v>
      </c>
      <c r="B25" s="4" t="s">
        <v>409</v>
      </c>
      <c r="C25" t="s">
        <v>410</v>
      </c>
    </row>
    <row r="26" spans="1:3" x14ac:dyDescent="0.3">
      <c r="A26" t="s">
        <v>411</v>
      </c>
      <c r="B26" s="4" t="s">
        <v>412</v>
      </c>
      <c r="C26" t="s">
        <v>411</v>
      </c>
    </row>
    <row r="27" spans="1:3" x14ac:dyDescent="0.3">
      <c r="A27" t="s">
        <v>413</v>
      </c>
      <c r="B27" s="4" t="s">
        <v>414</v>
      </c>
      <c r="C27" t="s">
        <v>413</v>
      </c>
    </row>
    <row r="28" spans="1:3" x14ac:dyDescent="0.3">
      <c r="A28" t="s">
        <v>415</v>
      </c>
      <c r="B28" s="4" t="s">
        <v>416</v>
      </c>
      <c r="C28" t="s">
        <v>415</v>
      </c>
    </row>
    <row r="29" spans="1:3" x14ac:dyDescent="0.3">
      <c r="A29" t="s">
        <v>417</v>
      </c>
      <c r="B29" s="4" t="s">
        <v>418</v>
      </c>
      <c r="C29" t="s">
        <v>419</v>
      </c>
    </row>
    <row r="30" spans="1:3" x14ac:dyDescent="0.3">
      <c r="A30" t="s">
        <v>420</v>
      </c>
      <c r="B30" s="4" t="s">
        <v>421</v>
      </c>
      <c r="C30" t="s">
        <v>420</v>
      </c>
    </row>
    <row r="31" spans="1:3" x14ac:dyDescent="0.3">
      <c r="A31" t="s">
        <v>422</v>
      </c>
      <c r="B31" s="4" t="s">
        <v>423</v>
      </c>
      <c r="C31" t="s">
        <v>424</v>
      </c>
    </row>
    <row r="32" spans="1:3" x14ac:dyDescent="0.3">
      <c r="A32" t="s">
        <v>425</v>
      </c>
      <c r="B32" s="4" t="s">
        <v>426</v>
      </c>
      <c r="C32" t="s">
        <v>425</v>
      </c>
    </row>
    <row r="33" spans="1:3" x14ac:dyDescent="0.3">
      <c r="A33" t="s">
        <v>427</v>
      </c>
      <c r="B33" s="4" t="s">
        <v>428</v>
      </c>
      <c r="C33" t="s">
        <v>427</v>
      </c>
    </row>
    <row r="34" spans="1:3" x14ac:dyDescent="0.3">
      <c r="A34" t="s">
        <v>429</v>
      </c>
      <c r="B34" s="4" t="s">
        <v>430</v>
      </c>
      <c r="C34" t="s">
        <v>429</v>
      </c>
    </row>
    <row r="35" spans="1:3" x14ac:dyDescent="0.3">
      <c r="A35" t="s">
        <v>431</v>
      </c>
      <c r="B35" s="4" t="s">
        <v>432</v>
      </c>
      <c r="C35" t="s">
        <v>433</v>
      </c>
    </row>
    <row r="36" spans="1:3" x14ac:dyDescent="0.3">
      <c r="A36" t="s">
        <v>434</v>
      </c>
      <c r="B36" s="4" t="s">
        <v>435</v>
      </c>
      <c r="C36" t="s">
        <v>436</v>
      </c>
    </row>
    <row r="37" spans="1:3" x14ac:dyDescent="0.3">
      <c r="A37" t="s">
        <v>437</v>
      </c>
      <c r="B37" s="4" t="s">
        <v>438</v>
      </c>
      <c r="C37" t="s">
        <v>437</v>
      </c>
    </row>
    <row r="38" spans="1:3" x14ac:dyDescent="0.3">
      <c r="A38" t="s">
        <v>439</v>
      </c>
      <c r="B38" s="4" t="s">
        <v>440</v>
      </c>
      <c r="C38" t="s">
        <v>441</v>
      </c>
    </row>
    <row r="39" spans="1:3" x14ac:dyDescent="0.3">
      <c r="A39" t="s">
        <v>442</v>
      </c>
      <c r="B39" s="4" t="s">
        <v>443</v>
      </c>
      <c r="C39" t="s">
        <v>442</v>
      </c>
    </row>
    <row r="40" spans="1:3" x14ac:dyDescent="0.3">
      <c r="A40" t="s">
        <v>444</v>
      </c>
      <c r="B40" s="4" t="s">
        <v>445</v>
      </c>
      <c r="C40" t="s">
        <v>444</v>
      </c>
    </row>
    <row r="41" spans="1:3" x14ac:dyDescent="0.3">
      <c r="A41" t="s">
        <v>446</v>
      </c>
      <c r="B41" s="4" t="s">
        <v>447</v>
      </c>
    </row>
    <row r="42" spans="1:3" x14ac:dyDescent="0.3">
      <c r="A42" t="s">
        <v>448</v>
      </c>
      <c r="B42" s="4" t="s">
        <v>449</v>
      </c>
      <c r="C42" t="s">
        <v>448</v>
      </c>
    </row>
    <row r="43" spans="1:3" x14ac:dyDescent="0.3">
      <c r="A43" t="s">
        <v>450</v>
      </c>
      <c r="B43" s="4" t="s">
        <v>451</v>
      </c>
      <c r="C43" t="s">
        <v>450</v>
      </c>
    </row>
    <row r="44" spans="1:3" x14ac:dyDescent="0.3">
      <c r="A44" t="s">
        <v>131</v>
      </c>
      <c r="B44" s="4" t="s">
        <v>130</v>
      </c>
      <c r="C44" t="s">
        <v>131</v>
      </c>
    </row>
    <row r="45" spans="1:3" x14ac:dyDescent="0.3">
      <c r="A45" t="s">
        <v>452</v>
      </c>
      <c r="B45" s="4" t="s">
        <v>453</v>
      </c>
      <c r="C45" t="s">
        <v>452</v>
      </c>
    </row>
    <row r="46" spans="1:3" x14ac:dyDescent="0.3">
      <c r="A46" t="s">
        <v>454</v>
      </c>
      <c r="B46" s="4" t="s">
        <v>455</v>
      </c>
      <c r="C46" t="s">
        <v>454</v>
      </c>
    </row>
    <row r="47" spans="1:3" x14ac:dyDescent="0.3">
      <c r="A47" t="s">
        <v>456</v>
      </c>
      <c r="B47" s="4" t="s">
        <v>457</v>
      </c>
      <c r="C47" t="s">
        <v>285</v>
      </c>
    </row>
    <row r="48" spans="1:3" x14ac:dyDescent="0.3">
      <c r="A48" t="s">
        <v>458</v>
      </c>
      <c r="B48" s="4" t="s">
        <v>459</v>
      </c>
      <c r="C48" t="s">
        <v>458</v>
      </c>
    </row>
    <row r="49" spans="1:3" x14ac:dyDescent="0.3">
      <c r="A49" t="s">
        <v>460</v>
      </c>
      <c r="B49" s="4" t="s">
        <v>461</v>
      </c>
      <c r="C49" t="s">
        <v>460</v>
      </c>
    </row>
    <row r="50" spans="1:3" x14ac:dyDescent="0.3">
      <c r="A50" t="s">
        <v>462</v>
      </c>
      <c r="B50" s="4" t="s">
        <v>463</v>
      </c>
      <c r="C50" t="s">
        <v>462</v>
      </c>
    </row>
    <row r="51" spans="1:3" x14ac:dyDescent="0.3">
      <c r="A51" t="s">
        <v>464</v>
      </c>
      <c r="B51" s="4" t="s">
        <v>465</v>
      </c>
      <c r="C51" t="s">
        <v>466</v>
      </c>
    </row>
    <row r="52" spans="1:3" x14ac:dyDescent="0.3">
      <c r="A52" t="s">
        <v>467</v>
      </c>
      <c r="B52" s="4" t="s">
        <v>468</v>
      </c>
      <c r="C52" t="s">
        <v>469</v>
      </c>
    </row>
    <row r="53" spans="1:3" x14ac:dyDescent="0.3">
      <c r="A53" t="s">
        <v>470</v>
      </c>
      <c r="B53" s="4" t="s">
        <v>471</v>
      </c>
      <c r="C53" t="s">
        <v>472</v>
      </c>
    </row>
    <row r="54" spans="1:3" x14ac:dyDescent="0.3">
      <c r="A54" t="s">
        <v>473</v>
      </c>
      <c r="B54" s="4" t="s">
        <v>474</v>
      </c>
    </row>
    <row r="55" spans="1:3" x14ac:dyDescent="0.3">
      <c r="A55" t="s">
        <v>475</v>
      </c>
      <c r="B55" s="4" t="s">
        <v>476</v>
      </c>
      <c r="C55" t="s">
        <v>477</v>
      </c>
    </row>
    <row r="56" spans="1:3" x14ac:dyDescent="0.3">
      <c r="A56" t="s">
        <v>478</v>
      </c>
      <c r="B56" s="4" t="s">
        <v>479</v>
      </c>
    </row>
    <row r="57" spans="1:3" x14ac:dyDescent="0.3">
      <c r="A57" t="s">
        <v>480</v>
      </c>
      <c r="B57" s="4" t="s">
        <v>481</v>
      </c>
      <c r="C57" t="s">
        <v>482</v>
      </c>
    </row>
    <row r="58" spans="1:3" x14ac:dyDescent="0.3">
      <c r="A58" t="s">
        <v>483</v>
      </c>
      <c r="B58" s="4" t="s">
        <v>484</v>
      </c>
      <c r="C58" t="s">
        <v>485</v>
      </c>
    </row>
    <row r="59" spans="1:3" x14ac:dyDescent="0.3">
      <c r="A59" t="s">
        <v>486</v>
      </c>
      <c r="B59" s="4" t="s">
        <v>487</v>
      </c>
      <c r="C59" t="s">
        <v>488</v>
      </c>
    </row>
    <row r="60" spans="1:3" x14ac:dyDescent="0.3">
      <c r="A60" t="s">
        <v>489</v>
      </c>
      <c r="B60" s="4" t="s">
        <v>490</v>
      </c>
      <c r="C60" t="s">
        <v>489</v>
      </c>
    </row>
    <row r="61" spans="1:3" x14ac:dyDescent="0.3">
      <c r="A61" t="s">
        <v>491</v>
      </c>
      <c r="B61" s="4" t="s">
        <v>492</v>
      </c>
      <c r="C61" t="s">
        <v>493</v>
      </c>
    </row>
    <row r="62" spans="1:3" x14ac:dyDescent="0.3">
      <c r="A62" t="s">
        <v>494</v>
      </c>
      <c r="B62" s="4" t="s">
        <v>495</v>
      </c>
      <c r="C62" t="s">
        <v>494</v>
      </c>
    </row>
    <row r="63" spans="1:3" x14ac:dyDescent="0.3">
      <c r="A63" t="s">
        <v>496</v>
      </c>
      <c r="B63" s="4" t="s">
        <v>497</v>
      </c>
      <c r="C63" t="s">
        <v>496</v>
      </c>
    </row>
    <row r="64" spans="1:3" x14ac:dyDescent="0.3">
      <c r="A64" t="s">
        <v>498</v>
      </c>
      <c r="B64" s="4" t="s">
        <v>499</v>
      </c>
      <c r="C64" t="s">
        <v>498</v>
      </c>
    </row>
    <row r="65" spans="1:3" x14ac:dyDescent="0.3">
      <c r="A65" t="s">
        <v>1170</v>
      </c>
      <c r="B65" s="4" t="s">
        <v>1171</v>
      </c>
      <c r="C65" t="s">
        <v>1172</v>
      </c>
    </row>
    <row r="66" spans="1:3" x14ac:dyDescent="0.3">
      <c r="A66" t="s">
        <v>500</v>
      </c>
      <c r="B66" s="4" t="s">
        <v>501</v>
      </c>
      <c r="C66" t="s">
        <v>500</v>
      </c>
    </row>
    <row r="67" spans="1:3" x14ac:dyDescent="0.3">
      <c r="A67" t="s">
        <v>502</v>
      </c>
      <c r="B67" s="4" t="s">
        <v>503</v>
      </c>
    </row>
    <row r="68" spans="1:3" x14ac:dyDescent="0.3">
      <c r="A68" t="s">
        <v>1173</v>
      </c>
      <c r="B68" s="4" t="s">
        <v>1174</v>
      </c>
      <c r="C68" t="s">
        <v>1173</v>
      </c>
    </row>
    <row r="69" spans="1:3" x14ac:dyDescent="0.3">
      <c r="A69" t="s">
        <v>504</v>
      </c>
      <c r="B69" s="4" t="s">
        <v>505</v>
      </c>
      <c r="C69" t="s">
        <v>504</v>
      </c>
    </row>
    <row r="70" spans="1:3" x14ac:dyDescent="0.3">
      <c r="A70" t="s">
        <v>506</v>
      </c>
      <c r="B70" s="4" t="s">
        <v>507</v>
      </c>
      <c r="C70" t="s">
        <v>506</v>
      </c>
    </row>
    <row r="71" spans="1:3" x14ac:dyDescent="0.3">
      <c r="A71" t="s">
        <v>508</v>
      </c>
      <c r="B71" s="4" t="s">
        <v>509</v>
      </c>
      <c r="C71" t="s">
        <v>508</v>
      </c>
    </row>
    <row r="72" spans="1:3" x14ac:dyDescent="0.3">
      <c r="A72" t="s">
        <v>510</v>
      </c>
      <c r="B72" s="4" t="s">
        <v>511</v>
      </c>
      <c r="C72" t="s">
        <v>510</v>
      </c>
    </row>
    <row r="73" spans="1:3" x14ac:dyDescent="0.3">
      <c r="A73" t="s">
        <v>512</v>
      </c>
      <c r="B73" s="4" t="s">
        <v>513</v>
      </c>
      <c r="C73" t="s">
        <v>512</v>
      </c>
    </row>
    <row r="74" spans="1:3" x14ac:dyDescent="0.3">
      <c r="A74" t="s">
        <v>514</v>
      </c>
      <c r="B74" s="4" t="s">
        <v>515</v>
      </c>
    </row>
    <row r="75" spans="1:3" x14ac:dyDescent="0.3">
      <c r="A75" t="s">
        <v>516</v>
      </c>
      <c r="B75" s="4" t="s">
        <v>517</v>
      </c>
      <c r="C75" t="s">
        <v>516</v>
      </c>
    </row>
    <row r="76" spans="1:3" x14ac:dyDescent="0.3">
      <c r="A76" t="s">
        <v>145</v>
      </c>
      <c r="B76" s="4" t="s">
        <v>144</v>
      </c>
      <c r="C76" t="s">
        <v>145</v>
      </c>
    </row>
    <row r="77" spans="1:3" x14ac:dyDescent="0.3">
      <c r="A77" t="s">
        <v>518</v>
      </c>
      <c r="B77" s="4" t="s">
        <v>519</v>
      </c>
      <c r="C77" t="s">
        <v>518</v>
      </c>
    </row>
    <row r="78" spans="1:3" x14ac:dyDescent="0.3">
      <c r="A78" t="s">
        <v>520</v>
      </c>
      <c r="B78" s="4" t="s">
        <v>521</v>
      </c>
      <c r="C78" t="s">
        <v>520</v>
      </c>
    </row>
    <row r="79" spans="1:3" x14ac:dyDescent="0.3">
      <c r="A79" t="s">
        <v>522</v>
      </c>
      <c r="B79" s="4" t="s">
        <v>523</v>
      </c>
      <c r="C79" t="s">
        <v>522</v>
      </c>
    </row>
    <row r="80" spans="1:3" x14ac:dyDescent="0.3">
      <c r="A80" t="s">
        <v>524</v>
      </c>
      <c r="B80" s="4" t="s">
        <v>525</v>
      </c>
    </row>
    <row r="81" spans="1:3" x14ac:dyDescent="0.3">
      <c r="A81" t="s">
        <v>526</v>
      </c>
      <c r="B81" s="4" t="s">
        <v>527</v>
      </c>
    </row>
    <row r="82" spans="1:3" x14ac:dyDescent="0.3">
      <c r="A82" t="s">
        <v>528</v>
      </c>
      <c r="B82" s="4" t="s">
        <v>529</v>
      </c>
      <c r="C82" t="s">
        <v>530</v>
      </c>
    </row>
    <row r="83" spans="1:3" x14ac:dyDescent="0.3">
      <c r="A83" t="s">
        <v>531</v>
      </c>
      <c r="B83" s="4" t="s">
        <v>532</v>
      </c>
      <c r="C83" t="s">
        <v>533</v>
      </c>
    </row>
    <row r="84" spans="1:3" x14ac:dyDescent="0.3">
      <c r="A84" t="s">
        <v>534</v>
      </c>
      <c r="B84" s="4" t="s">
        <v>535</v>
      </c>
      <c r="C84" t="s">
        <v>534</v>
      </c>
    </row>
    <row r="85" spans="1:3" x14ac:dyDescent="0.3">
      <c r="A85" t="s">
        <v>536</v>
      </c>
      <c r="B85" s="4" t="s">
        <v>537</v>
      </c>
      <c r="C85" t="s">
        <v>536</v>
      </c>
    </row>
    <row r="86" spans="1:3" x14ac:dyDescent="0.3">
      <c r="A86" t="s">
        <v>538</v>
      </c>
      <c r="B86" s="4" t="s">
        <v>539</v>
      </c>
      <c r="C86" t="s">
        <v>538</v>
      </c>
    </row>
    <row r="87" spans="1:3" x14ac:dyDescent="0.3">
      <c r="A87" t="s">
        <v>540</v>
      </c>
      <c r="B87" s="4" t="s">
        <v>541</v>
      </c>
      <c r="C87" t="s">
        <v>540</v>
      </c>
    </row>
    <row r="88" spans="1:3" x14ac:dyDescent="0.3">
      <c r="A88" t="s">
        <v>542</v>
      </c>
      <c r="B88" s="4" t="s">
        <v>543</v>
      </c>
      <c r="C88" t="s">
        <v>542</v>
      </c>
    </row>
    <row r="89" spans="1:3" x14ac:dyDescent="0.3">
      <c r="A89" t="s">
        <v>544</v>
      </c>
      <c r="B89" s="4" t="s">
        <v>545</v>
      </c>
      <c r="C89" t="s">
        <v>544</v>
      </c>
    </row>
    <row r="90" spans="1:3" x14ac:dyDescent="0.3">
      <c r="A90" t="s">
        <v>546</v>
      </c>
      <c r="B90" s="4" t="s">
        <v>547</v>
      </c>
      <c r="C90" t="s">
        <v>546</v>
      </c>
    </row>
    <row r="91" spans="1:3" x14ac:dyDescent="0.3">
      <c r="A91" t="s">
        <v>548</v>
      </c>
      <c r="B91" s="4" t="s">
        <v>549</v>
      </c>
      <c r="C91" t="s">
        <v>550</v>
      </c>
    </row>
    <row r="92" spans="1:3" x14ac:dyDescent="0.3">
      <c r="A92" t="s">
        <v>551</v>
      </c>
      <c r="B92" s="4" t="s">
        <v>552</v>
      </c>
      <c r="C92" t="s">
        <v>551</v>
      </c>
    </row>
    <row r="93" spans="1:3" x14ac:dyDescent="0.3">
      <c r="A93" t="s">
        <v>553</v>
      </c>
      <c r="B93" s="4" t="s">
        <v>554</v>
      </c>
      <c r="C93" t="s">
        <v>555</v>
      </c>
    </row>
    <row r="94" spans="1:3" x14ac:dyDescent="0.3">
      <c r="A94" t="s">
        <v>556</v>
      </c>
      <c r="B94" s="4" t="s">
        <v>557</v>
      </c>
      <c r="C94" t="s">
        <v>558</v>
      </c>
    </row>
    <row r="95" spans="1:3" x14ac:dyDescent="0.3">
      <c r="A95" t="s">
        <v>559</v>
      </c>
      <c r="B95" s="4" t="s">
        <v>560</v>
      </c>
      <c r="C95" t="s">
        <v>559</v>
      </c>
    </row>
    <row r="96" spans="1:3" x14ac:dyDescent="0.3">
      <c r="A96" t="s">
        <v>561</v>
      </c>
      <c r="B96" s="4" t="s">
        <v>562</v>
      </c>
      <c r="C96" t="s">
        <v>561</v>
      </c>
    </row>
    <row r="97" spans="1:3" x14ac:dyDescent="0.3">
      <c r="A97" t="s">
        <v>32</v>
      </c>
      <c r="B97" s="4" t="s">
        <v>31</v>
      </c>
      <c r="C97" t="s">
        <v>32</v>
      </c>
    </row>
    <row r="98" spans="1:3" x14ac:dyDescent="0.3">
      <c r="A98" t="s">
        <v>563</v>
      </c>
      <c r="B98" s="4" t="s">
        <v>564</v>
      </c>
      <c r="C98" t="s">
        <v>565</v>
      </c>
    </row>
    <row r="99" spans="1:3" x14ac:dyDescent="0.3">
      <c r="A99" t="s">
        <v>566</v>
      </c>
      <c r="B99" s="4" t="s">
        <v>567</v>
      </c>
      <c r="C99" t="s">
        <v>568</v>
      </c>
    </row>
    <row r="100" spans="1:3" x14ac:dyDescent="0.3">
      <c r="A100" t="s">
        <v>569</v>
      </c>
      <c r="B100" s="4" t="s">
        <v>570</v>
      </c>
      <c r="C100" t="s">
        <v>571</v>
      </c>
    </row>
    <row r="101" spans="1:3" x14ac:dyDescent="0.3">
      <c r="A101" t="s">
        <v>572</v>
      </c>
      <c r="B101" s="4" t="s">
        <v>573</v>
      </c>
      <c r="C101" t="s">
        <v>572</v>
      </c>
    </row>
    <row r="102" spans="1:3" x14ac:dyDescent="0.3">
      <c r="A102" t="s">
        <v>574</v>
      </c>
      <c r="B102" s="4" t="s">
        <v>575</v>
      </c>
      <c r="C102" t="s">
        <v>576</v>
      </c>
    </row>
    <row r="103" spans="1:3" x14ac:dyDescent="0.3">
      <c r="A103" t="s">
        <v>577</v>
      </c>
      <c r="B103" s="4" t="s">
        <v>578</v>
      </c>
      <c r="C103" t="s">
        <v>579</v>
      </c>
    </row>
    <row r="104" spans="1:3" x14ac:dyDescent="0.3">
      <c r="A104" t="s">
        <v>580</v>
      </c>
      <c r="B104" s="4" t="s">
        <v>581</v>
      </c>
      <c r="C104" t="s">
        <v>580</v>
      </c>
    </row>
    <row r="105" spans="1:3" x14ac:dyDescent="0.3">
      <c r="A105" t="s">
        <v>582</v>
      </c>
      <c r="B105" s="4" t="s">
        <v>583</v>
      </c>
      <c r="C105" t="s">
        <v>584</v>
      </c>
    </row>
    <row r="106" spans="1:3" x14ac:dyDescent="0.3">
      <c r="A106" t="s">
        <v>585</v>
      </c>
      <c r="B106" s="4" t="s">
        <v>586</v>
      </c>
      <c r="C106" t="s">
        <v>585</v>
      </c>
    </row>
    <row r="107" spans="1:3" x14ac:dyDescent="0.3">
      <c r="A107" t="s">
        <v>587</v>
      </c>
      <c r="B107" s="4" t="s">
        <v>588</v>
      </c>
      <c r="C107" t="s">
        <v>589</v>
      </c>
    </row>
    <row r="108" spans="1:3" x14ac:dyDescent="0.3">
      <c r="A108" t="s">
        <v>590</v>
      </c>
      <c r="B108" s="4" t="s">
        <v>591</v>
      </c>
      <c r="C108" t="s">
        <v>592</v>
      </c>
    </row>
    <row r="109" spans="1:3" x14ac:dyDescent="0.3">
      <c r="A109" t="s">
        <v>593</v>
      </c>
      <c r="B109" s="4" t="s">
        <v>594</v>
      </c>
      <c r="C109" t="s">
        <v>593</v>
      </c>
    </row>
    <row r="110" spans="1:3" x14ac:dyDescent="0.3">
      <c r="A110" t="s">
        <v>595</v>
      </c>
      <c r="B110" s="4" t="s">
        <v>596</v>
      </c>
      <c r="C110" t="s">
        <v>597</v>
      </c>
    </row>
    <row r="111" spans="1:3" x14ac:dyDescent="0.3">
      <c r="A111" t="s">
        <v>598</v>
      </c>
      <c r="B111" s="4" t="s">
        <v>599</v>
      </c>
      <c r="C111" t="s">
        <v>598</v>
      </c>
    </row>
    <row r="112" spans="1:3" x14ac:dyDescent="0.3">
      <c r="A112" t="s">
        <v>600</v>
      </c>
      <c r="B112" s="4" t="s">
        <v>601</v>
      </c>
    </row>
    <row r="113" spans="1:3" x14ac:dyDescent="0.3">
      <c r="A113" t="s">
        <v>602</v>
      </c>
      <c r="B113" s="4" t="s">
        <v>603</v>
      </c>
    </row>
    <row r="114" spans="1:3" x14ac:dyDescent="0.3">
      <c r="A114" t="s">
        <v>604</v>
      </c>
      <c r="B114" s="4" t="s">
        <v>605</v>
      </c>
      <c r="C114" t="s">
        <v>606</v>
      </c>
    </row>
    <row r="115" spans="1:3" x14ac:dyDescent="0.3">
      <c r="A115" t="s">
        <v>607</v>
      </c>
      <c r="B115" s="4" t="s">
        <v>608</v>
      </c>
      <c r="C115" t="s">
        <v>609</v>
      </c>
    </row>
    <row r="116" spans="1:3" x14ac:dyDescent="0.3">
      <c r="A116" t="s">
        <v>610</v>
      </c>
      <c r="B116" s="4" t="s">
        <v>611</v>
      </c>
      <c r="C116" t="s">
        <v>612</v>
      </c>
    </row>
    <row r="117" spans="1:3" x14ac:dyDescent="0.3">
      <c r="A117" t="s">
        <v>613</v>
      </c>
      <c r="B117" s="4" t="s">
        <v>614</v>
      </c>
      <c r="C117" t="s">
        <v>615</v>
      </c>
    </row>
    <row r="118" spans="1:3" x14ac:dyDescent="0.3">
      <c r="A118" t="s">
        <v>616</v>
      </c>
      <c r="B118" s="4" t="s">
        <v>617</v>
      </c>
    </row>
    <row r="119" spans="1:3" x14ac:dyDescent="0.3">
      <c r="A119" t="s">
        <v>618</v>
      </c>
      <c r="B119" s="4" t="s">
        <v>619</v>
      </c>
    </row>
    <row r="120" spans="1:3" x14ac:dyDescent="0.3">
      <c r="A120" t="s">
        <v>620</v>
      </c>
      <c r="B120" s="4" t="s">
        <v>621</v>
      </c>
      <c r="C120" t="s">
        <v>622</v>
      </c>
    </row>
    <row r="121" spans="1:3" x14ac:dyDescent="0.3">
      <c r="A121" t="s">
        <v>623</v>
      </c>
      <c r="B121" s="4" t="s">
        <v>624</v>
      </c>
    </row>
    <row r="122" spans="1:3" x14ac:dyDescent="0.3">
      <c r="A122" t="s">
        <v>625</v>
      </c>
      <c r="B122" s="4" t="s">
        <v>626</v>
      </c>
      <c r="C122" t="s">
        <v>627</v>
      </c>
    </row>
    <row r="123" spans="1:3" x14ac:dyDescent="0.3">
      <c r="A123" t="s">
        <v>628</v>
      </c>
      <c r="B123" s="4" t="s">
        <v>629</v>
      </c>
      <c r="C123" t="s">
        <v>628</v>
      </c>
    </row>
    <row r="124" spans="1:3" x14ac:dyDescent="0.3">
      <c r="A124" t="s">
        <v>630</v>
      </c>
      <c r="B124" s="4" t="s">
        <v>631</v>
      </c>
      <c r="C124" t="s">
        <v>630</v>
      </c>
    </row>
    <row r="125" spans="1:3" x14ac:dyDescent="0.3">
      <c r="A125" t="s">
        <v>632</v>
      </c>
      <c r="B125" s="4" t="s">
        <v>633</v>
      </c>
      <c r="C125" t="s">
        <v>632</v>
      </c>
    </row>
    <row r="126" spans="1:3" x14ac:dyDescent="0.3">
      <c r="A126" t="s">
        <v>634</v>
      </c>
      <c r="B126" s="4" t="s">
        <v>635</v>
      </c>
      <c r="C126" t="s">
        <v>634</v>
      </c>
    </row>
    <row r="127" spans="1:3" x14ac:dyDescent="0.3">
      <c r="A127" t="s">
        <v>636</v>
      </c>
      <c r="B127" s="4" t="s">
        <v>637</v>
      </c>
      <c r="C127" t="s">
        <v>636</v>
      </c>
    </row>
    <row r="128" spans="1:3" x14ac:dyDescent="0.3">
      <c r="A128" t="s">
        <v>638</v>
      </c>
      <c r="B128" s="4" t="s">
        <v>639</v>
      </c>
      <c r="C128" t="s">
        <v>638</v>
      </c>
    </row>
    <row r="129" spans="1:3" x14ac:dyDescent="0.3">
      <c r="A129" t="s">
        <v>640</v>
      </c>
      <c r="B129" s="4" t="s">
        <v>641</v>
      </c>
      <c r="C129" t="s">
        <v>640</v>
      </c>
    </row>
    <row r="130" spans="1:3" x14ac:dyDescent="0.3">
      <c r="A130" t="s">
        <v>642</v>
      </c>
      <c r="B130" s="4" t="s">
        <v>643</v>
      </c>
      <c r="C130" t="s">
        <v>644</v>
      </c>
    </row>
    <row r="131" spans="1:3" x14ac:dyDescent="0.3">
      <c r="A131" t="s">
        <v>645</v>
      </c>
      <c r="B131" s="4" t="s">
        <v>646</v>
      </c>
      <c r="C131" t="s">
        <v>647</v>
      </c>
    </row>
    <row r="132" spans="1:3" x14ac:dyDescent="0.3">
      <c r="A132" t="s">
        <v>648</v>
      </c>
      <c r="B132" s="4" t="s">
        <v>649</v>
      </c>
      <c r="C132" t="s">
        <v>648</v>
      </c>
    </row>
    <row r="133" spans="1:3" x14ac:dyDescent="0.3">
      <c r="A133" t="s">
        <v>91</v>
      </c>
      <c r="B133" s="4" t="s">
        <v>90</v>
      </c>
      <c r="C133" t="s">
        <v>191</v>
      </c>
    </row>
    <row r="134" spans="1:3" x14ac:dyDescent="0.3">
      <c r="A134" t="s">
        <v>650</v>
      </c>
      <c r="B134" s="4" t="s">
        <v>651</v>
      </c>
      <c r="C134" t="s">
        <v>652</v>
      </c>
    </row>
    <row r="135" spans="1:3" x14ac:dyDescent="0.3">
      <c r="A135" t="s">
        <v>653</v>
      </c>
      <c r="B135" s="4" t="s">
        <v>654</v>
      </c>
      <c r="C135" t="s">
        <v>653</v>
      </c>
    </row>
    <row r="136" spans="1:3" x14ac:dyDescent="0.3">
      <c r="A136" t="s">
        <v>655</v>
      </c>
      <c r="B136" s="4" t="s">
        <v>656</v>
      </c>
      <c r="C136" t="s">
        <v>655</v>
      </c>
    </row>
    <row r="137" spans="1:3" x14ac:dyDescent="0.3">
      <c r="A137" t="s">
        <v>657</v>
      </c>
      <c r="B137" s="4" t="s">
        <v>658</v>
      </c>
      <c r="C137" t="s">
        <v>657</v>
      </c>
    </row>
    <row r="138" spans="1:3" x14ac:dyDescent="0.3">
      <c r="A138" t="s">
        <v>659</v>
      </c>
      <c r="B138" s="4" t="s">
        <v>660</v>
      </c>
      <c r="C138" t="s">
        <v>661</v>
      </c>
    </row>
    <row r="139" spans="1:3" x14ac:dyDescent="0.3">
      <c r="A139" t="s">
        <v>662</v>
      </c>
      <c r="B139" s="4" t="s">
        <v>663</v>
      </c>
      <c r="C139" t="s">
        <v>662</v>
      </c>
    </row>
    <row r="140" spans="1:3" x14ac:dyDescent="0.3">
      <c r="A140" t="s">
        <v>664</v>
      </c>
      <c r="B140" s="4" t="s">
        <v>665</v>
      </c>
      <c r="C140" t="s">
        <v>666</v>
      </c>
    </row>
    <row r="141" spans="1:3" x14ac:dyDescent="0.3">
      <c r="A141" t="s">
        <v>667</v>
      </c>
      <c r="B141" s="4" t="s">
        <v>668</v>
      </c>
      <c r="C141" t="s">
        <v>669</v>
      </c>
    </row>
    <row r="142" spans="1:3" x14ac:dyDescent="0.3">
      <c r="A142" t="s">
        <v>670</v>
      </c>
      <c r="B142" s="4" t="s">
        <v>671</v>
      </c>
    </row>
    <row r="143" spans="1:3" x14ac:dyDescent="0.3">
      <c r="A143" t="s">
        <v>672</v>
      </c>
      <c r="B143" s="4" t="s">
        <v>673</v>
      </c>
    </row>
    <row r="144" spans="1:3" x14ac:dyDescent="0.3">
      <c r="A144" t="s">
        <v>674</v>
      </c>
      <c r="B144" s="4" t="s">
        <v>675</v>
      </c>
      <c r="C144" t="s">
        <v>674</v>
      </c>
    </row>
    <row r="145" spans="1:3" x14ac:dyDescent="0.3">
      <c r="A145" t="s">
        <v>676</v>
      </c>
      <c r="B145" s="4" t="s">
        <v>677</v>
      </c>
      <c r="C145" t="s">
        <v>678</v>
      </c>
    </row>
    <row r="146" spans="1:3" x14ac:dyDescent="0.3">
      <c r="A146" t="s">
        <v>679</v>
      </c>
      <c r="B146" s="4" t="s">
        <v>680</v>
      </c>
      <c r="C146" t="s">
        <v>679</v>
      </c>
    </row>
    <row r="147" spans="1:3" x14ac:dyDescent="0.3">
      <c r="A147" t="s">
        <v>681</v>
      </c>
      <c r="B147" s="4" t="s">
        <v>682</v>
      </c>
      <c r="C147" t="s">
        <v>681</v>
      </c>
    </row>
    <row r="148" spans="1:3" x14ac:dyDescent="0.3">
      <c r="A148" t="s">
        <v>683</v>
      </c>
      <c r="B148" s="4" t="s">
        <v>684</v>
      </c>
      <c r="C148" t="s">
        <v>683</v>
      </c>
    </row>
    <row r="149" spans="1:3" x14ac:dyDescent="0.3">
      <c r="A149" t="s">
        <v>685</v>
      </c>
      <c r="B149" s="4" t="s">
        <v>686</v>
      </c>
      <c r="C149" t="s">
        <v>685</v>
      </c>
    </row>
    <row r="150" spans="1:3" x14ac:dyDescent="0.3">
      <c r="A150" t="s">
        <v>687</v>
      </c>
      <c r="B150" s="4" t="s">
        <v>688</v>
      </c>
      <c r="C150" t="s">
        <v>687</v>
      </c>
    </row>
    <row r="151" spans="1:3" x14ac:dyDescent="0.3">
      <c r="A151" t="s">
        <v>689</v>
      </c>
      <c r="B151" s="4" t="s">
        <v>690</v>
      </c>
      <c r="C151" t="s">
        <v>26</v>
      </c>
    </row>
    <row r="152" spans="1:3" x14ac:dyDescent="0.3">
      <c r="A152" t="s">
        <v>691</v>
      </c>
      <c r="B152" s="4" t="s">
        <v>692</v>
      </c>
      <c r="C152" t="s">
        <v>691</v>
      </c>
    </row>
    <row r="153" spans="1:3" x14ac:dyDescent="0.3">
      <c r="A153" t="s">
        <v>693</v>
      </c>
      <c r="B153" s="4" t="s">
        <v>694</v>
      </c>
      <c r="C153" t="s">
        <v>695</v>
      </c>
    </row>
    <row r="154" spans="1:3" x14ac:dyDescent="0.3">
      <c r="A154" t="s">
        <v>696</v>
      </c>
      <c r="B154" s="4" t="s">
        <v>697</v>
      </c>
      <c r="C154" t="s">
        <v>698</v>
      </c>
    </row>
    <row r="155" spans="1:3" x14ac:dyDescent="0.3">
      <c r="A155" t="s">
        <v>699</v>
      </c>
      <c r="B155" s="4" t="s">
        <v>700</v>
      </c>
      <c r="C155" t="s">
        <v>699</v>
      </c>
    </row>
    <row r="156" spans="1:3" x14ac:dyDescent="0.3">
      <c r="A156" t="s">
        <v>701</v>
      </c>
      <c r="B156" s="4" t="s">
        <v>702</v>
      </c>
      <c r="C156" t="s">
        <v>701</v>
      </c>
    </row>
    <row r="157" spans="1:3" x14ac:dyDescent="0.3">
      <c r="A157" t="s">
        <v>703</v>
      </c>
      <c r="B157" s="4" t="s">
        <v>704</v>
      </c>
      <c r="C157" t="s">
        <v>705</v>
      </c>
    </row>
    <row r="158" spans="1:3" x14ac:dyDescent="0.3">
      <c r="A158" t="s">
        <v>706</v>
      </c>
      <c r="B158" s="4" t="s">
        <v>707</v>
      </c>
    </row>
    <row r="159" spans="1:3" x14ac:dyDescent="0.3">
      <c r="A159" t="s">
        <v>708</v>
      </c>
      <c r="B159" s="4" t="s">
        <v>709</v>
      </c>
      <c r="C159" t="s">
        <v>710</v>
      </c>
    </row>
    <row r="160" spans="1:3" x14ac:dyDescent="0.3">
      <c r="A160" t="s">
        <v>711</v>
      </c>
      <c r="B160" s="4" t="s">
        <v>712</v>
      </c>
      <c r="C160" t="s">
        <v>711</v>
      </c>
    </row>
    <row r="161" spans="1:3" x14ac:dyDescent="0.3">
      <c r="A161" t="s">
        <v>713</v>
      </c>
      <c r="B161" s="4" t="s">
        <v>714</v>
      </c>
      <c r="C161" t="s">
        <v>715</v>
      </c>
    </row>
    <row r="162" spans="1:3" x14ac:dyDescent="0.3">
      <c r="A162" t="s">
        <v>716</v>
      </c>
      <c r="B162" s="4" t="s">
        <v>717</v>
      </c>
    </row>
    <row r="163" spans="1:3" x14ac:dyDescent="0.3">
      <c r="A163" t="s">
        <v>718</v>
      </c>
      <c r="B163" s="4" t="s">
        <v>719</v>
      </c>
      <c r="C163" t="s">
        <v>718</v>
      </c>
    </row>
    <row r="164" spans="1:3" x14ac:dyDescent="0.3">
      <c r="A164" t="s">
        <v>720</v>
      </c>
      <c r="B164" s="4" t="s">
        <v>721</v>
      </c>
      <c r="C164" t="s">
        <v>722</v>
      </c>
    </row>
    <row r="165" spans="1:3" x14ac:dyDescent="0.3">
      <c r="A165" t="s">
        <v>723</v>
      </c>
      <c r="B165" s="4" t="s">
        <v>724</v>
      </c>
      <c r="C165" t="s">
        <v>723</v>
      </c>
    </row>
    <row r="166" spans="1:3" x14ac:dyDescent="0.3">
      <c r="A166" t="s">
        <v>725</v>
      </c>
      <c r="B166" s="4" t="s">
        <v>726</v>
      </c>
      <c r="C166" t="s">
        <v>725</v>
      </c>
    </row>
    <row r="167" spans="1:3" x14ac:dyDescent="0.3">
      <c r="A167" t="s">
        <v>727</v>
      </c>
      <c r="B167" s="4" t="s">
        <v>728</v>
      </c>
      <c r="C167" t="s">
        <v>727</v>
      </c>
    </row>
    <row r="168" spans="1:3" x14ac:dyDescent="0.3">
      <c r="A168" t="s">
        <v>729</v>
      </c>
      <c r="B168" s="4" t="s">
        <v>730</v>
      </c>
      <c r="C168" t="s">
        <v>729</v>
      </c>
    </row>
    <row r="169" spans="1:3" x14ac:dyDescent="0.3">
      <c r="A169" t="s">
        <v>731</v>
      </c>
      <c r="B169" s="4" t="s">
        <v>732</v>
      </c>
      <c r="C169" t="s">
        <v>731</v>
      </c>
    </row>
    <row r="170" spans="1:3" x14ac:dyDescent="0.3">
      <c r="A170" t="s">
        <v>733</v>
      </c>
      <c r="B170" s="4" t="s">
        <v>734</v>
      </c>
      <c r="C170" t="s">
        <v>733</v>
      </c>
    </row>
    <row r="171" spans="1:3" x14ac:dyDescent="0.3">
      <c r="A171" t="s">
        <v>735</v>
      </c>
      <c r="B171" s="4" t="s">
        <v>736</v>
      </c>
      <c r="C171" t="s">
        <v>737</v>
      </c>
    </row>
    <row r="172" spans="1:3" x14ac:dyDescent="0.3">
      <c r="A172" t="s">
        <v>738</v>
      </c>
      <c r="B172" s="4" t="s">
        <v>739</v>
      </c>
      <c r="C172" t="s">
        <v>738</v>
      </c>
    </row>
    <row r="173" spans="1:3" x14ac:dyDescent="0.3">
      <c r="A173" t="s">
        <v>740</v>
      </c>
      <c r="B173" s="4" t="s">
        <v>741</v>
      </c>
      <c r="C173" t="s">
        <v>740</v>
      </c>
    </row>
    <row r="174" spans="1:3" x14ac:dyDescent="0.3">
      <c r="A174" t="s">
        <v>742</v>
      </c>
      <c r="B174" s="4" t="s">
        <v>743</v>
      </c>
      <c r="C174" t="s">
        <v>742</v>
      </c>
    </row>
    <row r="175" spans="1:3" x14ac:dyDescent="0.3">
      <c r="A175" t="s">
        <v>744</v>
      </c>
      <c r="B175" s="4" t="s">
        <v>745</v>
      </c>
      <c r="C175" t="s">
        <v>746</v>
      </c>
    </row>
    <row r="176" spans="1:3" x14ac:dyDescent="0.3">
      <c r="A176" t="s">
        <v>747</v>
      </c>
      <c r="B176" s="4" t="s">
        <v>748</v>
      </c>
      <c r="C176" t="s">
        <v>749</v>
      </c>
    </row>
    <row r="177" spans="1:3" x14ac:dyDescent="0.3">
      <c r="A177" t="s">
        <v>750</v>
      </c>
      <c r="B177" s="4" t="s">
        <v>751</v>
      </c>
      <c r="C177" t="s">
        <v>750</v>
      </c>
    </row>
    <row r="178" spans="1:3" x14ac:dyDescent="0.3">
      <c r="A178" t="s">
        <v>752</v>
      </c>
      <c r="B178" s="4" t="s">
        <v>753</v>
      </c>
      <c r="C178" t="s">
        <v>752</v>
      </c>
    </row>
    <row r="179" spans="1:3" x14ac:dyDescent="0.3">
      <c r="A179" t="s">
        <v>754</v>
      </c>
      <c r="B179" s="4" t="s">
        <v>755</v>
      </c>
      <c r="C179" t="s">
        <v>756</v>
      </c>
    </row>
    <row r="180" spans="1:3" x14ac:dyDescent="0.3">
      <c r="A180" t="s">
        <v>757</v>
      </c>
      <c r="B180" s="4" t="s">
        <v>758</v>
      </c>
      <c r="C180" t="s">
        <v>757</v>
      </c>
    </row>
    <row r="181" spans="1:3" x14ac:dyDescent="0.3">
      <c r="A181" t="s">
        <v>759</v>
      </c>
      <c r="B181" s="4" t="s">
        <v>760</v>
      </c>
      <c r="C181" t="s">
        <v>761</v>
      </c>
    </row>
    <row r="182" spans="1:3" x14ac:dyDescent="0.3">
      <c r="A182" t="s">
        <v>762</v>
      </c>
      <c r="B182" s="4" t="s">
        <v>763</v>
      </c>
    </row>
    <row r="183" spans="1:3" x14ac:dyDescent="0.3">
      <c r="A183" t="s">
        <v>764</v>
      </c>
      <c r="B183" s="4" t="s">
        <v>765</v>
      </c>
      <c r="C183" t="s">
        <v>764</v>
      </c>
    </row>
    <row r="184" spans="1:3" x14ac:dyDescent="0.3">
      <c r="A184" t="s">
        <v>766</v>
      </c>
      <c r="B184" s="4" t="s">
        <v>767</v>
      </c>
      <c r="C184" t="s">
        <v>766</v>
      </c>
    </row>
    <row r="185" spans="1:3" x14ac:dyDescent="0.3">
      <c r="A185" t="s">
        <v>1175</v>
      </c>
      <c r="B185" s="4" t="s">
        <v>1176</v>
      </c>
      <c r="C185" t="s">
        <v>1175</v>
      </c>
    </row>
    <row r="186" spans="1:3" x14ac:dyDescent="0.3">
      <c r="A186" t="s">
        <v>768</v>
      </c>
      <c r="B186" s="4" t="s">
        <v>769</v>
      </c>
      <c r="C186" t="s">
        <v>768</v>
      </c>
    </row>
    <row r="187" spans="1:3" x14ac:dyDescent="0.3">
      <c r="A187" t="s">
        <v>770</v>
      </c>
      <c r="B187" s="4" t="s">
        <v>771</v>
      </c>
      <c r="C187" t="s">
        <v>772</v>
      </c>
    </row>
    <row r="188" spans="1:3" x14ac:dyDescent="0.3">
      <c r="A188" t="s">
        <v>773</v>
      </c>
      <c r="B188" s="4" t="s">
        <v>774</v>
      </c>
      <c r="C188" t="s">
        <v>775</v>
      </c>
    </row>
    <row r="189" spans="1:3" x14ac:dyDescent="0.3">
      <c r="A189" t="s">
        <v>776</v>
      </c>
      <c r="B189" s="4" t="s">
        <v>777</v>
      </c>
      <c r="C189" t="s">
        <v>776</v>
      </c>
    </row>
    <row r="190" spans="1:3" x14ac:dyDescent="0.3">
      <c r="A190" t="s">
        <v>778</v>
      </c>
      <c r="B190" s="4" t="s">
        <v>779</v>
      </c>
      <c r="C190" t="s">
        <v>778</v>
      </c>
    </row>
    <row r="191" spans="1:3" x14ac:dyDescent="0.3">
      <c r="A191" t="s">
        <v>780</v>
      </c>
      <c r="B191" s="4" t="s">
        <v>781</v>
      </c>
    </row>
    <row r="192" spans="1:3" x14ac:dyDescent="0.3">
      <c r="A192" t="s">
        <v>782</v>
      </c>
      <c r="B192" s="4" t="s">
        <v>783</v>
      </c>
      <c r="C192" t="s">
        <v>782</v>
      </c>
    </row>
    <row r="193" spans="1:3" x14ac:dyDescent="0.3">
      <c r="A193" t="s">
        <v>784</v>
      </c>
      <c r="B193" s="4" t="s">
        <v>785</v>
      </c>
      <c r="C193" t="s">
        <v>786</v>
      </c>
    </row>
    <row r="194" spans="1:3" x14ac:dyDescent="0.3">
      <c r="A194" t="s">
        <v>787</v>
      </c>
      <c r="B194" s="4" t="s">
        <v>788</v>
      </c>
      <c r="C194" t="s">
        <v>789</v>
      </c>
    </row>
    <row r="195" spans="1:3" x14ac:dyDescent="0.3">
      <c r="A195" t="s">
        <v>790</v>
      </c>
      <c r="B195" s="4" t="s">
        <v>791</v>
      </c>
      <c r="C195" t="s">
        <v>790</v>
      </c>
    </row>
    <row r="196" spans="1:3" x14ac:dyDescent="0.3">
      <c r="A196" t="s">
        <v>792</v>
      </c>
      <c r="B196" s="4" t="s">
        <v>793</v>
      </c>
      <c r="C196" t="s">
        <v>792</v>
      </c>
    </row>
    <row r="197" spans="1:3" x14ac:dyDescent="0.3">
      <c r="A197" t="s">
        <v>794</v>
      </c>
      <c r="B197" s="4" t="s">
        <v>795</v>
      </c>
      <c r="C197" t="s">
        <v>794</v>
      </c>
    </row>
    <row r="198" spans="1:3" x14ac:dyDescent="0.3">
      <c r="A198" t="s">
        <v>796</v>
      </c>
      <c r="B198" s="4" t="s">
        <v>797</v>
      </c>
      <c r="C198" t="s">
        <v>798</v>
      </c>
    </row>
    <row r="199" spans="1:3" x14ac:dyDescent="0.3">
      <c r="A199" t="s">
        <v>799</v>
      </c>
      <c r="B199" s="4" t="s">
        <v>800</v>
      </c>
      <c r="C199" t="s">
        <v>799</v>
      </c>
    </row>
    <row r="200" spans="1:3" x14ac:dyDescent="0.3">
      <c r="A200" t="s">
        <v>801</v>
      </c>
      <c r="B200" s="4" t="s">
        <v>802</v>
      </c>
      <c r="C200" t="s">
        <v>803</v>
      </c>
    </row>
    <row r="201" spans="1:3" x14ac:dyDescent="0.3">
      <c r="A201" t="s">
        <v>804</v>
      </c>
      <c r="B201" s="4" t="s">
        <v>805</v>
      </c>
      <c r="C201" t="s">
        <v>806</v>
      </c>
    </row>
    <row r="202" spans="1:3" x14ac:dyDescent="0.3">
      <c r="A202" t="s">
        <v>807</v>
      </c>
      <c r="B202" s="4" t="s">
        <v>808</v>
      </c>
      <c r="C202" t="s">
        <v>809</v>
      </c>
    </row>
    <row r="203" spans="1:3" x14ac:dyDescent="0.3">
      <c r="A203" t="s">
        <v>810</v>
      </c>
      <c r="B203" s="4" t="s">
        <v>811</v>
      </c>
      <c r="C203" t="s">
        <v>810</v>
      </c>
    </row>
    <row r="204" spans="1:3" x14ac:dyDescent="0.3">
      <c r="A204" t="s">
        <v>812</v>
      </c>
      <c r="B204" s="4" t="s">
        <v>813</v>
      </c>
      <c r="C204" t="s">
        <v>812</v>
      </c>
    </row>
    <row r="205" spans="1:3" x14ac:dyDescent="0.3">
      <c r="A205" t="s">
        <v>814</v>
      </c>
      <c r="B205" s="4" t="s">
        <v>815</v>
      </c>
      <c r="C205" t="s">
        <v>816</v>
      </c>
    </row>
    <row r="206" spans="1:3" x14ac:dyDescent="0.3">
      <c r="A206" t="s">
        <v>817</v>
      </c>
      <c r="B206" s="4" t="s">
        <v>818</v>
      </c>
      <c r="C206" t="s">
        <v>817</v>
      </c>
    </row>
    <row r="207" spans="1:3" x14ac:dyDescent="0.3">
      <c r="A207" t="s">
        <v>819</v>
      </c>
      <c r="B207" s="4" t="s">
        <v>820</v>
      </c>
      <c r="C207" t="s">
        <v>819</v>
      </c>
    </row>
    <row r="208" spans="1:3" x14ac:dyDescent="0.3">
      <c r="A208" t="s">
        <v>821</v>
      </c>
      <c r="B208" s="4" t="s">
        <v>822</v>
      </c>
      <c r="C208" t="s">
        <v>821</v>
      </c>
    </row>
    <row r="209" spans="1:3" x14ac:dyDescent="0.3">
      <c r="A209" t="s">
        <v>823</v>
      </c>
      <c r="B209" s="4" t="s">
        <v>824</v>
      </c>
      <c r="C209" t="s">
        <v>823</v>
      </c>
    </row>
    <row r="210" spans="1:3" x14ac:dyDescent="0.3">
      <c r="A210" t="s">
        <v>825</v>
      </c>
      <c r="B210" s="4" t="s">
        <v>826</v>
      </c>
      <c r="C210" t="s">
        <v>827</v>
      </c>
    </row>
    <row r="211" spans="1:3" x14ac:dyDescent="0.3">
      <c r="A211" t="s">
        <v>828</v>
      </c>
      <c r="B211" s="4" t="s">
        <v>829</v>
      </c>
    </row>
    <row r="212" spans="1:3" x14ac:dyDescent="0.3">
      <c r="A212" t="s">
        <v>830</v>
      </c>
      <c r="B212" s="4" t="s">
        <v>831</v>
      </c>
      <c r="C212" t="s">
        <v>832</v>
      </c>
    </row>
    <row r="213" spans="1:3" x14ac:dyDescent="0.3">
      <c r="A213" t="s">
        <v>833</v>
      </c>
      <c r="B213" s="4" t="s">
        <v>834</v>
      </c>
      <c r="C213" t="s">
        <v>833</v>
      </c>
    </row>
    <row r="214" spans="1:3" x14ac:dyDescent="0.3">
      <c r="A214" t="s">
        <v>835</v>
      </c>
      <c r="B214" s="4" t="s">
        <v>836</v>
      </c>
      <c r="C214" t="s">
        <v>837</v>
      </c>
    </row>
    <row r="215" spans="1:3" x14ac:dyDescent="0.3">
      <c r="A215" t="s">
        <v>838</v>
      </c>
      <c r="B215" s="4" t="s">
        <v>839</v>
      </c>
      <c r="C215" t="s">
        <v>838</v>
      </c>
    </row>
    <row r="216" spans="1:3" x14ac:dyDescent="0.3">
      <c r="A216" t="s">
        <v>840</v>
      </c>
      <c r="B216" s="4" t="s">
        <v>841</v>
      </c>
      <c r="C216" t="s">
        <v>842</v>
      </c>
    </row>
    <row r="217" spans="1:3" x14ac:dyDescent="0.3">
      <c r="A217" t="s">
        <v>843</v>
      </c>
      <c r="B217" s="4" t="s">
        <v>844</v>
      </c>
      <c r="C217" t="s">
        <v>845</v>
      </c>
    </row>
    <row r="218" spans="1:3" x14ac:dyDescent="0.3">
      <c r="A218" t="s">
        <v>846</v>
      </c>
      <c r="B218" s="4" t="s">
        <v>847</v>
      </c>
      <c r="C218" t="s">
        <v>848</v>
      </c>
    </row>
    <row r="219" spans="1:3" x14ac:dyDescent="0.3">
      <c r="A219" t="s">
        <v>849</v>
      </c>
      <c r="B219" s="4" t="s">
        <v>850</v>
      </c>
      <c r="C219" t="s">
        <v>849</v>
      </c>
    </row>
    <row r="220" spans="1:3" x14ac:dyDescent="0.3">
      <c r="A220" t="s">
        <v>851</v>
      </c>
      <c r="B220" s="4" t="s">
        <v>852</v>
      </c>
      <c r="C220" t="s">
        <v>851</v>
      </c>
    </row>
    <row r="221" spans="1:3" x14ac:dyDescent="0.3">
      <c r="A221" t="s">
        <v>853</v>
      </c>
      <c r="B221" s="4" t="s">
        <v>854</v>
      </c>
      <c r="C221" t="s">
        <v>855</v>
      </c>
    </row>
    <row r="222" spans="1:3" x14ac:dyDescent="0.3">
      <c r="A222" t="s">
        <v>856</v>
      </c>
      <c r="B222" s="4" t="s">
        <v>857</v>
      </c>
      <c r="C222" t="s">
        <v>856</v>
      </c>
    </row>
    <row r="223" spans="1:3" x14ac:dyDescent="0.3">
      <c r="A223" t="s">
        <v>858</v>
      </c>
      <c r="B223" s="4" t="s">
        <v>859</v>
      </c>
      <c r="C223" t="s">
        <v>858</v>
      </c>
    </row>
    <row r="224" spans="1:3" x14ac:dyDescent="0.3">
      <c r="A224" t="s">
        <v>860</v>
      </c>
      <c r="B224" s="4" t="s">
        <v>861</v>
      </c>
      <c r="C224" t="s">
        <v>860</v>
      </c>
    </row>
    <row r="225" spans="1:3" x14ac:dyDescent="0.3">
      <c r="A225" t="s">
        <v>862</v>
      </c>
      <c r="B225" s="4" t="s">
        <v>863</v>
      </c>
      <c r="C225" t="s">
        <v>862</v>
      </c>
    </row>
    <row r="226" spans="1:3" x14ac:dyDescent="0.3">
      <c r="A226" t="s">
        <v>864</v>
      </c>
      <c r="B226" s="4" t="s">
        <v>865</v>
      </c>
      <c r="C226" t="s">
        <v>866</v>
      </c>
    </row>
    <row r="227" spans="1:3" x14ac:dyDescent="0.3">
      <c r="A227" t="s">
        <v>867</v>
      </c>
      <c r="B227" s="4" t="s">
        <v>868</v>
      </c>
      <c r="C227" t="s">
        <v>867</v>
      </c>
    </row>
    <row r="228" spans="1:3" x14ac:dyDescent="0.3">
      <c r="A228" t="s">
        <v>869</v>
      </c>
      <c r="B228" s="4" t="s">
        <v>870</v>
      </c>
      <c r="C228" t="s">
        <v>869</v>
      </c>
    </row>
    <row r="229" spans="1:3" x14ac:dyDescent="0.3">
      <c r="A229" t="s">
        <v>871</v>
      </c>
      <c r="B229" s="4" t="s">
        <v>870</v>
      </c>
      <c r="C229" t="s">
        <v>871</v>
      </c>
    </row>
    <row r="230" spans="1:3" x14ac:dyDescent="0.3">
      <c r="A230" t="s">
        <v>872</v>
      </c>
      <c r="B230" s="4" t="s">
        <v>873</v>
      </c>
      <c r="C230" t="s">
        <v>872</v>
      </c>
    </row>
    <row r="231" spans="1:3" x14ac:dyDescent="0.3">
      <c r="A231" t="s">
        <v>874</v>
      </c>
      <c r="B231" s="4" t="s">
        <v>875</v>
      </c>
      <c r="C231" t="s">
        <v>876</v>
      </c>
    </row>
    <row r="232" spans="1:3" x14ac:dyDescent="0.3">
      <c r="A232" t="s">
        <v>877</v>
      </c>
      <c r="B232" t="s">
        <v>878</v>
      </c>
      <c r="C232" t="s">
        <v>877</v>
      </c>
    </row>
    <row r="233" spans="1:3" x14ac:dyDescent="0.3">
      <c r="A233" t="s">
        <v>879</v>
      </c>
      <c r="B233" t="s">
        <v>880</v>
      </c>
      <c r="C233" t="s">
        <v>881</v>
      </c>
    </row>
    <row r="234" spans="1:3" x14ac:dyDescent="0.3">
      <c r="A234" t="s">
        <v>882</v>
      </c>
      <c r="B234" t="s">
        <v>883</v>
      </c>
      <c r="C234" t="s">
        <v>882</v>
      </c>
    </row>
    <row r="235" spans="1:3" x14ac:dyDescent="0.3">
      <c r="A235" t="s">
        <v>884</v>
      </c>
      <c r="B235" t="s">
        <v>885</v>
      </c>
      <c r="C235" t="s">
        <v>884</v>
      </c>
    </row>
    <row r="236" spans="1:3" x14ac:dyDescent="0.3">
      <c r="A236" t="s">
        <v>886</v>
      </c>
      <c r="B236" t="s">
        <v>887</v>
      </c>
      <c r="C236" t="s">
        <v>886</v>
      </c>
    </row>
    <row r="237" spans="1:3" x14ac:dyDescent="0.3">
      <c r="A237" t="s">
        <v>888</v>
      </c>
      <c r="B237" t="s">
        <v>889</v>
      </c>
      <c r="C237" t="s">
        <v>888</v>
      </c>
    </row>
    <row r="238" spans="1:3" x14ac:dyDescent="0.3">
      <c r="A238" t="s">
        <v>890</v>
      </c>
      <c r="B238" t="s">
        <v>891</v>
      </c>
      <c r="C238" t="s">
        <v>892</v>
      </c>
    </row>
    <row r="239" spans="1:3" x14ac:dyDescent="0.3">
      <c r="A239" t="s">
        <v>893</v>
      </c>
      <c r="B239" t="s">
        <v>894</v>
      </c>
      <c r="C239" t="s">
        <v>893</v>
      </c>
    </row>
    <row r="240" spans="1:3" x14ac:dyDescent="0.3">
      <c r="A240" t="s">
        <v>895</v>
      </c>
      <c r="B240" t="s">
        <v>896</v>
      </c>
      <c r="C240" t="s">
        <v>895</v>
      </c>
    </row>
    <row r="241" spans="1:3" x14ac:dyDescent="0.3">
      <c r="A241" t="s">
        <v>897</v>
      </c>
      <c r="B241" t="s">
        <v>889</v>
      </c>
      <c r="C241" t="s">
        <v>898</v>
      </c>
    </row>
    <row r="242" spans="1:3" x14ac:dyDescent="0.3">
      <c r="A242" t="s">
        <v>899</v>
      </c>
      <c r="B242" t="s">
        <v>900</v>
      </c>
      <c r="C242" t="s">
        <v>899</v>
      </c>
    </row>
    <row r="243" spans="1:3" x14ac:dyDescent="0.3">
      <c r="A243" t="s">
        <v>901</v>
      </c>
      <c r="B243" t="s">
        <v>902</v>
      </c>
      <c r="C243" t="s">
        <v>901</v>
      </c>
    </row>
    <row r="244" spans="1:3" x14ac:dyDescent="0.3">
      <c r="A244" t="s">
        <v>903</v>
      </c>
      <c r="B244" t="s">
        <v>904</v>
      </c>
      <c r="C244" t="s">
        <v>903</v>
      </c>
    </row>
    <row r="245" spans="1:3" x14ac:dyDescent="0.3">
      <c r="A245" t="s">
        <v>905</v>
      </c>
      <c r="B245" t="s">
        <v>906</v>
      </c>
      <c r="C245" t="s">
        <v>905</v>
      </c>
    </row>
    <row r="246" spans="1:3" x14ac:dyDescent="0.3">
      <c r="A246" t="s">
        <v>907</v>
      </c>
      <c r="B246" t="s">
        <v>908</v>
      </c>
      <c r="C246" t="s">
        <v>615</v>
      </c>
    </row>
    <row r="247" spans="1:3" x14ac:dyDescent="0.3">
      <c r="A247" t="s">
        <v>909</v>
      </c>
      <c r="B247" t="s">
        <v>910</v>
      </c>
      <c r="C247" t="s">
        <v>909</v>
      </c>
    </row>
    <row r="248" spans="1:3" x14ac:dyDescent="0.3">
      <c r="A248" t="s">
        <v>911</v>
      </c>
      <c r="B248" t="s">
        <v>912</v>
      </c>
      <c r="C248" t="s">
        <v>913</v>
      </c>
    </row>
    <row r="249" spans="1:3" x14ac:dyDescent="0.3">
      <c r="A249" t="s">
        <v>914</v>
      </c>
      <c r="B249" t="s">
        <v>915</v>
      </c>
      <c r="C249" t="s">
        <v>914</v>
      </c>
    </row>
    <row r="250" spans="1:3" x14ac:dyDescent="0.3">
      <c r="A250" t="s">
        <v>916</v>
      </c>
      <c r="B250" t="s">
        <v>917</v>
      </c>
      <c r="C250" t="s">
        <v>916</v>
      </c>
    </row>
    <row r="251" spans="1:3" x14ac:dyDescent="0.3">
      <c r="A251" t="s">
        <v>918</v>
      </c>
      <c r="B251" t="s">
        <v>919</v>
      </c>
      <c r="C251" t="s">
        <v>918</v>
      </c>
    </row>
    <row r="252" spans="1:3" x14ac:dyDescent="0.3">
      <c r="A252" t="s">
        <v>920</v>
      </c>
      <c r="B252" t="s">
        <v>921</v>
      </c>
      <c r="C252" t="s">
        <v>920</v>
      </c>
    </row>
    <row r="253" spans="1:3" x14ac:dyDescent="0.3">
      <c r="A253" t="s">
        <v>922</v>
      </c>
      <c r="B253" t="s">
        <v>923</v>
      </c>
      <c r="C253" t="s">
        <v>924</v>
      </c>
    </row>
    <row r="254" spans="1:3" x14ac:dyDescent="0.3">
      <c r="A254" t="s">
        <v>925</v>
      </c>
      <c r="B254" t="s">
        <v>926</v>
      </c>
      <c r="C254" t="s">
        <v>925</v>
      </c>
    </row>
    <row r="255" spans="1:3" x14ac:dyDescent="0.3">
      <c r="A255" t="s">
        <v>927</v>
      </c>
      <c r="B255" t="s">
        <v>928</v>
      </c>
      <c r="C255" t="s">
        <v>929</v>
      </c>
    </row>
    <row r="256" spans="1:3" x14ac:dyDescent="0.3">
      <c r="A256" t="s">
        <v>930</v>
      </c>
      <c r="B256" t="s">
        <v>931</v>
      </c>
      <c r="C256" t="s">
        <v>930</v>
      </c>
    </row>
    <row r="257" spans="1:3" x14ac:dyDescent="0.3">
      <c r="A257" t="s">
        <v>932</v>
      </c>
      <c r="B257" t="s">
        <v>933</v>
      </c>
      <c r="C257" t="s">
        <v>934</v>
      </c>
    </row>
    <row r="258" spans="1:3" x14ac:dyDescent="0.3">
      <c r="A258" t="s">
        <v>935</v>
      </c>
      <c r="B258" t="s">
        <v>936</v>
      </c>
      <c r="C258" t="s">
        <v>935</v>
      </c>
    </row>
    <row r="259" spans="1:3" x14ac:dyDescent="0.3">
      <c r="A259" t="s">
        <v>937</v>
      </c>
      <c r="B259" t="s">
        <v>938</v>
      </c>
      <c r="C259" t="s">
        <v>937</v>
      </c>
    </row>
    <row r="260" spans="1:3" x14ac:dyDescent="0.3">
      <c r="A260" t="s">
        <v>939</v>
      </c>
      <c r="B260" t="s">
        <v>940</v>
      </c>
      <c r="C260" t="s">
        <v>941</v>
      </c>
    </row>
    <row r="261" spans="1:3" x14ac:dyDescent="0.3">
      <c r="A261" t="s">
        <v>942</v>
      </c>
      <c r="B261" t="s">
        <v>943</v>
      </c>
      <c r="C261" t="s">
        <v>942</v>
      </c>
    </row>
    <row r="262" spans="1:3" x14ac:dyDescent="0.3">
      <c r="A262" t="s">
        <v>944</v>
      </c>
      <c r="B262" t="s">
        <v>945</v>
      </c>
      <c r="C262" t="s">
        <v>946</v>
      </c>
    </row>
    <row r="263" spans="1:3" x14ac:dyDescent="0.3">
      <c r="A263" t="s">
        <v>947</v>
      </c>
      <c r="B263" t="s">
        <v>948</v>
      </c>
      <c r="C263" t="s">
        <v>947</v>
      </c>
    </row>
    <row r="264" spans="1:3" x14ac:dyDescent="0.3">
      <c r="A264" t="s">
        <v>949</v>
      </c>
      <c r="B264" t="s">
        <v>950</v>
      </c>
      <c r="C264" t="s">
        <v>951</v>
      </c>
    </row>
    <row r="265" spans="1:3" x14ac:dyDescent="0.3">
      <c r="A265" t="s">
        <v>952</v>
      </c>
      <c r="B265" t="s">
        <v>953</v>
      </c>
      <c r="C265" t="s">
        <v>954</v>
      </c>
    </row>
    <row r="266" spans="1:3" x14ac:dyDescent="0.3">
      <c r="A266" t="s">
        <v>955</v>
      </c>
      <c r="B266" t="s">
        <v>956</v>
      </c>
      <c r="C266" t="s">
        <v>955</v>
      </c>
    </row>
    <row r="267" spans="1:3" x14ac:dyDescent="0.3">
      <c r="A267" t="s">
        <v>957</v>
      </c>
      <c r="B267" t="s">
        <v>958</v>
      </c>
      <c r="C267" t="s">
        <v>957</v>
      </c>
    </row>
    <row r="268" spans="1:3" x14ac:dyDescent="0.3">
      <c r="A268" t="s">
        <v>959</v>
      </c>
      <c r="B268" t="s">
        <v>960</v>
      </c>
      <c r="C268" t="s">
        <v>961</v>
      </c>
    </row>
    <row r="269" spans="1:3" x14ac:dyDescent="0.3">
      <c r="A269" t="s">
        <v>962</v>
      </c>
      <c r="B269" t="s">
        <v>963</v>
      </c>
      <c r="C269" t="s">
        <v>964</v>
      </c>
    </row>
    <row r="270" spans="1:3" x14ac:dyDescent="0.3">
      <c r="A270" t="s">
        <v>965</v>
      </c>
      <c r="B270" t="s">
        <v>966</v>
      </c>
      <c r="C270" t="s">
        <v>965</v>
      </c>
    </row>
    <row r="271" spans="1:3" x14ac:dyDescent="0.3">
      <c r="A271" t="s">
        <v>967</v>
      </c>
      <c r="B271" t="s">
        <v>968</v>
      </c>
      <c r="C271" t="s">
        <v>967</v>
      </c>
    </row>
    <row r="272" spans="1:3" x14ac:dyDescent="0.3">
      <c r="A272" t="s">
        <v>969</v>
      </c>
      <c r="B272" t="s">
        <v>970</v>
      </c>
      <c r="C272" t="s">
        <v>971</v>
      </c>
    </row>
    <row r="273" spans="1:3" x14ac:dyDescent="0.3">
      <c r="A273" t="s">
        <v>972</v>
      </c>
      <c r="B273" t="s">
        <v>973</v>
      </c>
      <c r="C273" t="s">
        <v>974</v>
      </c>
    </row>
    <row r="274" spans="1:3" x14ac:dyDescent="0.3">
      <c r="A274" t="s">
        <v>975</v>
      </c>
      <c r="B274" t="s">
        <v>25</v>
      </c>
      <c r="C274" t="s">
        <v>26</v>
      </c>
    </row>
    <row r="275" spans="1:3" x14ac:dyDescent="0.3">
      <c r="A275" t="s">
        <v>976</v>
      </c>
      <c r="B275" t="s">
        <v>977</v>
      </c>
      <c r="C275" t="s">
        <v>976</v>
      </c>
    </row>
    <row r="276" spans="1:3" x14ac:dyDescent="0.3">
      <c r="A276" t="s">
        <v>978</v>
      </c>
      <c r="B276" t="s">
        <v>979</v>
      </c>
      <c r="C276" t="s">
        <v>980</v>
      </c>
    </row>
    <row r="277" spans="1:3" x14ac:dyDescent="0.3">
      <c r="A277" t="s">
        <v>981</v>
      </c>
      <c r="B277" t="s">
        <v>158</v>
      </c>
      <c r="C277" t="s">
        <v>223</v>
      </c>
    </row>
    <row r="278" spans="1:3" x14ac:dyDescent="0.3">
      <c r="A278" t="s">
        <v>982</v>
      </c>
      <c r="B278" t="s">
        <v>983</v>
      </c>
      <c r="C278" t="s">
        <v>982</v>
      </c>
    </row>
    <row r="279" spans="1:3" x14ac:dyDescent="0.3">
      <c r="A279" t="s">
        <v>984</v>
      </c>
      <c r="B279" t="s">
        <v>985</v>
      </c>
      <c r="C279" t="s">
        <v>984</v>
      </c>
    </row>
    <row r="280" spans="1:3" x14ac:dyDescent="0.3">
      <c r="A280" t="s">
        <v>986</v>
      </c>
      <c r="B280" t="s">
        <v>987</v>
      </c>
      <c r="C280" t="s">
        <v>986</v>
      </c>
    </row>
    <row r="281" spans="1:3" x14ac:dyDescent="0.3">
      <c r="A281" t="s">
        <v>988</v>
      </c>
      <c r="B281" t="s">
        <v>989</v>
      </c>
      <c r="C281" t="s">
        <v>988</v>
      </c>
    </row>
    <row r="282" spans="1:3" x14ac:dyDescent="0.3">
      <c r="A282" t="s">
        <v>990</v>
      </c>
      <c r="B282" t="s">
        <v>991</v>
      </c>
      <c r="C282" t="s">
        <v>990</v>
      </c>
    </row>
    <row r="283" spans="1:3" x14ac:dyDescent="0.3">
      <c r="A283" t="s">
        <v>992</v>
      </c>
      <c r="B283" t="s">
        <v>993</v>
      </c>
      <c r="C283" t="s">
        <v>992</v>
      </c>
    </row>
    <row r="284" spans="1:3" x14ac:dyDescent="0.3">
      <c r="A284" t="s">
        <v>994</v>
      </c>
      <c r="B284" t="s">
        <v>995</v>
      </c>
      <c r="C284" t="s">
        <v>994</v>
      </c>
    </row>
    <row r="285" spans="1:3" x14ac:dyDescent="0.3">
      <c r="A285" t="s">
        <v>996</v>
      </c>
      <c r="B285" t="s">
        <v>997</v>
      </c>
      <c r="C285" t="s">
        <v>996</v>
      </c>
    </row>
    <row r="286" spans="1:3" x14ac:dyDescent="0.3">
      <c r="A286" t="s">
        <v>998</v>
      </c>
      <c r="B286" t="s">
        <v>999</v>
      </c>
      <c r="C286" t="s">
        <v>1000</v>
      </c>
    </row>
    <row r="287" spans="1:3" x14ac:dyDescent="0.3">
      <c r="A287" t="s">
        <v>1001</v>
      </c>
      <c r="B287" t="s">
        <v>1002</v>
      </c>
      <c r="C287" t="s">
        <v>1003</v>
      </c>
    </row>
    <row r="288" spans="1:3" x14ac:dyDescent="0.3">
      <c r="A288" t="s">
        <v>1004</v>
      </c>
      <c r="B288" t="s">
        <v>1005</v>
      </c>
      <c r="C288" t="s">
        <v>1004</v>
      </c>
    </row>
    <row r="289" spans="1:3" x14ac:dyDescent="0.3">
      <c r="A289" t="s">
        <v>1006</v>
      </c>
      <c r="B289" t="s">
        <v>1007</v>
      </c>
      <c r="C289" t="s">
        <v>1006</v>
      </c>
    </row>
    <row r="290" spans="1:3" x14ac:dyDescent="0.3">
      <c r="A290" t="s">
        <v>1008</v>
      </c>
      <c r="B290" t="s">
        <v>1009</v>
      </c>
      <c r="C290" t="s">
        <v>1010</v>
      </c>
    </row>
    <row r="291" spans="1:3" x14ac:dyDescent="0.3">
      <c r="A291" t="s">
        <v>1011</v>
      </c>
      <c r="B291" t="s">
        <v>1012</v>
      </c>
      <c r="C291" t="s">
        <v>1011</v>
      </c>
    </row>
    <row r="292" spans="1:3" x14ac:dyDescent="0.3">
      <c r="A292" t="s">
        <v>1013</v>
      </c>
      <c r="B292" t="s">
        <v>1014</v>
      </c>
      <c r="C292" t="s">
        <v>1013</v>
      </c>
    </row>
    <row r="293" spans="1:3" x14ac:dyDescent="0.3">
      <c r="A293" t="s">
        <v>1015</v>
      </c>
      <c r="B293" t="s">
        <v>1016</v>
      </c>
      <c r="C293" t="s">
        <v>1015</v>
      </c>
    </row>
    <row r="294" spans="1:3" x14ac:dyDescent="0.3">
      <c r="A294" t="s">
        <v>1017</v>
      </c>
      <c r="B294" t="s">
        <v>1018</v>
      </c>
      <c r="C294" t="s">
        <v>1017</v>
      </c>
    </row>
    <row r="295" spans="1:3" x14ac:dyDescent="0.3">
      <c r="A295" t="s">
        <v>1019</v>
      </c>
      <c r="B295" t="s">
        <v>1020</v>
      </c>
      <c r="C295" t="s">
        <v>1019</v>
      </c>
    </row>
    <row r="296" spans="1:3" x14ac:dyDescent="0.3">
      <c r="A296" t="s">
        <v>1021</v>
      </c>
      <c r="B296" t="s">
        <v>1022</v>
      </c>
      <c r="C296" t="s">
        <v>1021</v>
      </c>
    </row>
    <row r="297" spans="1:3" x14ac:dyDescent="0.3">
      <c r="A297" t="s">
        <v>1023</v>
      </c>
      <c r="B297" t="s">
        <v>1024</v>
      </c>
      <c r="C297" t="s">
        <v>1023</v>
      </c>
    </row>
    <row r="298" spans="1:3" x14ac:dyDescent="0.3">
      <c r="A298" t="s">
        <v>1025</v>
      </c>
      <c r="B298" t="s">
        <v>1026</v>
      </c>
      <c r="C298" t="s">
        <v>1027</v>
      </c>
    </row>
    <row r="299" spans="1:3" x14ac:dyDescent="0.3">
      <c r="A299" t="s">
        <v>1028</v>
      </c>
      <c r="B299" t="s">
        <v>1029</v>
      </c>
      <c r="C299" t="s">
        <v>1030</v>
      </c>
    </row>
    <row r="300" spans="1:3" x14ac:dyDescent="0.3">
      <c r="A300" t="s">
        <v>1031</v>
      </c>
      <c r="B300" t="s">
        <v>1032</v>
      </c>
      <c r="C300" t="s">
        <v>1033</v>
      </c>
    </row>
    <row r="301" spans="1:3" x14ac:dyDescent="0.3">
      <c r="A301" t="s">
        <v>1034</v>
      </c>
      <c r="B301" t="s">
        <v>1035</v>
      </c>
      <c r="C301" t="s">
        <v>1034</v>
      </c>
    </row>
    <row r="302" spans="1:3" x14ac:dyDescent="0.3">
      <c r="A302" t="s">
        <v>1036</v>
      </c>
      <c r="B302" t="s">
        <v>1037</v>
      </c>
      <c r="C302" t="s">
        <v>1036</v>
      </c>
    </row>
    <row r="303" spans="1:3" x14ac:dyDescent="0.3">
      <c r="A303" t="s">
        <v>1038</v>
      </c>
      <c r="B303" t="s">
        <v>1039</v>
      </c>
      <c r="C303" t="s">
        <v>1038</v>
      </c>
    </row>
    <row r="304" spans="1:3" x14ac:dyDescent="0.3">
      <c r="A304" t="s">
        <v>1040</v>
      </c>
      <c r="B304" t="s">
        <v>1041</v>
      </c>
      <c r="C304" t="s">
        <v>1042</v>
      </c>
    </row>
    <row r="305" spans="1:3" x14ac:dyDescent="0.3">
      <c r="A305" t="s">
        <v>1043</v>
      </c>
      <c r="B305" t="s">
        <v>1044</v>
      </c>
      <c r="C305" t="s">
        <v>1045</v>
      </c>
    </row>
    <row r="306" spans="1:3" x14ac:dyDescent="0.3">
      <c r="A306" t="s">
        <v>1046</v>
      </c>
      <c r="B306" t="s">
        <v>1047</v>
      </c>
      <c r="C306" t="s">
        <v>1048</v>
      </c>
    </row>
    <row r="307" spans="1:3" x14ac:dyDescent="0.3">
      <c r="A307" t="s">
        <v>1049</v>
      </c>
      <c r="B307" t="s">
        <v>333</v>
      </c>
      <c r="C307" t="s">
        <v>1050</v>
      </c>
    </row>
    <row r="308" spans="1:3" x14ac:dyDescent="0.3">
      <c r="A308" t="s">
        <v>1051</v>
      </c>
      <c r="B308" t="s">
        <v>1052</v>
      </c>
      <c r="C308" t="s">
        <v>1051</v>
      </c>
    </row>
    <row r="309" spans="1:3" x14ac:dyDescent="0.3">
      <c r="A309" t="s">
        <v>1053</v>
      </c>
      <c r="B309" t="s">
        <v>1054</v>
      </c>
      <c r="C309" t="s">
        <v>1053</v>
      </c>
    </row>
    <row r="310" spans="1:3" x14ac:dyDescent="0.3">
      <c r="A310" t="s">
        <v>1055</v>
      </c>
      <c r="B310" t="s">
        <v>1056</v>
      </c>
      <c r="C310" t="s">
        <v>1057</v>
      </c>
    </row>
    <row r="311" spans="1:3" x14ac:dyDescent="0.3">
      <c r="A311" t="s">
        <v>1058</v>
      </c>
      <c r="B311" t="s">
        <v>1059</v>
      </c>
      <c r="C311" t="s">
        <v>1058</v>
      </c>
    </row>
    <row r="312" spans="1:3" x14ac:dyDescent="0.3">
      <c r="A312" t="s">
        <v>1060</v>
      </c>
      <c r="B312" t="s">
        <v>1061</v>
      </c>
      <c r="C312" t="s">
        <v>1060</v>
      </c>
    </row>
    <row r="313" spans="1:3" x14ac:dyDescent="0.3">
      <c r="A313" t="s">
        <v>1062</v>
      </c>
      <c r="B313" t="s">
        <v>1063</v>
      </c>
      <c r="C313" t="s">
        <v>1064</v>
      </c>
    </row>
    <row r="314" spans="1:3" x14ac:dyDescent="0.3">
      <c r="A314" t="s">
        <v>1065</v>
      </c>
      <c r="B314" t="s">
        <v>1066</v>
      </c>
      <c r="C314" t="s">
        <v>1067</v>
      </c>
    </row>
    <row r="315" spans="1:3" x14ac:dyDescent="0.3">
      <c r="A315" t="s">
        <v>1068</v>
      </c>
      <c r="B315" t="s">
        <v>1069</v>
      </c>
      <c r="C315" t="s">
        <v>1068</v>
      </c>
    </row>
    <row r="316" spans="1:3" x14ac:dyDescent="0.3">
      <c r="A316" t="s">
        <v>1070</v>
      </c>
      <c r="B316" t="s">
        <v>1071</v>
      </c>
      <c r="C316" t="s">
        <v>1072</v>
      </c>
    </row>
    <row r="317" spans="1:3" x14ac:dyDescent="0.3">
      <c r="A317" t="s">
        <v>1073</v>
      </c>
      <c r="B317" t="s">
        <v>1074</v>
      </c>
      <c r="C317" t="s">
        <v>1073</v>
      </c>
    </row>
    <row r="318" spans="1:3" x14ac:dyDescent="0.3">
      <c r="A318" t="s">
        <v>1075</v>
      </c>
      <c r="B318" t="s">
        <v>1076</v>
      </c>
      <c r="C318" t="s">
        <v>1077</v>
      </c>
    </row>
    <row r="319" spans="1:3" x14ac:dyDescent="0.3">
      <c r="A319" t="s">
        <v>1078</v>
      </c>
      <c r="B319" t="s">
        <v>1079</v>
      </c>
      <c r="C319" t="s">
        <v>1078</v>
      </c>
    </row>
    <row r="320" spans="1:3" x14ac:dyDescent="0.3">
      <c r="A320" t="s">
        <v>1080</v>
      </c>
      <c r="B320" t="s">
        <v>1081</v>
      </c>
      <c r="C320" t="s">
        <v>1082</v>
      </c>
    </row>
    <row r="321" spans="1:3" x14ac:dyDescent="0.3">
      <c r="A321" t="s">
        <v>1083</v>
      </c>
      <c r="B321" t="s">
        <v>1084</v>
      </c>
      <c r="C321" t="s">
        <v>1085</v>
      </c>
    </row>
    <row r="322" spans="1:3" x14ac:dyDescent="0.3">
      <c r="A322" t="s">
        <v>1086</v>
      </c>
      <c r="B322" t="s">
        <v>1087</v>
      </c>
      <c r="C322" t="s">
        <v>1086</v>
      </c>
    </row>
    <row r="323" spans="1:3" x14ac:dyDescent="0.3">
      <c r="A323" t="s">
        <v>1088</v>
      </c>
      <c r="B323" t="s">
        <v>1089</v>
      </c>
      <c r="C323" t="s">
        <v>1090</v>
      </c>
    </row>
    <row r="324" spans="1:3" x14ac:dyDescent="0.3">
      <c r="A324" t="s">
        <v>1091</v>
      </c>
      <c r="B324" t="s">
        <v>123</v>
      </c>
      <c r="C324" t="s">
        <v>124</v>
      </c>
    </row>
    <row r="325" spans="1:3" x14ac:dyDescent="0.3">
      <c r="A325" t="s">
        <v>65</v>
      </c>
      <c r="B325" t="s">
        <v>44</v>
      </c>
      <c r="C325" t="s">
        <v>65</v>
      </c>
    </row>
    <row r="326" spans="1:3" x14ac:dyDescent="0.3">
      <c r="A326" t="s">
        <v>1092</v>
      </c>
      <c r="B326" t="s">
        <v>1093</v>
      </c>
      <c r="C326" t="s">
        <v>1094</v>
      </c>
    </row>
    <row r="327" spans="1:3" x14ac:dyDescent="0.3">
      <c r="A327" t="s">
        <v>1095</v>
      </c>
      <c r="B327" t="s">
        <v>1096</v>
      </c>
      <c r="C327" t="s">
        <v>1097</v>
      </c>
    </row>
    <row r="328" spans="1:3" x14ac:dyDescent="0.3">
      <c r="A328" t="s">
        <v>1098</v>
      </c>
      <c r="B328" t="s">
        <v>1099</v>
      </c>
      <c r="C328" t="s">
        <v>1100</v>
      </c>
    </row>
    <row r="329" spans="1:3" x14ac:dyDescent="0.3">
      <c r="A329" t="s">
        <v>1101</v>
      </c>
      <c r="B329" t="s">
        <v>1102</v>
      </c>
      <c r="C329" t="s">
        <v>1103</v>
      </c>
    </row>
    <row r="330" spans="1:3" x14ac:dyDescent="0.3">
      <c r="A330" t="s">
        <v>1104</v>
      </c>
      <c r="B330" t="s">
        <v>1105</v>
      </c>
      <c r="C330" t="s">
        <v>1104</v>
      </c>
    </row>
    <row r="331" spans="1:3" x14ac:dyDescent="0.3">
      <c r="A331" t="s">
        <v>1106</v>
      </c>
      <c r="B331" t="s">
        <v>1107</v>
      </c>
      <c r="C331" t="s">
        <v>1106</v>
      </c>
    </row>
    <row r="332" spans="1:3" x14ac:dyDescent="0.3">
      <c r="A332" t="s">
        <v>1108</v>
      </c>
      <c r="B332" t="s">
        <v>1109</v>
      </c>
      <c r="C332" t="s">
        <v>876</v>
      </c>
    </row>
    <row r="333" spans="1:3" x14ac:dyDescent="0.3">
      <c r="A333" t="s">
        <v>1110</v>
      </c>
      <c r="B333" t="s">
        <v>1111</v>
      </c>
      <c r="C333" t="s">
        <v>1110</v>
      </c>
    </row>
    <row r="334" spans="1:3" x14ac:dyDescent="0.3">
      <c r="A334" t="s">
        <v>1112</v>
      </c>
      <c r="B334" t="s">
        <v>1113</v>
      </c>
      <c r="C334" t="s">
        <v>1114</v>
      </c>
    </row>
    <row r="335" spans="1:3" x14ac:dyDescent="0.3">
      <c r="A335" t="s">
        <v>1115</v>
      </c>
      <c r="B335" t="s">
        <v>1116</v>
      </c>
      <c r="C335" t="s">
        <v>1117</v>
      </c>
    </row>
    <row r="336" spans="1:3" x14ac:dyDescent="0.3">
      <c r="A336" t="s">
        <v>1118</v>
      </c>
      <c r="B336" t="s">
        <v>12</v>
      </c>
      <c r="C336" t="s">
        <v>13</v>
      </c>
    </row>
    <row r="337" spans="1:3" x14ac:dyDescent="0.3">
      <c r="A337" t="s">
        <v>1119</v>
      </c>
      <c r="B337" t="s">
        <v>1120</v>
      </c>
      <c r="C337" t="s">
        <v>1119</v>
      </c>
    </row>
    <row r="338" spans="1:3" x14ac:dyDescent="0.3">
      <c r="A338" t="s">
        <v>1121</v>
      </c>
      <c r="B338" t="s">
        <v>1122</v>
      </c>
      <c r="C338" t="s">
        <v>1121</v>
      </c>
    </row>
    <row r="339" spans="1:3" x14ac:dyDescent="0.3">
      <c r="A339" t="s">
        <v>1123</v>
      </c>
      <c r="B339" t="s">
        <v>1124</v>
      </c>
      <c r="C339" t="s">
        <v>1125</v>
      </c>
    </row>
    <row r="340" spans="1:3" x14ac:dyDescent="0.3">
      <c r="A340" t="s">
        <v>1126</v>
      </c>
      <c r="B340" t="s">
        <v>1127</v>
      </c>
      <c r="C340" t="s">
        <v>1128</v>
      </c>
    </row>
    <row r="341" spans="1:3" x14ac:dyDescent="0.3">
      <c r="A341" t="s">
        <v>1129</v>
      </c>
      <c r="B341" t="s">
        <v>1130</v>
      </c>
      <c r="C341" t="s">
        <v>1131</v>
      </c>
    </row>
    <row r="342" spans="1:3" x14ac:dyDescent="0.3">
      <c r="A342" t="s">
        <v>1132</v>
      </c>
      <c r="B342" t="s">
        <v>1133</v>
      </c>
      <c r="C342" t="s">
        <v>1132</v>
      </c>
    </row>
  </sheetData>
  <sheetProtection sheet="1" objects="1" scenarios="1"/>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E144-F79B-4714-B5BD-628F4EF64A45}">
  <sheetPr codeName="Planilha2"/>
  <dimension ref="A1:K28"/>
  <sheetViews>
    <sheetView workbookViewId="0">
      <selection activeCell="E21" sqref="E21"/>
    </sheetView>
  </sheetViews>
  <sheetFormatPr defaultRowHeight="14.4" x14ac:dyDescent="0.3"/>
  <cols>
    <col min="1" max="1" width="22.109375" customWidth="1"/>
    <col min="2" max="2" width="30" customWidth="1"/>
    <col min="3" max="3" width="23" customWidth="1"/>
    <col min="6" max="6" width="15.88671875" customWidth="1"/>
    <col min="7" max="7" width="23" customWidth="1"/>
    <col min="8" max="8" width="28.109375" customWidth="1"/>
    <col min="9" max="9" width="29.88671875" bestFit="1" customWidth="1"/>
    <col min="10" max="10" width="50.5546875" bestFit="1" customWidth="1"/>
    <col min="11" max="11" width="34.109375" customWidth="1"/>
  </cols>
  <sheetData>
    <row r="1" spans="1:11" x14ac:dyDescent="0.3">
      <c r="A1" s="2" t="s">
        <v>1134</v>
      </c>
      <c r="B1" s="30" t="s">
        <v>16</v>
      </c>
      <c r="C1" s="2" t="s">
        <v>1135</v>
      </c>
      <c r="D1" s="4">
        <v>1</v>
      </c>
      <c r="E1" t="s">
        <v>1136</v>
      </c>
      <c r="F1" s="6" t="s">
        <v>1137</v>
      </c>
      <c r="G1">
        <v>1</v>
      </c>
      <c r="H1" t="s">
        <v>1138</v>
      </c>
      <c r="I1" t="s">
        <v>1139</v>
      </c>
      <c r="J1" t="s">
        <v>1140</v>
      </c>
      <c r="K1" t="s">
        <v>1141</v>
      </c>
    </row>
    <row r="2" spans="1:11" x14ac:dyDescent="0.3">
      <c r="A2" s="2" t="s">
        <v>353</v>
      </c>
      <c r="B2" s="31" t="s">
        <v>7</v>
      </c>
      <c r="C2" s="2" t="s">
        <v>1142</v>
      </c>
      <c r="D2" s="4">
        <v>2</v>
      </c>
      <c r="E2" t="s">
        <v>9</v>
      </c>
      <c r="F2" s="6" t="s">
        <v>1143</v>
      </c>
      <c r="G2">
        <v>2</v>
      </c>
      <c r="H2" t="s">
        <v>14</v>
      </c>
      <c r="I2" t="s">
        <v>1139</v>
      </c>
      <c r="J2" t="s">
        <v>1144</v>
      </c>
      <c r="K2" t="s">
        <v>1145</v>
      </c>
    </row>
    <row r="3" spans="1:11" x14ac:dyDescent="0.3">
      <c r="A3" s="2" t="s">
        <v>1146</v>
      </c>
      <c r="B3" s="31" t="s">
        <v>1147</v>
      </c>
      <c r="C3" s="2" t="s">
        <v>1148</v>
      </c>
      <c r="D3" s="4">
        <v>3</v>
      </c>
      <c r="E3" t="s">
        <v>238</v>
      </c>
      <c r="F3" s="6" t="s">
        <v>1149</v>
      </c>
      <c r="G3">
        <v>3</v>
      </c>
      <c r="H3" t="s">
        <v>1150</v>
      </c>
      <c r="J3" t="s">
        <v>1151</v>
      </c>
    </row>
    <row r="4" spans="1:11" x14ac:dyDescent="0.3">
      <c r="A4" s="2" t="s">
        <v>156</v>
      </c>
      <c r="B4" s="30" t="s">
        <v>1152</v>
      </c>
      <c r="C4" s="2" t="s">
        <v>1153</v>
      </c>
      <c r="D4" s="4">
        <v>4</v>
      </c>
      <c r="F4" s="6"/>
      <c r="G4">
        <v>4</v>
      </c>
      <c r="H4" t="s">
        <v>28</v>
      </c>
      <c r="J4" t="s">
        <v>1154</v>
      </c>
    </row>
    <row r="5" spans="1:11" x14ac:dyDescent="0.3">
      <c r="A5" s="2" t="s">
        <v>1155</v>
      </c>
      <c r="B5" s="31" t="s">
        <v>1156</v>
      </c>
      <c r="C5" s="2" t="s">
        <v>8</v>
      </c>
      <c r="D5" s="4">
        <v>5</v>
      </c>
      <c r="F5" s="6"/>
      <c r="G5">
        <v>5</v>
      </c>
      <c r="H5" t="s">
        <v>1157</v>
      </c>
      <c r="J5" t="s">
        <v>1158</v>
      </c>
    </row>
    <row r="6" spans="1:11" x14ac:dyDescent="0.3">
      <c r="A6" s="2" t="s">
        <v>1159</v>
      </c>
      <c r="B6" s="30" t="s">
        <v>1160</v>
      </c>
      <c r="C6" s="2" t="s">
        <v>1161</v>
      </c>
      <c r="D6" s="4">
        <v>6</v>
      </c>
      <c r="F6" s="6"/>
      <c r="G6">
        <v>6</v>
      </c>
    </row>
    <row r="7" spans="1:11" x14ac:dyDescent="0.3">
      <c r="A7" s="2" t="s">
        <v>6</v>
      </c>
      <c r="B7" s="30" t="s">
        <v>1162</v>
      </c>
      <c r="C7" s="2" t="s">
        <v>1163</v>
      </c>
      <c r="D7" s="5" t="s">
        <v>1164</v>
      </c>
      <c r="F7" s="6"/>
      <c r="G7">
        <v>7</v>
      </c>
    </row>
    <row r="8" spans="1:11" x14ac:dyDescent="0.3">
      <c r="A8" s="2" t="s">
        <v>19</v>
      </c>
      <c r="B8" s="30" t="s">
        <v>72</v>
      </c>
      <c r="C8" s="2" t="s">
        <v>1165</v>
      </c>
      <c r="F8" s="6"/>
      <c r="G8">
        <v>8</v>
      </c>
    </row>
    <row r="9" spans="1:11" x14ac:dyDescent="0.3">
      <c r="A9" s="2" t="s">
        <v>1166</v>
      </c>
      <c r="B9" s="30" t="s">
        <v>1167</v>
      </c>
      <c r="C9" s="2"/>
      <c r="F9" s="6"/>
      <c r="G9">
        <v>9</v>
      </c>
    </row>
    <row r="10" spans="1:11" x14ac:dyDescent="0.3">
      <c r="A10" s="2"/>
      <c r="B10" s="30" t="s">
        <v>1168</v>
      </c>
      <c r="C10" s="2"/>
      <c r="F10" s="6"/>
      <c r="G10">
        <v>10</v>
      </c>
    </row>
    <row r="11" spans="1:11" x14ac:dyDescent="0.3">
      <c r="A11" s="2"/>
      <c r="B11" s="32"/>
      <c r="F11" s="6"/>
      <c r="G11">
        <v>11</v>
      </c>
    </row>
    <row r="12" spans="1:11" x14ac:dyDescent="0.3">
      <c r="A12" s="2"/>
      <c r="F12" s="6"/>
      <c r="G12">
        <v>12</v>
      </c>
    </row>
    <row r="13" spans="1:11" x14ac:dyDescent="0.3">
      <c r="F13" s="6"/>
      <c r="G13">
        <v>13</v>
      </c>
    </row>
    <row r="14" spans="1:11" x14ac:dyDescent="0.3">
      <c r="G14">
        <v>14</v>
      </c>
    </row>
    <row r="22" spans="2:2" x14ac:dyDescent="0.3">
      <c r="B22" s="3"/>
    </row>
    <row r="28" spans="2:2" x14ac:dyDescent="0.3">
      <c r="B28" s="2"/>
    </row>
  </sheetData>
  <dataValidations count="1">
    <dataValidation type="list" allowBlank="1" showInputMessage="1" showErrorMessage="1" sqref="A20" xr:uid="{6D2069AD-09B2-4797-A000-10B868EDD2AE}">
      <formula1>$A:$A</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LISTAS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2023-09-25T18:19:59Z</dcterms:created>
  <dcterms:modified xsi:type="dcterms:W3CDTF">2025-11-14T23:07:59Z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0x01010005E5B6A881E6CA4EA9E0A82F7294BCF9</vt:lpwstr>
  </property>
  <property fmtid="{D5CDD505-2E9C-101B-9397-08002B2CF9AE}" pid="3" name="MediaServiceImageTags">
    <vt:lpwstr/>
  </property>
</Properties>
</file>