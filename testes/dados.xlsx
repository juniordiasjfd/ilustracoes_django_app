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EstaPastaDeTrabalho" defaultThemeVersion="166925"/>
  <mc:AlternateContent xmlns:mc="http://schemas.openxmlformats.org/markup-compatibility/2006">
    <mc:Choice Requires="x15">
      <x15ac:absPath xmlns:x15ac="http://schemas.microsoft.com/office/spreadsheetml/2010/11/ac" url="C:\Users\junior.dias\PycharmProjects\ilustracoes\testes\"/>
    </mc:Choice>
  </mc:AlternateContent>
  <xr:revisionPtr revIDLastSave="0" documentId="13_ncr:1_{D8B59CD0-60F1-4C97-A436-13718872B268}" xr6:coauthVersionLast="47" xr6:coauthVersionMax="47" xr10:uidLastSave="{00000000-0000-0000-0000-000000000000}"/>
  <bookViews>
    <workbookView xWindow="-108" yWindow="-108" windowWidth="23256" windowHeight="12456" tabRatio="520" activeTab="1" xr2:uid="{9883F4FC-B2FC-40A4-9831-8F5DE08BF49E}"/>
  </bookViews>
  <sheets>
    <sheet name="ILUSTRACAO" sheetId="1" r:id="rId1"/>
    <sheet name="CRÉDITOS_GERAIS" sheetId="4" r:id="rId2"/>
    <sheet name="LISTAS" sheetId="2" r:id="rId3"/>
  </sheets>
  <definedNames>
    <definedName name="_msoanchor_1">ILUSTRACAO!#REF!</definedName>
    <definedName name="DadosExternos_1" localSheetId="1" hidden="1">'CRÉDITOS_GERAIS'!$A$1:$C$335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647" i="1" l="1"/>
  <c r="AB647" i="1" s="1"/>
  <c r="Z690" i="1"/>
  <c r="Z636" i="1"/>
  <c r="AB636" i="1" s="1"/>
  <c r="Z622" i="1"/>
  <c r="AB622" i="1" s="1"/>
  <c r="Z2" i="1"/>
  <c r="AB2" i="1" s="1"/>
  <c r="Z3" i="1"/>
  <c r="AB3" i="1" s="1"/>
  <c r="Z4" i="1"/>
  <c r="AB4" i="1" s="1"/>
  <c r="Z5" i="1"/>
  <c r="AB5" i="1" s="1"/>
  <c r="Z6" i="1"/>
  <c r="AB6" i="1" s="1"/>
  <c r="Z7" i="1"/>
  <c r="AB7" i="1" s="1"/>
  <c r="Z8" i="1"/>
  <c r="Z9" i="1"/>
  <c r="AB9" i="1" s="1"/>
  <c r="Z10" i="1"/>
  <c r="AB10" i="1" s="1"/>
  <c r="Z11" i="1"/>
  <c r="AB11" i="1" s="1"/>
  <c r="Z12" i="1"/>
  <c r="AB12" i="1" s="1"/>
  <c r="Z13" i="1"/>
  <c r="Z14" i="1"/>
  <c r="Z15" i="1"/>
  <c r="Z16" i="1"/>
  <c r="Z17" i="1"/>
  <c r="Z18" i="1"/>
  <c r="Z19" i="1"/>
  <c r="Z20" i="1"/>
  <c r="Z21" i="1"/>
  <c r="Z22" i="1"/>
  <c r="Z23" i="1"/>
  <c r="AB23" i="1" s="1"/>
  <c r="Z24" i="1"/>
  <c r="AB24" i="1" s="1"/>
  <c r="Z25" i="1"/>
  <c r="Z26" i="1"/>
  <c r="Z27" i="1"/>
  <c r="Z28" i="1"/>
  <c r="AB28" i="1" s="1"/>
  <c r="Z29" i="1"/>
  <c r="AB29" i="1" s="1"/>
  <c r="Z30" i="1"/>
  <c r="AB30" i="1" s="1"/>
  <c r="Z31" i="1"/>
  <c r="AB31" i="1" s="1"/>
  <c r="Z32" i="1"/>
  <c r="AB32" i="1" s="1"/>
  <c r="Z33" i="1"/>
  <c r="AB33" i="1" s="1"/>
  <c r="Z34" i="1"/>
  <c r="AB34" i="1" s="1"/>
  <c r="Z35" i="1"/>
  <c r="AB35" i="1" s="1"/>
  <c r="Z36" i="1"/>
  <c r="AB36" i="1" s="1"/>
  <c r="Z37" i="1"/>
  <c r="AB37" i="1" s="1"/>
  <c r="Z38" i="1"/>
  <c r="AB38" i="1" s="1"/>
  <c r="Z39" i="1"/>
  <c r="AB39" i="1" s="1"/>
  <c r="Z40" i="1"/>
  <c r="AB40" i="1" s="1"/>
  <c r="Z41" i="1"/>
  <c r="AB41" i="1" s="1"/>
  <c r="Z42" i="1"/>
  <c r="AB42" i="1" s="1"/>
  <c r="Z43" i="1"/>
  <c r="AB43" i="1" s="1"/>
  <c r="Z44" i="1"/>
  <c r="AB44" i="1" s="1"/>
  <c r="Z45" i="1"/>
  <c r="AB45" i="1" s="1"/>
  <c r="Z46" i="1"/>
  <c r="AB46" i="1" s="1"/>
  <c r="Z47" i="1"/>
  <c r="AB47" i="1" s="1"/>
  <c r="Z48" i="1"/>
  <c r="AB48" i="1" s="1"/>
  <c r="Z49" i="1"/>
  <c r="AB49" i="1" s="1"/>
  <c r="Z50" i="1"/>
  <c r="AB50" i="1" s="1"/>
  <c r="Z51" i="1"/>
  <c r="AB51" i="1" s="1"/>
  <c r="Z52" i="1"/>
  <c r="AB52" i="1" s="1"/>
  <c r="Z53" i="1"/>
  <c r="AB53" i="1" s="1"/>
  <c r="Z54" i="1"/>
  <c r="AB54" i="1" s="1"/>
  <c r="Z55" i="1"/>
  <c r="AB55" i="1" s="1"/>
  <c r="Z56" i="1"/>
  <c r="AB56" i="1" s="1"/>
  <c r="Z57" i="1"/>
  <c r="AB57" i="1" s="1"/>
  <c r="Z58" i="1"/>
  <c r="AB58" i="1" s="1"/>
  <c r="Z59" i="1"/>
  <c r="AB59" i="1" s="1"/>
  <c r="Z60" i="1"/>
  <c r="AB60" i="1" s="1"/>
  <c r="Z61" i="1"/>
  <c r="AB61" i="1" s="1"/>
  <c r="Z62" i="1"/>
  <c r="AB62" i="1" s="1"/>
  <c r="Z63" i="1"/>
  <c r="AB63" i="1" s="1"/>
  <c r="Z64" i="1"/>
  <c r="AB64" i="1" s="1"/>
  <c r="Z65" i="1"/>
  <c r="AB65" i="1" s="1"/>
  <c r="Z66" i="1"/>
  <c r="AB66" i="1" s="1"/>
  <c r="Z67" i="1"/>
  <c r="AB67" i="1" s="1"/>
  <c r="Z68" i="1"/>
  <c r="AB68" i="1" s="1"/>
  <c r="Z69" i="1"/>
  <c r="AB69" i="1" s="1"/>
  <c r="Z70" i="1"/>
  <c r="AB70" i="1" s="1"/>
  <c r="Z71" i="1"/>
  <c r="AB71" i="1" s="1"/>
  <c r="Z72" i="1"/>
  <c r="AB72" i="1" s="1"/>
  <c r="Z73" i="1"/>
  <c r="AB73" i="1" s="1"/>
  <c r="Z74" i="1"/>
  <c r="Z75" i="1"/>
  <c r="AB75" i="1" s="1"/>
  <c r="Z76" i="1"/>
  <c r="AB76" i="1" s="1"/>
  <c r="Z77" i="1"/>
  <c r="AB77" i="1" s="1"/>
  <c r="Z78" i="1"/>
  <c r="AB78" i="1" s="1"/>
  <c r="Z79" i="1"/>
  <c r="AB79" i="1" s="1"/>
  <c r="Z80" i="1"/>
  <c r="AB80" i="1" s="1"/>
  <c r="Z81" i="1"/>
  <c r="AB81" i="1" s="1"/>
  <c r="Z82" i="1"/>
  <c r="AB82" i="1" s="1"/>
  <c r="Z83" i="1"/>
  <c r="AB83" i="1" s="1"/>
  <c r="Z84" i="1"/>
  <c r="AB84" i="1" s="1"/>
  <c r="Z85" i="1"/>
  <c r="AB85" i="1" s="1"/>
  <c r="Z86" i="1"/>
  <c r="AB86" i="1" s="1"/>
  <c r="Z87" i="1"/>
  <c r="AB87" i="1" s="1"/>
  <c r="Z88" i="1"/>
  <c r="AB88" i="1" s="1"/>
  <c r="Z89" i="1"/>
  <c r="AB89" i="1" s="1"/>
  <c r="Z90" i="1"/>
  <c r="AB90" i="1" s="1"/>
  <c r="Z91" i="1"/>
  <c r="AB91" i="1" s="1"/>
  <c r="Z92" i="1"/>
  <c r="AB92" i="1" s="1"/>
  <c r="Z93" i="1"/>
  <c r="AB93" i="1" s="1"/>
  <c r="Z94" i="1"/>
  <c r="AB94" i="1" s="1"/>
  <c r="Z95" i="1"/>
  <c r="AB95" i="1" s="1"/>
  <c r="Z96" i="1"/>
  <c r="AB96" i="1" s="1"/>
  <c r="Z97" i="1"/>
  <c r="AB97" i="1" s="1"/>
  <c r="Z98" i="1"/>
  <c r="AB98" i="1" s="1"/>
  <c r="Z99" i="1"/>
  <c r="AB99" i="1" s="1"/>
  <c r="Z100" i="1"/>
  <c r="AB100" i="1" s="1"/>
  <c r="Z101" i="1"/>
  <c r="AB101" i="1" s="1"/>
  <c r="Z102" i="1"/>
  <c r="AB102" i="1" s="1"/>
  <c r="Z103" i="1"/>
  <c r="AB103" i="1" s="1"/>
  <c r="Z104" i="1"/>
  <c r="AB104" i="1" s="1"/>
  <c r="Z105" i="1"/>
  <c r="AB105" i="1" s="1"/>
  <c r="Z106" i="1"/>
  <c r="AB106" i="1" s="1"/>
  <c r="Z107" i="1"/>
  <c r="AB107" i="1" s="1"/>
  <c r="Z108" i="1"/>
  <c r="AB108" i="1" s="1"/>
  <c r="Z109" i="1"/>
  <c r="AB109" i="1" s="1"/>
  <c r="Z110" i="1"/>
  <c r="AB110" i="1" s="1"/>
  <c r="Z111" i="1"/>
  <c r="AB111" i="1" s="1"/>
  <c r="Z112" i="1"/>
  <c r="AB112" i="1" s="1"/>
  <c r="Z113" i="1"/>
  <c r="AB113" i="1" s="1"/>
  <c r="Z114" i="1"/>
  <c r="AB114" i="1" s="1"/>
  <c r="Z115" i="1"/>
  <c r="AB115" i="1" s="1"/>
  <c r="Z116" i="1"/>
  <c r="AB116" i="1" s="1"/>
  <c r="Z117" i="1"/>
  <c r="AB117" i="1" s="1"/>
  <c r="Z118" i="1"/>
  <c r="AB118" i="1" s="1"/>
  <c r="Z119" i="1"/>
  <c r="AB119" i="1" s="1"/>
  <c r="Z120" i="1"/>
  <c r="AB120" i="1" s="1"/>
  <c r="Z121" i="1"/>
  <c r="AB121" i="1" s="1"/>
  <c r="Z122" i="1"/>
  <c r="AB122" i="1" s="1"/>
  <c r="Z123" i="1"/>
  <c r="AB123" i="1" s="1"/>
  <c r="Z124" i="1"/>
  <c r="AB124" i="1" s="1"/>
  <c r="Z125" i="1"/>
  <c r="AB125" i="1" s="1"/>
  <c r="Z126" i="1"/>
  <c r="AB126" i="1" s="1"/>
  <c r="Z127" i="1"/>
  <c r="AB127" i="1" s="1"/>
  <c r="Z128" i="1"/>
  <c r="AB128" i="1" s="1"/>
  <c r="Z129" i="1"/>
  <c r="AB129" i="1" s="1"/>
  <c r="Z130" i="1"/>
  <c r="AB130" i="1" s="1"/>
  <c r="Z131" i="1"/>
  <c r="AB131" i="1" s="1"/>
  <c r="Z132" i="1"/>
  <c r="AB132" i="1" s="1"/>
  <c r="Z133" i="1"/>
  <c r="AB133" i="1" s="1"/>
  <c r="Z134" i="1"/>
  <c r="AB134" i="1" s="1"/>
  <c r="Z135" i="1"/>
  <c r="AB135" i="1" s="1"/>
  <c r="Z136" i="1"/>
  <c r="AB136" i="1" s="1"/>
  <c r="Z137" i="1"/>
  <c r="AB137" i="1" s="1"/>
  <c r="Z138" i="1"/>
  <c r="AB138" i="1" s="1"/>
  <c r="Z139" i="1"/>
  <c r="AB139" i="1" s="1"/>
  <c r="Z140" i="1"/>
  <c r="AB140" i="1" s="1"/>
  <c r="Z141" i="1"/>
  <c r="AB141" i="1" s="1"/>
  <c r="Z142" i="1"/>
  <c r="AB142" i="1" s="1"/>
  <c r="Z143" i="1"/>
  <c r="AB143" i="1" s="1"/>
  <c r="Z144" i="1"/>
  <c r="AB144" i="1" s="1"/>
  <c r="Z145" i="1"/>
  <c r="AB145" i="1" s="1"/>
  <c r="Z146" i="1"/>
  <c r="AB146" i="1" s="1"/>
  <c r="Z147" i="1"/>
  <c r="AB147" i="1" s="1"/>
  <c r="Z148" i="1"/>
  <c r="AB148" i="1" s="1"/>
  <c r="Z149" i="1"/>
  <c r="AB149" i="1" s="1"/>
  <c r="Z150" i="1"/>
  <c r="AB150" i="1" s="1"/>
  <c r="Z151" i="1"/>
  <c r="AB151" i="1" s="1"/>
  <c r="Z152" i="1"/>
  <c r="AB152" i="1" s="1"/>
  <c r="Z153" i="1"/>
  <c r="AB153" i="1" s="1"/>
  <c r="Z154" i="1"/>
  <c r="AB154" i="1" s="1"/>
  <c r="Z155" i="1"/>
  <c r="AB155" i="1" s="1"/>
  <c r="Z156" i="1"/>
  <c r="AB156" i="1" s="1"/>
  <c r="Z157" i="1"/>
  <c r="AB157" i="1" s="1"/>
  <c r="Z158" i="1"/>
  <c r="AB158" i="1" s="1"/>
  <c r="Z159" i="1"/>
  <c r="AB159" i="1" s="1"/>
  <c r="Z160" i="1"/>
  <c r="AB160" i="1" s="1"/>
  <c r="Z161" i="1"/>
  <c r="Z162" i="1"/>
  <c r="AB162" i="1" s="1"/>
  <c r="Z163" i="1"/>
  <c r="AB163" i="1" s="1"/>
  <c r="Z164" i="1"/>
  <c r="AB164" i="1" s="1"/>
  <c r="Z165" i="1"/>
  <c r="AB165" i="1" s="1"/>
  <c r="Z166" i="1"/>
  <c r="AB166" i="1" s="1"/>
  <c r="Z167" i="1"/>
  <c r="AB167" i="1" s="1"/>
  <c r="Z168" i="1"/>
  <c r="AB168" i="1" s="1"/>
  <c r="Z169" i="1"/>
  <c r="AB169" i="1" s="1"/>
  <c r="Z170" i="1"/>
  <c r="AB170" i="1" s="1"/>
  <c r="Z171" i="1"/>
  <c r="Z172" i="1"/>
  <c r="AB172" i="1" s="1"/>
  <c r="Z173" i="1"/>
  <c r="AB173" i="1" s="1"/>
  <c r="Z174" i="1"/>
  <c r="AB174" i="1" s="1"/>
  <c r="Z175" i="1"/>
  <c r="AB175" i="1" s="1"/>
  <c r="Z176" i="1"/>
  <c r="AB176" i="1" s="1"/>
  <c r="Z177" i="1"/>
  <c r="AB177" i="1" s="1"/>
  <c r="Z178" i="1"/>
  <c r="AB178" i="1" s="1"/>
  <c r="Z179" i="1"/>
  <c r="AB179" i="1" s="1"/>
  <c r="Z180" i="1"/>
  <c r="AB180" i="1" s="1"/>
  <c r="Z181" i="1"/>
  <c r="AB181" i="1" s="1"/>
  <c r="Z182" i="1"/>
  <c r="AB182" i="1" s="1"/>
  <c r="Z183" i="1"/>
  <c r="AB183" i="1" s="1"/>
  <c r="Z184" i="1"/>
  <c r="AB184" i="1" s="1"/>
  <c r="Z185" i="1"/>
  <c r="AB185" i="1" s="1"/>
  <c r="Z186" i="1"/>
  <c r="AB186" i="1" s="1"/>
  <c r="Z187" i="1"/>
  <c r="AB187" i="1" s="1"/>
  <c r="Z188" i="1"/>
  <c r="AB188" i="1" s="1"/>
  <c r="Z189" i="1"/>
  <c r="AB189" i="1" s="1"/>
  <c r="Z190" i="1"/>
  <c r="AB190" i="1" s="1"/>
  <c r="Z191" i="1"/>
  <c r="AB191" i="1" s="1"/>
  <c r="Z192" i="1"/>
  <c r="AB192" i="1" s="1"/>
  <c r="Z193" i="1"/>
  <c r="AB193" i="1" s="1"/>
  <c r="Z194" i="1"/>
  <c r="AB194" i="1" s="1"/>
  <c r="Z195" i="1"/>
  <c r="AB195" i="1" s="1"/>
  <c r="Z196" i="1"/>
  <c r="AB196" i="1" s="1"/>
  <c r="Z197" i="1"/>
  <c r="AB197" i="1" s="1"/>
  <c r="Z198" i="1"/>
  <c r="AB198" i="1" s="1"/>
  <c r="Z199" i="1"/>
  <c r="AB199" i="1" s="1"/>
  <c r="Z200" i="1"/>
  <c r="AB200" i="1" s="1"/>
  <c r="Z201" i="1"/>
  <c r="AB201" i="1" s="1"/>
  <c r="Z202" i="1"/>
  <c r="AB202" i="1" s="1"/>
  <c r="Z203" i="1"/>
  <c r="AB203" i="1" s="1"/>
  <c r="Z204" i="1"/>
  <c r="AB204" i="1" s="1"/>
  <c r="Z205" i="1"/>
  <c r="AB205" i="1" s="1"/>
  <c r="Z206" i="1"/>
  <c r="AB206" i="1" s="1"/>
  <c r="Z207" i="1"/>
  <c r="AB207" i="1" s="1"/>
  <c r="Z208" i="1"/>
  <c r="AB208" i="1" s="1"/>
  <c r="Z209" i="1"/>
  <c r="AB209" i="1" s="1"/>
  <c r="Z210" i="1"/>
  <c r="AB210" i="1" s="1"/>
  <c r="Z211" i="1"/>
  <c r="AB211" i="1" s="1"/>
  <c r="Z212" i="1"/>
  <c r="AB212" i="1" s="1"/>
  <c r="Z213" i="1"/>
  <c r="AB213" i="1" s="1"/>
  <c r="Z214" i="1"/>
  <c r="AB214" i="1" s="1"/>
  <c r="Z215" i="1"/>
  <c r="AB215" i="1" s="1"/>
  <c r="Z216" i="1"/>
  <c r="AB216" i="1" s="1"/>
  <c r="Z217" i="1"/>
  <c r="AB217" i="1" s="1"/>
  <c r="Z218" i="1"/>
  <c r="AB218" i="1" s="1"/>
  <c r="Z219" i="1"/>
  <c r="AB219" i="1" s="1"/>
  <c r="Z220" i="1"/>
  <c r="AB220" i="1" s="1"/>
  <c r="Z221" i="1"/>
  <c r="AB221" i="1" s="1"/>
  <c r="Z222" i="1"/>
  <c r="AB222" i="1" s="1"/>
  <c r="Z223" i="1"/>
  <c r="AB223" i="1" s="1"/>
  <c r="Z224" i="1"/>
  <c r="AB224" i="1" s="1"/>
  <c r="Z225" i="1"/>
  <c r="AB225" i="1" s="1"/>
  <c r="Z226" i="1"/>
  <c r="AB226" i="1" s="1"/>
  <c r="Z227" i="1"/>
  <c r="AB227" i="1" s="1"/>
  <c r="Z228" i="1"/>
  <c r="AB228" i="1" s="1"/>
  <c r="Z229" i="1"/>
  <c r="AB229" i="1" s="1"/>
  <c r="Z230" i="1"/>
  <c r="AB230" i="1" s="1"/>
  <c r="Z231" i="1"/>
  <c r="AB231" i="1" s="1"/>
  <c r="Z232" i="1"/>
  <c r="AB232" i="1" s="1"/>
  <c r="Z233" i="1"/>
  <c r="Z234" i="1"/>
  <c r="AB234" i="1" s="1"/>
  <c r="Z235" i="1"/>
  <c r="AB235" i="1" s="1"/>
  <c r="Z236" i="1"/>
  <c r="AB236" i="1" s="1"/>
  <c r="Z237" i="1"/>
  <c r="AB237" i="1" s="1"/>
  <c r="Z238" i="1"/>
  <c r="AB238" i="1" s="1"/>
  <c r="Z239" i="1"/>
  <c r="Z240" i="1"/>
  <c r="AB240" i="1" s="1"/>
  <c r="Z241" i="1"/>
  <c r="AB241" i="1" s="1"/>
  <c r="Z242" i="1"/>
  <c r="Z243" i="1"/>
  <c r="AB243" i="1" s="1"/>
  <c r="Z244" i="1"/>
  <c r="Z245" i="1"/>
  <c r="AB245" i="1" s="1"/>
  <c r="Z246" i="1"/>
  <c r="AB246" i="1" s="1"/>
  <c r="Z247" i="1"/>
  <c r="AB247" i="1" s="1"/>
  <c r="Z248" i="1"/>
  <c r="AB248" i="1" s="1"/>
  <c r="Z249" i="1"/>
  <c r="AB249" i="1" s="1"/>
  <c r="Z250" i="1"/>
  <c r="AB250" i="1" s="1"/>
  <c r="Z251" i="1"/>
  <c r="AB251" i="1" s="1"/>
  <c r="Z252" i="1"/>
  <c r="AB252" i="1" s="1"/>
  <c r="Z253" i="1"/>
  <c r="AB253" i="1" s="1"/>
  <c r="Z254" i="1"/>
  <c r="AB254" i="1" s="1"/>
  <c r="Z255" i="1"/>
  <c r="AB255" i="1" s="1"/>
  <c r="Z256" i="1"/>
  <c r="AB256" i="1" s="1"/>
  <c r="Z257" i="1"/>
  <c r="AB257" i="1" s="1"/>
  <c r="Z258" i="1"/>
  <c r="AB258" i="1" s="1"/>
  <c r="Z259" i="1"/>
  <c r="AB259" i="1" s="1"/>
  <c r="Z260" i="1"/>
  <c r="AB260" i="1" s="1"/>
  <c r="Z261" i="1"/>
  <c r="AB261" i="1" s="1"/>
  <c r="Z262" i="1"/>
  <c r="AB262" i="1" s="1"/>
  <c r="Z263" i="1"/>
  <c r="AB263" i="1" s="1"/>
  <c r="Z264" i="1"/>
  <c r="AB264" i="1" s="1"/>
  <c r="Z265" i="1"/>
  <c r="Z266" i="1"/>
  <c r="Z267" i="1"/>
  <c r="Z268" i="1"/>
  <c r="Z269" i="1"/>
  <c r="Z270" i="1"/>
  <c r="Z271" i="1"/>
  <c r="AB271" i="1" s="1"/>
  <c r="Z272" i="1"/>
  <c r="AB272" i="1" s="1"/>
  <c r="Z273" i="1"/>
  <c r="AB273" i="1" s="1"/>
  <c r="Z274" i="1"/>
  <c r="AB274" i="1" s="1"/>
  <c r="Z275" i="1"/>
  <c r="AB275" i="1" s="1"/>
  <c r="Z276" i="1"/>
  <c r="AB276" i="1" s="1"/>
  <c r="Z277" i="1"/>
  <c r="AB277" i="1" s="1"/>
  <c r="Z278" i="1"/>
  <c r="AB278" i="1" s="1"/>
  <c r="Z279" i="1"/>
  <c r="AB279" i="1" s="1"/>
  <c r="Z280" i="1"/>
  <c r="AB280" i="1" s="1"/>
  <c r="Z281" i="1"/>
  <c r="AB281" i="1" s="1"/>
  <c r="Z282" i="1"/>
  <c r="AB282" i="1" s="1"/>
  <c r="Z283" i="1"/>
  <c r="AB283" i="1" s="1"/>
  <c r="Z284" i="1"/>
  <c r="AB284" i="1" s="1"/>
  <c r="Z285" i="1"/>
  <c r="AB285" i="1" s="1"/>
  <c r="Z286" i="1"/>
  <c r="AB286" i="1" s="1"/>
  <c r="Z287" i="1"/>
  <c r="AB287" i="1" s="1"/>
  <c r="Z288" i="1"/>
  <c r="AB288" i="1" s="1"/>
  <c r="Z289" i="1"/>
  <c r="AB289" i="1" s="1"/>
  <c r="Z290" i="1"/>
  <c r="AB290" i="1" s="1"/>
  <c r="Z291" i="1"/>
  <c r="AB291" i="1" s="1"/>
  <c r="Z292" i="1"/>
  <c r="AB292" i="1" s="1"/>
  <c r="Z293" i="1"/>
  <c r="AB293" i="1" s="1"/>
  <c r="Z294" i="1"/>
  <c r="AB294" i="1" s="1"/>
  <c r="Z295" i="1"/>
  <c r="AB295" i="1" s="1"/>
  <c r="Z296" i="1"/>
  <c r="AB296" i="1" s="1"/>
  <c r="Z297" i="1"/>
  <c r="AB297" i="1" s="1"/>
  <c r="Z298" i="1"/>
  <c r="AB298" i="1" s="1"/>
  <c r="Z299" i="1"/>
  <c r="AB299" i="1" s="1"/>
  <c r="Z300" i="1"/>
  <c r="AB300" i="1" s="1"/>
  <c r="Z301" i="1"/>
  <c r="AB301" i="1" s="1"/>
  <c r="Z302" i="1"/>
  <c r="Z303" i="1"/>
  <c r="Z304" i="1"/>
  <c r="Z305" i="1"/>
  <c r="Z306" i="1"/>
  <c r="Z307" i="1"/>
  <c r="Z308" i="1"/>
  <c r="Z309" i="1"/>
  <c r="Z310" i="1"/>
  <c r="Z311" i="1"/>
  <c r="Z312" i="1"/>
  <c r="AB312" i="1" s="1"/>
  <c r="Z313" i="1"/>
  <c r="AB313" i="1" s="1"/>
  <c r="Z314" i="1"/>
  <c r="AB314" i="1" s="1"/>
  <c r="Z315" i="1"/>
  <c r="AB315" i="1" s="1"/>
  <c r="Z316" i="1"/>
  <c r="AB316" i="1" s="1"/>
  <c r="Z317" i="1"/>
  <c r="AB317" i="1" s="1"/>
  <c r="Z318" i="1"/>
  <c r="AB318" i="1" s="1"/>
  <c r="Z319" i="1"/>
  <c r="AB319" i="1" s="1"/>
  <c r="Z320" i="1"/>
  <c r="AB320" i="1" s="1"/>
  <c r="Z321" i="1"/>
  <c r="AB321" i="1" s="1"/>
  <c r="Z322" i="1"/>
  <c r="AB322" i="1" s="1"/>
  <c r="Z323" i="1"/>
  <c r="AB323" i="1" s="1"/>
  <c r="Z324" i="1"/>
  <c r="AB324" i="1" s="1"/>
  <c r="Z325" i="1"/>
  <c r="AB325" i="1" s="1"/>
  <c r="Z326" i="1"/>
  <c r="AB326" i="1" s="1"/>
  <c r="Z327" i="1"/>
  <c r="AB327" i="1" s="1"/>
  <c r="Z328" i="1"/>
  <c r="AB328" i="1" s="1"/>
  <c r="Z329" i="1"/>
  <c r="AB329" i="1" s="1"/>
  <c r="Z330" i="1"/>
  <c r="AB330" i="1" s="1"/>
  <c r="Z331" i="1"/>
  <c r="AB331" i="1" s="1"/>
  <c r="Z332" i="1"/>
  <c r="AB332" i="1" s="1"/>
  <c r="Z333" i="1"/>
  <c r="AB333" i="1" s="1"/>
  <c r="Z334" i="1"/>
  <c r="AB334" i="1" s="1"/>
  <c r="Z335" i="1"/>
  <c r="AB335" i="1" s="1"/>
  <c r="Z336" i="1"/>
  <c r="AB336" i="1" s="1"/>
  <c r="Z337" i="1"/>
  <c r="AB337" i="1" s="1"/>
  <c r="Z338" i="1"/>
  <c r="AB338" i="1" s="1"/>
  <c r="Z339" i="1"/>
  <c r="AB339" i="1" s="1"/>
  <c r="Z340" i="1"/>
  <c r="AB340" i="1" s="1"/>
  <c r="Z341" i="1"/>
  <c r="AB341" i="1" s="1"/>
  <c r="Z342" i="1"/>
  <c r="AB342" i="1" s="1"/>
  <c r="Z343" i="1"/>
  <c r="AB343" i="1" s="1"/>
  <c r="Z344" i="1"/>
  <c r="AB344" i="1" s="1"/>
  <c r="Z345" i="1"/>
  <c r="AB345" i="1" s="1"/>
  <c r="Z346" i="1"/>
  <c r="AB346" i="1" s="1"/>
  <c r="Z347" i="1"/>
  <c r="AB347" i="1" s="1"/>
  <c r="Z348" i="1"/>
  <c r="AB348" i="1" s="1"/>
  <c r="Z349" i="1"/>
  <c r="Z350" i="1"/>
  <c r="AB350" i="1" s="1"/>
  <c r="Z351" i="1"/>
  <c r="AB351" i="1" s="1"/>
  <c r="Z352" i="1"/>
  <c r="AB352" i="1" s="1"/>
  <c r="Z353" i="1"/>
  <c r="Z354" i="1"/>
  <c r="AB354" i="1" s="1"/>
  <c r="Z355" i="1"/>
  <c r="AB355" i="1" s="1"/>
  <c r="Z356" i="1"/>
  <c r="AB356" i="1" s="1"/>
  <c r="Z357" i="1"/>
  <c r="AB357" i="1" s="1"/>
  <c r="Z358" i="1"/>
  <c r="AB358" i="1" s="1"/>
  <c r="Z359" i="1"/>
  <c r="AB359" i="1" s="1"/>
  <c r="Z360" i="1"/>
  <c r="AB360" i="1" s="1"/>
  <c r="Z361" i="1"/>
  <c r="Z362" i="1"/>
  <c r="Z363" i="1"/>
  <c r="AB363" i="1" s="1"/>
  <c r="Z364" i="1"/>
  <c r="AB364" i="1" s="1"/>
  <c r="Z365" i="1"/>
  <c r="AB365" i="1" s="1"/>
  <c r="Z366" i="1"/>
  <c r="AB366" i="1" s="1"/>
  <c r="Z367" i="1"/>
  <c r="AB367" i="1" s="1"/>
  <c r="Z368" i="1"/>
  <c r="AB368" i="1" s="1"/>
  <c r="Z369" i="1"/>
  <c r="AB369" i="1" s="1"/>
  <c r="Z370" i="1"/>
  <c r="AB370" i="1" s="1"/>
  <c r="Z371" i="1"/>
  <c r="AB371" i="1" s="1"/>
  <c r="Z372" i="1"/>
  <c r="AB372" i="1" s="1"/>
  <c r="Z373" i="1"/>
  <c r="AB373" i="1" s="1"/>
  <c r="Z374" i="1"/>
  <c r="AB374" i="1" s="1"/>
  <c r="Z375" i="1"/>
  <c r="AB375" i="1" s="1"/>
  <c r="Z376" i="1"/>
  <c r="AB376" i="1" s="1"/>
  <c r="Z377" i="1"/>
  <c r="AB377" i="1" s="1"/>
  <c r="Z378" i="1"/>
  <c r="AB378" i="1" s="1"/>
  <c r="Z379" i="1"/>
  <c r="AB379" i="1" s="1"/>
  <c r="Z380" i="1"/>
  <c r="AB380" i="1" s="1"/>
  <c r="Z381" i="1"/>
  <c r="AB381" i="1" s="1"/>
  <c r="Z382" i="1"/>
  <c r="AB382" i="1" s="1"/>
  <c r="Z383" i="1"/>
  <c r="AB383" i="1" s="1"/>
  <c r="Z384" i="1"/>
  <c r="AB384" i="1" s="1"/>
  <c r="Z385" i="1"/>
  <c r="AB385" i="1" s="1"/>
  <c r="Z386" i="1"/>
  <c r="AB386" i="1" s="1"/>
  <c r="Z387" i="1"/>
  <c r="AB387" i="1" s="1"/>
  <c r="Z388" i="1"/>
  <c r="AB388" i="1" s="1"/>
  <c r="Z389" i="1"/>
  <c r="AB389" i="1" s="1"/>
  <c r="Z390" i="1"/>
  <c r="AB390" i="1" s="1"/>
  <c r="Z391" i="1"/>
  <c r="AB391" i="1" s="1"/>
  <c r="Z392" i="1"/>
  <c r="AB392" i="1" s="1"/>
  <c r="Z393" i="1"/>
  <c r="AB393" i="1" s="1"/>
  <c r="Z394" i="1"/>
  <c r="AB394" i="1" s="1"/>
  <c r="Z395" i="1"/>
  <c r="AB395" i="1" s="1"/>
  <c r="Z396" i="1"/>
  <c r="AB396" i="1" s="1"/>
  <c r="Z397" i="1"/>
  <c r="AB397" i="1" s="1"/>
  <c r="Z398" i="1"/>
  <c r="AB398" i="1" s="1"/>
  <c r="Z399" i="1"/>
  <c r="AB399" i="1" s="1"/>
  <c r="Z400" i="1"/>
  <c r="AB400" i="1" s="1"/>
  <c r="Z401" i="1"/>
  <c r="AB401" i="1" s="1"/>
  <c r="Z402" i="1"/>
  <c r="AB402" i="1" s="1"/>
  <c r="Z403" i="1"/>
  <c r="AB403" i="1" s="1"/>
  <c r="Z404" i="1"/>
  <c r="AB404" i="1" s="1"/>
  <c r="Z405" i="1"/>
  <c r="AB405" i="1" s="1"/>
  <c r="Z406" i="1"/>
  <c r="AB406" i="1" s="1"/>
  <c r="Z407" i="1"/>
  <c r="AB407" i="1" s="1"/>
  <c r="Z408" i="1"/>
  <c r="AB408" i="1" s="1"/>
  <c r="Z409" i="1"/>
  <c r="AB409" i="1" s="1"/>
  <c r="Z410" i="1"/>
  <c r="AB410" i="1" s="1"/>
  <c r="Z411" i="1"/>
  <c r="AB411" i="1" s="1"/>
  <c r="Z412" i="1"/>
  <c r="AB412" i="1" s="1"/>
  <c r="Z413" i="1"/>
  <c r="AB413" i="1" s="1"/>
  <c r="Z414" i="1"/>
  <c r="AB414" i="1" s="1"/>
  <c r="Z415" i="1"/>
  <c r="AB415" i="1" s="1"/>
  <c r="Z416" i="1"/>
  <c r="AB416" i="1" s="1"/>
  <c r="Z417" i="1"/>
  <c r="AB417" i="1" s="1"/>
  <c r="Z418" i="1"/>
  <c r="AB418" i="1" s="1"/>
  <c r="Z419" i="1"/>
  <c r="AB419" i="1" s="1"/>
  <c r="Z420" i="1"/>
  <c r="AB420" i="1" s="1"/>
  <c r="Z421" i="1"/>
  <c r="AB421" i="1" s="1"/>
  <c r="Z422" i="1"/>
  <c r="AB422" i="1" s="1"/>
  <c r="Z423" i="1"/>
  <c r="AB423" i="1" s="1"/>
  <c r="Z424" i="1"/>
  <c r="AB424" i="1" s="1"/>
  <c r="Z425" i="1"/>
  <c r="AB425" i="1" s="1"/>
  <c r="Z426" i="1"/>
  <c r="AB426" i="1" s="1"/>
  <c r="Z427" i="1"/>
  <c r="AB427" i="1" s="1"/>
  <c r="Z428" i="1"/>
  <c r="Z429" i="1"/>
  <c r="Z430" i="1"/>
  <c r="Z431" i="1"/>
  <c r="AB431" i="1" s="1"/>
  <c r="Z432" i="1"/>
  <c r="AB432" i="1" s="1"/>
  <c r="Z433" i="1"/>
  <c r="AB433" i="1" s="1"/>
  <c r="Z434" i="1"/>
  <c r="AB434" i="1" s="1"/>
  <c r="Z435" i="1"/>
  <c r="AB435" i="1" s="1"/>
  <c r="Z436" i="1"/>
  <c r="AB436" i="1" s="1"/>
  <c r="Z437" i="1"/>
  <c r="AB437" i="1" s="1"/>
  <c r="Z438" i="1"/>
  <c r="AB438" i="1" s="1"/>
  <c r="Z439" i="1"/>
  <c r="AB439" i="1" s="1"/>
  <c r="Z440" i="1"/>
  <c r="AB440" i="1" s="1"/>
  <c r="Z441" i="1"/>
  <c r="AB441" i="1" s="1"/>
  <c r="Z442" i="1"/>
  <c r="AB442" i="1" s="1"/>
  <c r="Z443" i="1"/>
  <c r="Z444" i="1"/>
  <c r="AB444" i="1" s="1"/>
  <c r="Z445" i="1"/>
  <c r="AB445" i="1" s="1"/>
  <c r="Z446" i="1"/>
  <c r="AB446" i="1" s="1"/>
  <c r="Z447" i="1"/>
  <c r="AB447" i="1" s="1"/>
  <c r="Z448" i="1"/>
  <c r="AB448" i="1" s="1"/>
  <c r="Z449" i="1"/>
  <c r="AB449" i="1" s="1"/>
  <c r="Z450" i="1"/>
  <c r="AB450" i="1" s="1"/>
  <c r="Z451" i="1"/>
  <c r="AB451" i="1" s="1"/>
  <c r="Z452" i="1"/>
  <c r="AB452" i="1" s="1"/>
  <c r="Z453" i="1"/>
  <c r="AB453" i="1" s="1"/>
  <c r="Z454" i="1"/>
  <c r="AB454" i="1" s="1"/>
  <c r="Z455" i="1"/>
  <c r="AB455" i="1" s="1"/>
  <c r="Z456" i="1"/>
  <c r="AB456" i="1" s="1"/>
  <c r="Z457" i="1"/>
  <c r="AB457" i="1" s="1"/>
  <c r="Z458" i="1"/>
  <c r="AB458" i="1" s="1"/>
  <c r="Z459" i="1"/>
  <c r="AB459" i="1" s="1"/>
  <c r="Z460" i="1"/>
  <c r="AB460" i="1" s="1"/>
  <c r="Z461" i="1"/>
  <c r="AB461" i="1" s="1"/>
  <c r="Z462" i="1"/>
  <c r="AB462" i="1" s="1"/>
  <c r="Z463" i="1"/>
  <c r="AB463" i="1" s="1"/>
  <c r="Z464" i="1"/>
  <c r="AB464" i="1" s="1"/>
  <c r="Z465" i="1"/>
  <c r="AB465" i="1" s="1"/>
  <c r="Z466" i="1"/>
  <c r="AB466" i="1" s="1"/>
  <c r="Z467" i="1"/>
  <c r="AB467" i="1" s="1"/>
  <c r="Z468" i="1"/>
  <c r="AB468" i="1" s="1"/>
  <c r="Z469" i="1"/>
  <c r="AB469" i="1" s="1"/>
  <c r="Z470" i="1"/>
  <c r="AB470" i="1" s="1"/>
  <c r="Z471" i="1"/>
  <c r="AB471" i="1" s="1"/>
  <c r="Z472" i="1"/>
  <c r="AB472" i="1" s="1"/>
  <c r="Z473" i="1"/>
  <c r="AB473" i="1" s="1"/>
  <c r="Z474" i="1"/>
  <c r="AB474" i="1" s="1"/>
  <c r="Z475" i="1"/>
  <c r="AB475" i="1" s="1"/>
  <c r="Z476" i="1"/>
  <c r="AB476" i="1" s="1"/>
  <c r="Z477" i="1"/>
  <c r="AB477" i="1" s="1"/>
  <c r="Z478" i="1"/>
  <c r="AB478" i="1" s="1"/>
  <c r="Z479" i="1"/>
  <c r="AB479" i="1" s="1"/>
  <c r="Z480" i="1"/>
  <c r="AB480" i="1" s="1"/>
  <c r="Z481" i="1"/>
  <c r="AB481" i="1" s="1"/>
  <c r="Z482" i="1"/>
  <c r="AB482" i="1" s="1"/>
  <c r="Z483" i="1"/>
  <c r="AB483" i="1" s="1"/>
  <c r="Z484" i="1"/>
  <c r="AB484" i="1" s="1"/>
  <c r="Z485" i="1"/>
  <c r="AB485" i="1" s="1"/>
  <c r="Z486" i="1"/>
  <c r="AB486" i="1" s="1"/>
  <c r="Z487" i="1"/>
  <c r="AB487" i="1" s="1"/>
  <c r="Z488" i="1"/>
  <c r="AB488" i="1" s="1"/>
  <c r="Z489" i="1"/>
  <c r="AB489" i="1" s="1"/>
  <c r="Z490" i="1"/>
  <c r="AB490" i="1" s="1"/>
  <c r="Z491" i="1"/>
  <c r="AB491" i="1" s="1"/>
  <c r="Z492" i="1"/>
  <c r="AB492" i="1" s="1"/>
  <c r="Z493" i="1"/>
  <c r="AB493" i="1" s="1"/>
  <c r="Z494" i="1"/>
  <c r="Z495" i="1"/>
  <c r="Z496" i="1"/>
  <c r="Z497" i="1"/>
  <c r="Z498" i="1"/>
  <c r="AB498" i="1" s="1"/>
  <c r="Z499" i="1"/>
  <c r="AB499" i="1" s="1"/>
  <c r="Z500" i="1"/>
  <c r="AB500" i="1" s="1"/>
  <c r="Z501" i="1"/>
  <c r="AB501" i="1" s="1"/>
  <c r="Z502" i="1"/>
  <c r="AB502" i="1" s="1"/>
  <c r="Z503" i="1"/>
  <c r="AB503" i="1" s="1"/>
  <c r="Z504" i="1"/>
  <c r="AB504" i="1" s="1"/>
  <c r="Z505" i="1"/>
  <c r="AB505" i="1" s="1"/>
  <c r="Z506" i="1"/>
  <c r="AB506" i="1" s="1"/>
  <c r="Z507" i="1"/>
  <c r="AB507" i="1" s="1"/>
  <c r="Z508" i="1"/>
  <c r="AB508" i="1" s="1"/>
  <c r="Z509" i="1"/>
  <c r="AB509" i="1" s="1"/>
  <c r="Z510" i="1"/>
  <c r="AB510" i="1" s="1"/>
  <c r="Z511" i="1"/>
  <c r="AB511" i="1" s="1"/>
  <c r="Z512" i="1"/>
  <c r="AB512" i="1" s="1"/>
  <c r="Z513" i="1"/>
  <c r="AB513" i="1" s="1"/>
  <c r="Z514" i="1"/>
  <c r="AB514" i="1" s="1"/>
  <c r="Z515" i="1"/>
  <c r="AB515" i="1" s="1"/>
  <c r="Z516" i="1"/>
  <c r="AB516" i="1" s="1"/>
  <c r="Z517" i="1"/>
  <c r="AB517" i="1" s="1"/>
  <c r="Z518" i="1"/>
  <c r="AB518" i="1" s="1"/>
  <c r="Z519" i="1"/>
  <c r="AB519" i="1" s="1"/>
  <c r="Z520" i="1"/>
  <c r="AB520" i="1" s="1"/>
  <c r="Z521" i="1"/>
  <c r="AB521" i="1" s="1"/>
  <c r="Z522" i="1"/>
  <c r="AB522" i="1" s="1"/>
  <c r="Z523" i="1"/>
  <c r="AB523" i="1" s="1"/>
  <c r="Z524" i="1"/>
  <c r="AB524" i="1" s="1"/>
  <c r="Z525" i="1"/>
  <c r="AB525" i="1" s="1"/>
  <c r="Z526" i="1"/>
  <c r="AB526" i="1" s="1"/>
  <c r="Z527" i="1"/>
  <c r="AB527" i="1" s="1"/>
  <c r="Z528" i="1"/>
  <c r="AB528" i="1" s="1"/>
  <c r="Z529" i="1"/>
  <c r="AB529" i="1" s="1"/>
  <c r="Z530" i="1"/>
  <c r="AB530" i="1" s="1"/>
  <c r="Z531" i="1"/>
  <c r="AB531" i="1" s="1"/>
  <c r="Z532" i="1"/>
  <c r="AB532" i="1" s="1"/>
  <c r="Z533" i="1"/>
  <c r="AB533" i="1" s="1"/>
  <c r="Z534" i="1"/>
  <c r="AB534" i="1" s="1"/>
  <c r="Z535" i="1"/>
  <c r="AB535" i="1" s="1"/>
  <c r="Z536" i="1"/>
  <c r="AB536" i="1" s="1"/>
  <c r="Z537" i="1"/>
  <c r="AB537" i="1" s="1"/>
  <c r="Z538" i="1"/>
  <c r="AB538" i="1" s="1"/>
  <c r="Z539" i="1"/>
  <c r="AB539" i="1" s="1"/>
  <c r="Z540" i="1"/>
  <c r="AB540" i="1" s="1"/>
  <c r="Z541" i="1"/>
  <c r="AB541" i="1" s="1"/>
  <c r="Z542" i="1"/>
  <c r="AB542" i="1" s="1"/>
  <c r="Z543" i="1"/>
  <c r="AB543" i="1" s="1"/>
  <c r="Z544" i="1"/>
  <c r="AB544" i="1" s="1"/>
  <c r="Z545" i="1"/>
  <c r="AB545" i="1" s="1"/>
  <c r="Z546" i="1"/>
  <c r="AB546" i="1" s="1"/>
  <c r="Z547" i="1"/>
  <c r="AB547" i="1" s="1"/>
  <c r="Z548" i="1"/>
  <c r="AB548" i="1" s="1"/>
  <c r="Z549" i="1"/>
  <c r="AB549" i="1" s="1"/>
  <c r="Z550" i="1"/>
  <c r="AB550" i="1" s="1"/>
  <c r="Z551" i="1"/>
  <c r="AB551" i="1" s="1"/>
  <c r="Z552" i="1"/>
  <c r="AB552" i="1" s="1"/>
  <c r="Z553" i="1"/>
  <c r="AB553" i="1" s="1"/>
  <c r="Z554" i="1"/>
  <c r="AB554" i="1" s="1"/>
  <c r="Z555" i="1"/>
  <c r="AB555" i="1" s="1"/>
  <c r="Z556" i="1"/>
  <c r="AB556" i="1" s="1"/>
  <c r="Z557" i="1"/>
  <c r="AB557" i="1" s="1"/>
  <c r="Z558" i="1"/>
  <c r="AB558" i="1" s="1"/>
  <c r="Z559" i="1"/>
  <c r="AB559" i="1" s="1"/>
  <c r="Z560" i="1"/>
  <c r="AB560" i="1" s="1"/>
  <c r="Z561" i="1"/>
  <c r="Z562" i="1"/>
  <c r="Z563" i="1"/>
  <c r="AB563" i="1" s="1"/>
  <c r="Z564" i="1"/>
  <c r="AB564" i="1" s="1"/>
  <c r="Z565" i="1"/>
  <c r="AB565" i="1" s="1"/>
  <c r="Z566" i="1"/>
  <c r="AB566" i="1" s="1"/>
  <c r="Z567" i="1"/>
  <c r="AB567" i="1" s="1"/>
  <c r="Z568" i="1"/>
  <c r="AB568" i="1" s="1"/>
  <c r="Z569" i="1"/>
  <c r="AB569" i="1" s="1"/>
  <c r="Z570" i="1"/>
  <c r="AB570" i="1" s="1"/>
  <c r="Z571" i="1"/>
  <c r="AB571" i="1" s="1"/>
  <c r="Z572" i="1"/>
  <c r="AB572" i="1" s="1"/>
  <c r="Z573" i="1"/>
  <c r="AB573" i="1" s="1"/>
  <c r="Z574" i="1"/>
  <c r="AB574" i="1" s="1"/>
  <c r="Z575" i="1"/>
  <c r="AB575" i="1" s="1"/>
  <c r="Z576" i="1"/>
  <c r="AB576" i="1" s="1"/>
  <c r="Z577" i="1"/>
  <c r="AB577" i="1" s="1"/>
  <c r="Z578" i="1"/>
  <c r="AB578" i="1" s="1"/>
  <c r="Z579" i="1"/>
  <c r="AB579" i="1" s="1"/>
  <c r="Z580" i="1"/>
  <c r="AB580" i="1" s="1"/>
  <c r="Z581" i="1"/>
  <c r="AB581" i="1" s="1"/>
  <c r="Z582" i="1"/>
  <c r="AB582" i="1" s="1"/>
  <c r="Z583" i="1"/>
  <c r="AB583" i="1" s="1"/>
  <c r="Z584" i="1"/>
  <c r="AB584" i="1" s="1"/>
  <c r="Z585" i="1"/>
  <c r="AB585" i="1" s="1"/>
  <c r="Z586" i="1"/>
  <c r="AB586" i="1" s="1"/>
  <c r="Z587" i="1"/>
  <c r="AB587" i="1" s="1"/>
  <c r="Z588" i="1"/>
  <c r="AB588" i="1" s="1"/>
  <c r="Z589" i="1"/>
  <c r="AB589" i="1" s="1"/>
  <c r="Z590" i="1"/>
  <c r="AB590" i="1" s="1"/>
  <c r="Z591" i="1"/>
  <c r="AB591" i="1" s="1"/>
  <c r="Z592" i="1"/>
  <c r="AB592" i="1" s="1"/>
  <c r="Z593" i="1"/>
  <c r="AB593" i="1" s="1"/>
  <c r="Z594" i="1"/>
  <c r="AB594" i="1" s="1"/>
  <c r="Z595" i="1"/>
  <c r="AB595" i="1" s="1"/>
  <c r="Z596" i="1"/>
  <c r="AB596" i="1" s="1"/>
  <c r="Z597" i="1"/>
  <c r="AB597" i="1" s="1"/>
  <c r="Z598" i="1"/>
  <c r="AB598" i="1" s="1"/>
  <c r="Z599" i="1"/>
  <c r="AB599" i="1" s="1"/>
  <c r="Z600" i="1"/>
  <c r="AB600" i="1" s="1"/>
  <c r="Z601" i="1"/>
  <c r="AB601" i="1" s="1"/>
  <c r="Z602" i="1"/>
  <c r="AB602" i="1" s="1"/>
  <c r="Z603" i="1"/>
  <c r="AB603" i="1" s="1"/>
  <c r="Z604" i="1"/>
  <c r="AB604" i="1" s="1"/>
  <c r="Z605" i="1"/>
  <c r="AB605" i="1" s="1"/>
  <c r="Z606" i="1"/>
  <c r="AB606" i="1" s="1"/>
  <c r="Z607" i="1"/>
  <c r="AB607" i="1" s="1"/>
  <c r="Z608" i="1"/>
  <c r="AB608" i="1" s="1"/>
  <c r="Z609" i="1"/>
  <c r="AB609" i="1" s="1"/>
  <c r="Z610" i="1"/>
  <c r="AB610" i="1" s="1"/>
  <c r="Z611" i="1"/>
  <c r="AB611" i="1" s="1"/>
  <c r="Z612" i="1"/>
  <c r="AB612" i="1" s="1"/>
  <c r="Z613" i="1"/>
  <c r="AB613" i="1" s="1"/>
  <c r="Z614" i="1"/>
  <c r="AB614" i="1" s="1"/>
  <c r="Z615" i="1"/>
  <c r="AB615" i="1" s="1"/>
  <c r="Z616" i="1"/>
  <c r="AB616" i="1" s="1"/>
  <c r="Z617" i="1"/>
  <c r="AB617" i="1" s="1"/>
  <c r="Z618" i="1"/>
  <c r="AB618" i="1" s="1"/>
  <c r="Z619" i="1"/>
  <c r="AB619" i="1" s="1"/>
  <c r="Z620" i="1"/>
  <c r="Z621" i="1"/>
  <c r="AB621" i="1" s="1"/>
  <c r="Z623" i="1"/>
  <c r="AB623" i="1" s="1"/>
  <c r="Z624" i="1"/>
  <c r="AB624" i="1" s="1"/>
  <c r="Z625" i="1"/>
  <c r="AB625" i="1" s="1"/>
  <c r="Z626" i="1"/>
  <c r="AB626" i="1" s="1"/>
  <c r="Z627" i="1"/>
  <c r="AB627" i="1" s="1"/>
  <c r="Z628" i="1"/>
  <c r="AB628" i="1" s="1"/>
  <c r="Z629" i="1"/>
  <c r="AB629" i="1" s="1"/>
  <c r="Z630" i="1"/>
  <c r="AB630" i="1" s="1"/>
  <c r="Z631" i="1"/>
  <c r="AB631" i="1" s="1"/>
  <c r="Z632" i="1"/>
  <c r="AB632" i="1" s="1"/>
  <c r="Z633" i="1"/>
  <c r="AB633" i="1" s="1"/>
  <c r="Z634" i="1"/>
  <c r="AB634" i="1" s="1"/>
  <c r="Z635" i="1"/>
  <c r="AB635" i="1" s="1"/>
  <c r="Z637" i="1"/>
  <c r="AB637" i="1" s="1"/>
  <c r="Z638" i="1"/>
  <c r="AB638" i="1" s="1"/>
  <c r="Z639" i="1"/>
  <c r="AB639" i="1" s="1"/>
  <c r="Z640" i="1"/>
  <c r="AB640" i="1" s="1"/>
  <c r="Z641" i="1"/>
  <c r="AB641" i="1" s="1"/>
  <c r="Z642" i="1"/>
  <c r="AB642" i="1" s="1"/>
  <c r="Z643" i="1"/>
  <c r="AB643" i="1" s="1"/>
  <c r="Z644" i="1"/>
  <c r="AB644" i="1" s="1"/>
  <c r="Z645" i="1"/>
  <c r="AB645" i="1" s="1"/>
  <c r="Z646" i="1"/>
  <c r="Z648" i="1"/>
  <c r="AB648" i="1" s="1"/>
  <c r="Z649" i="1"/>
  <c r="AB649" i="1" s="1"/>
  <c r="Z650" i="1"/>
  <c r="AB650" i="1" s="1"/>
  <c r="Z651" i="1"/>
  <c r="AB651" i="1" s="1"/>
  <c r="Z652" i="1"/>
  <c r="AB652" i="1" s="1"/>
  <c r="Z653" i="1"/>
  <c r="AB653" i="1" s="1"/>
  <c r="Z654" i="1"/>
  <c r="AB654" i="1" s="1"/>
  <c r="Z655" i="1"/>
  <c r="AB655" i="1" s="1"/>
  <c r="Z656" i="1"/>
  <c r="AB656" i="1" s="1"/>
  <c r="Z657" i="1"/>
  <c r="AB657" i="1" s="1"/>
  <c r="Z658" i="1"/>
  <c r="AB658" i="1" s="1"/>
  <c r="Z659" i="1"/>
  <c r="AB659" i="1" s="1"/>
  <c r="Z660" i="1"/>
  <c r="AB660" i="1" s="1"/>
  <c r="Z661" i="1"/>
  <c r="AB661" i="1" s="1"/>
  <c r="Z662" i="1"/>
  <c r="AB662" i="1" s="1"/>
  <c r="Z663" i="1"/>
  <c r="AB663" i="1" s="1"/>
  <c r="Z664" i="1"/>
  <c r="AB664" i="1" s="1"/>
  <c r="Z665" i="1"/>
  <c r="AB665" i="1" s="1"/>
  <c r="Z666" i="1"/>
  <c r="AB666" i="1" s="1"/>
  <c r="Z667" i="1"/>
  <c r="AB667" i="1" s="1"/>
  <c r="Z668" i="1"/>
  <c r="AB668" i="1" s="1"/>
  <c r="Z669" i="1"/>
  <c r="AB669" i="1" s="1"/>
  <c r="Z670" i="1"/>
  <c r="AB670" i="1" s="1"/>
  <c r="Z671" i="1"/>
  <c r="AB671" i="1" s="1"/>
  <c r="Z672" i="1"/>
  <c r="AB672" i="1" s="1"/>
  <c r="Z673" i="1"/>
  <c r="AB673" i="1" s="1"/>
  <c r="Z674" i="1"/>
  <c r="AB674" i="1" s="1"/>
  <c r="Z675" i="1"/>
  <c r="AB675" i="1" s="1"/>
  <c r="Z676" i="1"/>
  <c r="AB676" i="1" s="1"/>
  <c r="Z677" i="1"/>
  <c r="AB677" i="1" s="1"/>
  <c r="Z678" i="1"/>
  <c r="AB678" i="1" s="1"/>
  <c r="Z679" i="1"/>
  <c r="AB679" i="1" s="1"/>
  <c r="Z680" i="1"/>
  <c r="AB680" i="1" s="1"/>
  <c r="Z681" i="1"/>
  <c r="AB681" i="1" s="1"/>
  <c r="Z682" i="1"/>
  <c r="AB682" i="1" s="1"/>
  <c r="Z683" i="1"/>
  <c r="AB683" i="1" s="1"/>
  <c r="Z684" i="1"/>
  <c r="AB684" i="1" s="1"/>
  <c r="Z685" i="1"/>
  <c r="AB685" i="1" s="1"/>
  <c r="Z686" i="1"/>
  <c r="AB686" i="1" s="1"/>
  <c r="Z687" i="1"/>
  <c r="AB687" i="1" s="1"/>
  <c r="Z688" i="1"/>
  <c r="AB688" i="1" s="1"/>
  <c r="Z689" i="1"/>
  <c r="AB689" i="1" s="1"/>
  <c r="Z691" i="1"/>
  <c r="AB691" i="1" s="1"/>
  <c r="Z692" i="1"/>
  <c r="AB692" i="1" s="1"/>
  <c r="Z693" i="1"/>
  <c r="AB693" i="1" s="1"/>
  <c r="Z694" i="1"/>
  <c r="AB694" i="1" s="1"/>
  <c r="Z695" i="1"/>
  <c r="AB695" i="1" s="1"/>
  <c r="Z696" i="1"/>
  <c r="AB696" i="1" s="1"/>
  <c r="Z697" i="1"/>
  <c r="AB697" i="1" s="1"/>
  <c r="Z698" i="1"/>
  <c r="AB698" i="1" s="1"/>
  <c r="Z699" i="1"/>
  <c r="AB699" i="1" s="1"/>
  <c r="Z700" i="1"/>
  <c r="AB700" i="1" s="1"/>
  <c r="Z701" i="1"/>
  <c r="AB701" i="1" s="1"/>
  <c r="Z702" i="1"/>
  <c r="AB702" i="1" s="1"/>
  <c r="Z703" i="1"/>
  <c r="AB703" i="1" s="1"/>
  <c r="Z704" i="1"/>
  <c r="AB704" i="1" s="1"/>
  <c r="Z705" i="1"/>
  <c r="AB705" i="1" s="1"/>
  <c r="Z706" i="1"/>
  <c r="AB706" i="1" s="1"/>
  <c r="Z707" i="1"/>
  <c r="AB707" i="1" s="1"/>
  <c r="Z708" i="1"/>
  <c r="AB708" i="1" s="1"/>
  <c r="Z709" i="1"/>
  <c r="AB709" i="1" s="1"/>
  <c r="Z710" i="1"/>
  <c r="AB710" i="1" s="1"/>
  <c r="Z711" i="1"/>
  <c r="AB711" i="1" s="1"/>
  <c r="Z712" i="1"/>
  <c r="AB712" i="1" s="1"/>
  <c r="Z713" i="1"/>
  <c r="AB713" i="1" s="1"/>
  <c r="Z714" i="1"/>
  <c r="AB714" i="1" s="1"/>
  <c r="Z715" i="1"/>
  <c r="AB715" i="1" s="1"/>
  <c r="Z716" i="1"/>
  <c r="AB716" i="1" s="1"/>
  <c r="Z717" i="1"/>
  <c r="AB717" i="1" s="1"/>
  <c r="Z718" i="1"/>
  <c r="AB718" i="1" s="1"/>
  <c r="Z719" i="1"/>
  <c r="AB719" i="1" s="1"/>
  <c r="Z720" i="1"/>
  <c r="AB720" i="1" s="1"/>
  <c r="AB721" i="1"/>
  <c r="Z722" i="1"/>
  <c r="AB722" i="1" s="1"/>
  <c r="Z723" i="1"/>
  <c r="AB723" i="1" s="1"/>
  <c r="Z724" i="1"/>
  <c r="AB724" i="1" s="1"/>
  <c r="Z725" i="1"/>
  <c r="AB725" i="1" s="1"/>
  <c r="Z726" i="1"/>
  <c r="AB726" i="1" s="1"/>
  <c r="Z727" i="1"/>
  <c r="AB727" i="1" s="1"/>
  <c r="Z728" i="1"/>
  <c r="AB728" i="1" s="1"/>
  <c r="Z729" i="1"/>
  <c r="AB729" i="1" s="1"/>
  <c r="Z730" i="1"/>
  <c r="AB730" i="1" s="1"/>
  <c r="Z731" i="1"/>
  <c r="AB731" i="1" s="1"/>
  <c r="Z732" i="1"/>
  <c r="AB732" i="1" s="1"/>
  <c r="Z733" i="1"/>
  <c r="AB733" i="1" s="1"/>
  <c r="Z734" i="1"/>
  <c r="AB734" i="1" s="1"/>
  <c r="Z735" i="1"/>
  <c r="AB735" i="1" s="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B74" i="1"/>
  <c r="AB690" i="1"/>
  <c r="A221" i="1" l="1" a="1"/>
  <c r="A288" i="1" a="1"/>
  <c r="A343" i="1" a="1"/>
  <c r="A557" i="1" a="1"/>
  <c r="A196" i="1" a="1"/>
  <c r="A554" i="1" a="1"/>
  <c r="A48" i="1" a="1"/>
  <c r="A286" i="1" a="1"/>
  <c r="A564" i="1" a="1"/>
  <c r="A197" i="1" a="1"/>
  <c r="A47" i="1" a="1"/>
  <c r="A63" i="1" a="1"/>
  <c r="A41" i="1" a="1"/>
  <c r="A195" i="1" a="1"/>
  <c r="A46" i="1" a="1"/>
  <c r="A198" i="1" a="1"/>
  <c r="A235" i="1" a="1"/>
  <c r="A568" i="1" a="1"/>
  <c r="A562" i="1" a="1"/>
  <c r="A463" i="1" a="1"/>
  <c r="A417" i="1" a="1"/>
  <c r="A345" i="1" a="1"/>
  <c r="A566" i="1" a="1"/>
  <c r="A224" i="1" a="1"/>
  <c r="A223" i="1" a="1"/>
  <c r="A222" i="1" a="1"/>
  <c r="A563" i="1" a="1"/>
  <c r="A555" i="1" a="1"/>
  <c r="A225" i="1" a="1"/>
  <c r="A353" i="1" a="1"/>
  <c r="A567" i="1" a="1"/>
  <c r="A561" i="1" a="1"/>
  <c r="A556" i="1" a="1"/>
  <c r="A565" i="1" a="1"/>
  <c r="A288" i="1" l="1"/>
  <c r="A568" i="1"/>
  <c r="A566" i="1"/>
  <c r="A564" i="1"/>
  <c r="A562" i="1"/>
  <c r="A63" i="1"/>
  <c r="A556" i="1"/>
  <c r="A555" i="1"/>
  <c r="A554" i="1"/>
  <c r="A345" i="1"/>
  <c r="A47" i="1"/>
  <c r="A235" i="1"/>
  <c r="A221" i="1"/>
  <c r="A196" i="1"/>
  <c r="A46" i="1"/>
  <c r="A224" i="1"/>
  <c r="A417" i="1"/>
  <c r="A195" i="1"/>
  <c r="A286" i="1"/>
  <c r="A567" i="1"/>
  <c r="A565" i="1"/>
  <c r="A563" i="1"/>
  <c r="A561" i="1"/>
  <c r="A557" i="1"/>
  <c r="A463" i="1"/>
  <c r="A225" i="1"/>
  <c r="A343" i="1"/>
  <c r="A41" i="1"/>
  <c r="A223" i="1"/>
  <c r="A198" i="1"/>
  <c r="A48" i="1"/>
  <c r="A353" i="1"/>
  <c r="A222" i="1"/>
  <c r="A197" i="1"/>
  <c r="A728" i="1" a="1"/>
  <c r="A733" i="1" a="1"/>
  <c r="A560" i="1" a="1"/>
  <c r="A191" i="1" a="1"/>
  <c r="A171" i="1" a="1"/>
  <c r="A37" i="1" a="1"/>
  <c r="A295" i="1" a="1"/>
  <c r="A336" i="1" a="1"/>
  <c r="A551" i="1" a="1"/>
  <c r="A266" i="1" a="1"/>
  <c r="A89" i="1" a="1"/>
  <c r="A3" i="1" a="1"/>
  <c r="A294" i="1" a="1"/>
  <c r="A138" i="1" a="1"/>
  <c r="A427" i="1" a="1"/>
  <c r="A242" i="1" a="1"/>
  <c r="A50" i="1" a="1"/>
  <c r="A395" i="1" a="1"/>
  <c r="A35" i="1" a="1"/>
  <c r="A529" i="1" a="1"/>
  <c r="A75" i="1" a="1"/>
  <c r="A501" i="1" a="1"/>
  <c r="A232" i="1" a="1"/>
  <c r="A354" i="1" a="1"/>
  <c r="A465" i="1" a="1"/>
  <c r="A632" i="1" a="1"/>
  <c r="A394" i="1" a="1"/>
  <c r="A500" i="1" a="1"/>
  <c r="A426" i="1" a="1"/>
  <c r="A575" i="1" a="1"/>
  <c r="A584" i="1" a="1"/>
  <c r="A518" i="1" a="1"/>
  <c r="A408" i="1" a="1"/>
  <c r="A718" i="1" a="1"/>
  <c r="A428" i="1" a="1"/>
  <c r="A265" i="1" a="1"/>
  <c r="A346" i="1" a="1"/>
  <c r="A338" i="1" a="1"/>
  <c r="A648" i="1" a="1"/>
  <c r="A622" i="1" a="1"/>
  <c r="A153" i="1" a="1"/>
  <c r="A82" i="1" a="1"/>
  <c r="A573" i="1" a="1"/>
  <c r="A340" i="1" a="1"/>
  <c r="A625" i="1" a="1"/>
  <c r="A149" i="1" a="1"/>
  <c r="A600" i="1" a="1"/>
  <c r="A255" i="1" a="1"/>
  <c r="A677" i="1" a="1"/>
  <c r="A468" i="1" a="1"/>
  <c r="A135" i="1" a="1"/>
  <c r="A433" i="1" a="1"/>
  <c r="A9" i="1" a="1"/>
  <c r="A228" i="1" a="1"/>
  <c r="A576" i="1" a="1"/>
  <c r="A538" i="1" a="1"/>
  <c r="A289" i="1" a="1"/>
  <c r="A438" i="1" a="1"/>
  <c r="A643" i="1" a="1"/>
  <c r="A62" i="1" a="1"/>
  <c r="A469" i="1" a="1"/>
  <c r="A615" i="1" a="1"/>
  <c r="A435" i="1" a="1"/>
  <c r="A443" i="1" a="1"/>
  <c r="A482" i="1" a="1"/>
  <c r="A646" i="1" a="1"/>
  <c r="A299" i="1" a="1"/>
  <c r="A59" i="1" a="1"/>
  <c r="A107" i="1" a="1"/>
  <c r="A4" i="1" a="1"/>
  <c r="A131" i="1" a="1"/>
  <c r="A389" i="1" a="1"/>
  <c r="A543" i="1" a="1"/>
  <c r="A202" i="1" a="1"/>
  <c r="A495" i="1" a="1"/>
  <c r="A152" i="1" a="1"/>
  <c r="A13" i="1" a="1"/>
  <c r="A477" i="1" a="1"/>
  <c r="A201" i="1" a="1"/>
  <c r="A114" i="1" a="1"/>
  <c r="A640" i="1" a="1"/>
  <c r="A53" i="1" a="1"/>
  <c r="A110" i="1" a="1"/>
  <c r="A30" i="1" a="1"/>
  <c r="A672" i="1" a="1"/>
  <c r="A203" i="1" a="1"/>
  <c r="A361" i="1" a="1"/>
  <c r="A620" i="1" a="1"/>
  <c r="A508" i="1" a="1"/>
  <c r="A257" i="1" a="1"/>
  <c r="A658" i="1" a="1"/>
  <c r="A334" i="1" a="1"/>
  <c r="A355" i="1" a="1"/>
  <c r="A180" i="1" a="1"/>
  <c r="A283" i="1" a="1"/>
  <c r="A302" i="1" a="1"/>
  <c r="A450" i="1" a="1"/>
  <c r="A462" i="1" a="1"/>
  <c r="A431" i="1" a="1"/>
  <c r="A291" i="1" a="1"/>
  <c r="A95" i="1" a="1"/>
  <c r="A721" i="1" a="1"/>
  <c r="A735" i="1" a="1"/>
  <c r="A194" i="1" a="1"/>
  <c r="A700" i="1" a="1"/>
  <c r="A668" i="1" a="1"/>
  <c r="A280" i="1" a="1"/>
  <c r="A373" i="1" a="1"/>
  <c r="A421" i="1" a="1"/>
  <c r="A317" i="1" a="1"/>
  <c r="A238" i="1" a="1"/>
  <c r="A661" i="1" a="1"/>
  <c r="A586" i="1" a="1"/>
  <c r="A692" i="1" a="1"/>
  <c r="A166" i="1" a="1"/>
  <c r="A40" i="1" a="1"/>
  <c r="A401" i="1" a="1"/>
  <c r="A471" i="1" a="1"/>
  <c r="A179" i="1" a="1"/>
  <c r="A275" i="1" a="1"/>
  <c r="A382" i="1" a="1"/>
  <c r="A521" i="1" a="1"/>
  <c r="A190" i="1" a="1"/>
  <c r="A629" i="1" a="1"/>
  <c r="A594" i="1" a="1"/>
  <c r="A209" i="1" a="1"/>
  <c r="A217" i="1" a="1"/>
  <c r="A144" i="1" a="1"/>
  <c r="A347" i="1" a="1"/>
  <c r="A184" i="1" a="1"/>
  <c r="A437" i="1" a="1"/>
  <c r="A15" i="1" a="1"/>
  <c r="A534" i="1" a="1"/>
  <c r="A249" i="1" a="1"/>
  <c r="A151" i="1" a="1"/>
  <c r="A207" i="1" a="1"/>
  <c r="A269" i="1" a="1"/>
  <c r="A704" i="1" a="1"/>
  <c r="A244" i="1" a="1"/>
  <c r="A574" i="1" a="1"/>
  <c r="A322" i="1" a="1"/>
  <c r="A376" i="1" a="1"/>
  <c r="A474" i="1" a="1"/>
  <c r="A252" i="1" a="1"/>
  <c r="A662" i="1" a="1"/>
  <c r="A517" i="1" a="1"/>
  <c r="A502" i="1" a="1"/>
  <c r="A206" i="1" a="1"/>
  <c r="A218" i="1" a="1"/>
  <c r="A375" i="1" a="1"/>
  <c r="A81" i="1" a="1"/>
  <c r="A311" i="1" a="1"/>
  <c r="A533" i="1" a="1"/>
  <c r="A655" i="1" a="1"/>
  <c r="A200" i="1" a="1"/>
  <c r="A523" i="1" a="1"/>
  <c r="A702" i="1" a="1"/>
  <c r="A548" i="1" a="1"/>
  <c r="A712" i="1" a="1"/>
  <c r="A352" i="1" a="1"/>
  <c r="A384" i="1" a="1"/>
  <c r="A227" i="1" a="1"/>
  <c r="A515" i="1" a="1"/>
  <c r="A234" i="1" a="1"/>
  <c r="A690" i="1" a="1"/>
  <c r="A664" i="1" a="1"/>
  <c r="A77" i="1" a="1"/>
  <c r="A717" i="1" a="1"/>
  <c r="A520" i="1" a="1"/>
  <c r="A686" i="1" a="1"/>
  <c r="A695" i="1" a="1"/>
  <c r="A380" i="1" a="1"/>
  <c r="A124" i="1" a="1"/>
  <c r="A330" i="1" a="1"/>
  <c r="A385" i="1" a="1"/>
  <c r="A699" i="1" a="1"/>
  <c r="A254" i="1" a="1"/>
  <c r="A74" i="1" a="1"/>
  <c r="A300" i="1" a="1"/>
  <c r="A542" i="1" a="1"/>
  <c r="A545" i="1" a="1"/>
  <c r="A657" i="1" a="1"/>
  <c r="A158" i="1" a="1"/>
  <c r="A127" i="1" a="1"/>
  <c r="A263" i="1" a="1"/>
  <c r="A231" i="1" a="1"/>
  <c r="A243" i="1" a="1"/>
  <c r="A183" i="1" a="1"/>
  <c r="A65" i="1" a="1"/>
  <c r="A173" i="1" a="1"/>
  <c r="A590" i="1" a="1"/>
  <c r="A464" i="1" a="1"/>
  <c r="A419" i="1" a="1"/>
  <c r="A675" i="1" a="1"/>
  <c r="A316" i="1" a="1"/>
  <c r="A146" i="1" a="1"/>
  <c r="A34" i="1" a="1"/>
  <c r="A693" i="1" a="1"/>
  <c r="A132" i="1" a="1"/>
  <c r="A365" i="1" a="1"/>
  <c r="A310" i="1" a="1"/>
  <c r="A392" i="1" a="1"/>
  <c r="A381" i="1" a="1"/>
  <c r="A731" i="1" a="1"/>
  <c r="A628" i="1" a="1"/>
  <c r="A486" i="1" a="1"/>
  <c r="A73" i="1" a="1"/>
  <c r="A284" i="1" a="1"/>
  <c r="A630" i="1" a="1"/>
  <c r="A176" i="1" a="1"/>
  <c r="A268" i="1" a="1"/>
  <c r="A169" i="1" a="1"/>
  <c r="A64" i="1" a="1"/>
  <c r="A621" i="1" a="1"/>
  <c r="A706" i="1" a="1"/>
  <c r="A391" i="1" a="1"/>
  <c r="A362" i="1" a="1"/>
  <c r="A10" i="1" a="1"/>
  <c r="A709" i="1" a="1"/>
  <c r="A369" i="1" a="1"/>
  <c r="A140" i="1" a="1"/>
  <c r="A475" i="1" a="1"/>
  <c r="A687" i="1" a="1"/>
  <c r="A424" i="1" a="1"/>
  <c r="A115" i="1" a="1"/>
  <c r="A162" i="1" a="1"/>
  <c r="A245" i="1" a="1"/>
  <c r="A43" i="1" a="1"/>
  <c r="A665" i="1" a="1"/>
  <c r="A188" i="1" a="1"/>
  <c r="A250" i="1" a="1"/>
  <c r="A327" i="1" a="1"/>
  <c r="A121" i="1" a="1"/>
  <c r="A97" i="1" a="1"/>
  <c r="A589" i="1" a="1"/>
  <c r="A598" i="1" a="1"/>
  <c r="A451" i="1" a="1"/>
  <c r="A213" i="1" a="1"/>
  <c r="A71" i="1" a="1"/>
  <c r="A145" i="1" a="1"/>
  <c r="A635" i="1" a="1"/>
  <c r="A386" i="1" a="1"/>
  <c r="A434" i="1" a="1"/>
  <c r="A351" i="1" a="1"/>
  <c r="A226" i="1" a="1"/>
  <c r="A637" i="1" a="1"/>
  <c r="A626" i="1" a="1"/>
  <c r="A448" i="1" a="1"/>
  <c r="A488" i="1" a="1"/>
  <c r="A101" i="1" a="1"/>
  <c r="A178" i="1" a="1"/>
  <c r="A259" i="1" a="1"/>
  <c r="A525" i="1" a="1"/>
  <c r="A61" i="1" a="1"/>
  <c r="A524" i="1" a="1"/>
  <c r="A359" i="1" a="1"/>
  <c r="A650" i="1" a="1"/>
  <c r="A111" i="1" a="1"/>
  <c r="A337" i="1" a="1"/>
  <c r="A5" i="1" a="1"/>
  <c r="A633" i="1" a="1"/>
  <c r="A216" i="1" a="1"/>
  <c r="A667" i="1" a="1"/>
  <c r="A558" i="1" a="1"/>
  <c r="A103" i="1" a="1"/>
  <c r="A181" i="1" a="1"/>
  <c r="A315" i="1" a="1"/>
  <c r="A476" i="1" a="1"/>
  <c r="A654" i="1" a="1"/>
  <c r="A76" i="1" a="1"/>
  <c r="A247" i="1" a="1"/>
  <c r="A552" i="1" a="1"/>
  <c r="A142" i="1" a="1"/>
  <c r="A390" i="1" a="1"/>
  <c r="A688" i="1" a="1"/>
  <c r="A595" i="1" a="1"/>
  <c r="A492" i="1" a="1"/>
  <c r="A296" i="1" a="1"/>
  <c r="A276" i="1" a="1"/>
  <c r="A652" i="1" a="1"/>
  <c r="A98" i="1" a="1"/>
  <c r="A17" i="1" a="1"/>
  <c r="A210" i="1" a="1"/>
  <c r="A613" i="1" a="1"/>
  <c r="A604" i="1" a="1"/>
  <c r="A457" i="1" a="1"/>
  <c r="A23" i="1" a="1"/>
  <c r="A348" i="1" a="1"/>
  <c r="A147" i="1" a="1"/>
  <c r="A442" i="1" a="1"/>
  <c r="A727" i="1" a="1"/>
  <c r="A610" i="1" a="1"/>
  <c r="A398" i="1" a="1"/>
  <c r="A544" i="1" a="1"/>
  <c r="A349" i="1" a="1"/>
  <c r="A163" i="1" a="1"/>
  <c r="A360" i="1" a="1"/>
  <c r="A404" i="1" a="1"/>
  <c r="A297" i="1" a="1"/>
  <c r="A92" i="1" a="1"/>
  <c r="A660" i="1" a="1"/>
  <c r="A429" i="1" a="1"/>
  <c r="A125" i="1" a="1"/>
  <c r="A445" i="1" a="1"/>
  <c r="A723" i="1" a="1"/>
  <c r="A725" i="1" a="1"/>
  <c r="A459" i="1" a="1"/>
  <c r="A58" i="1" a="1"/>
  <c r="A676" i="1" a="1"/>
  <c r="A461" i="1" a="1"/>
  <c r="A130" i="1" a="1"/>
  <c r="A399" i="1" a="1"/>
  <c r="A460" i="1" a="1"/>
  <c r="A137" i="1" a="1"/>
  <c r="A229" i="1" a="1"/>
  <c r="A84" i="1" a="1"/>
  <c r="A532" i="1" a="1"/>
  <c r="A246" i="1" a="1"/>
  <c r="A453" i="1" a="1"/>
  <c r="A27" i="1" a="1"/>
  <c r="A219" i="1" a="1"/>
  <c r="A134" i="1" a="1"/>
  <c r="A236" i="1" a="1"/>
  <c r="A481" i="1" a="1"/>
  <c r="A106" i="1" a="1"/>
  <c r="A182" i="1" a="1"/>
  <c r="A22" i="1" a="1"/>
  <c r="A559" i="1" a="1"/>
  <c r="A412" i="1" a="1"/>
  <c r="A52" i="1" a="1"/>
  <c r="A627" i="1" a="1"/>
  <c r="A267" i="1" a="1"/>
  <c r="A705" i="1" a="1"/>
  <c r="A253" i="1" a="1"/>
  <c r="A325" i="1" a="1"/>
  <c r="A100" i="1" a="1"/>
  <c r="A261" i="1" a="1"/>
  <c r="A711" i="1" a="1"/>
  <c r="A29" i="1" a="1"/>
  <c r="A328" i="1" a="1"/>
  <c r="A413" i="1" a="1"/>
  <c r="A430" i="1" a="1"/>
  <c r="A418" i="1" a="1"/>
  <c r="A388" i="1" a="1"/>
  <c r="A691" i="1" a="1"/>
  <c r="A368" i="1" a="1"/>
  <c r="A6" i="1" a="1"/>
  <c r="A484" i="1" a="1"/>
  <c r="A656" i="1" a="1"/>
  <c r="A553" i="1" a="1"/>
  <c r="A423" i="1" a="1"/>
  <c r="A719" i="1" a="1"/>
  <c r="A415" i="1" a="1"/>
  <c r="A230" i="1" a="1"/>
  <c r="A393" i="1" a="1"/>
  <c r="A689" i="1" a="1"/>
  <c r="A485" i="1" a="1"/>
  <c r="A193" i="1" a="1"/>
  <c r="A535" i="1" a="1"/>
  <c r="A159" i="1" a="1"/>
  <c r="A96" i="1" a="1"/>
  <c r="A522" i="1" a="1"/>
  <c r="A90" i="1" a="1"/>
  <c r="A467" i="1" a="1"/>
  <c r="A577" i="1" a="1"/>
  <c r="A366" i="1" a="1"/>
  <c r="A292" i="1" a="1"/>
  <c r="A172" i="1" a="1"/>
  <c r="A312" i="1" a="1"/>
  <c r="A540" i="1" a="1"/>
  <c r="A411" i="1" a="1"/>
  <c r="A414" i="1" a="1"/>
  <c r="A329" i="1" a="1"/>
  <c r="A326" i="1" a="1"/>
  <c r="A314" i="1" a="1"/>
  <c r="A593" i="1" a="1"/>
  <c r="A572" i="1" a="1"/>
  <c r="A503" i="1" a="1"/>
  <c r="A619" i="1" a="1"/>
  <c r="A189" i="1" a="1"/>
  <c r="A42" i="1" a="1"/>
  <c r="A36" i="1" a="1"/>
  <c r="A483" i="1" a="1"/>
  <c r="A364" i="1" a="1"/>
  <c r="A215" i="1" a="1"/>
  <c r="A472" i="1" a="1"/>
  <c r="A489" i="1" a="1"/>
  <c r="A78" i="1" a="1"/>
  <c r="A108" i="1" a="1"/>
  <c r="A83" i="1" a="1"/>
  <c r="A143" i="1" a="1"/>
  <c r="A66" i="1" a="1"/>
  <c r="A504" i="1" a="1"/>
  <c r="A86" i="1" a="1"/>
  <c r="A722" i="1" a="1"/>
  <c r="A724" i="1" a="1"/>
  <c r="A45" i="1" a="1"/>
  <c r="A260" i="1" a="1"/>
  <c r="A273" i="1" a="1"/>
  <c r="A157" i="1" a="1"/>
  <c r="A513" i="1" a="1"/>
  <c r="A54" i="1" a="1"/>
  <c r="A18" i="1" a="1"/>
  <c r="A241" i="1" a="1"/>
  <c r="A85" i="1" a="1"/>
  <c r="A272" i="1" a="1"/>
  <c r="A320" i="1" a="1"/>
  <c r="A31" i="1" a="1"/>
  <c r="A647" i="1" a="1"/>
  <c r="A546" i="1" a="1"/>
  <c r="A175" i="1" a="1"/>
  <c r="A402" i="1" a="1"/>
  <c r="A167" i="1" a="1"/>
  <c r="A641" i="1" a="1"/>
  <c r="A539" i="1" a="1"/>
  <c r="A410" i="1" a="1"/>
  <c r="A49" i="1" a="1"/>
  <c r="A603" i="1" a="1"/>
  <c r="A490" i="1" a="1"/>
  <c r="A39" i="1" a="1"/>
  <c r="A214" i="1" a="1"/>
  <c r="A324" i="1" a="1"/>
  <c r="A69" i="1" a="1"/>
  <c r="A237" i="1" a="1"/>
  <c r="A624" i="1" a="1"/>
  <c r="A452" i="1" a="1"/>
  <c r="A281" i="1" a="1"/>
  <c r="A309" i="1" a="1"/>
  <c r="A498" i="1" a="1"/>
  <c r="A649" i="1" a="1"/>
  <c r="A527" i="1" a="1"/>
  <c r="A44" i="1" a="1"/>
  <c r="A397" i="1" a="1"/>
  <c r="A602" i="1" a="1"/>
  <c r="A579" i="1" a="1"/>
  <c r="A126" i="1" a="1"/>
  <c r="A710" i="1" a="1"/>
  <c r="A251" i="1" a="1"/>
  <c r="A116" i="1" a="1"/>
  <c r="A233" i="1" a="1"/>
  <c r="A339" i="1" a="1"/>
  <c r="A264" i="1" a="1"/>
  <c r="A549" i="1" a="1"/>
  <c r="A185" i="1" a="1"/>
  <c r="A177" i="1" a="1"/>
  <c r="A21" i="1" a="1"/>
  <c r="A634" i="1" a="1"/>
  <c r="A596" i="1" a="1"/>
  <c r="A578" i="1" a="1"/>
  <c r="A32" i="1" a="1"/>
  <c r="A28" i="1" a="1"/>
  <c r="A614" i="1" a="1"/>
  <c r="A597" i="1" a="1"/>
  <c r="A377" i="1" a="1"/>
  <c r="A491" i="1" a="1"/>
  <c r="A444" i="1" a="1"/>
  <c r="A581" i="1" a="1"/>
  <c r="A670" i="1" a="1"/>
  <c r="A580" i="1" a="1"/>
  <c r="A406" i="1" a="1"/>
  <c r="A698" i="1" a="1"/>
  <c r="A88" i="1" a="1"/>
  <c r="A707" i="1" a="1"/>
  <c r="A332" i="1" a="1"/>
  <c r="A716" i="1" a="1"/>
  <c r="A599" i="1" a="1"/>
  <c r="A129" i="1" a="1"/>
  <c r="A128" i="1" a="1"/>
  <c r="A14" i="1" a="1"/>
  <c r="A487" i="1" a="1"/>
  <c r="A208" i="1" a="1"/>
  <c r="A697" i="1" a="1"/>
  <c r="A645" i="1" a="1"/>
  <c r="A262" i="1" a="1"/>
  <c r="A608" i="1" a="1"/>
  <c r="A204" i="1" a="1"/>
  <c r="A530" i="1" a="1"/>
  <c r="A449" i="1" a="1"/>
  <c r="A57" i="1" a="1"/>
  <c r="A439" i="1" a="1"/>
  <c r="A136" i="1" a="1"/>
  <c r="A133" i="1" a="1"/>
  <c r="A240" i="1" a="1"/>
  <c r="A38" i="1" a="1"/>
  <c r="A170" i="1" a="1"/>
  <c r="A466" i="1" a="1"/>
  <c r="A713" i="1" a="1"/>
  <c r="A550" i="1" a="1"/>
  <c r="A425" i="1" a="1"/>
  <c r="A644" i="1" a="1"/>
  <c r="A681" i="1" a="1"/>
  <c r="A446" i="1" a="1"/>
  <c r="A455" i="1" a="1"/>
  <c r="A287" i="1" a="1"/>
  <c r="A387" i="1" a="1"/>
  <c r="A456" i="1" a="1"/>
  <c r="A726" i="1" a="1"/>
  <c r="A68" i="1" a="1"/>
  <c r="A306" i="1" a="1"/>
  <c r="A378" i="1" a="1"/>
  <c r="A2" i="1" a="1"/>
  <c r="A122" i="1" a="1"/>
  <c r="A683" i="1" a="1"/>
  <c r="A671" i="1" a="1"/>
  <c r="A617" i="1" a="1"/>
  <c r="A239" i="1" a="1"/>
  <c r="A333" i="1" a="1"/>
  <c r="A680" i="1" a="1"/>
  <c r="A506" i="1" a="1"/>
  <c r="A80" i="1" a="1"/>
  <c r="A304" i="1" a="1"/>
  <c r="A666" i="1" a="1"/>
  <c r="A631" i="1" a="1"/>
  <c r="A638" i="1" a="1"/>
  <c r="A113" i="1" a="1"/>
  <c r="A478" i="1" a="1"/>
  <c r="A591" i="1" a="1"/>
  <c r="A99" i="1" a="1"/>
  <c r="A509" i="1" a="1"/>
  <c r="A409" i="1" a="1"/>
  <c r="A79" i="1" a="1"/>
  <c r="A313" i="1" a="1"/>
  <c r="A356" i="1" a="1"/>
  <c r="A341" i="1" a="1"/>
  <c r="A331" i="1" a="1"/>
  <c r="A319" i="1" a="1"/>
  <c r="A440" i="1" a="1"/>
  <c r="A104" i="1" a="1"/>
  <c r="A420" i="1" a="1"/>
  <c r="A669" i="1" a="1"/>
  <c r="A607" i="1" a="1"/>
  <c r="A592" i="1" a="1"/>
  <c r="A499" i="1" a="1"/>
  <c r="A703" i="1" a="1"/>
  <c r="A199" i="1" a="1"/>
  <c r="A659" i="1" a="1"/>
  <c r="A211" i="1" a="1"/>
  <c r="A344" i="1" a="1"/>
  <c r="A422" i="1" a="1"/>
  <c r="A383" i="1" a="1"/>
  <c r="A405" i="1" a="1"/>
  <c r="A367" i="1" a="1"/>
  <c r="A102" i="1" a="1"/>
  <c r="A87" i="1" a="1"/>
  <c r="A123" i="1" a="1"/>
  <c r="A639" i="1" a="1"/>
  <c r="A293" i="1" a="1"/>
  <c r="A192" i="1" a="1"/>
  <c r="A585" i="1" a="1"/>
  <c r="A536" i="1" a="1"/>
  <c r="A510" i="1" a="1"/>
  <c r="A618" i="1" a="1"/>
  <c r="A497" i="1" a="1"/>
  <c r="A685" i="1" a="1"/>
  <c r="A694" i="1" a="1"/>
  <c r="A105" i="1" a="1"/>
  <c r="A570" i="1" a="1"/>
  <c r="A479" i="1" a="1"/>
  <c r="A612" i="1" a="1"/>
  <c r="A285" i="1" a="1"/>
  <c r="A494" i="1" a="1"/>
  <c r="A321" i="1" a="1"/>
  <c r="A323" i="1" a="1"/>
  <c r="A112" i="1" a="1"/>
  <c r="A274" i="1" a="1"/>
  <c r="A507" i="1" a="1"/>
  <c r="A470" i="1" a="1"/>
  <c r="A396" i="1" a="1"/>
  <c r="A370" i="1" a="1"/>
  <c r="A150" i="1" a="1"/>
  <c r="A441" i="1" a="1"/>
  <c r="A282" i="1" a="1"/>
  <c r="A606" i="1" a="1"/>
  <c r="A473" i="1" a="1"/>
  <c r="A512" i="1" a="1"/>
  <c r="A11" i="1" a="1"/>
  <c r="A416" i="1" a="1"/>
  <c r="A511" i="1" a="1"/>
  <c r="A447" i="1" a="1"/>
  <c r="A318" i="1" a="1"/>
  <c r="A616" i="1" a="1"/>
  <c r="A651" i="1" a="1"/>
  <c r="A403" i="1" a="1"/>
  <c r="A678" i="1" a="1"/>
  <c r="A303" i="1" a="1"/>
  <c r="A119" i="1" a="1"/>
  <c r="A305" i="1" a="1"/>
  <c r="A165" i="1" a="1"/>
  <c r="A505" i="1" a="1"/>
  <c r="A271" i="1" a="1"/>
  <c r="A663" i="1" a="1"/>
  <c r="A109" i="1" a="1"/>
  <c r="A212" i="1" a="1"/>
  <c r="A379" i="1" a="1"/>
  <c r="A493" i="1" a="1"/>
  <c r="A141" i="1" a="1"/>
  <c r="A155" i="1" a="1"/>
  <c r="A734" i="1" a="1"/>
  <c r="A729" i="1" a="1"/>
  <c r="A730" i="1" a="1"/>
  <c r="A732" i="1" a="1"/>
  <c r="A335" i="1" a="1"/>
  <c r="A7" i="1" a="1"/>
  <c r="A118" i="1" a="1"/>
  <c r="A601" i="1" a="1"/>
  <c r="A20" i="1" a="1"/>
  <c r="A588" i="1" a="1"/>
  <c r="A256" i="1" a="1"/>
  <c r="A187" i="1" a="1"/>
  <c r="A496" i="1" a="1"/>
  <c r="A12" i="1" a="1"/>
  <c r="A168" i="1" a="1"/>
  <c r="A587" i="1" a="1"/>
  <c r="A569" i="1" a="1"/>
  <c r="A673" i="1" a="1"/>
  <c r="A290" i="1" a="1"/>
  <c r="A432" i="1" a="1"/>
  <c r="A278" i="1" a="1"/>
  <c r="A25" i="1" a="1"/>
  <c r="A139" i="1" a="1"/>
  <c r="A186" i="1" a="1"/>
  <c r="A684" i="1" a="1"/>
  <c r="A67" i="1" a="1"/>
  <c r="A19" i="1" a="1"/>
  <c r="A701" i="1" a="1"/>
  <c r="A679" i="1" a="1"/>
  <c r="A91" i="1" a="1"/>
  <c r="A220" i="1" a="1"/>
  <c r="A26" i="1" a="1"/>
  <c r="A583" i="1" a="1"/>
  <c r="A205" i="1" a="1"/>
  <c r="A164" i="1" a="1"/>
  <c r="A623" i="1" a="1"/>
  <c r="A436" i="1" a="1"/>
  <c r="A531" i="1" a="1"/>
  <c r="A93" i="1" a="1"/>
  <c r="A374" i="1" a="1"/>
  <c r="A516" i="1" a="1"/>
  <c r="A277" i="1" a="1"/>
  <c r="A674" i="1" a="1"/>
  <c r="A60" i="1" a="1"/>
  <c r="A358" i="1" a="1"/>
  <c r="A720" i="1" a="1"/>
  <c r="A154" i="1" a="1"/>
  <c r="A714" i="1" a="1"/>
  <c r="A156" i="1" a="1"/>
  <c r="A653" i="1" a="1"/>
  <c r="A24" i="1" a="1"/>
  <c r="A258" i="1" a="1"/>
  <c r="A715" i="1" a="1"/>
  <c r="A16" i="1" a="1"/>
  <c r="A519" i="1" a="1"/>
  <c r="A454" i="1" a="1"/>
  <c r="A407" i="1" a="1"/>
  <c r="A308" i="1" a="1"/>
  <c r="A307" i="1" a="1"/>
  <c r="A120" i="1" a="1"/>
  <c r="A682" i="1" a="1"/>
  <c r="A642" i="1" a="1"/>
  <c r="A547" i="1" a="1"/>
  <c r="A636" i="1" a="1"/>
  <c r="A514" i="1" a="1"/>
  <c r="A72" i="1" a="1"/>
  <c r="A174" i="1" a="1"/>
  <c r="A148" i="1" a="1"/>
  <c r="A458" i="1" a="1"/>
  <c r="A571" i="1" a="1"/>
  <c r="A371" i="1" a="1"/>
  <c r="A537" i="1" a="1"/>
  <c r="A526" i="1" a="1"/>
  <c r="A298" i="1" a="1"/>
  <c r="A55" i="1" a="1"/>
  <c r="A70" i="1" a="1"/>
  <c r="A350" i="1" a="1"/>
  <c r="A161" i="1" a="1"/>
  <c r="A372" i="1" a="1"/>
  <c r="A56" i="1" a="1"/>
  <c r="A342" i="1" a="1"/>
  <c r="A51" i="1" a="1"/>
  <c r="A696" i="1" a="1"/>
  <c r="A605" i="1" a="1"/>
  <c r="A8" i="1" a="1"/>
  <c r="A160" i="1" a="1"/>
  <c r="A611" i="1" a="1"/>
  <c r="A582" i="1" a="1"/>
  <c r="A357" i="1" a="1"/>
  <c r="A480" i="1" a="1"/>
  <c r="A117" i="1" a="1"/>
  <c r="A33" i="1" a="1"/>
  <c r="A609" i="1" a="1"/>
  <c r="A270" i="1" a="1"/>
  <c r="A528" i="1" a="1"/>
  <c r="A363" i="1" a="1"/>
  <c r="A708" i="1" a="1"/>
  <c r="A94" i="1" a="1"/>
  <c r="A400" i="1" a="1"/>
  <c r="A541" i="1" a="1"/>
  <c r="A301" i="1" a="1"/>
  <c r="A279" i="1" a="1"/>
  <c r="A65" i="1" l="1"/>
  <c r="A270" i="1"/>
  <c r="A302" i="1"/>
  <c r="A280" i="1"/>
  <c r="A539" i="1"/>
  <c r="A624" i="1"/>
  <c r="A334" i="1"/>
  <c r="A403" i="1"/>
  <c r="A644" i="1"/>
  <c r="A142" i="1"/>
  <c r="A538" i="1"/>
  <c r="A724" i="1"/>
  <c r="A60" i="1"/>
  <c r="A187" i="1"/>
  <c r="A503" i="1"/>
  <c r="A38" i="1"/>
  <c r="A268" i="1"/>
  <c r="A296" i="1"/>
  <c r="A398" i="1"/>
  <c r="A172" i="1"/>
  <c r="A411" i="1"/>
  <c r="A54" i="1"/>
  <c r="A193" i="1"/>
  <c r="A633" i="1"/>
  <c r="A220" i="1"/>
  <c r="A109" i="1"/>
  <c r="A373" i="1"/>
  <c r="A377" i="1"/>
  <c r="A364" i="1"/>
  <c r="A451" i="1"/>
  <c r="A292" i="1"/>
  <c r="A689" i="1"/>
  <c r="A269" i="1"/>
  <c r="A415" i="1"/>
  <c r="A654" i="1"/>
  <c r="A609" i="1"/>
  <c r="A253" i="1"/>
  <c r="A149" i="1"/>
  <c r="A162" i="1"/>
  <c r="A45" i="1"/>
  <c r="A28" i="1"/>
  <c r="A455" i="1"/>
  <c r="A166" i="1"/>
  <c r="A375" i="1"/>
  <c r="A93" i="1"/>
  <c r="A234" i="1"/>
  <c r="A598" i="1"/>
  <c r="A123" i="1"/>
  <c r="A370" i="1"/>
  <c r="A22" i="1"/>
  <c r="A78" i="1"/>
  <c r="A692" i="1"/>
  <c r="A386" i="1"/>
  <c r="A111" i="1"/>
  <c r="A590" i="1"/>
  <c r="A135" i="1"/>
  <c r="A412" i="1"/>
  <c r="A571" i="1"/>
  <c r="A148" i="1"/>
  <c r="A686" i="1"/>
  <c r="A150" i="1"/>
  <c r="A273" i="1"/>
  <c r="A414" i="1"/>
  <c r="A73" i="1"/>
  <c r="A466" i="1"/>
  <c r="A124" i="1"/>
  <c r="A675" i="1"/>
  <c r="A560" i="1"/>
  <c r="A535" i="1"/>
  <c r="A96" i="1"/>
  <c r="A577" i="1"/>
  <c r="A6" i="1"/>
  <c r="A416" i="1"/>
  <c r="A264" i="1"/>
  <c r="A232" i="1"/>
  <c r="A684" i="1"/>
  <c r="A715" i="1"/>
  <c r="A635" i="1"/>
  <c r="A497" i="1"/>
  <c r="A44" i="1"/>
  <c r="A505" i="1"/>
  <c r="A709" i="1"/>
  <c r="A276" i="1"/>
  <c r="A76" i="1"/>
  <c r="A289" i="1"/>
  <c r="A732" i="1"/>
  <c r="A636" i="1"/>
  <c r="A584" i="1"/>
  <c r="A586" i="1"/>
  <c r="A423" i="1"/>
  <c r="A53" i="1"/>
  <c r="A424" i="1"/>
  <c r="A241" i="1"/>
  <c r="A34" i="1"/>
  <c r="A496" i="1"/>
  <c r="A311" i="1"/>
  <c r="A7" i="1"/>
  <c r="A98" i="1"/>
  <c r="A459" i="1"/>
  <c r="A325" i="1"/>
  <c r="A113" i="1"/>
  <c r="A465" i="1"/>
  <c r="A659" i="1"/>
  <c r="A515" i="1"/>
  <c r="A513" i="1"/>
  <c r="A683" i="1"/>
  <c r="A508" i="1"/>
  <c r="A207" i="1"/>
  <c r="A642" i="1"/>
  <c r="A71" i="1"/>
  <c r="A526" i="1"/>
  <c r="A202" i="1"/>
  <c r="A454" i="1"/>
  <c r="A558" i="1"/>
  <c r="A427" i="1"/>
  <c r="A389" i="1"/>
  <c r="A600" i="1"/>
  <c r="A332" i="1"/>
  <c r="A440" i="1"/>
  <c r="A237" i="1"/>
  <c r="A164" i="1"/>
  <c r="A95" i="1"/>
  <c r="A680" i="1"/>
  <c r="A177" i="1"/>
  <c r="A391" i="1"/>
  <c r="A170" i="1"/>
  <c r="A510" i="1"/>
  <c r="A42" i="1"/>
  <c r="A266" i="1"/>
  <c r="A499" i="1"/>
  <c r="A731" i="1"/>
  <c r="A473" i="1"/>
  <c r="A380" i="1"/>
  <c r="A12" i="1"/>
  <c r="A504" i="1"/>
  <c r="A285" i="1"/>
  <c r="A392" i="1"/>
  <c r="A298" i="1"/>
  <c r="A369" i="1"/>
  <c r="A84" i="1"/>
  <c r="A548" i="1"/>
  <c r="A660" i="1"/>
  <c r="A372" i="1"/>
  <c r="A337" i="1"/>
  <c r="A194" i="1"/>
  <c r="A254" i="1"/>
  <c r="A62" i="1"/>
  <c r="A204" i="1"/>
  <c r="A213" i="1"/>
  <c r="A506" i="1"/>
  <c r="A511" i="1"/>
  <c r="A61" i="1"/>
  <c r="A708" i="1"/>
  <c r="A551" i="1"/>
  <c r="A457" i="1"/>
  <c r="A260" i="1"/>
  <c r="A395" i="1"/>
  <c r="A544" i="1"/>
  <c r="A688" i="1"/>
  <c r="A528" i="1"/>
  <c r="A667" i="1"/>
  <c r="A581" i="1"/>
  <c r="A25" i="1"/>
  <c r="A407" i="1"/>
  <c r="A258" i="1"/>
  <c r="A614" i="1"/>
  <c r="A393" i="1"/>
  <c r="A384" i="1"/>
  <c r="A108" i="1"/>
  <c r="A153" i="1"/>
  <c r="A206" i="1"/>
  <c r="A616" i="1"/>
  <c r="A452" i="1"/>
  <c r="A247" i="1"/>
  <c r="A394" i="1"/>
  <c r="A390" i="1"/>
  <c r="A615" i="1"/>
  <c r="A429" i="1"/>
  <c r="A294" i="1"/>
  <c r="A130" i="1"/>
  <c r="A694" i="1"/>
  <c r="A727" i="1"/>
  <c r="A4" i="1"/>
  <c r="A470" i="1"/>
  <c r="A176" i="1"/>
  <c r="A181" i="1"/>
  <c r="A138" i="1"/>
  <c r="A674" i="1"/>
  <c r="A435" i="1"/>
  <c r="A662" i="1"/>
  <c r="A512" i="1"/>
  <c r="A661" i="1"/>
  <c r="A147" i="1"/>
  <c r="A549" i="1"/>
  <c r="A267" i="1"/>
  <c r="A179" i="1"/>
  <c r="A651" i="1"/>
  <c r="A30" i="1"/>
  <c r="A330" i="1"/>
  <c r="A536" i="1"/>
  <c r="A523" i="1"/>
  <c r="A256" i="1"/>
  <c r="A349" i="1"/>
  <c r="A32" i="1"/>
  <c r="A610" i="1"/>
  <c r="A116" i="1"/>
  <c r="A676" i="1"/>
  <c r="A3" i="1"/>
  <c r="A350" i="1"/>
  <c r="A583" i="1"/>
  <c r="A91" i="1"/>
  <c r="A490" i="1"/>
  <c r="A242" i="1"/>
  <c r="A163" i="1"/>
  <c r="A210" i="1"/>
  <c r="A271" i="1"/>
  <c r="A700" i="1"/>
  <c r="A324" i="1"/>
  <c r="A413" i="1"/>
  <c r="A154" i="1"/>
  <c r="A327" i="1"/>
  <c r="A491" i="1"/>
  <c r="A385" i="1"/>
  <c r="A401" i="1"/>
  <c r="A23" i="1"/>
  <c r="A580" i="1"/>
  <c r="A550" i="1"/>
  <c r="A640" i="1"/>
  <c r="A323" i="1"/>
  <c r="A430" i="1"/>
  <c r="A703" i="1"/>
  <c r="A15" i="1"/>
  <c r="A612" i="1"/>
  <c r="A378" i="1"/>
  <c r="A211" i="1"/>
  <c r="A649" i="1"/>
  <c r="A648" i="1"/>
  <c r="A603" i="1"/>
  <c r="A627" i="1"/>
  <c r="A183" i="1"/>
  <c r="A425" i="1"/>
  <c r="A359" i="1"/>
  <c r="A679" i="1"/>
  <c r="A530" i="1"/>
  <c r="A354" i="1"/>
  <c r="A152" i="1"/>
  <c r="A315" i="1"/>
  <c r="A257" i="1"/>
  <c r="A681" i="1"/>
  <c r="A371" i="1"/>
  <c r="A611" i="1"/>
  <c r="A501" i="1"/>
  <c r="A99" i="1"/>
  <c r="A628" i="1"/>
  <c r="A668" i="1"/>
  <c r="A182" i="1"/>
  <c r="A279" i="1"/>
  <c r="A483" i="1"/>
  <c r="A522" i="1"/>
  <c r="A525" i="1"/>
  <c r="A431" i="1"/>
  <c r="A705" i="1"/>
  <c r="A559" i="1"/>
  <c r="A575" i="1"/>
  <c r="A340" i="1"/>
  <c r="A400" i="1"/>
  <c r="A165" i="1"/>
  <c r="A86" i="1"/>
  <c r="A141" i="1"/>
  <c r="A344" i="1"/>
  <c r="A362" i="1"/>
  <c r="A582" i="1"/>
  <c r="A592" i="1"/>
  <c r="A8" i="1"/>
  <c r="A331" i="1"/>
  <c r="A468" i="1"/>
  <c r="A492" i="1"/>
  <c r="A180" i="1"/>
  <c r="A507" i="1"/>
  <c r="A357" i="1"/>
  <c r="A383" i="1"/>
  <c r="A730" i="1"/>
  <c r="A259" i="1"/>
  <c r="A245" i="1"/>
  <c r="A531" i="1"/>
  <c r="A9" i="1"/>
  <c r="A516" i="1"/>
  <c r="A572" i="1"/>
  <c r="A696" i="1"/>
  <c r="A446" i="1"/>
  <c r="A472" i="1"/>
  <c r="A326" i="1"/>
  <c r="A601" i="1"/>
  <c r="A622" i="1"/>
  <c r="A475" i="1"/>
  <c r="A588" i="1"/>
  <c r="A374" i="1"/>
  <c r="A252" i="1"/>
  <c r="A547" i="1"/>
  <c r="A328" i="1"/>
  <c r="A361" i="1"/>
  <c r="A20" i="1"/>
  <c r="A188" i="1"/>
  <c r="A278" i="1"/>
  <c r="A405" i="1"/>
  <c r="A650" i="1"/>
  <c r="A629" i="1"/>
  <c r="A480" i="1"/>
  <c r="A275" i="1"/>
  <c r="A243" i="1"/>
  <c r="A410" i="1"/>
  <c r="A447" i="1"/>
  <c r="A729" i="1"/>
  <c r="A11" i="1"/>
  <c r="A52" i="1"/>
  <c r="A593" i="1"/>
  <c r="A351" i="1"/>
  <c r="A75" i="1"/>
  <c r="A641" i="1"/>
  <c r="A339" i="1"/>
  <c r="A121" i="1"/>
  <c r="A663" i="1"/>
  <c r="A524" i="1"/>
  <c r="A336" i="1"/>
  <c r="A156" i="1"/>
  <c r="A90" i="1"/>
  <c r="A120" i="1"/>
  <c r="A19" i="1"/>
  <c r="A368" i="1"/>
  <c r="A265" i="1"/>
  <c r="A458" i="1"/>
  <c r="A103" i="1"/>
  <c r="A322" i="1"/>
  <c r="A634" i="1"/>
  <c r="A139" i="1"/>
  <c r="A456" i="1"/>
  <c r="A485" i="1"/>
  <c r="A434" i="1"/>
  <c r="A27" i="1"/>
  <c r="A277" i="1"/>
  <c r="A719" i="1"/>
  <c r="A306" i="1"/>
  <c r="A632" i="1"/>
  <c r="A304" i="1"/>
  <c r="A56" i="1"/>
  <c r="A347" i="1"/>
  <c r="A520" i="1"/>
  <c r="A184" i="1"/>
  <c r="A487" i="1"/>
  <c r="A143" i="1"/>
  <c r="A231" i="1"/>
  <c r="A185" i="1"/>
  <c r="A529" i="1"/>
  <c r="A541" i="1"/>
  <c r="A701" i="1"/>
  <c r="A249" i="1"/>
  <c r="A81" i="1"/>
  <c r="A24" i="1"/>
  <c r="A589" i="1"/>
  <c r="A131" i="1"/>
  <c r="A89" i="1"/>
  <c r="A489" i="1"/>
  <c r="A319" i="1"/>
  <c r="A283" i="1"/>
  <c r="A699" i="1"/>
  <c r="A348" i="1"/>
  <c r="A408" i="1"/>
  <c r="A64" i="1"/>
  <c r="A178" i="1"/>
  <c r="A449" i="1"/>
  <c r="A128" i="1"/>
  <c r="A716" i="1"/>
  <c r="A293" i="1"/>
  <c r="A717" i="1"/>
  <c r="A55" i="1"/>
  <c r="A309" i="1"/>
  <c r="A706" i="1"/>
  <c r="A712" i="1"/>
  <c r="A462" i="1"/>
  <c r="A527" i="1"/>
  <c r="A471" i="1"/>
  <c r="A92" i="1"/>
  <c r="A191" i="1"/>
  <c r="A570" i="1"/>
  <c r="A626" i="1"/>
  <c r="A500" i="1"/>
  <c r="A396" i="1"/>
  <c r="A693" i="1"/>
  <c r="A88" i="1"/>
  <c r="A484" i="1"/>
  <c r="A453" i="1"/>
  <c r="A190" i="1"/>
  <c r="A690" i="1"/>
  <c r="A481" i="1"/>
  <c r="A189" i="1"/>
  <c r="A617" i="1"/>
  <c r="A502" i="1"/>
  <c r="A726" i="1"/>
  <c r="A115" i="1"/>
  <c r="A70" i="1"/>
  <c r="A519" i="1"/>
  <c r="A461" i="1"/>
  <c r="A39" i="1"/>
  <c r="A419" i="1"/>
  <c r="A537" i="1"/>
  <c r="A151" i="1"/>
  <c r="A645" i="1"/>
  <c r="A173" i="1"/>
  <c r="A442" i="1"/>
  <c r="A346" i="1"/>
  <c r="A158" i="1"/>
  <c r="A301" i="1"/>
  <c r="A365" i="1"/>
  <c r="A17" i="1"/>
  <c r="A146" i="1"/>
  <c r="A320" i="1"/>
  <c r="A587" i="1"/>
  <c r="A534" i="1"/>
  <c r="A238" i="1"/>
  <c r="A175" i="1"/>
  <c r="A704" i="1"/>
  <c r="A658" i="1"/>
  <c r="A321" i="1"/>
  <c r="A215" i="1"/>
  <c r="A58" i="1"/>
  <c r="A291" i="1"/>
  <c r="A630" i="1"/>
  <c r="A625" i="1"/>
  <c r="A229" i="1"/>
  <c r="A618" i="1"/>
  <c r="A421" i="1"/>
  <c r="A262" i="1"/>
  <c r="A691" i="1"/>
  <c r="A602" i="1"/>
  <c r="A159" i="1"/>
  <c r="A387" i="1"/>
  <c r="A406" i="1"/>
  <c r="A263" i="1"/>
  <c r="A157" i="1"/>
  <c r="A239" i="1"/>
  <c r="A102" i="1"/>
  <c r="A488" i="1"/>
  <c r="A464" i="1"/>
  <c r="A251" i="1"/>
  <c r="A509" i="1"/>
  <c r="A677" i="1"/>
  <c r="A422" i="1"/>
  <c r="A82" i="1"/>
  <c r="A212" i="1"/>
  <c r="A438" i="1"/>
  <c r="A436" i="1"/>
  <c r="A208" i="1"/>
  <c r="A216" i="1"/>
  <c r="A228" i="1"/>
  <c r="A439" i="1"/>
  <c r="A714" i="1"/>
  <c r="A261" i="1"/>
  <c r="A36" i="1"/>
  <c r="A43" i="1"/>
  <c r="A85" i="1"/>
  <c r="A314" i="1"/>
  <c r="A595" i="1"/>
  <c r="A585" i="1"/>
  <c r="A199" i="1"/>
  <c r="A161" i="1"/>
  <c r="A200" i="1"/>
  <c r="A299" i="1"/>
  <c r="A106" i="1"/>
  <c r="A670" i="1"/>
  <c r="A126" i="1"/>
  <c r="A518" i="1"/>
  <c r="A107" i="1"/>
  <c r="A631" i="1"/>
  <c r="A591" i="1"/>
  <c r="A482" i="1"/>
  <c r="A50" i="1"/>
  <c r="A605" i="1"/>
  <c r="A474" i="1"/>
  <c r="A553" i="1"/>
  <c r="A433" i="1"/>
  <c r="A201" i="1"/>
  <c r="A707" i="1"/>
  <c r="A599" i="1"/>
  <c r="A597" i="1"/>
  <c r="A137" i="1"/>
  <c r="A479" i="1"/>
  <c r="A308" i="1"/>
  <c r="A619" i="1"/>
  <c r="A169" i="1"/>
  <c r="A114" i="1"/>
  <c r="A420" i="1"/>
  <c r="A18" i="1"/>
  <c r="A460" i="1"/>
  <c r="A432" i="1"/>
  <c r="A144" i="1"/>
  <c r="A318" i="1"/>
  <c r="A186" i="1"/>
  <c r="A725" i="1"/>
  <c r="A341" i="1"/>
  <c r="A136" i="1"/>
  <c r="A399" i="1"/>
  <c r="A59" i="1"/>
  <c r="A476" i="1"/>
  <c r="A639" i="1"/>
  <c r="A145" i="1"/>
  <c r="A604" i="1"/>
  <c r="A608" i="1"/>
  <c r="A402" i="1"/>
  <c r="A437" i="1"/>
  <c r="A21" i="1"/>
  <c r="A94" i="1"/>
  <c r="A388" i="1"/>
  <c r="A74" i="1"/>
  <c r="A255" i="1"/>
  <c r="A486" i="1"/>
  <c r="A734" i="1"/>
  <c r="A101" i="1"/>
  <c r="A297" i="1"/>
  <c r="A122" i="1"/>
  <c r="A66" i="1"/>
  <c r="A376" i="1"/>
  <c r="A5" i="1"/>
  <c r="A117" i="1"/>
  <c r="A16" i="1"/>
  <c r="A2" i="1"/>
  <c r="A638" i="1"/>
  <c r="A26" i="1"/>
  <c r="A360" i="1"/>
  <c r="A656" i="1"/>
  <c r="A711" i="1"/>
  <c r="A33" i="1"/>
  <c r="A723" i="1"/>
  <c r="A533" i="1"/>
  <c r="A574" i="1"/>
  <c r="A338" i="1"/>
  <c r="A316" i="1"/>
  <c r="A678" i="1"/>
  <c r="A79" i="1"/>
  <c r="A352" i="1"/>
  <c r="A14" i="1"/>
  <c r="A579" i="1"/>
  <c r="A160" i="1"/>
  <c r="A233" i="1"/>
  <c r="A647" i="1"/>
  <c r="A37" i="1"/>
  <c r="A573" i="1"/>
  <c r="A236" i="1"/>
  <c r="A494" i="1"/>
  <c r="A493" i="1"/>
  <c r="A134" i="1"/>
  <c r="A381" i="1"/>
  <c r="A167" i="1"/>
  <c r="A310" i="1"/>
  <c r="A312" i="1"/>
  <c r="A100" i="1"/>
  <c r="A733" i="1"/>
  <c r="A226" i="1"/>
  <c r="A133" i="1"/>
  <c r="A35" i="1"/>
  <c r="A646" i="1"/>
  <c r="A532" i="1"/>
  <c r="A367" i="1"/>
  <c r="A329" i="1"/>
  <c r="A443" i="1"/>
  <c r="A295" i="1"/>
  <c r="A240" i="1"/>
  <c r="A498" i="1"/>
  <c r="A718" i="1"/>
  <c r="A546" i="1"/>
  <c r="A87" i="1"/>
  <c r="A697" i="1"/>
  <c r="A335" i="1"/>
  <c r="A110" i="1"/>
  <c r="A450" i="1"/>
  <c r="A174" i="1"/>
  <c r="A97" i="1"/>
  <c r="A287" i="1"/>
  <c r="A132" i="1"/>
  <c r="A218" i="1"/>
  <c r="A118" i="1"/>
  <c r="A673" i="1"/>
  <c r="A80" i="1"/>
  <c r="A356" i="1"/>
  <c r="A250" i="1"/>
  <c r="A620" i="1"/>
  <c r="A366" i="1"/>
  <c r="A57" i="1"/>
  <c r="A104" i="1"/>
  <c r="A72" i="1"/>
  <c r="A205" i="1"/>
  <c r="A441" i="1"/>
  <c r="A702" i="1"/>
  <c r="A317" i="1"/>
  <c r="A428" i="1"/>
  <c r="A657" i="1"/>
  <c r="A672" i="1"/>
  <c r="A728" i="1"/>
  <c r="A722" i="1"/>
  <c r="A687" i="1"/>
  <c r="A671" i="1"/>
  <c r="A682" i="1"/>
  <c r="A290" i="1"/>
  <c r="A426" i="1"/>
  <c r="A720" i="1"/>
  <c r="A578" i="1"/>
  <c r="A219" i="1"/>
  <c r="A125" i="1"/>
  <c r="A655" i="1"/>
  <c r="A303" i="1"/>
  <c r="A665" i="1"/>
  <c r="A666" i="1"/>
  <c r="A246" i="1"/>
  <c r="A613" i="1"/>
  <c r="A119" i="1"/>
  <c r="A444" i="1"/>
  <c r="A305" i="1"/>
  <c r="A300" i="1"/>
  <c r="A445" i="1"/>
  <c r="A51" i="1"/>
  <c r="A552" i="1"/>
  <c r="A495" i="1"/>
  <c r="A710" i="1"/>
  <c r="A192" i="1"/>
  <c r="A514" i="1"/>
  <c r="A127" i="1"/>
  <c r="A230" i="1"/>
  <c r="A397" i="1"/>
  <c r="A227" i="1"/>
  <c r="A112" i="1"/>
  <c r="A68" i="1"/>
  <c r="A685" i="1"/>
  <c r="A477" i="1"/>
  <c r="A355" i="1"/>
  <c r="A418" i="1"/>
  <c r="A168" i="1"/>
  <c r="A517" i="1"/>
  <c r="A478" i="1"/>
  <c r="A284" i="1"/>
  <c r="A307" i="1"/>
  <c r="A281" i="1"/>
  <c r="A643" i="1"/>
  <c r="A521" i="1"/>
  <c r="A40" i="1"/>
  <c r="A652" i="1"/>
  <c r="A203" i="1"/>
  <c r="A363" i="1"/>
  <c r="A607" i="1"/>
  <c r="A540" i="1"/>
  <c r="A358" i="1"/>
  <c r="A653" i="1"/>
  <c r="A10" i="1"/>
  <c r="A29" i="1"/>
  <c r="A83" i="1"/>
  <c r="A469" i="1"/>
  <c r="A155" i="1"/>
  <c r="A735" i="1"/>
  <c r="A31" i="1"/>
  <c r="A282" i="1"/>
  <c r="A49" i="1"/>
  <c r="A594" i="1"/>
  <c r="A209" i="1"/>
  <c r="A621" i="1"/>
  <c r="A140" i="1"/>
  <c r="A313" i="1"/>
  <c r="A244" i="1"/>
  <c r="A342" i="1"/>
  <c r="A596" i="1"/>
  <c r="A171" i="1"/>
  <c r="A274" i="1"/>
  <c r="A105" i="1"/>
  <c r="A623" i="1"/>
  <c r="A542" i="1"/>
  <c r="A67" i="1"/>
  <c r="A576" i="1"/>
  <c r="A467" i="1"/>
  <c r="A217" i="1"/>
  <c r="A448" i="1"/>
  <c r="A272" i="1"/>
  <c r="A69" i="1"/>
  <c r="A409" i="1"/>
  <c r="A77" i="1"/>
  <c r="A382" i="1"/>
  <c r="A606" i="1"/>
  <c r="A721" i="1"/>
  <c r="A379" i="1"/>
  <c r="A545" i="1"/>
  <c r="A333" i="1"/>
  <c r="A129" i="1"/>
  <c r="A695" i="1"/>
  <c r="A664" i="1"/>
  <c r="A637" i="1"/>
  <c r="A669" i="1"/>
  <c r="A214" i="1"/>
  <c r="A13" i="1"/>
  <c r="A713" i="1"/>
  <c r="A543" i="1"/>
  <c r="A698" i="1"/>
  <c r="A404" i="1"/>
  <c r="A56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B1" authorId="0" shapeId="0" xr:uid="{27A2D68A-EBE2-4AFA-A944-815910F8025D}">
      <text>
        <r>
          <rPr>
            <sz val="9"/>
            <color indexed="81"/>
            <rFont val="Segoe UI"/>
            <family val="2"/>
          </rPr>
          <t xml:space="preserve">Sequência numérica acompanhada do código que identifica a obra.
</t>
        </r>
      </text>
    </comment>
    <comment ref="C1" authorId="0" shapeId="0" xr:uid="{6049CB6F-FC3F-4E87-9665-03BDA8B62267}">
      <text>
        <r>
          <rPr>
            <sz val="9"/>
            <color indexed="81"/>
            <rFont val="Segoe UI"/>
            <family val="2"/>
          </rPr>
          <t>Selecione na lista suspensa em cada célula o status da ilustração.</t>
        </r>
      </text>
    </comment>
    <comment ref="D1" authorId="0" shapeId="0" xr:uid="{2C39A8F3-BD85-4A78-991E-42C6ECEF06DC}">
      <text>
        <r>
          <rPr>
            <sz val="9"/>
            <color indexed="81"/>
            <rFont val="Segoe UI"/>
            <family val="2"/>
          </rPr>
          <t xml:space="preserve">Selecione na lista suspensa, a categoria da ilustração.
</t>
        </r>
      </text>
    </comment>
    <comment ref="E1" authorId="0" shapeId="0" xr:uid="{AC16C138-5FD1-415D-9883-CAC4165A7342}">
      <text>
        <r>
          <rPr>
            <sz val="9"/>
            <color indexed="81"/>
            <rFont val="Segoe UI"/>
            <family val="2"/>
          </rPr>
          <t xml:space="preserve">Selecione na lista suspensa em que parte do livro se encontra a imagem.
</t>
        </r>
      </text>
    </comment>
    <comment ref="F1" authorId="0" shapeId="0" xr:uid="{931ACF1E-517A-4195-9CE2-8A42E7F7D98E}">
      <text>
        <r>
          <rPr>
            <sz val="9"/>
            <color indexed="81"/>
            <rFont val="Segoe UI"/>
            <family val="2"/>
          </rPr>
          <t>Preencher estes campos com números 
de páginas.</t>
        </r>
      </text>
    </comment>
    <comment ref="G1" authorId="0" shapeId="0" xr:uid="{A13A13D3-9386-48FF-86EB-54E619BB8463}">
      <text>
        <r>
          <rPr>
            <sz val="9"/>
            <color indexed="81"/>
            <rFont val="Segoe UI"/>
            <family val="2"/>
          </rPr>
          <t>Prencher com o número do volume da obra.</t>
        </r>
      </text>
    </comment>
    <comment ref="H1" authorId="0" shapeId="0" xr:uid="{8132CFE4-E458-47CA-846A-C9ABCF2355A9}">
      <text>
        <r>
          <rPr>
            <sz val="9"/>
            <color indexed="81"/>
            <rFont val="Segoe UI"/>
            <family val="2"/>
          </rPr>
          <t>Preencher este campo com o número do capítulo ou nome da seção.</t>
        </r>
      </text>
    </comment>
    <comment ref="I1" authorId="0" shapeId="0" xr:uid="{A234020A-2473-4D76-9931-0096EB8EE964}">
      <text>
        <r>
          <rPr>
            <sz val="9"/>
            <color indexed="81"/>
            <rFont val="Segoe UI"/>
            <family val="2"/>
          </rPr>
          <t xml:space="preserve">Preencher estes campos com números do capítulos ou os nomes padronizados das seções.
</t>
        </r>
      </text>
    </comment>
    <comment ref="J1" authorId="0" shapeId="0" xr:uid="{C59818FF-EEE4-4A65-8F4F-DB312C8B0222}">
      <text>
        <r>
          <rPr>
            <sz val="9"/>
            <color indexed="81"/>
            <rFont val="Segoe UI"/>
            <family val="2"/>
          </rPr>
          <t>Selecione na lista suspensa em cada célula o tipo da ilustração.</t>
        </r>
      </text>
    </comment>
    <comment ref="K1" authorId="0" shapeId="0" xr:uid="{90E67DC7-A324-42A7-AEA8-100075B02B14}">
      <text>
        <r>
          <rPr>
            <sz val="9"/>
            <color indexed="81"/>
            <rFont val="Segoe UI"/>
            <family val="2"/>
          </rPr>
          <t xml:space="preserve">Se o tipo de imagem escolhida for RESGATE ou AJUSTE, coloque aqui o nome da obra de origem.
</t>
        </r>
      </text>
    </comment>
    <comment ref="L1" authorId="0" shapeId="0" xr:uid="{81716930-2314-49C9-AAE3-3F7BEFF69736}">
      <text>
        <r>
          <rPr>
            <sz val="9"/>
            <color indexed="81"/>
            <rFont val="Segoe UI"/>
            <family val="2"/>
          </rPr>
          <t xml:space="preserve">Se o tipo de imagem escolhida for RESGATE ou AJUSTE, coloque aqui apenas o número da página da obra de origem.
</t>
        </r>
      </text>
    </comment>
    <comment ref="M1" authorId="0" shapeId="0" xr:uid="{05A3BBFF-9D40-475A-8CBF-661208023ADF}">
      <text>
        <r>
          <rPr>
            <sz val="9"/>
            <color indexed="81"/>
            <rFont val="Segoe UI"/>
            <family val="2"/>
          </rPr>
          <t>Se o tipo de imagem escolhida for RESGATE ou AJUSTE, coloque aqui apenas o número do volume da obra de origem.</t>
        </r>
      </text>
    </comment>
    <comment ref="N1" authorId="0" shapeId="0" xr:uid="{325421C3-6A74-480A-AF28-E5C7D15C6FBA}">
      <text>
        <r>
          <rPr>
            <sz val="9"/>
            <color indexed="81"/>
            <rFont val="Segoe UI"/>
            <family val="2"/>
          </rPr>
          <t xml:space="preserve">
Se o tipo de imagem escolhida for RESGATE ou AJUSTE, coloque aqui apenas o número do volume da obra de origem.</t>
        </r>
      </text>
    </comment>
    <comment ref="O1" authorId="0" shapeId="0" xr:uid="{BA08F8AE-7A49-4DE3-9D20-4DCB6C3D8EEE}">
      <text>
        <r>
          <rPr>
            <sz val="9"/>
            <color indexed="81"/>
            <rFont val="Segoe UI"/>
            <family val="2"/>
          </rPr>
          <t>Qual editora possui o direito de uso da ilustração.</t>
        </r>
      </text>
    </comment>
    <comment ref="P1" authorId="0" shapeId="0" xr:uid="{D1D3914E-92F8-4B04-AAE8-1190979520B7}">
      <text>
        <r>
          <rPr>
            <sz val="9"/>
            <color indexed="81"/>
            <rFont val="Segoe UI"/>
            <family val="2"/>
          </rPr>
          <t xml:space="preserve">Descrição da imagem detalhada de acordo com a edição.
</t>
        </r>
      </text>
    </comment>
    <comment ref="Q1" authorId="0" shapeId="0" xr:uid="{AA1D189F-0D32-431F-B038-39E6229B1F9C}">
      <text>
        <r>
          <rPr>
            <sz val="9"/>
            <color indexed="81"/>
            <rFont val="Segoe UI"/>
            <family val="2"/>
          </rPr>
          <t xml:space="preserve">Nome do ilustrador na obra de resgate.
</t>
        </r>
      </text>
    </comment>
    <comment ref="R1" authorId="0" shapeId="0" xr:uid="{C37B5565-0353-47F1-839F-252E0C86D4BB}">
      <text>
        <r>
          <rPr>
            <sz val="9"/>
            <color indexed="81"/>
            <rFont val="Segoe UI"/>
            <family val="2"/>
          </rPr>
          <t>Anotações gerais/adicionais da equipe/núcleo sobre a produção da imagem.</t>
        </r>
      </text>
    </comment>
    <comment ref="S1" authorId="0" shapeId="0" xr:uid="{3A373DF5-7CF3-48A4-8AC5-54A818DBF445}">
      <text>
        <r>
          <rPr>
            <sz val="9"/>
            <color indexed="81"/>
            <rFont val="Segoe UI"/>
            <family val="2"/>
          </rPr>
          <t xml:space="preserve">Número do lote de acordo com a data de liberação para arte.
</t>
        </r>
      </text>
    </comment>
    <comment ref="T1" authorId="0" shapeId="0" xr:uid="{1BE6481F-1B37-43ED-88D2-D23E25F7609A}">
      <text>
        <r>
          <rPr>
            <sz val="9"/>
            <color indexed="81"/>
            <rFont val="Segoe UI"/>
            <family val="2"/>
          </rPr>
          <t xml:space="preserve">Data que o lote foi liberado para edição de arte.
</t>
        </r>
      </text>
    </comment>
    <comment ref="U1" authorId="0" shapeId="0" xr:uid="{F52DB8AF-14C6-440A-B9E4-4B7625F49854}">
      <text>
        <r>
          <rPr>
            <sz val="9"/>
            <color indexed="81"/>
            <rFont val="Segoe UI"/>
            <family val="2"/>
          </rPr>
          <t>Data de envio da edição de arte para o ilustrador.</t>
        </r>
      </text>
    </comment>
    <comment ref="V1" authorId="0" shapeId="0" xr:uid="{C94B7884-F5D8-4400-84C1-496459435554}">
      <text>
        <r>
          <rPr>
            <sz val="9"/>
            <color indexed="81"/>
            <rFont val="Segoe UI"/>
            <family val="2"/>
          </rPr>
          <t xml:space="preserve">Data de recebimento 
do rafe do ilustrador.
</t>
        </r>
      </text>
    </comment>
    <comment ref="W1" authorId="0" shapeId="0" xr:uid="{8B5F8949-55AF-40C1-87A7-585A7E842BAF}">
      <text>
        <r>
          <rPr>
            <sz val="9"/>
            <color indexed="81"/>
            <rFont val="Segoe UI"/>
            <family val="2"/>
          </rPr>
          <t xml:space="preserve">Data de envio para finalizar a ilustração.
</t>
        </r>
      </text>
    </comment>
    <comment ref="X1" authorId="0" shapeId="0" xr:uid="{BA3DC40E-A70A-4407-BEFD-FB4AEE80BCE8}">
      <text>
        <r>
          <rPr>
            <sz val="9"/>
            <color indexed="81"/>
            <rFont val="Segoe UI"/>
            <family val="2"/>
          </rPr>
          <t>Data de retorno da ilustração finalizada pelo ilustrador.</t>
        </r>
      </text>
    </comment>
    <comment ref="Y1" authorId="0" shapeId="0" xr:uid="{8A7A5518-17B1-4681-AC28-C32130DAB22F}">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Z1" authorId="0" shapeId="0" xr:uid="{E5CBC99A-436F-4663-93E2-932E486AF7EA}">
      <text>
        <r>
          <rPr>
            <sz val="9"/>
            <color indexed="81"/>
            <rFont val="Segoe UI"/>
            <family val="2"/>
          </rPr>
          <t>Nome do ilustrador que produziu ou produzirá a ilustração ou o nome do criador da ilustração do padrão.
Coluna bloqueada para edição manual.</t>
        </r>
      </text>
    </comment>
    <comment ref="AA1" authorId="0" shapeId="0" xr:uid="{4EEE2BCB-6133-4CA4-91DB-AC528B6FA21C}">
      <text>
        <r>
          <rPr>
            <sz val="9"/>
            <color indexed="81"/>
            <rFont val="Segoe UI"/>
            <family val="2"/>
          </rPr>
          <t>Nome de quem ajustou ou coloriu a ilustração.</t>
        </r>
      </text>
    </comment>
    <comment ref="AB1" authorId="0" shapeId="0" xr:uid="{3354AC82-FBAC-4AD2-8517-E647825E6CF1}">
      <text>
        <r>
          <rPr>
            <sz val="9"/>
            <color indexed="81"/>
            <rFont val="Segoe UI"/>
            <family val="2"/>
          </rPr>
          <t>O crédito deve ser de quem criou a ilustração e produziu-a pela primeira vez. Em casos de mais de um ilustrador, separar por /. Ex: Sergio Lima/Rogério Casagrande</t>
        </r>
      </text>
    </comment>
    <comment ref="AC1" authorId="0" shapeId="0" xr:uid="{B0FEA6B7-D26F-4E0D-9A7A-5AC9794A587D}">
      <text>
        <r>
          <rPr>
            <sz val="9"/>
            <color indexed="81"/>
            <rFont val="Segoe UI"/>
            <family val="2"/>
          </rPr>
          <t xml:space="preserve">Selecione na lista suspensa em cada célula a classificação da ilustração.
</t>
        </r>
      </text>
    </comment>
    <comment ref="AD1" authorId="0" shapeId="0" xr:uid="{6F75FDEF-C4E7-41F5-B1C0-281641C8A3BE}">
      <text>
        <r>
          <rPr>
            <sz val="9"/>
            <color indexed="81"/>
            <rFont val="Segoe UI"/>
            <family val="2"/>
          </rPr>
          <t>Anotações gerais/adicionais do designer sobre a produção da imagem.</t>
        </r>
      </text>
    </comment>
    <comment ref="AE1" authorId="0" shapeId="0" xr:uid="{93BC8672-CAE2-49DE-B234-89D652B31C36}">
      <text>
        <r>
          <rPr>
            <sz val="9"/>
            <color indexed="81"/>
            <rFont val="Segoe UI"/>
            <family val="2"/>
          </rPr>
          <t>Anotações para fechamento dos pagamentos mensais das ilustrações.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5B6A94-FF72-4736-A74D-25B1507F65DA}" keepAlive="1" name="Consulta - CRÉDITOS_GERAIS" description="Conexão com a consulta 'CRÉDITOS_GERAIS' na pasta de trabalho." type="5" refreshedVersion="8" background="1" saveData="1">
    <dbPr connection="Provider=Microsoft.Mashup.OleDb.1;Data Source=$Workbook$;Location=CRÉDITOS_GERAIS;Extended Properties=&quot;&quot;" command="SELECT * FROM [CRÉDITOS_GERAI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<sst xmlns="http://schemas.openxmlformats.org/spreadsheetml/2006/main" count="7716" uniqueCount="2496">
  <si>
    <t>CÓD. NUMÉRICO</t>
  </si>
  <si>
    <t>NOME DA OBRA
 PARA RESGATE</t>
  </si>
  <si>
    <t>PÁGINA PARA RESGATE</t>
  </si>
  <si>
    <t>VOLUME PARA RESGATE</t>
  </si>
  <si>
    <t>VERSÃO PARA RESGATE</t>
  </si>
  <si>
    <t>PROPRIEDADE</t>
  </si>
  <si>
    <t>PROJETO</t>
  </si>
  <si>
    <t>i0101_3p007_m25_e010</t>
  </si>
  <si>
    <t>EXCLUIDA</t>
  </si>
  <si>
    <t>ILUSTRAÇÃO</t>
  </si>
  <si>
    <t>MIOLO</t>
  </si>
  <si>
    <t>RESGATE</t>
  </si>
  <si>
    <t>Bons Amigos Pré Escola II - Vol 2_PNLD2022</t>
  </si>
  <si>
    <t>1p5sn</t>
  </si>
  <si>
    <t>g22</t>
  </si>
  <si>
    <t xml:space="preserve">Resgatar e ajustar ilustração da página 45, projeto Bons Amigos g22_ftd_lt_ Pré-escola Vol. II
AJUSTE: Verificar e ajustar as cores da il. De acordo com os padrões de acessibilidade. (contrast-checker) código antigo i0600Aza_1p5sn_g22_ftd_ef
</t>
  </si>
  <si>
    <t>Jorge Zaiba</t>
  </si>
  <si>
    <t>i0106_3p007_m25_e010</t>
  </si>
  <si>
    <t>AJUSTE</t>
  </si>
  <si>
    <t>Bons Amigos Pré Escola I - Vol 1 _PNLD2022</t>
  </si>
  <si>
    <t>1p4sn</t>
  </si>
  <si>
    <t xml:space="preserve">Resgatar e ajustar ilustração do menino da página 27, projeto Bons Amigos g22_ftd_lt, Pré-escola Vol. I.
AJUSTE: Verificar e ajustar as cores da il. De acordo com os padrões de acessibilidade. (contrast-checker) código antigo i0451th_1p4sn_g22_ftd
</t>
  </si>
  <si>
    <t>Thamires Paredes - Universo Paralelo</t>
  </si>
  <si>
    <t>th</t>
  </si>
  <si>
    <t>Brenda Goes</t>
  </si>
  <si>
    <t>Esse lote não foi produzido pela arte, 
foi feito direto pela equipe, por isso não 
tem data e nem lote</t>
  </si>
  <si>
    <t>i0107_3p007_m25_e010</t>
  </si>
  <si>
    <t>Bons Amigos Pré Escola I - Vol 1 _PNLD2023</t>
  </si>
  <si>
    <t xml:space="preserve">Resgatar e ajustar ilustração do aviao da página 27, projeto Bons Amigos g22_ftd_lt, Pré-escola Vol. I.
AJUSTE: Verificar e ajustar as cores da il. De acordo com os padrões de acessibilidade. (contrast-checker) código antigo i0451th_1p4sn_g22_ftd
</t>
  </si>
  <si>
    <t>i0108_3p007_m25_e010</t>
  </si>
  <si>
    <t>Bons Amigos Pré Escola I - Vol 1 _PNLD2024</t>
  </si>
  <si>
    <t xml:space="preserve">Resgatar e ajustar ilustração do bone da página 27, projeto Bons Amigos g22_ftd_lt, Pré-escola Vol. I.
AJUSTE: Verificar e ajustar as cores da il. De acordo com os padrões de acessibilidade. (contrast-checker) código antigo i0451th_1p4sn_g22_ftd
</t>
  </si>
  <si>
    <t>i0109_3p007_m25_e010</t>
  </si>
  <si>
    <t>Bons Amigos Pré Escola I - Vol 1 _PNLD2025</t>
  </si>
  <si>
    <t xml:space="preserve">Resgatar e ajustar ilustração do coraçao da página 27, projeto Bons Amigos g22_ftd_lt, Pré-escola Vol. I.
AJUSTE: Verificar e ajustar as cores da il. De acordo com os padrões de acessibilidade. (contrast-checker) código antigo i0451th_1p4sn_g22_ftd
</t>
  </si>
  <si>
    <t>i0122_3p007_m25_e010</t>
  </si>
  <si>
    <t>Bons Amigos Creche - Vol 2 PNLD2022</t>
  </si>
  <si>
    <t>1ccsn</t>
  </si>
  <si>
    <t xml:space="preserve">Resgatar e ajustar ilustração da página 76 projeto Bons Amigos g22_ftd_mp, Creche Vol. II. 
AJUSTE: Recortar e deixar apenas a menina que está fazendo atividade com a corda
Atenção: Verificar e ajustar as cores da il. De acordo com os padrões de acessibilidade. (contrast-checker) código antigo i0541ss_1ccsn_g22_ftd
</t>
  </si>
  <si>
    <t>Isabela Santos Ferreira do Vale</t>
  </si>
  <si>
    <t>i0125_3p007_m25_e010</t>
  </si>
  <si>
    <t>IA</t>
  </si>
  <si>
    <t xml:space="preserve">ver referência com Alisson
Inserir ilustração de IA de crianças brincando sentadas segurando um tecido para jogas uma bola.
Essa ilustração precisa de ajustes: “apagar” o que está escrito na lousa, fazer um recorte no centro do tecido, deve ser um buraco para passar a bola, ajustar as mãos das crianças que estão sem segurar o tecido.
</t>
  </si>
  <si>
    <t>ia</t>
  </si>
  <si>
    <t>Tatiane Galheiro</t>
  </si>
  <si>
    <t>Arquivo da Editora</t>
  </si>
  <si>
    <t>FINALIZADO</t>
  </si>
  <si>
    <t>i0126_3p007_m25_e010</t>
  </si>
  <si>
    <t xml:space="preserve">Resgatar e ajustar ilustração da página 61, projeto Bons Amigos g22_ftd_lt, Pré-escola Vol. II.
Atenção: Verificar e ajustar as cores da il. De acordo com os padrões de acessibilidade. (contrast-checker) código antigo i0655za_1p5sn_g22_ftd_ef
</t>
  </si>
  <si>
    <t>i0127_3p007_m25_e010</t>
  </si>
  <si>
    <t>il. de uma silhueta de corpo humano, resgatar il da página 61, projeto Bons Amigos g22_ftd_lt, Pré-escola Vol. II. código antigo i0660ca_1p5sn_g22_ftd_ly</t>
  </si>
  <si>
    <t>Camila Ferreira Carmona</t>
  </si>
  <si>
    <t>i0128_3p007_m25_e010</t>
  </si>
  <si>
    <t>Resgatar ilustração da página 61, projeto Bons Amigos g22_ftd_lt, Pré-escola Vol. II. código antigo i0661ca_1p5sn_g22_ftd_ly</t>
  </si>
  <si>
    <t>i0133_3p007_m25_e010</t>
  </si>
  <si>
    <t>NOVA</t>
  </si>
  <si>
    <t xml:space="preserve">ver referência com Alisson
Inserir imagem de IA Crie uma ilustração de silhueta sem cor, apenas contorno, do busto de uma criança de frente, com orelhas. Careca, sem os olhos, sem as sobrancelhas, sem boca e sem o nariz
</t>
  </si>
  <si>
    <t>i0101_5p007_m25_e010</t>
  </si>
  <si>
    <t xml:space="preserve">Resgatar ilustração do Bons amigos, g22.
Código antigo: i0500ss_1p5sn_g22_ftd_ef </t>
  </si>
  <si>
    <t>ss</t>
  </si>
  <si>
    <t>Dayane Barbieri</t>
  </si>
  <si>
    <t>Isabela Santos</t>
  </si>
  <si>
    <t>i0102_5p007_m25_e010</t>
  </si>
  <si>
    <t>Resgatar ilustração do Bons amigos, g22.
Código antigo: i1601fr_1p5sn_g22_ftd</t>
  </si>
  <si>
    <t>Francine Matsumoto</t>
  </si>
  <si>
    <t>fr</t>
  </si>
  <si>
    <t>Fran Matsumoto</t>
  </si>
  <si>
    <t>i0103_5p007_m25_e010</t>
  </si>
  <si>
    <t>Resgatar ilustração do Bons amigos, g22.
Código antigo: i0310rk_1p5sn_g22_ftd_ly</t>
  </si>
  <si>
    <t>Rodrigo Cordeiro</t>
  </si>
  <si>
    <t>rk</t>
  </si>
  <si>
    <t>i0108_5p007_m25_e010</t>
  </si>
  <si>
    <t>APLICADA</t>
  </si>
  <si>
    <t>Resgatar ilustração do Bons amigos, g22.
Código antigo: i0501za_1p5sn_g22_ftd_ef</t>
  </si>
  <si>
    <t>za</t>
  </si>
  <si>
    <t>i0109_5p007_m25_e010</t>
  </si>
  <si>
    <t>Resgatar ilustração do Bons amigos, g22.
Código antigo: i0419fr_1p5sn_g22_ftd_ef</t>
  </si>
  <si>
    <t>i0110_5p007_m25_e010</t>
  </si>
  <si>
    <t xml:space="preserve">Resgatar ilustração do Bons amigos, g22.
Código antigo: i0420th_1p5sn_g22_ftd_ef Ajuste: é necessário ajustar as casas, elas devem ter outras características, pois essas estão elitizadas e distantes da realidade.
Obs: A IL. Não deve apresentar as linhas tracejadas e a parte que representa a rua deve estar bem mais clarinha para o aluno colocar a resposta.
</t>
  </si>
  <si>
    <t>Rafaela Panissa</t>
  </si>
  <si>
    <t>Thamires Paredes</t>
  </si>
  <si>
    <t>resgate ajuste</t>
  </si>
  <si>
    <t>i0102_2p007_m25_e010</t>
  </si>
  <si>
    <t xml:space="preserve">Iustração de um mapa do tesouro, no sentido horizontal. Nos cantos do mapa devem estar duas crianças de mais ou menos 2 anos, vestidas de exploradores, uma de cada lado (uma menina em uma cadeira de rodas e um menino negro retinto). No mapa deve ser ilustrado alguns pontos de referência (elementos de uma escola de educação infantil): no começo uma seta vazada/colorida, depois uma mesa com cadeiras escolares coloridas, um armário pequeno e colorido com alguns brinquedos, cantinho da leitura com livros, um escorregador e no final um X e ao lado uma caixa de tesouro parecendo brilhante, para representar o tesouro. </t>
  </si>
  <si>
    <t>gk</t>
  </si>
  <si>
    <t>Gabriel Brum</t>
  </si>
  <si>
    <t>R: 05/05 ; F: 07/05</t>
  </si>
  <si>
    <t>PAGO</t>
  </si>
  <si>
    <t>i0103_2p007_m25_e010</t>
  </si>
  <si>
    <t xml:space="preserve"> Ilustração de uma canoa, com um menino e uma menina de etnias diferentes, de colete salva-vidas um pouco distantes um do outro em um lago com dois peixes pequenos. Esta é uma imagem gerada por IA. Ajustar para a página, deixando de maneira orgânica, ajustar o remo do menino e colocar um remo para a menina e o reflexo do peixe azul.</t>
  </si>
  <si>
    <t>Bruna Campos</t>
  </si>
  <si>
    <t>Ajuste</t>
  </si>
  <si>
    <t xml:space="preserve">i0107_2p007_m25_e010 </t>
  </si>
  <si>
    <t>Ilustrar uma cena, na horizontal, de uma professora com 6 crianças, 3 meninos e 3 meninas, na faixa etária de de 2 a 3 anos, sentadas em roda em um tatame colorido. Cada criança deve estar segurando uma boneca e medindo-a com um pedaço de barbante. Deve ter três bonecas no chão, perto das crianças. A professora deve estar ajudando uma das crianças. A professora deve estar ajudando uma criança cega neste momento. Obs.: esta ilustração não deve ser simples, pois na parte de baixo da folha será colado um “pequeno” envelope que será disponibilizado no material complementar.
Ver referências (mas cada criança precisa estar segurando uma boneca e medindo-a com o barbante).</t>
  </si>
  <si>
    <t>tc</t>
  </si>
  <si>
    <t>Thais Castro</t>
  </si>
  <si>
    <t>R: 05/05 ; F: 09/05</t>
  </si>
  <si>
    <t xml:space="preserve">i0111_2p007_m25_e010 </t>
  </si>
  <si>
    <t>Ilustração em formato horizontal, ocupando toda a página, de cinco crianças de 2 anos — dois meninos e três meninas — com variações étnicas e de tipos físicos. Obs.: a criança que for ilustrada com mais evidência deve estar usando um aparelho auditivo. Nesta ilustração as crianças estarão em pé, em frente a um espelho fixado na parede da sala de aula, na altura das crianças, observando seus reflexos. A sala deve conter poucos elementos.
As crianças estarão realizando movimentos sutis com o corpo e com o rosto, explorando as partes do corpo e suas expressões. Próxima a elas, deve estar uma professora negra, acompanhando a atividade.</t>
  </si>
  <si>
    <t>di</t>
  </si>
  <si>
    <t>Débora Mini</t>
  </si>
  <si>
    <t>R: 06/05 ; F: 09/05</t>
  </si>
  <si>
    <t>i0117_2p007_m25_e010</t>
  </si>
  <si>
    <t>Ilustração produzida por IA – IA_busto_fio_contorno
Busto (contorno preto para pintar) de criança careca, cabeça sem pelos</t>
  </si>
  <si>
    <t>i0118_2p007_m25_e010</t>
  </si>
  <si>
    <t>Ilustrar um grupo de crianças pequenas dançando em roda, umas escondendo os olhos com as mãos; outra com as mãos nas orelhas; outra com as mãos no nariz; uma delas segurando um jacaré de brinquedo.</t>
  </si>
  <si>
    <t>Ilustração excluída.</t>
  </si>
  <si>
    <t>i0120_2p007_m25_e010</t>
  </si>
  <si>
    <t>Ilustração verticalizada de um mural de escola. O mural deve ter o título “UM POUCO SOBRE MIM” (em letras CxA e colorida). O mural deve ter a imagem do rosto de algumas crianças (meninos e meninas), de etnias variadas. Abaixo do rosto de cada criança deve o nome e dois barbantes um barbante deve ser maior (representando o tamanho atual da criança) e um barbante menor (representando o tamanho da criança quando ela nasceu. 
Obs.: as alturas dos barbantes (tanto do maior quanto do menor) devem ser diferentes.</t>
  </si>
  <si>
    <t>bx</t>
  </si>
  <si>
    <t>Clarice Baracho</t>
  </si>
  <si>
    <t>i0121_2p007_m25_e010</t>
  </si>
  <si>
    <t>MC</t>
  </si>
  <si>
    <t xml:space="preserve">Produzir um envelope aberto, no formato retangular em fio contorno branco para a criança enfeitar/pintar. 
Obs. Podemos inserir um dos personagens em um cantinho do envelope. A parte de trás do envelope será colada na folha do livro.
Produzir na mesma página uma “etiqueta” à parte, para ser colada no envelope com as seguintes informações:
- Nome:
Data:
Altura: </t>
  </si>
  <si>
    <t>rm</t>
  </si>
  <si>
    <t>Heloísa Pintarelli</t>
  </si>
  <si>
    <t>F: 05/05</t>
  </si>
  <si>
    <t>i0126_2p007_m25_e010</t>
  </si>
  <si>
    <t xml:space="preserve">Ilustrar uma base fio contorno de um busto: cabeça e pescoço (sem cabelo) para que a criança monte um boneco. </t>
  </si>
  <si>
    <t>bv</t>
  </si>
  <si>
    <t>Bianca Tavares</t>
  </si>
  <si>
    <t>i0302_2p007_m25_e010</t>
  </si>
  <si>
    <t>PRONTA</t>
  </si>
  <si>
    <t>Inserir Ilustração de carinha Triste</t>
  </si>
  <si>
    <t>ilustração fará parte do banco de imagens</t>
  </si>
  <si>
    <t>R:19/05 F:22/05</t>
  </si>
  <si>
    <t>i0303_2p007_m25_e010</t>
  </si>
  <si>
    <t>Inserir Ilustração de carinha Alegre</t>
  </si>
  <si>
    <t>i0304_2p007_m25_e010</t>
  </si>
  <si>
    <t>Inserir Ilustração de carinha Tranquila</t>
  </si>
  <si>
    <t>i0305_2p007_m25_e010</t>
  </si>
  <si>
    <t>Inserir Ilustração de carinha com medo</t>
  </si>
  <si>
    <t>i0306_2p007_m25_e010</t>
  </si>
  <si>
    <t>Inserir Ilustração de carinha com vergonha</t>
  </si>
  <si>
    <t>i0307_2p007_m25_e010</t>
  </si>
  <si>
    <t>Inserir Ilustração de carinha com raiva</t>
  </si>
  <si>
    <t>i0308_2p007_m25_e010</t>
  </si>
  <si>
    <t>Ilustração de uma sala de aula de educação infantil para crianças de 2 anos, que tenha vários brinquedos, conforme a referência abaixo. Por favor, é preciso colocar um brinquedo dinossauro em cima de uma estante e uma boneca embaixo da mesa, pois estes conceitos serão trabalhados. A ilustração será o cenário para as crianças terem que encontrar e circular o dinossauro e a boneca, como um jogo. Ilustrar de modo que feche a página.</t>
  </si>
  <si>
    <t>i0309_2p007_m25_e010</t>
  </si>
  <si>
    <t>Inserir recorte da ilustração (i0308) referente a um brinquedo de dinossauro, pois a criança terá que encontrá-lo na ilustração e circular. Esta será a referência. Tem que estar na mesma posição que estiver na ilustração.</t>
  </si>
  <si>
    <t>i0310_2p007_m25_e010</t>
  </si>
  <si>
    <t>Inserir recorte da ilustração (i0308) referente a uma boneca, pois a criança terá que encontrá-la na ilustração e circular. Esta será a referência. Tem que estar na mesma posição que estiver na ilustração.</t>
  </si>
  <si>
    <t>i0313_2p007_m25_e010</t>
  </si>
  <si>
    <t>IL TEC ARTE</t>
  </si>
  <si>
    <t>Ilustrar um caminho como o indicado abaixo com espaço pois as crianças irão colar papeis coloridos dentro montando o caminho para isto é preciso que o espaço/caminho não seja tão estreito.</t>
  </si>
  <si>
    <t>pn</t>
  </si>
  <si>
    <t>arte</t>
  </si>
  <si>
    <t>i0314_2p007_m25_e010</t>
  </si>
  <si>
    <t>i0317_2p007_m25_e010</t>
  </si>
  <si>
    <t>Ilustração de crianças de 2 anos brincando de percurso em sala de aula de educação infantil. Deve estar montado um percurso motor onde as crianças possam trabalhar os conceitos em cima e
embaixo, como por exemplo ter uma corda esticada no chão e duas crianças (1 menino negro e 1 menina branca de óculos) pisando em cima dela, na sequência uma criança asiática engatinhando
embaixo da mesa, ter uma cena da professora negra segurando um tecido ou corda esticada alta, presa em algum lugar e um menino branco em cadeira de rodas passando embaixo, etc.</t>
  </si>
  <si>
    <t>Entrará no banco de imagens</t>
  </si>
  <si>
    <t>i0318_2p007_m25_e010</t>
  </si>
  <si>
    <t>Ilustrar um parque de escola infantil com brinquedos integrados: casinha, escorregador, balanço, gira-gira (acrescentar um gira-gira inclusivo, similar ao da foto, com uma menina negra em cadeira de
rodas nele). Ter crianças brincando: um menino ruivo (com colar de autismo) no escorregador; uma menina parda no balanço; uma menina asiática embaixo da casinha e um menino pardo com
sobrepeso em cima da ponte. (TODAS AS CRIANÇAS DEVEM APARENTAR 2 ANOS DE IDADE). Referências abaixo.</t>
  </si>
  <si>
    <t>i0319_2p007_m25_e010</t>
  </si>
  <si>
    <t>Ilustração de mudas de flores e hortaliças.</t>
  </si>
  <si>
    <t>i0320_2p007_m25_e010</t>
  </si>
  <si>
    <t>Ilustração de terra adubada.</t>
  </si>
  <si>
    <t>i0321_2p007_m25_e010</t>
  </si>
  <si>
    <t>Ilustração de pás de jardinagem.</t>
  </si>
  <si>
    <t>i0322_2p007_m25_e010</t>
  </si>
  <si>
    <t xml:space="preserve">Ilustração de regador. </t>
  </si>
  <si>
    <t>i0323_2p007_m25_e010</t>
  </si>
  <si>
    <t>Ilustração de vasos e potes.</t>
  </si>
  <si>
    <t>i0324_2p007_m25_e010</t>
  </si>
  <si>
    <t xml:space="preserve">Ilustração de criança de 2 anos colocando um pouco de terra em um pote ou vaso vazio. </t>
  </si>
  <si>
    <t>i0325_2p007_m25_e010</t>
  </si>
  <si>
    <t>Ilustração duas crianças de 2 anos: uma com traços de descendente de japonês e outra negra. A criança negra deve estar colocando uma muda de flor e a “japonesa” colocando uma muda de uma hortaliça dentro do vaso. (importante que a muda de flor e de hortaliça sejam as mesmas da i0319)</t>
  </si>
  <si>
    <t>i0326_2p007_m25_e010</t>
  </si>
  <si>
    <t>Ilustração de uma criança de 2 anos que usa cadeira de rodas junto com outra criança de dois anos ao seu lado, cada uma completando os vasos e potes com mais terra.</t>
  </si>
  <si>
    <t>i0327_2p007_m25_e010</t>
  </si>
  <si>
    <t>Ilustração de uma criança de 2 anos de óculos regando a sua muda plantada.</t>
  </si>
  <si>
    <t>i0328_2p007_m25_e010</t>
  </si>
  <si>
    <t>Ilustração dos vasos plantados em um cantinho bem agradável da escola com plaquinha indicando Canto Verde.</t>
  </si>
  <si>
    <t>i0329_2p007_m25_e010</t>
  </si>
  <si>
    <t>Ilustração em um ambiente ao ar livre como se fosse uma parte gramada de um pátio de escola com duas árvores ao fundo. Em roda (meia lua)
ilustrar quatro crianças
de dois anos (1 menino branco com implante auricular, 1 menina negra com cordão de girassóis, um menino com síndrome de down, 1 menina
parda) entre as crianças 1 professora ruiva. As crianças estão sentadas, uma delas com um guardanapo branco de papel na mão, três não tem o guardanapo. Entre as árvores tem um varalzinho com
quatro fichas com os nomes das crianças (ALICE, OTÁVIO, IVI, LUCAS) e ao lado do nome Alice um guardanapo de papel com a letra A e ao lado do nome Lucas um guardanapo com a letra L. Cada uma
das fichas e guardanapos está preso com um pregador de roupa.
As crianças sentadas estão olhando curiosas para dentro de um prato com água, que está com um guardanapo sobre a água com a letra O (uma parte afundou e revelou parte da letra e a outra está seca).</t>
  </si>
  <si>
    <t>i0332_2p007_m25_e010</t>
  </si>
  <si>
    <t>Ilustração: Sala de aula de educação infantil de 2 anos, nela deve conter uma mesa com 4 lugares, um armário, uma prateleira com brinquedos e uma prateleira com livros (devem ser móveis na altura
das crianças). Pela sala, na mesma altura das crianças, devem estar espalhadas fichas retangulares com nomes das crianças (LARA; PEDRO; LUÍSA) podem estar “coladas” nos móveis. Ilustrar na cena
quatro crianças de 2 anos (um menino branco segurando uma ficha com o nome GAEL, os outros três devem estar procurando a ficha com seu nome (o outro menino deve ser negro e as meninas devem
ser uma ruiva com óculos e a outra com vitiligo.)</t>
  </si>
  <si>
    <t>i0333_2p007_m25_e010</t>
  </si>
  <si>
    <t>Ilustração: Mesma sala de educação infantil de 2 anos da (i0332). três crianças sentadas na mesinha fazendo colagem de papel picado na letra inicial do seu nome, nas fichas que encontraram com o seu
nome. Ilustrar uma professora branca, atrás dela tem um cartaz escrito CHAMADINHA fixo na parede e a menina ruiva fixando sua ficha (já pronta com a primeira letra com colagens de papéis coloridos).</t>
  </si>
  <si>
    <t>i0341_2p007_m25_e010</t>
  </si>
  <si>
    <t>Ilustrar uma mesa com um percurso de corrida reto; na largada, 4 tampinhas de cores diferentes; representar uma mão de criança dando um “peteleco” em uma das tapinhas em direção à linha de chegada.</t>
  </si>
  <si>
    <t>i0342_2p007_m25_e010</t>
  </si>
  <si>
    <t xml:space="preserve">Ilustrar uma menina negra de 2 anos sentada à mesinha na mesma posição e contexto da foto abaixo (a menina deve aparecer e não estar “cortada” como na foto). Seguir a ordem as cores, mas deixar o fundo e a mesa mais claros para destacar as cores, pois a criança terá que identificar a cor da massinha que estará mais longe e que está mais perto do pote amarelo. </t>
  </si>
  <si>
    <t>i0502_2p007_m25_e010</t>
  </si>
  <si>
    <t xml:space="preserve">Ilustração simples de uma ou duas casas de pau a pique de uma aldeia do povo guarani, com uma mulher e um menino indígena. Não ilustrar indígenas estereotipados.
Ver imagens de referência da aldeia do povo guarani. </t>
  </si>
  <si>
    <t>R:21/05 F:23/05</t>
  </si>
  <si>
    <t>i0506_2p007_m25_e010</t>
  </si>
  <si>
    <t>Ilustração de uma cozinha com elementos como geladeira, pia, mesa, armários e utensílios como fruteira, panelas, pratos. O fogão não aparece na imagem. É necessário deixar o espaço para a criança colar a figura do fogão que estará no material destacável, Evite sobrecarregar a imagem com muitas informações, deve ser uma imagem simples. Imagem de referência: ID 2360828459</t>
  </si>
  <si>
    <t>R: 19/05 F:22/05</t>
  </si>
  <si>
    <t>i0515_2p007_m25_e010</t>
  </si>
  <si>
    <t>Ilustrar cena de um bosque com várias pedrinhas visíveis, com 4 crianças, dois meninos (um negro e outro branco com cabelo castanho e com o cordão de girassol: identificador de deficiência oculta), e duas meninas (uma negra e uma ruiva) (de aproximadamente 3/4 anos), acompanhadas por dois adultos (avô e avó).
O foco da cena deve ser o menino branco com cabelos castanhos e a menina ruiva segurando um saquinho transparente cada, com pedrinhas dentro que eles acabaram de recolher do chão. O menino com o cordão de girassol segura o saco cheio de pedras e demonstra fazer força para carregá-lo. A menina negra segura o saco com poucas pedras e tem uma feição tranquila, como se o saco estivesse leve. 
Na cena pode parecer movimento, como se estivessem caminhando pelo bosque, porém a evidência deve ser as duas crianças com os saquinhos. Precisa estar claro o conceito de leve e pesado por meio da ilustração.</t>
  </si>
  <si>
    <t>R:23/05 F:28/05</t>
  </si>
  <si>
    <t>i0516_2p007_m25_e010</t>
  </si>
  <si>
    <t>Ilustração de um menino indígena de 2 anos com frio.</t>
  </si>
  <si>
    <t>i0517_2p007_m25_e010</t>
  </si>
  <si>
    <t xml:space="preserve">Ilustrar um caminho relativamente largo para que a criança possa fazer um traçado dentro. </t>
  </si>
  <si>
    <t>Arte</t>
  </si>
  <si>
    <t>i0518_2p007_m25_e010</t>
  </si>
  <si>
    <t>Ilustração de um rio calmo, que pareça raso, que tenha uma mulher e um homem indígenas por perto. Um pode estar na água.</t>
  </si>
  <si>
    <t>i0519_2p007_m25_e010</t>
  </si>
  <si>
    <t>Ilustração de uma menina branca de cabelos claros de 2 anos com calor.</t>
  </si>
  <si>
    <t>i0520_2p007_m25_e010</t>
  </si>
  <si>
    <t xml:space="preserve">Ilustrar um caminho para que a criança possa fazer um traçado dentro. </t>
  </si>
  <si>
    <t>i0521_2p007_m25_e010</t>
  </si>
  <si>
    <t>Ilustração de um regador saindo água.</t>
  </si>
  <si>
    <t>i0533_2p007_m25_e010</t>
  </si>
  <si>
    <t>Ilustração conforme exemplo abaixo. Passo a passo de uma dobradura de casa.</t>
  </si>
  <si>
    <t>vc</t>
  </si>
  <si>
    <t>i0534_2p007_m25_e010</t>
  </si>
  <si>
    <t>i0535_2p007_m25_e010</t>
  </si>
  <si>
    <t>i0536_2p007_m25_e010</t>
  </si>
  <si>
    <t>i0537_2p007_m25_e010</t>
  </si>
  <si>
    <t>i0538_2p007_m25_e010</t>
  </si>
  <si>
    <t>Ilustração de uma exposição com trabalhos de crianças de 2 anos, com 3 crianças (branca, negra e oriental) apreciando. Junto dos trabalhos expostos, pode ter uma reprodução da obra o Quarto de Van Gogh e produções da criança referente ao próprio quarto, algumas dobraduras de casas feitas com papel e desenhos de família feitos por crianças de 2 anos.</t>
  </si>
  <si>
    <t>i0102_4p007_m25_e010</t>
  </si>
  <si>
    <t>Ilustrar uma imagem simples, com poucos elementos que “envolva o texto”. No canto direito da página deve ter os pés de uma criança de 5 anos, pele negra, descalço, brincando em uma poça de terra. Atrás dele deve aparecer parte de uma árvore de frutas. Ver imagem de referência.</t>
  </si>
  <si>
    <t>R: 30/05 ; F: 05/06</t>
  </si>
  <si>
    <t>i0103_4p007_m25_e010</t>
  </si>
  <si>
    <t>Ilustração do busto do menino da história, +/-5 anos, negro (do menino do pé da i0102).</t>
  </si>
  <si>
    <t>i0104_4p007_m25_e010</t>
  </si>
  <si>
    <t xml:space="preserve">Ilustrar o busto do mesmo menino da i0103, porém agora com +/- 30 anos. </t>
  </si>
  <si>
    <t>i0105_4p007_m25_e010</t>
  </si>
  <si>
    <t>Ilustrar o busto do mesmo homem da i0104 porém, idoso com +/- 70 anos.</t>
  </si>
  <si>
    <t>i0112_4p007_m25_e010</t>
  </si>
  <si>
    <t>Ilustração de uma cena urbana, na cena há uma casa com porta, janelas e quintal, rua, poste com a luz apagada, uma árvore e o céu ao fundo representando o dia com o céu azul, com nuvem, sol e dois passarinhos voando. Ver imagem de referência. Obs.: os elementos: sol, poste, 1 nuvem estarão na i0159 do material complementar (adesivos).</t>
  </si>
  <si>
    <t>i0113_4p007_m25_e010</t>
  </si>
  <si>
    <t>Ilustrar a mesma cena da i0112 só que a noite, o céu está escuro e a casa deve aparecer escurecida e com as luzes acesas. No céu deve ter 3 estrelas, 1 lua cheia. Na árvore deve ter 1 coruja no galho de uma árvore e um poste com a luz acesa. Ver imagem de referência. Obs.: os elementos: lua cheia, três estrelas, coruja estarão na i0160 do material complementar (adesivos).</t>
  </si>
  <si>
    <t>i0114_4p007_m25_e010</t>
  </si>
  <si>
    <t>Resgate da ilustração i0269za_1p4sn_g22_ftd.psd – Bons Amigos – PNLD2022 – Pré-escola I, Vol. 1, página 22.
Ajuste: Excluir e ajustar alguns elementos da imagem: tirar o menino e o homem (canto inferior direito). Ajustar o carrinho de sorvete para ser um carrinho de milho, substituir o sorvete por um milho e excluir a letra X do letreiro do ônibus.</t>
  </si>
  <si>
    <t>Resgate com ajuste</t>
  </si>
  <si>
    <t>i0123_4p007_m25_e010</t>
  </si>
  <si>
    <t>Ilustração de emoji feliz.</t>
  </si>
  <si>
    <t>R: 28/05 ; F: 30/05</t>
  </si>
  <si>
    <t>i0124_4p007_m25_e010</t>
  </si>
  <si>
    <t xml:space="preserve">Ilustração de emoji triste. </t>
  </si>
  <si>
    <t>i0125_4p007_m25_e010</t>
  </si>
  <si>
    <t>Ilustração de emoji assustado.</t>
  </si>
  <si>
    <t>i0126_4p007_m25_e010</t>
  </si>
  <si>
    <t>Ilustração de emoji doente.</t>
  </si>
  <si>
    <t>i0127_4p007_m25_e010</t>
  </si>
  <si>
    <t xml:space="preserve">Ilustração de emoji com vergonha. </t>
  </si>
  <si>
    <t>i0128_4p007_m25_e010</t>
  </si>
  <si>
    <t xml:space="preserve">Ilustração de emoji dando risada. </t>
  </si>
  <si>
    <t>i0129_4p007_m25_e010</t>
  </si>
  <si>
    <t xml:space="preserve">Ilustração de emoji bravo. </t>
  </si>
  <si>
    <t>i0130_4p007_m25_e010</t>
  </si>
  <si>
    <t xml:space="preserve">Ilustração de emoji com sono. </t>
  </si>
  <si>
    <t>i0131_4p007_m25_e010</t>
  </si>
  <si>
    <t xml:space="preserve">Ilustração de emoji chorando. </t>
  </si>
  <si>
    <t>i0132_4p007_m25_e010</t>
  </si>
  <si>
    <t xml:space="preserve">Ilustração de emoji pensativo. </t>
  </si>
  <si>
    <t>i0134_4p007_m25_e010</t>
  </si>
  <si>
    <t xml:space="preserve">Ilustrar uma menina de cabelos escuros e aparelho auditivo, de aproximadamente 5 anos, brincando de montar uma pirâmide, com blocos vermelhos (apenas desta cor) na sua frente </t>
  </si>
  <si>
    <t>i0135_4p007_m25_e010</t>
  </si>
  <si>
    <t>Ilustrar um menino oriental, de aproximadamente 5 anos, brincando de montar uma escada com blocos azuis (apenas desta cor) na sua frente</t>
  </si>
  <si>
    <t>i0136_4p007_m25_e010</t>
  </si>
  <si>
    <t>Ilustrar uma menina negra, de aproximadamente 5 anos, brincando de montar um robô simples com blocos amarelos (apenas desta cor) na sua frente</t>
  </si>
  <si>
    <t>i0137_4p007_m25_e010</t>
  </si>
  <si>
    <t>Ilustrar um menino, de cabelos claros e óculos de aproximadamente 5 anos, brincando de montar um avião simples com blocos verdes (apenas desta cor) na sua frente</t>
  </si>
  <si>
    <t>i0138_4p007_m25_e010</t>
  </si>
  <si>
    <t>Ilustração das peças soltas dos blocos de montar amarelos – do mesmo tipo dos que estão em frente da criança da i0136</t>
  </si>
  <si>
    <t>i0139_4p007_m25_e010</t>
  </si>
  <si>
    <t>Ilustração das peças soltas dos blocos de montar verdes – do mesmo tipo dos que estão em frente da criança da i0137</t>
  </si>
  <si>
    <t>i0140_4p007_m25_e010</t>
  </si>
  <si>
    <t>Ilustração das peças soltas dos blocos de montar vermelhos – do mesmo tipo dos que estão em frente da criança da i0134</t>
  </si>
  <si>
    <t>i0141_4p007_m25_e010</t>
  </si>
  <si>
    <t>Ilustração das peças soltas dos blocos de montar azuis – do mesmo tipo dos que estão em frente da criança da i0135</t>
  </si>
  <si>
    <t>i0142_4p007_m25_e010</t>
  </si>
  <si>
    <t>Ilustrar uma garrafa d'água, com poucos detalhes, em fio contorno preto, em três tamanhos diferentes, pequeno, médio e grande, sobre uma prateleira um pouco separadas uma das outras
Escolhida: Ilustração produzida por IA
Ajuste: espaçar as garrafas para ocupar o espaço na página e ajustar a prateleira para ficar semelhante a prateleira da i0143.</t>
  </si>
  <si>
    <t>i0143_4p007_m25_e010</t>
  </si>
  <si>
    <t>Ilustrar uma mochila escolar, com poucos detalhes, em fio contorno preto, em três tamanhos diferentes, pequeno, médio e grande, sobre uma prateleira um pouco separadas uma das outras
Ilustração produzida por IA. Ajuste: tirar a linha de medida e espaçar as mochilas para ocupar o espaço na página.</t>
  </si>
  <si>
    <t>i0145_4p007_m25_e010</t>
  </si>
  <si>
    <t>1ª cena: Ilustração da “Cachinhos Dourados” chegando na casa dos ursos conforme referência.</t>
  </si>
  <si>
    <t>i0146_4p007_m25_e010</t>
  </si>
  <si>
    <t>4ª cena: ilustração da Cachinhos Dourados comendo o mingau; da tigela pequena, em uma mesa, com três tigelas, uma bem pequena, uma média e uma grande</t>
  </si>
  <si>
    <t>i0147_4p007_m25_e010</t>
  </si>
  <si>
    <t>6ª cena: Ilustração dos Ursos assustados vendo a Cachinhos dourados na cama, ela acabou de acordar (deve estar na mesma cama da cena da i0167).</t>
  </si>
  <si>
    <t>i0148_4p007_m25_e010</t>
  </si>
  <si>
    <t>ilustrar um conjunto com 5 elementos vermelhos: uma maçã vermelha, uma flor vermelha, um copo vermelho, uma camiseta vermelha e uma xícara vermelha. Obs.: os dois últimos elementos: a camiseta e a xícara, estarão na i0161nos adesivos do material complementar.</t>
  </si>
  <si>
    <t>i0149_4p007_m25_e010</t>
  </si>
  <si>
    <t>Ilustrar um conjunto com 5 figuras geométricas: um quadrado verde, um retângulo alaranjado, um paralelepípedo rosa, um triângulo azul e um círculo roxo. Obs.: os dois últimos elementos: o triângulo e o círculo, estarão na i0162 nos adesivos do material complementar.</t>
  </si>
  <si>
    <t>i0150_4p007_m25_e010</t>
  </si>
  <si>
    <t>Ilustrar um conjunto com 5 animais: um cachorro, uma galinha, uma coruja, um gato e uma tartaruga Obs.: os dois últimos elementos: o gato e a tartaruga, estarão na i0163 nos adesivos do material complementar.</t>
  </si>
  <si>
    <t>i0151_4p007_m25_e010</t>
  </si>
  <si>
    <t>Ilustrar um conjunto com 5 meios de transporte: um avião branco e azul, um trem lilás, caminhão azul e alaranjado, um carro amarelo e um ônibus azul. Obs.: os dois últimos elementos: o carro e o ônibus, estarão na i0164 nos adesivos do material complementar.</t>
  </si>
  <si>
    <t>i0154_4p007_m25_e010</t>
  </si>
  <si>
    <t xml:space="preserve">Ilustrar placa banheiro masculino, vazada 
Escolhida: Ilustração produzida por IA </t>
  </si>
  <si>
    <t>if0156_4p007_m25_e010</t>
  </si>
  <si>
    <t>IL + FOTO</t>
  </si>
  <si>
    <t>Foto de pinos de boliche. Escolhida: https://www.shutterstock.com/pt/image-photo/colored-skittles-different-sizes-on-isolated-736724776
Ajuste:  recortar os pinos azul e vermelho, espaçar e colocar na seguinte ordem: vermelho, azul, vermelho e ilustrar uma base para os pinos em um paralelogramo, para parecer uma prateleira.</t>
  </si>
  <si>
    <t>bp</t>
  </si>
  <si>
    <t>if0157_4p007_m25_e010</t>
  </si>
  <si>
    <t>Foto de três cofres, em fundo branco, pequeno, médio e grande. Escolhida: https://www.shutterstock.com/pt/image-photo/pink-piggy-banks-three-different-sizes-692213506
Ajuste:  espaçar os três e ilustrar uma base para porcos em um paralelogramo, para parecer uma prateleira.</t>
  </si>
  <si>
    <t>if0158_4p007_m25_e010</t>
  </si>
  <si>
    <t>Foto de três vasos de plantas, em fundo branco, pequeno, médio e grande. Escolhida: https://www.shutterstock.com/pt/image-photo/four-plants-different-sizes-crassula-ovata-2182185241
Ajuste: recortar e espaçar os três primeiros vasos e ilustrar uma base para os vasos em um paralelogramo, para parecer uma prateleira.</t>
  </si>
  <si>
    <t>i0159_4p007_m25_e010</t>
  </si>
  <si>
    <t>mc</t>
  </si>
  <si>
    <t>Recortes dos elementos da ilustração da cena durante o dia (i0112):
1 sol, 
1 poste com a luz apagada, 
1 nuvem.
Obs.: a proporção das imagens deve estar adequada ao tamanho da imagem que foi aplicada na i0112.</t>
  </si>
  <si>
    <t>Recorte</t>
  </si>
  <si>
    <t>i0160_4p007_m25_e010</t>
  </si>
  <si>
    <t>Recortes dos elementos da ilustração da cena durante a noite (i0113):
3 estrelas, 
1 lua cheia, 
1 coruja (para ser colada no galho de uma árvore)
Obs.: a proporção das imagens deve estar adequada ao tamanho da imagem que foi aplicada na i0113.</t>
  </si>
  <si>
    <t>i0161_4p007_m25_e010</t>
  </si>
  <si>
    <t>Elementos da ilustração i0148 da atividade 13 da página 21:
Camiseta 
Xícara
Obs.: a proporção das imagens deve estar adequada ao tamanho das outras imagens que foram aplicadas i0148.</t>
  </si>
  <si>
    <t>Recorte do miolo</t>
  </si>
  <si>
    <t>i0162_4p007_m25_e010</t>
  </si>
  <si>
    <t>Elementos da ilustração i0149 da atividade 13 da página 21:
triângulo
círculo
Obs.: a proporção das imagens deve estar adequada ao tamanho das outras imagens que foram aplicadas na i0149.</t>
  </si>
  <si>
    <t>i0163_4p007_m25_e010</t>
  </si>
  <si>
    <t>Elementos da ilustração i0150 da atividade 13 da página 21:
Gato
tartaruga
Obs.: a proporção das imagens deve estar adequada ao tamanho das outras imagens que foram aplicadas na i0150.</t>
  </si>
  <si>
    <t>i0164_4p007_m25_e010</t>
  </si>
  <si>
    <t>Elementos da ilustração i0151 da atividade 13 da página 21:
Carro
ônibus
Obs.: a proporção das imagens deve estar adequada ao tamanho das outras imagens que foram aplicadas na i0151.</t>
  </si>
  <si>
    <t>i0165_4p007_m25_e010</t>
  </si>
  <si>
    <t>Ilustração da cena 2ª cena da história da Cachinhos Dourados: Ilustração da cachinhos dourados, em uma sala, próxima a três cadeiras, uma pequena de criança, uma média de balanço e uma poltrona grande (do papai urso)
Obs.: a proporção das imagens deve estar adequada ao espaço reservado para colagem na página 17.</t>
  </si>
  <si>
    <t>i0166_4p007_m25_e010</t>
  </si>
  <si>
    <t>Ilustração da cena 3ª cena da história da Cachinhos Dourados: Ilustração da cachinhos dourados, sentando e quebrando a cadeira pequena que está na sala ao lado das outras
Obs.: a proporção das imagens deve estar adequada ao espaço reservado para colagem na página 17.</t>
  </si>
  <si>
    <t>i0167_4p007_m25_e010</t>
  </si>
  <si>
    <t>Ilustração da cena 5ª cena da história da Cachinhos Dourados: ilustração da Cachinhos dourados deitada dormindo na cama menor; em um quarto, com três camas, uma bem pequena, uma média e uma grande 
Obs.: a proporção das imagens deve estar adequada ao espaço reservado para colagem na página 17.</t>
  </si>
  <si>
    <t>i0701_2s1p007_m25_e010</t>
  </si>
  <si>
    <t>Ilustração semelhante aos “coloridos” do clipe da música do mesmo nome do Palavra Cantada.</t>
  </si>
  <si>
    <t>i0702_2s1p007_m25_e010</t>
  </si>
  <si>
    <t>i0703_2s1p007_m25_e010</t>
  </si>
  <si>
    <t>I0704_2s1p007_m25_e010</t>
  </si>
  <si>
    <t>i0705_2s1p007_m25_e010</t>
  </si>
  <si>
    <t>Ilustração semelhante as carinhas coloridas só que sem cor para a criança pintar com sua cor preferida.</t>
  </si>
  <si>
    <t>i0706_2s1p007_m25_e010</t>
  </si>
  <si>
    <t>ilustração de 4 crianças de dois anos em uma brincadeira. As crianças devem ser: uma menina preta com uma fita rosa amarrada no braço, uma menina branca em cadeira de rodas (atentar-se para o modelo de cadeira de rodas para criança de 2 anos) com uma fita amarela amarrada no braço, um menino ruivo com uma fita rosa amarrada no braço, e um menino pardo com sobrepeso com uma fita amarela amarrada no braço) na ilustração também deve ter uma professora negra com cabelos crespos soltos (ela deve ter uma tira de tecido amarela amarrada em um braço e uma tira de tecido rosa amarrada no outro. Na brincadeira as quatro crianças aparecem enfileiradas na frente da professora que está com o braço com a fita rosa levantado. As crianças com a fita rosa estarão virados de frente para ela e as com a fita amarela de costas.
Imagem de referência, deixar a professora um pouco mais distante das crianças, as crianças devem estar mescladas (uma de frente e uma de costas...), deve ficar visível o outro braço da professora e também os braços das crianças, mostrando as fitas.</t>
  </si>
  <si>
    <t>i0707_2s1p007_m25_e010</t>
  </si>
  <si>
    <t>Inserir uma ilustração (apenas o contorno) como se fosse uma fita em movimento para que a criança pinte. Exemplo abaixo apenas para dar ideia.</t>
  </si>
  <si>
    <t>i0708_2s1p007_m25_e010</t>
  </si>
  <si>
    <t>Passo a passo da construção de um tambor. Ilustrar uma menina negra criança de dois anos colocando o tecido sobre uma lata conforme a referência abaixo.</t>
  </si>
  <si>
    <t>i0709_2s1p007_m25_e010</t>
  </si>
  <si>
    <t xml:space="preserve">Passo a passo da construção de um tambor.2- Uma professora ao lado de um menino ruivo prendendo o mesmo tecido da ilustração1 em um a lata conforme mostra a referência </t>
  </si>
  <si>
    <t>i0710_2s1p007_m25_e010</t>
  </si>
  <si>
    <t>Passo a passo da construção de um tambor. 3 – Ilustrar uma menina branca de cabelo castanhos de dois anos pintando a lata com o tecido preso com barbante e um menino branco loiro com sobrepeso colando retalhos de papel colorido</t>
  </si>
  <si>
    <t>i0711_2s1p007_m25_e010</t>
  </si>
  <si>
    <t xml:space="preserve">Passo a passo da construção de um tambor.4- Ilustrar um menino branco de cabelos castanhos usando óculos segurando um palito de churrasco e a mesma professora da i0709 fixando uma trouxa pequena de tecido na ponta do palito conforme referência </t>
  </si>
  <si>
    <t>i0712_2s1p007_m25_e010</t>
  </si>
  <si>
    <t>Passo a passo da construção de um tambor. 5 – Ilustrar uma menina parda com cabelos ondulados e com o cordão de girassol de identificação tocando o tambor pronto conforme mostrado no passo a passo.</t>
  </si>
  <si>
    <t>i0713_2s1p007_m25_e010</t>
  </si>
  <si>
    <t>Ilustrar uma roda com 10 a 12 crianças pequenas, todas com tambor produzidos com lata e baquetas de palito com uma trouxa de tecido, de acordo com a ilustração pedida para a confecção dos tambores na i0712. Na roda, uma professora mostra dois dedos para as crianças. Todas as crianças estão batendo juntas o próprio tambor. Ilustrar 2 crianças pretas e 3 pardas (um deles deve usar óculos), 1 oriental, 1 indígena, 1 branca de cabelo castanho claro, 1 branca de cabelo preto com cabelo mais curto, 1 branca de cabelo cacheado. Referência ao lado.</t>
  </si>
  <si>
    <t xml:space="preserve">i0728_2s1p007_m25_e010 </t>
  </si>
  <si>
    <t>Ilustrar um menino pardo com cerca de dois anos com cabelos cacheados castanhos amassando um jornal formando uma bola.</t>
  </si>
  <si>
    <t>i0729_2s1p007_m25_e010</t>
  </si>
  <si>
    <t>Ilustrar uma menina com cabelos castanhos claros colocando a bola feita com jornal amassado sobre um papel celofane puxando uma das pontas para cima dando a entender que vai fazer uma trouxinha para formar a peteca.</t>
  </si>
  <si>
    <t xml:space="preserve">i0730_2s1p007_m25_e010 </t>
  </si>
  <si>
    <t>O menino e a menina ilustrados na i0728 e i0729 próximos de uma professora.  A menina segurando a peteca e a professora amarrando a dela. O menino segurando a peteca com todas as pontas do papel juntas, mas esperando sua vez da professora amarrar.</t>
  </si>
  <si>
    <t xml:space="preserve"> i0731_2s1p007_m25_e010 </t>
  </si>
  <si>
    <t>Ilustração de duas cenas de crianças brincando de peteca e estatua. Dividir em A e B</t>
  </si>
  <si>
    <t>R: 12/08 ; F: 14/08</t>
  </si>
  <si>
    <t xml:space="preserve">i0732_2s1p007_m25_e010 </t>
  </si>
  <si>
    <t xml:space="preserve">Cena 2 - Ilustrar as mesmas crianças da i0731 só que agora sentadas em círculo no chão, tampando o rosto com as mãos. Uma delas está andando em volta da roda com as mãos para trás, segurando um lenço. </t>
  </si>
  <si>
    <t>Aguardar equipe resolver como será para enviar para arte</t>
  </si>
  <si>
    <t xml:space="preserve">i0733_2s1p007_m25_e010 </t>
  </si>
  <si>
    <t>Cena 3 - Ilustrar as mesmas crianças da i0731 procurando um objeto escondido na sala de convivência. Duas estão olhando embaixo de uma mesa, duas caminhando, outras procurando em uma estante. Imagem apenas para referência</t>
  </si>
  <si>
    <t>i0734_2s1p007_m25_e010</t>
  </si>
  <si>
    <t>Cena 4 - Ilustrar as mesmas crianças da i0731 brincando de estátua. As crianças devem estar agachadas, com os braços estendidos, curvadas etc. A ideia é de movimento interrompido. Ilustrar uma mulher adulta no comando da brincadeira. Ver referência</t>
  </si>
  <si>
    <t xml:space="preserve">i0735_2s1p007_m25_e010 </t>
  </si>
  <si>
    <t xml:space="preserve">Ilustrar uma moldura ocupando o maior espaço possível da Folha, nela deve ter referências as atividades feitas nesta vivência como peteca indígena, tambor de lata, galinha, ovos coloridos, carinhas coloridas, fitas coloridas, onde a criança poderá fazer um desenho ou a professora poderá colar fotografias da exposição realizada. </t>
  </si>
  <si>
    <t>i0117_5s1p007_m25_e010</t>
  </si>
  <si>
    <t>Ilustrar bustos soltos de pessoas: 
Uma mulher de +/- 30 anos – negra 
Um homem de +/- 30 anos – pardo, cabelo cacheado e com sobrepeso
Um menino de +/- 5 anos – negro retinto
Uma menina de +/- 8 anos, oriental, de aparelho
Um homem – avô de +/- 60 anos, branco e cabelos grisalhos
Uma mulher – avó de +/- 70 anos, parda, de óculos
Um menino adolescente pardo e de óculos
Uma menina de 10 anos, indígena
Um bebê – negro</t>
  </si>
  <si>
    <t>if0118_5s1p007_m25_e010</t>
  </si>
  <si>
    <t>Ilustração + foto de um móbile com fotos de desenhos infantis de família. Ver imagem de referência e fotos.</t>
  </si>
  <si>
    <t>bk</t>
  </si>
  <si>
    <t>i0346_2s1p007_m25_e010</t>
  </si>
  <si>
    <t>ilustração de um caminho como o indicado abaixo, com espaço pois as crianças irão enfeitá-lo. O caminho não deve ser estreito</t>
  </si>
  <si>
    <t>i0348_2s1p007_m25_e010</t>
  </si>
  <si>
    <t>Ilustração simples, em fundo branco de dois escorregadores. em um escorregador deve estar com uma menina negra, de três anos em cima, começando a descer. No outro escorregador dever ter um menino de óculos, de três anos, ao final do escorregador.</t>
  </si>
  <si>
    <t>R: 04/06 ; F: 06/06</t>
  </si>
  <si>
    <t>i0352_2s1p007_m25_e010</t>
  </si>
  <si>
    <t>Ilustração produzida por IA – IA_panelas_fio_contorno
AJUSTES: separar um pouco as panelas e finalizar a base como a base da i0353
Ilustração em fio contorno de duas panelas (em formato cilíndrico) com tampa, uma grande e uma pequena, uma ao lado da outra.</t>
  </si>
  <si>
    <t>i0353_2s1p007_m25_e010</t>
  </si>
  <si>
    <t xml:space="preserve">Ilustração produzida por IA – IA_baldes_fio_contorno
AJUSTE: separar um pouco os baldes
Ilustração em fio contorno de duas panelas (em formato cilíndrico) com tampa, uma grande e uma pequena, uma ao lado da outra.
</t>
  </si>
  <si>
    <t>i6101_2s1p007_m25_e010</t>
  </si>
  <si>
    <t xml:space="preserve">Ilustração de emojis:
Um emoji representando o sentimento Triste
Um emoji representando o sentimento alegre
Um emoji representando o sentimento vergonha (deixar com as bochechas rosadas para ficar evidente)
Um emoji representando o sentimento medo
Um emoji representando o sentimento com dor
Todos os emojis devem ser da mesma cor. Dividir a ilustração em A, B, C , D e E
</t>
  </si>
  <si>
    <t>i0302_4s1p007_m25_e010</t>
  </si>
  <si>
    <t xml:space="preserve">Ilustração simples, ao lado do texto de uma menina de quatro anos, parda de cabelos encaracolados (não fazer a menina de vestido), recebendo um pacote de presente (a outra pessoa não precisa aparecer, talvez só as mãos). O pacote de presente deve ser retangular, lembrando uma embalagem de boneca. Podem ter alguns balões de aniversário próximos à menina. </t>
  </si>
  <si>
    <t>ld</t>
  </si>
  <si>
    <t>R: 09/06 ; F: 11/06</t>
  </si>
  <si>
    <t>i0307_4s1p007_m25_e010</t>
  </si>
  <si>
    <t>Ilustrar uma pequena ficha com as informações a seguir. Deve ser uma ficha com fundo cor e uns balões ilustrados no canto inferior direito. Deve ter espaço entre as linhas do texto, para o registro das informações</t>
  </si>
  <si>
    <t>i0336_4s1p007_m25_e010</t>
  </si>
  <si>
    <t>Ilustrar uma menina branca que usa aparelho auditivo, sentada no chão, de uniforme escolar, como se estivesse organizando partes do corpo de um boneco de papelão (cabeça, tronco e membros) vista de cima. Imagem de referência, mas a ilustração deve ser sem as tampinhas e sem o desenho no rosto. Atenção, as peças do pescoço, dos braços e das pernas já devem estar com os furos prontos.</t>
  </si>
  <si>
    <t>i0337_4s1p007_m25_e010</t>
  </si>
  <si>
    <t>Ilustrar a menina da i0336 sendo ajudada pela mão de uma pessoa adulta negra a colar uma das bases da tampinha na parte do tronco do corpo. Obs.: o rosto não deve ter sido desenhado ainda. JUNTOU NA I0336</t>
  </si>
  <si>
    <t>Excluir retranca conforme conversado com Milena, irá juntar com i0336_4s1p007_m25_e010</t>
  </si>
  <si>
    <t>i0338_4s1p007_m25_e010</t>
  </si>
  <si>
    <t>Ilustrar a mão da menina da i0336 fixando uma das partes do corpo com uma tampinha. As partes devem estar encaixadas, uma delas já fixada com a tampinha, seguindo a ideia da imagem de referência JUNTOU NA I0336</t>
  </si>
  <si>
    <t>i0339_4s1p007_m25_e010</t>
  </si>
  <si>
    <t>Ilustrar a menina da i0336, de perfil, aparecendo o aparelho auditivo, completando o boneco fixado em uma parede, na altura da criança. O rosto deve estar desenhado e a menina deve estar colando o cabelo com fios de lã da cor do cabelo dela JUNTOU NA I0336</t>
  </si>
  <si>
    <t>i0347_4s1p007_m25_e010</t>
  </si>
  <si>
    <t xml:space="preserve">IMAGEM GERADA POR IA. Busto de criança em fio contorno preto. </t>
  </si>
  <si>
    <t>i0349_4s1p007_m25_e010</t>
  </si>
  <si>
    <t>Ilustrar uma menina – 4 anos – parda de cabelos cacheados – tomando banho (mostrar a criança do busto para cima, embaixo do chuveiro com o cabelo ensaboado). O tronco da criança deve estar coberto por espuma.</t>
  </si>
  <si>
    <t>R: 11/06 ; F: 13/06</t>
  </si>
  <si>
    <t>i0350_4s1p007_m25_e010</t>
  </si>
  <si>
    <t>Ilustrar, em fundo branco, um frasco de xampu, sabonete, esponja de banho, escova de dente e fio dental. Juntou na i0349</t>
  </si>
  <si>
    <t>Juntou com i0349_4s1p007_m25_e010</t>
  </si>
  <si>
    <t>i0351_4s1p007_m25_e010</t>
  </si>
  <si>
    <t>Ilustrar um menino – 4 anos – branco de cabelos lisos, na cadeira de rodas – escovando os dentes (mostrar a criança na pia, com um pouco de espuma na boca). Juntou na i0349</t>
  </si>
  <si>
    <t>i0353_4s1p007_m25_e010</t>
  </si>
  <si>
    <t>Ilustrar um menino – 4 anos – negro – lavando as mãos (mostrar a criança do busto para cima, na pia, com as mãos ensaboadas). Juntou na i0349</t>
  </si>
  <si>
    <t>i0355_4s1p007_m25_e010</t>
  </si>
  <si>
    <t>pronta</t>
  </si>
  <si>
    <t>Ilustrar duas crianças de uniforme um menino pardo (com colar de girassol) e uma menina traços indígenas, ambos de 4 anos de idade, ajudando uma professora parda de cabelo cacheado a finalizar um bocão feito de papelão com dentes de copinhos de café, com olhos e nariz, conforme referência. Uma criança pode estar colando o último copinho e a outra finalizando os olhinhos. Obs.: Lembrar de ilustrar a língua dentro da boca.</t>
  </si>
  <si>
    <t>i0356_4s1p007_m25_e010</t>
  </si>
  <si>
    <t>Ilustrar as mesmas crianças da i0355 brincando de escovar o dente do bocão confeccionado (igual ao ilustrado acima). A boca deve estar semi-aberta e de frente, uma criança deve estar de um lado passando fio dental nos dentes da frente e a outra do outro lado escovando os dentes de trás.. JUNTOU NA I0355</t>
  </si>
  <si>
    <t>Excluir retranca conforme conversado com Milena, irá juntar com i0355_4s1p007_m25_e010</t>
  </si>
  <si>
    <t>i0359_4s1p007_m25_e010</t>
  </si>
  <si>
    <t>Ilustração de uma pia simples de banheiro, vista de frente. Em cima da pia deve ter um sabonete, uma flor, uma escova de dente, uma escova de cabelo e uma pasta de dente. Embaixo da pia deve ter um shampoo uma toalha enrolada e uma bucha de banho. Ver referência. Os objetos devem estar evidentes para que a criança possa contornar. A escova de cabelo, por exemplo, não pode estar na frente da escova de dente, e os objetos que estão embaixo da pia devem aparecer bem.</t>
  </si>
  <si>
    <t>I0503_4s1p007_m25_e010</t>
  </si>
  <si>
    <t>Passo a passo com 4 quadros mostrando a produção de dedoches (ver molde do material complementar). Dividir em A, B, C e D</t>
  </si>
  <si>
    <t>R: 12/06 ; F: 17/06</t>
  </si>
  <si>
    <t>i0511_4s1p007_m25_e010</t>
  </si>
  <si>
    <t>ilustrar calendário (imagem mais técnica) mês de maio de 202 6 em folha de calendário. Inserir os dias do mês de 1 a 31 no calendário deve apresentar o mês, o ano e os dias da semana, conforme a referência abaixo.&gt;
Obs.: Todas as palavras devem ser escritas com letra de imprensa CxA</t>
  </si>
  <si>
    <t>zz</t>
  </si>
  <si>
    <t>Carlos Borin</t>
  </si>
  <si>
    <t>Padrão</t>
  </si>
  <si>
    <t xml:space="preserve">i0517_4s1p007_m25_e010 </t>
  </si>
  <si>
    <t>Ilustração de uma família, em um gramado, com pai negro, mãe parda, dois filhos (um menino e uma menina, a mais baixa) e um avô o mais alto. As pessoas devem ter alturas e tipos físicos diferentes. As pessoas devem estar uma ao lado da outra</t>
  </si>
  <si>
    <t>R: 16/06 ; F: 18/06</t>
  </si>
  <si>
    <t xml:space="preserve">i0529_4s1p007_m25_e010 </t>
  </si>
  <si>
    <t>Ilustrar uma cena de um parque com uma roda de capoeira com dois adultos: um negro e outro pardo, um tocando atabaque e outro berimbau, na roda 4 crianças, sendo um menino negro, uma menina negra, uma menina branca de cabelo castanho amarrado com sobrepeso e um menino pardo de cabelo amarrado jogando capoeira. 
Ao lado deve ter 4 crianças brincando de amarelinha, dois meninos (um pardo com sobrepeso e um branco de perna mecânica) e duas meninas uma parda e outra asiática. Uma mulher parda deve estar sentada no banco do parque olhando as crianças brincarem de amarelinha.</t>
  </si>
  <si>
    <t>i6110_4s1p007_m25_e010</t>
  </si>
  <si>
    <t>ilustrar contorno para os dedoches. Favor considerar a proporção do tamanho da mão de uma criança entre 4 e 5 anos. O contorno deve ter aproximadamente 6cm de altura por 3cm de largura, e tiras nas laterais para a criança fixar ao redor do dedo. Ver referência. Favor produzir apenas o contorno do corpo e a cabeça, pois a criança vai desenhar os familiares no dedoche.</t>
  </si>
  <si>
    <t>i6203_2s1p007_m25_e010</t>
  </si>
  <si>
    <t>FLIP1</t>
  </si>
  <si>
    <t>Ilustrar como se fosse uma folha de rosto.
Para a escolha do ilustrador é importante levar em consideração que se trata de um texto da tradição africana, a linguagem do ilustrador deve refletir isso.</t>
  </si>
  <si>
    <t>Foi transferida para planilha P010</t>
  </si>
  <si>
    <t>i6204_2s1p007_m25_e010</t>
  </si>
  <si>
    <t>Ilustrar a cena descrita na página 4. O casal precisa ser negro retinto. Não precisam usar trajes tradicionais africanos, mas podemos escolher cores e estampas que lembrem essa tradição.</t>
  </si>
  <si>
    <t>gr</t>
  </si>
  <si>
    <t>PR:19/6 - R:24/6 - F:27/6 a 4/7</t>
  </si>
  <si>
    <t>i6205_2s1p007_m25_e010</t>
  </si>
  <si>
    <t>Ilustração da cena da página 6</t>
  </si>
  <si>
    <t>i6206_2s1p007_m25_e010</t>
  </si>
  <si>
    <t>Ilustração da cena da página 8</t>
  </si>
  <si>
    <t>i6207_2s1p007_m25_e010</t>
  </si>
  <si>
    <t>Ilustração da cena da página 10</t>
  </si>
  <si>
    <t>i6208_2s1p007_m25_e010</t>
  </si>
  <si>
    <t xml:space="preserve">Ilustração da página 12. </t>
  </si>
  <si>
    <t>i6209_2s1p007_m25_e010</t>
  </si>
  <si>
    <t>Ilustração da página 14</t>
  </si>
  <si>
    <t>i6210_2s1p007_m25_e010</t>
  </si>
  <si>
    <t>Ilustração da página 16</t>
  </si>
  <si>
    <t>i6216_2s1p007_m25_e010</t>
  </si>
  <si>
    <t>Ilustrar essas dicas como cards, mais soltos e se necessário de cores diferentes.</t>
  </si>
  <si>
    <t>i6218_2s1p007_m25_e010</t>
  </si>
  <si>
    <t>Ilustrar os seguintes elementos para serem destacados ou recortados (dividir em A, B, C, D, E e F)</t>
  </si>
  <si>
    <t>i6219_2s1p007_m25_e010</t>
  </si>
  <si>
    <t>Ilustrar jogo da memória (dividir em A, B, C, D, E, F, G, H e I) Obs. Continua na página 31.</t>
  </si>
  <si>
    <t>if0103_0s1p007_m25_e010</t>
  </si>
  <si>
    <t>Ilustrar alguns fios coloridos cruzando a página, como se fosse uma cama de gato (da brincadeira) vista por cima. Embaixo do emaranhado de fios devem estar as seguintes fotos de alguns objetos infantis</t>
  </si>
  <si>
    <t>ti</t>
  </si>
  <si>
    <t>i0113_0s1p007_m25_e010</t>
  </si>
  <si>
    <t>Ilustrar o sinal de palmas em Libras. Ilustrar mãos negras e indicar com seta o movimento.</t>
  </si>
  <si>
    <t>R: 17/06  F: 20/06</t>
  </si>
  <si>
    <t>i0702_4s1p007_m25_e010</t>
  </si>
  <si>
    <t>Ilustração nonsense de uma “casa” (sem muitas características de uma casa convencional) construída com os seguintes elementos: cacos, cimentos, telhas. A casa deve aparentar ser bonita, elegante. Nela deve ter um macaco, uma cabrita, um jumento, uma abelha, um elefante e uma cobra. Alguns animais podem estar nas janelas da casa e outros podem estar fora da casa. A casa também pode ter elementos que remetam ao habitat natural dos animais, como galhos relacionados ao macaco. Nossa intenção não é fazer uma ilustração literal e sim uma brincadeira, como o texto do poema.</t>
  </si>
  <si>
    <t>R:20/06 F:24/06</t>
  </si>
  <si>
    <t>i0733_4s1p007_m25_e010</t>
  </si>
  <si>
    <t xml:space="preserve">Ilustração técnica, padrão da obra de um cone - azul: </t>
  </si>
  <si>
    <t>i0734_4s1p007_m25_e010</t>
  </si>
  <si>
    <t>Ilustração técnica, padrão da obra de uma esfera – verde</t>
  </si>
  <si>
    <t>i0735_4s1p007_m25_e010</t>
  </si>
  <si>
    <t>Ilustração técnica, padrão da obra de um cubo - alaranjado</t>
  </si>
  <si>
    <t>i0736_4s1p007_m25_e010</t>
  </si>
  <si>
    <t xml:space="preserve">Ilustração técnica, padrão da obra de uma pirâmide amarelo </t>
  </si>
  <si>
    <t>i0737_4s1p007_m25_e010</t>
  </si>
  <si>
    <t xml:space="preserve">Ilustração técnica, padrão da obra de um paralelepípedo roxo </t>
  </si>
  <si>
    <t>i0738_4s1p007_m25_e010</t>
  </si>
  <si>
    <t>Ilustração técnica, padrão da obra de um cilindro vermelho</t>
  </si>
  <si>
    <t xml:space="preserve">i6221_2s1p007_m25_e010 </t>
  </si>
  <si>
    <t>MP-E</t>
  </si>
  <si>
    <t xml:space="preserve">Ilustração como exemplo do quebra-cabeça (três partes/horizontal) de uma cabeça, aparecendo apenas as mãos de uma criança negra montando o brinquedo. </t>
  </si>
  <si>
    <t>R: 18/06 ; F: 20/06</t>
  </si>
  <si>
    <t xml:space="preserve">i6222_2s1p007_m25_e010 </t>
  </si>
  <si>
    <t>Ilustrar marca de mão formando um jacaré, de acordo a referência.</t>
  </si>
  <si>
    <t>If0135_3s1p007_m25_e010</t>
  </si>
  <si>
    <t>Ilustração de um mural com fotos. Neste mural deverá ter espaço para 4 fotos e ao lado delas um espaço para que a criança possa colar sua foto seja na horizontal ou na vertical ou possa desenhar para representá-la. A ideia é que passe a integração dela neste contexto</t>
  </si>
  <si>
    <t>Aguardar escolha da foto</t>
  </si>
  <si>
    <t>F: 27/06</t>
  </si>
  <si>
    <t>i0140_3s1p007_m25_e010</t>
  </si>
  <si>
    <t>Inserir ilustração de forma orgânica que lembre um coração, mas não seja o padrão de coração convencional.</t>
  </si>
  <si>
    <t>R: 20/06 ; F: 24/06</t>
  </si>
  <si>
    <t>i0141_3s1p007_m25_e010</t>
  </si>
  <si>
    <t>Ilustrar crianças de aproximadamente 3 anos procurando letras na sala de aula.
Ilustrar um menino branco com sobrepeso, uma menina parda em cadeira de rodas, uma menina ruiva com cordão de girassol, um menino preto, uma menina parda de óculos e um menino pardo.
Uma das crianças deve estar abaixada, procurando algo embaixo da mesa. Na sala, devem aparecer papéis com letras em formato imprensa maiúsculo, colados com fita crepe em locais estratégicos, como: parede, lateral de prateleira e encosto de cadeira. A ilustração deve ser simples, com poucos detalhes, colorida e de fácil compreensão para crianças dessa faixa etária. Referência imagem criada por inteligência artificial. Evitar cores muito vibrantes como vermelho.</t>
  </si>
  <si>
    <t>R: 23/06 ; F: 26/06</t>
  </si>
  <si>
    <t>i0142_3s1p007_m25_e010</t>
  </si>
  <si>
    <t>Ilustrar um bolo de aniversário simples, saudável, retangular, em fio contorno para a criança pintar.</t>
  </si>
  <si>
    <t>i0143_3s1p007_m25_e010</t>
  </si>
  <si>
    <t>Ilustrar, no canto esquerdo da folha, uma menina parda, de aproximadamente 3 anos (de uniforme escolar), deitada sobre um papel kraft, enquanto a professora (parda de óculos) faz o contorno do corpo da criança. É preciso deixar espaço ao lado da ilustração para a criança fazer a colagem do barbante.</t>
  </si>
  <si>
    <t>i0151_3s1p007_m25_e010</t>
  </si>
  <si>
    <t>Ilustração de sequência da cantiga. (Dividir em A, B, C, D e E)</t>
  </si>
  <si>
    <t>i0902_4s1p007_m25_e010</t>
  </si>
  <si>
    <t xml:space="preserve">Ilustração de uma menina parda de cabelos cacheados soltos, na faixa etária de 4 anos, de uniforme escolar (escola pública), sentada ao lado de uma professora parda usando aparelho ortodôntico, de jaleco, em uma sala de aula, contando uma história com um livro na mão. A menina deve estar com um semblante de quem está encantada com a contação de história da professora. Em segundo plano, deve aparecer que a cabecinha ou parte do corpo de mais uns dois alunos. </t>
  </si>
  <si>
    <t>R: 26/06 ; F: 30/06</t>
  </si>
  <si>
    <t>i0903_4s1p007_m25_e010</t>
  </si>
  <si>
    <t>ilustração de jogo dos 5 erros. Dividir a ilustração em A e B.</t>
  </si>
  <si>
    <t>i0904_4s1p007_m25_e010</t>
  </si>
  <si>
    <t>Ilustrar duas molduras de crachá com espaço em branco para a criança escrever o seu nome. Com bordas coloridas e com algum elemento escolar, como giz de cera. Dividir em A e B. Obs. As cores das bordas devem ser diferentes.</t>
  </si>
  <si>
    <t>F: 30/06</t>
  </si>
  <si>
    <t>i0912_4s1p007_m25_e010</t>
  </si>
  <si>
    <t>ilustrações em fio contorno (dividir em a, b, c, d, e, f, g, h e i)</t>
  </si>
  <si>
    <t>i0913_4s1p007_m25_e010</t>
  </si>
  <si>
    <t>Ilustrar duas crianças, de 4 anos, de uniforme escolar (escola pública).  Um menino pardo e uma menina negra, no canto superior esquerdo da página. A partir deles deve sair dois caminhos simples (sem muitas curvas), um curto e um comprido. Ao final da página, ocupando todo o rodapé, deve ter um parquinho de escola de educação infantil, sem muitos elementos. Ver referência de caminho e disposição dos elementos na página. Evitar tons muito vibrantes como vermelho.</t>
  </si>
  <si>
    <t>i0914_4s1p007_m25_e010</t>
  </si>
  <si>
    <t>Ilustração de um caderno escolar, um pincel; alguns gizes de cera coloridos. Dividir em A, B e C</t>
  </si>
  <si>
    <t>i0915_4s1p007_m25_e010</t>
  </si>
  <si>
    <t xml:space="preserve">Arte: ilustrar uma cena na qual o contexto de pátio escolar, com cinco crianças (três meninos: um branco, um preto e um pardo e duas menina: uma asiática e uma parda) disputando uma corrida do saco. Elas devem estar em fila, uma atrás da outra. A ordem de chegada deve estar evidente. Os sacos devem ser brancos para a criança pintar. O ponto de referência para a chegada é o professor que deve estar com a mão estendida para o vencedor tocar. O professor é um homem pardo usando roupas esportivas. </t>
  </si>
  <si>
    <t>R: 30/06 ; F: 02/07</t>
  </si>
  <si>
    <t>i0916_4s1p007_m25_e010</t>
  </si>
  <si>
    <t>Ilustração simples, com poucos elementos, de uma sala de aula de escola de educação infantil brasileira. A sala deve ter a mesinha com algumas cadeiras, um mural com recados na parede, um lixo próximo à porta, uma prateleira com brinquedos, um cantinho da leitura (com prateleira com livros fixada na parede um tatame colorido e 3 almofadas. 
Obs.
Os elementos: LIXO, MURAL COM RECADOS NA PAREDE, 2 LIVROS, 2 BRINQUEDOS E DUAS ALMOFADAS estarão nos adesivos no material complementar.
O Objetivo é que a criança cole os adesivos para organizar a sala de aula e deixar os objetos em seus respectivos lugares.</t>
  </si>
  <si>
    <t>i0917_4s1p007_m25_e010</t>
  </si>
  <si>
    <t xml:space="preserve">Ilustração de uma moldura e inserir o título: CAMINHO DE CASA À ESCOLA. A moldura pode conter alguns elementos como, ruas, carros e árvores para decorar. </t>
  </si>
  <si>
    <t>i0918_4s1p007_m25_e010</t>
  </si>
  <si>
    <t>Arte: ilustrar um “livro gigante” sendo exposto e apresentado para a turma e familiares. Pode ser no pátio da escola. Na cena deve estar evidente o livro, três crianças apresentando (uma menina preta, um menino branco e um menino pardo com sobrepeso), a professora (uma mulher parda de óculos) e alguns familiares (baseados nas etnias das crianças).</t>
  </si>
  <si>
    <t>i0919_4s1p007_m25_e010</t>
  </si>
  <si>
    <t>Ilustração de dois pinceis. Um com cabo mais fino e o outro com o cabo mais grosso. Essa diferença na espessura dos cabos deve estar bem evidente. Dividir em A e B.</t>
  </si>
  <si>
    <t>Fará parte do banco de imagens</t>
  </si>
  <si>
    <t>i0131_0s1p007_m25_e010</t>
  </si>
  <si>
    <t>i0131_0s1p007_m25_e010
ARTE: Ilustrar parte da parede de uma sala de aula. A ilustração pode pegar uma parte da lateral da página e descer em L, no canto direito.
Nesta parede devem ter dois varais. No mais alto, ilustrar cards que lembrem a ficha da Semana 1. Ilustrar 4 fichas. Não precisa ser possível ler, mas precisa ficar claro que tem o nome do bebê, uma fotografia, a altura do bebê, a idade..
No varal que fica mais baixo, estão apenas as fotografias com nome. Ilustrar 4 e deve parecer que são os mesmos bebês. Ilustrar 2 negros e 2 brancos, 2 meninos e 2 meninas (se for possível ver).
Se couber: ilustrar BERÇÁRIO em letras coloridas no topo da parede.</t>
  </si>
  <si>
    <t>i0534_4s1p007_m25_e010</t>
  </si>
  <si>
    <t>Ilustrar uma família negra (pai, mãe e 3 crianças – 2 meninos e 1 menina), na mesa de jantar conversando. Os pais devem aparentar 40 anos e as crianças 7, 5 e 3 anos. A criança de 7 anos, um menino, deve ser usar cadeira de rodas.
Eles devem estar tomando café da manhã, em cima da mesa deve ter bem aparente uma cesta de frutas com abacate, abacaxi, banana e maçã e uma jarra com água. Podem ter outros alimentos como suco, pães e outros que sejam saudáveis.</t>
  </si>
  <si>
    <t>R: 25/06 ; R2: 26/06 ; F: 27/06</t>
  </si>
  <si>
    <t>i0535_4s1p007_m25_e010</t>
  </si>
  <si>
    <t>Ilustração simples, com poucos elementos, de uma casa e quintal. Nesta cena precisa aparecer uma avó negra e um adolescente pardo de aparelho ortodôntico olhando pela janela a mãe parda regando as plantas do jardim e uma menina parda de 5 anos brincando com cachorro. Todos devem estar de camiseta. As camisetas das pessoas devem ser em fio contorno, sem cor, pois as crianças vão pintá-las.</t>
  </si>
  <si>
    <t>ilustração ficará no banco de imagens</t>
  </si>
  <si>
    <t>R: 25/06 ; F: 27/06</t>
  </si>
  <si>
    <t>i0751_4s1p007_m25_e010</t>
  </si>
  <si>
    <t>Ilustração de um quarto de criança, visualmente alegre, mas está organizado e com brinquedos, incluindo dinossauro, dado (pode ser letra, número), dominó de peças grandes e carrinho pois as crianças terão que achar estes brinquedos na imagem e circular. Evitar o uso da cor vermelho vivo. O ideal que não estejam todos juntos para que a criança possa investigar a ilustração, mas não precisa ser carregada de elementos.</t>
  </si>
  <si>
    <t>i0763_4s1p007_m25_e010</t>
  </si>
  <si>
    <t xml:space="preserve">Ilustrar uma cena com dois caminhos. Os caminhos devem partir de uma casa simples onde uma avó está com a neta diante da casa. A avó deve ser parda com os cabelos encaracolados levemente grisalhos. A neta é negra com cabelos crespos. Um caminho deve levar a um jardim com MUITAS flores (entre estas precisam ter rosas amarelas), o outro caminho deve levar a um jardim com POUCAS flores (também devem ter rosas amarelas). Precisa ficar claro na ilustração o conceito de muito e pouco.
Os caminhos não devem ser estreitos para que todas as crianças tenham acessibilidade a atividade, por isto precisa ser mais largo, caso alguma criança ao invés de pintar, precise colar recortes de papeis ou barbante para fazer o traçado do caminho. O ideal que os caminhos não sejam retos. A ilustração é de quase uma página, retirando apenas o espaço para o Boxe ludicidade e o enunciado no topo e dois itens com a legenda das cores para os caminhos na parte inferior. </t>
  </si>
  <si>
    <t>i0775_4s1p007_m25_e010</t>
  </si>
  <si>
    <t>IL TEC PADRÃO</t>
  </si>
  <si>
    <t>Ilustração da forma geométrica espacial cilindro padrão</t>
  </si>
  <si>
    <t>i0776_4s1p007_m25_e010</t>
  </si>
  <si>
    <t>Ilustração da forma geométrica espacial paralelepípedo padrão</t>
  </si>
  <si>
    <t>i0777_4s1p007_m25_e010</t>
  </si>
  <si>
    <t>Ilustração da forma geométrica espacial cone padrão</t>
  </si>
  <si>
    <t>i0778_4s1p007_m25_e010</t>
  </si>
  <si>
    <t>Ilustração da forma geométrica espacial esfera padrão</t>
  </si>
  <si>
    <t>i1102_4s1p007_m25_e010</t>
  </si>
  <si>
    <t>Ilustração referente ao  texto O jabuti e a festa no céu, produzir conforme referências, levando em conta que os tons do céu precisam ser os mesmos, bem como os traços dos personagens. Dividir a ilustração em A, B, C, D e E</t>
  </si>
  <si>
    <t>R:02/07 F:04/07</t>
  </si>
  <si>
    <t>i1106_4s1p007_m25_e010</t>
  </si>
  <si>
    <t>Ilustrar um jabuti no canto superior esquerdo e um céu no canto inferior direito. Partindo do jabuti e chegando ao céu deve haver dois caminhos: um largo e outro estreito, sendo que a diferença entre as larguras deve ser bem evidente. Atenção para que as ilustrações e os caminhos ocupem todo o espaço disponível na página.
Veja abaixo uma imagem de referência para o traçado dos caminhos, porém colocar o jabuti no lugar do passarinho e o céu no lugar do ninho.</t>
  </si>
  <si>
    <t>i1107_4s1p007_m25_e010</t>
  </si>
  <si>
    <t>Ilustração de uma cena em que o destaque seja uma fila de animais (algumas aves e o jabuti) para a mesa da festa no céu. Nessa mesa deve haver potes de grãos de várias cores e algumas frutas. A ordem dos animais na fila deve ser a seguinte: Arara, jabuti, garça, urubu, tucano. Todos estão com aparência alegre pois estão na festa.
Veja a seguir um esboço para a posição dos elementos na cena. Atenção: a ilustração deve ocupar todo o espaço disponível na página.</t>
  </si>
  <si>
    <t>i1108_4s1p007_m25_e010</t>
  </si>
  <si>
    <t>Ilustrar os seguintes animais em fio contorno preto para a criança pintar: 1 GAIVOTA, 1 GALINHA, 1 GOLFINHO, 1 TATU E 1 COELHO. Dividir a il em A, B, C, D e E</t>
  </si>
  <si>
    <t>r:30/06 f:02/07</t>
  </si>
  <si>
    <t>i1111_4s1p007_m25_e010</t>
  </si>
  <si>
    <t xml:space="preserve">Ilustrar um palco de teatro de sombras feito com uma caixa de papelão. Um dos lados da caixa deve estar formando uma abertura e, nessa abertura deve estar colado papel manteiga. Ao redor do “palco”, devem estar colados pedaços de papelão enfeitados com desenhos feitos com canetinha, formando uma moldura. Ver imagem de referência abaixo, porém, não deve aparecer a criança nem as sombras, apenas o “palco”. </t>
  </si>
  <si>
    <t>vi</t>
  </si>
  <si>
    <t>R: 30/06 ; F: 03/07</t>
  </si>
  <si>
    <t>i1113_4s1p007_m25_e010</t>
  </si>
  <si>
    <t>Ilustrar 3 cestas de palha, uma ao lado da outra e dividir em A, B e C. A primeira cesta deve estar cheia de frutas, pode ter bananas, maçãs, laranjas, morangos, peras, uvas, entre outras. A segunda deve estar vazia. A terceira deve ter 3 frutas: uma maçã, uma banana e uma pera. A posição das cestas deve permitir que seja visualizado o seu interior para que não fique dúvida sobre a quantidade de frutas que há nela. Veja a seguir uma imagem de referência para a posição em que a cesta deve ser ilustrada.</t>
  </si>
  <si>
    <t>R:30/06 F:02/07</t>
  </si>
  <si>
    <t>i1114_4s1p007_m25_e010</t>
  </si>
  <si>
    <t>Ilustrar uma cena em que apareça Branca de Neve com os 7 anões (cada um com suas características marcantes, como a carinha de zangado, dengoso, soneca, feliz...) em uma área aberta da floresta, com pouco detalhes em volta. Apenas alguns arbustos e flores. Favor ilustrar os anões Soneca e Zangado com as roupas  exatamente iguais, tanto o modelo quanto as cores. Atenção para que a cena ocupe todo o espaço disponível na página.</t>
  </si>
  <si>
    <t>i1115_4s1p007_m25_e010</t>
  </si>
  <si>
    <t xml:space="preserve">Ilustrar 6 cenas simples da fábula A lebre e a tartaruga: 3 cenas estarão na página e 3 cenas estarão no material complementar. Dividir em A, B, C, D, E e F. Ver referência: </t>
  </si>
  <si>
    <t>i1116_4s1p007_m25_e010</t>
  </si>
  <si>
    <t>Ilustrar a Bela, personagem da história A Bela e da história “A Bela e a Fera” e dividir em A e B. Veja abaixo  referências para a ilustração, porém fazer a ilustração sem fundo colorido.</t>
  </si>
  <si>
    <t>R: 01/07 ; F: 03/07</t>
  </si>
  <si>
    <t>i1117_4s1p007_m25_e010</t>
  </si>
  <si>
    <t>Ilustrar o castiçal falante, bule falante e a rosa vermelha em uma redoma de vidro. Personagem da história A Bela e a Fera. Dividir em A, B e C. Veja abaixo referências para a ilustração.</t>
  </si>
  <si>
    <t>i1119_4s1p007_m25_e010</t>
  </si>
  <si>
    <t>Ilustrar 5 crianças em fila com livros nas mãos, com as seguintes características:</t>
  </si>
  <si>
    <t>i1122_4s1p007_m25_e010</t>
  </si>
  <si>
    <t>Ilustração de duas galinhas. Dividir em A e B</t>
  </si>
  <si>
    <t>i1123_4s1p007_m25_e010</t>
  </si>
  <si>
    <t xml:space="preserve">Ilustração de duas cenas de castelo para encontrar 5 diferenças. Usar a imagem escolhida e fazer os ajustes indicados. 
Dividir em A e B.  </t>
  </si>
  <si>
    <t>i0314_1s1p007_m25_e010</t>
  </si>
  <si>
    <t>ILUSTRAR um bambolê com “papel contact” colado em um dos lados e várias folhas e flores secas coladas como se fosse um painel.
O bambolê deve ficar “pendurado” na página do livro.
Ver imagens de referência para INSPIRAÇÃO</t>
  </si>
  <si>
    <t>R:27/07 F:01/07</t>
  </si>
  <si>
    <t>i0154_3s1p007_m25_e010</t>
  </si>
  <si>
    <t>Ilustração de passo a passo. Dividir em A, B, C e D</t>
  </si>
  <si>
    <t>R: 25/06 ; F: 30/06</t>
  </si>
  <si>
    <t>i0327_1s1p007_m25_e010</t>
  </si>
  <si>
    <t>RESGATAR a ilustração da professora com as crianças explorando itens de banho – Bons Amigos Creche 1, volume 1 PNLD 22, p. 66</t>
  </si>
  <si>
    <t>i0332_1s1p007_m25_e010</t>
  </si>
  <si>
    <t>Ilustrar 5 crianças pequenas, de 1 ano de idade, e uma professora. 3 crianças devem ser negras e 2 brancas de cabelo castanho. 3 devem ser meninas (duas negras e uma branca) e as outras duas devem ser meninos. A professora pode ser morena de cabelo enrolado e preto. As meninas devem ter os cabelos soltos. Todas devem aparecer rindo, como se estivessem se divertindo. A professora e as crianças devem aparecer organizadas em círculo, segurando uma ponta de um tecido grande esticado. Ver referência</t>
  </si>
  <si>
    <t>A ilustração será usada na vivência. Porém para undime decidiram usar uma foto no lugar.</t>
  </si>
  <si>
    <t>ko</t>
  </si>
  <si>
    <t>R: 02/07 ; F: 07/07</t>
  </si>
  <si>
    <t>i0336_1s1p007_m25_e010</t>
  </si>
  <si>
    <t xml:space="preserve">Imagem gerada por IA. Quatro tubos coloridos colados na parede: um vermelho, um amarelo, um verde e um azul. </t>
  </si>
  <si>
    <t>i0337_1s1p007_m25_e010</t>
  </si>
  <si>
    <t xml:space="preserve">IMAGEM GERADA POR IA. Ilustrar as mãozinhas de um bebê negro brincando com gelatina azul em um recipiente branco (uma gamela plástica branca). </t>
  </si>
  <si>
    <t>i0338_1s1p007_m25_e010</t>
  </si>
  <si>
    <t>IMAGEM GERADA POR IA. Três garrafas PET com pequenos furos e alguns temperos aromáticos dentro de cada uma delas, todas tampadas</t>
  </si>
  <si>
    <t>i0921_4s1p007_m25_e010</t>
  </si>
  <si>
    <t>ilustração de calendário, dias da semana e meses. Dividir em A, B e C</t>
  </si>
  <si>
    <t>i0922_4s1p007_m25_e010</t>
  </si>
  <si>
    <t>Ilustrar um menino de 4 anos, negro, separando peças de montar sobre uma mesa na escola. Essas PEÇAS DE MONTAR DEVEM ESTAR SEPARADAS por cor em 4 grupos. (4 PEÇAS VERMELHAS, 4 PEÇAS AZUIS, 2 PEÇAS AMARELAS, 6 PEÇAS VERDES). É importante que as peças sejam grandes e que dê para o aluno realizar a contagem ou comparação de quantidade entre os grupos. Sugestão de vista parcialmente de cima. Ver referência. As peças, são desse modelo e com essa vista da mesa</t>
  </si>
  <si>
    <t>R: 03/07 ; F: 07/07</t>
  </si>
  <si>
    <t>i0928_4s1p007_m25_e010</t>
  </si>
  <si>
    <t xml:space="preserve">Ilustrar quatro crianças de 4 anos, em fila, vistas de lado, como uma fila de escola. A professora (branca, de jaleco, com sobrepeso) deve estar na frente virada para as crianças. Na fila dois meninos (um pardo e um branco) e duas meninas (uma negra e uma parda) com tipos físicos variados. </t>
  </si>
  <si>
    <t>R:03/07 F:05/07</t>
  </si>
  <si>
    <t>i0923_4s1p007_m25_e010</t>
  </si>
  <si>
    <t>Ilustrar em fio contorno uma peça igual as que estão na i0922 para o aluno pintar</t>
  </si>
  <si>
    <t>i0302_5s1p007_m25_e010</t>
  </si>
  <si>
    <t>Ilustração de 4 cenas (Dividir em A, B, C e D. A ilustração deve ter quatro crianças e um adulto. As crianças devem aparentar por volta dos cinco anos e estarem usando uniforme escolar: um menino branco de cabelo castanho com prótese em uma perna até o joelho; uma menina loira de óculos; uma menina negra com camisa rosa; um menino negro e uma professora parda com sobrepeso.
A ilustração deve ser sem cenário de fundo para que as crianças percebam apenas os passos da brincadeira. As mesmas crianças aparecem em todas as cenas.</t>
  </si>
  <si>
    <t>R: 11/07 ; F: 15/07</t>
  </si>
  <si>
    <t>i0303_5s1p007_m25_e010</t>
  </si>
  <si>
    <t>Ilustração na lateral/redor da página para ilustrar a cantiga O TREM DE FERRO e para a criança realizar a atividade ao final da página.
A ilustração, simples, sem muitos elementos, composta de cinco crianças que devem aparentar por volta dos cinco anos:
1 menina negra com blusa rosa 
1 menino pardo de óculos com blusa roxa
1 menina parda de cabelo cacheados
1 menino asiático com sobrepeso
1 menina parda com cordão de girassol,
 em fila, no formato de uma linha ondulada, um pouco em diagonal, com as mãos no ombro uma das outras, para preencher a página de modo mais harmonioso. Na fila é preciso que se perceba com clareza quem é a primeira criança e a última criança. Elas estão alegres pois estão brincando de trem maluco. A primeira criança da fila precisa ser a menina negra com blusa rosa e a última, a menino pardo de óculos com blusa roxa, pois já foi redigida a resposta.
ATENÇÂO Precisa seguir as cores da blusa indicadas pois já foi redigida resposta com base nas cores destas blusas.</t>
  </si>
  <si>
    <t>g0331_5s1p007_m25_e010</t>
  </si>
  <si>
    <t>LINHA TEMPO</t>
  </si>
  <si>
    <t>Inserir uma linha do tempo com 4 fotografias. Pois a ideia é mostrar fases do desenvolvimento da criança.
Fotos escolhidas e ajustes</t>
  </si>
  <si>
    <t>Felipe Grigoli</t>
  </si>
  <si>
    <t>Vinícius Costa</t>
  </si>
  <si>
    <t>Linha do Tempo</t>
  </si>
  <si>
    <t>i0332_5s1p007_m25_e010</t>
  </si>
  <si>
    <t>Ilustração na vertical
Ilustrar 5 crianças de 5 anos brincando em roda, todas em pé, de mãos dadas. Deve ter uma menina parda de costas (de camiseta amarela), do lado esquerdo um menino branco com cabelos enrolados (de camiseta azul); do lado direito uma menina parda (camiseta branca). As outras duas crianças devem ser uma menina branca com sobrepeso e um menino preto e camisetas de outras cores. A imagem deve representar que elas estão em movimento, como a imagem da direita e a criança de camisa branca não pode estar tão de lado, pois a criança vai precisar pintar a camiseta dela.</t>
  </si>
  <si>
    <t>R:22/07 F:23/07
Problemas de liberação e aceite de ilustradores, esta foi a terceira tentaiva</t>
  </si>
  <si>
    <t>i0333_5s1p007_m25_e010</t>
  </si>
  <si>
    <t>Ilustrar o passo a passo da confecção de uma vara com fita. Dividir em A, B, C e D Segue vídeo de referência.</t>
  </si>
  <si>
    <t>R: 09/07 ; F: 11/07</t>
  </si>
  <si>
    <t>i0335_5s1p007_m25_e010</t>
  </si>
  <si>
    <t>Ilustrar emojis e dividir em A, B, C e D</t>
  </si>
  <si>
    <t>Sergio Lima</t>
  </si>
  <si>
    <t>i0350_5s1p007_m25_e010</t>
  </si>
  <si>
    <t xml:space="preserve">Ilustração de três crianças fixando trabalhos em uma parede, com uma professora negra. Uma menina negra deve estar segurando um desenho de um autorretrato, uma menina parda deve estar ajudando a professora a fixar um cartaz com um título: NOSSA TURMA e fotos, e um menino branco de cabelo cacheado, de óculos deve estar segurando o que seriam duas fotografias de brincadeiras. </t>
  </si>
  <si>
    <t>R: 09/07 ; F: 13/07</t>
  </si>
  <si>
    <t>i6107_5s1p007_m25_e010</t>
  </si>
  <si>
    <t>Inserir a seguinte linha do tempo do padrão de ilustração na vertical para que a criança possa preencher.
Na parte superior da folha (acima da linha do tempo) Inserir o título: MINHA LINHA DO TEMPO 
Deixar 6 quadros com fundo com para a criança escrever a data a qual se refere as fotografias que serão coladas</t>
  </si>
  <si>
    <t>i0504_5s1p007_m25_e010</t>
  </si>
  <si>
    <t>Ilustrar uma letra A vazada em tamanho grande e dentro dela ilustrar, em fio contorno preto, as seguintes figuras: abacaxi, anel, avião, óculos e pente. As figuras devem estar espalhadas aleatoriamente dentro da letra A. Ver referência para a ilustração da letra A e das figuras. Atenção: utilizar traços simples e bem definidos e fazer a ilustração de modo que ocupe o espaço restante na página.</t>
  </si>
  <si>
    <t>R: 10/07 ; F: 14/07</t>
  </si>
  <si>
    <t>i0513_5s1p007_m25_e010</t>
  </si>
  <si>
    <t>Dividir a ilustração em A, B, C, D, E, F, G e H.
Ilustração de um pente.
Ilustração de um cortador de unhas.
Ilustração de uma escova dental.
Ilustração de um sabonete em barra.
Ilustração de uma boca destacando os dentes.
Ilustração de duas mãos de criança abertas com as palmas voltadas para o leitor.
Ilustração da parte de cima da cabeça de um menino, destacando o cabelo.
Ilustração de uma mão de criança destacando as unhas.</t>
  </si>
  <si>
    <t>i0514_5s1p007_m25_e010</t>
  </si>
  <si>
    <t>Ilustrar duas cenas, uma abaixo da outra. O contexto de cada cena é de uma criança no banheiro realizando higiene pessoal. Os cenários são diferentes, porém, alguns elementos serão exatamente iguais: escova de dentes, creme dental, xampu, sabonete em barra e esponja de banho. Esses objetos devem estar em locais diferentes em cada cena.
Dividir em A e B.</t>
  </si>
  <si>
    <t>i0515_5s1p007_m25_e010</t>
  </si>
  <si>
    <t>Ilustração em fio contorno. Dividir em A, B, C, D, E, F , G e H
Ilustrar em fio contorno um creme dental sem a tampa, saindo um pouco de pasta. Ver referência.
Ilustrar em fio contorno um creme dental exatamente igual ao anterior, porém, com a tampa.
Ilustrar, em fio contorno, um shampoo com a tampa aberta. Ver referência.
Ilustrar, em fio contorno, um shampoo exatamente igual ao anterior, porém, com a tampa fechada. Ver referência.
Ilustrar, em fio contorno, uma embalagem de lenços umedecidos aberta. Ver referência.
Ilustrar, em fio contorno, uma embalagem de lenços umedecidos exatamente igual à anterior, porém, fechada.
Ilustrar, em fio contorno, um fio dental. A embalagem deve estar fechada. Ver referência, porém a il deve ser apenas em fio contorno.
Ilustrar, em fio contorno, um fio dental exatamente igual ao anterior, porém com a tampinha aberta.</t>
  </si>
  <si>
    <t>i0516_5s1p007_m25_e010</t>
  </si>
  <si>
    <t xml:space="preserve">Ilustrar um menino branco, de cabelos castanhos cacheados, encenando tomar banho em um chuveiro “simbólico”, feito com um pequeno bambolê preso à parede e a água representada por tiras de plástico azul e transparente. Ao lado desse chuveiro deve ter uma mesinha com alguns itens de higiene como bucha, shampoo, sabonete... A criança deve estar vestida </t>
  </si>
  <si>
    <t>i0517_5s1p007_m25_e010</t>
  </si>
  <si>
    <t>Dividir a ilustração em A e B
Ilustrar o rosto de um jacaré, porém na boca dele deve aparecer somente a parte inferior (com os dentes), pois a parte de cima estará no material destacável. Os dentes devem ter manchas representando sujeira e cáries. Na parte da boca que fica perto dos olhos deve haver uma marcação para indicar onde a criança deve colar a parte que vai destacar do material complementar (este lugar está destacado com o traço azul mais grosso na imagem de referência).
Esta parte deverá ser a ilustração B e ficará no material complementar
Ilustrar a parte de cima da boca do jacaré. Os dentes devem ter manchas, como os da parte de baixo. Essa parte deve ser ilustrada de forma que se encaixe exatamente sobre a parte que ficará ilustrada na página, para, depois de colada, poder realizar o movimento de abrir e fechar a boca. Após a colagem, quando a boca estiver aberta, aparecerão os dentes, e, quando estiver fechada, irá complementar o rosto do jacaré, conforme a segunda imagem da referência, porém com o nariz em branco. Esta ilustração estará nos DESTACÁVEIS.</t>
  </si>
  <si>
    <t>i0518_5s1p007_m25_e010</t>
  </si>
  <si>
    <t>Ilustrar 3 cenas mostrando uma criança antes, durante e depois de uma refeição em família: 1 cena estará na página e 2 cenas estarão no material complementar. Produzir cenas horizontais, de forma que ocupem todo o espaço disponível na página. Dividir em A, B e C</t>
  </si>
  <si>
    <t>R: 11/07 ; F: 16/07</t>
  </si>
  <si>
    <t>i0519_5s1p007_m25_e010</t>
  </si>
  <si>
    <t>Ilustrar uma moldura e inserir o título: “NOSSA RECEITA SAUDÁVEL”. A moldura pode conter alguns elementos como ovos, liquidificador, avental, enfim, itens que lembrem o preparo de uma receita culinária.</t>
  </si>
  <si>
    <t>i0532_5s1p007_m25_e010</t>
  </si>
  <si>
    <t>Ilustrar, em fio contorno, uma embalagem de fio dental. IA gerada pela Gemini</t>
  </si>
  <si>
    <t>i0535_5s1p007_m25_e010</t>
  </si>
  <si>
    <t xml:space="preserve">Dividir em A, B, C, D, E, F, G, H e I
Ilustrar uma cenoura.
Ilustrar uma batata.
Ilustrar um repolho.
Ilustrar uma cebola.
Ilustrar um tomate.
Ilustrar um pacote de macarrão.
Ilustrar um pimentão.
Ilustrar um maço de brócolis.
Ilustrar uma panela com água sobre a chama de um fogão. A água deve estar fervendo. </t>
  </si>
  <si>
    <t>i0706_5s1p007_m25_e010</t>
  </si>
  <si>
    <t>Ilustração vertical, de um quarto infantil, com poucos elementos (paredes, janela, cortina...). No centro da cena deve ter um baú grande, vazio e aberto em cima de um tapete. O tapete deve ser na cor verde e estar embaixo do baú para que a criança possa colar os dois adesivos em cima do tapete. 
Ilustrar 3 imagens em adesivo e dividir em A, B e C: um mapa do tesouro aberto, um gato preto uma coruja conforme referências abaixo. Os adesivos deverão ter fundo branco, o mesmo tamanho, mas as imagens devem ser proporcionais. 
O baú deve ser em um tamanho que caiba colado dentro dele o adesivo do mapa e no tapete do lado do baú tenha um tamanho que possa ser colocado os outros dois adesivos.</t>
  </si>
  <si>
    <t>R:14/07 F:17/07</t>
  </si>
  <si>
    <t>i0707_5s1p007_m25_e010</t>
  </si>
  <si>
    <t>Ilustração em fio contorno de 2 baús grandes de mesmo tamanho e forma, um com muitos tesouros e o outro com poucos. Ajuste: separar as imagens em A e B</t>
  </si>
  <si>
    <t>ARTE</t>
  </si>
  <si>
    <t>i0710_5s1p007_m25_e010</t>
  </si>
  <si>
    <t>Ilustrar duas caixas iguais, em fio contorno, uma com muitas garrafas e outra com poucas garrafas.
Escolhida: IA da Gemini IA_garrafas, na pasta V4. Ajuste: separar as imagens em A e B.</t>
  </si>
  <si>
    <t>i0716_5s1p007_m25_e010</t>
  </si>
  <si>
    <t>Ilustrar um labirinto na vertical.
Ilustrar uma menina negra (mais ou menos 5 anos) detetive (com chapéu e casaco), no canto superior esquerdo indicando o início do labirinto. No canto inferior direito, um baú fechado indicando a chegada.
Entre as imagens deverá constar 3 caminhos, com as seguintes imagens:
Caminho 1: lupa, óculos de sol, lanterna, caderno de anotações
Caminho 2: dado, dinossauro, uma peça de dominó, dedo e o número dois (esse deve ser o caminho correto)
Caminho 3: chapéu, binóculos, maleta de detetive, luvas
Imagens de referência para labirinto (caminhos com círculos com as imagens):</t>
  </si>
  <si>
    <t>i0717_5s1p007_m25_e010</t>
  </si>
  <si>
    <t>i0718_5s1p007_m25_e010</t>
  </si>
  <si>
    <t>Ilustração de um banco de madeira, onde pode ser visualizado os objetos que estarão em cima e os objetos que estarão embaixo dele. Ilustrar em cima do banco um mapa do tesouro e uma lupa e embaixo do banco uma mochila e um baú. O banco deverá estar de frente e os objetos que estão em cima e os que estão embaixo dele bem visíveis.
Escolhida: IA da Gemini IA_banco, na pasta V4. Ajuste: fazer uma sombra embaixo do banco para representar um chão.</t>
  </si>
  <si>
    <t>i0725_5s1p007_m25_e010</t>
  </si>
  <si>
    <t>Ilustração de girassóis pelo espaço com cabinho e folhas, 1 girassol deve ter duas folhas e 1 deve ter apenas uma folha em cada. 
Escolhida: IA da Gemini IA_girassol, na pasta V4. Ajuste: separar a ilustração em A e B e se possível deixa-los do mesmo tamanho.</t>
  </si>
  <si>
    <t>i0727_5s1p007_m25_e010</t>
  </si>
  <si>
    <t>Ilustração de uma estante de sala de aula de educação infantil com 6 prateleiras. No canto esquerdo de cada prateleira deve ter: um cubo, um cilindro, uma esfera, uma pirâmide, um cone e um paralelepípedo. Cada elemento geométrico deve ter uma cor. As prateleiras devem estar vazias ao lado dos elementos, pois as crianças vão colar dois adesivos em cada prateleira.</t>
  </si>
  <si>
    <t>i0728_5s1p007_m25_e010</t>
  </si>
  <si>
    <t>Ilustrar uma imagem de um painel no corredor de uma escola com trabalhos expostos, podem ter imagens de objetos que representem os sólidos geométricos, as letras C e D e os números 1 e 2 e elementos relacioados a detetive e mistério.</t>
  </si>
  <si>
    <t>i0729_5s1p007_m25_e010</t>
  </si>
  <si>
    <t>Inserir ilustração em fio contorno de:  cachorro, casa, dado e detetive.
Dividir a ilustração em A, B, C e D</t>
  </si>
  <si>
    <t>i0736_5s1p007_m25_e010</t>
  </si>
  <si>
    <t xml:space="preserve">Inserir pirâmide verde do padrão
</t>
  </si>
  <si>
    <t>Arte - Padrao</t>
  </si>
  <si>
    <t>i0737_5s1p007_m25_e010</t>
  </si>
  <si>
    <t>Inserir cone amarelo do padrão</t>
  </si>
  <si>
    <t>i0738_5s1p007_m25_e010</t>
  </si>
  <si>
    <t>Inserir esfera azul do padrão</t>
  </si>
  <si>
    <t>i0739_5s1p007_m25_e010</t>
  </si>
  <si>
    <t>Inserir cubo roxo do padrão</t>
  </si>
  <si>
    <t>i0740_5s1p007_m25_e010</t>
  </si>
  <si>
    <t>Inserir cilindro vermelho do padrão</t>
  </si>
  <si>
    <t>i0741_5s1p007_m25_e010</t>
  </si>
  <si>
    <t>Inserir paralelepípedo rosa do padrão</t>
  </si>
  <si>
    <t>i0903_5s1p007_m25_e010</t>
  </si>
  <si>
    <t>Ilustração de 4 cenas (passo a passo da produção de um relógio de sol). Dividir em A, B, C e D</t>
  </si>
  <si>
    <t>R:19/07 F:22/07</t>
  </si>
  <si>
    <t>i0904_5s1p007_m25_e010</t>
  </si>
  <si>
    <t>Ilustração de 4 cenas (passo a passo de maquete do sistema solar). Dividir em A, B, C e D</t>
  </si>
  <si>
    <t>R:21/07 F:23/07</t>
  </si>
  <si>
    <t>i0924_5s1p007_m25_e010</t>
  </si>
  <si>
    <t xml:space="preserve">ilustração de quatro planetas. </t>
  </si>
  <si>
    <t>R: 14/07 ; F: 16/07</t>
  </si>
  <si>
    <t>i0925_5s1p007_m25_e010</t>
  </si>
  <si>
    <t>Ilustrar cenário como se fosse um jogo espacial, tem uma “trilha” já percorrida por um astronauta aparentando 5 anos, ele já passou por três bases ou partes de asteroides, sobre cada parte está uma bolinha dourada como se estivesse iluminada com o número correspondente, 1, 2, 3. Na quarta, o astronauta está, não tem a bolinha do número, as crianças terão que contar para descobrir o número da casa/asteroide. Tem um fio (um tubo) que liga todos os asteroides e ele continua fazendo uma curva, continuando embaixo e deve seguir até o final, na lateral direita da imagem como se continuasse, pois as crianças terão que desenhar sobre ele mais 4 casas do jogo. Por isto o fundo onde passar o tubo precisa ser mais claro para aparecer o desenho da criança. A imagem de referência está invertida para mostrar a direção e o sentido a ser seguido.
A ilustração deve ocupar o espaço disponível na página.</t>
  </si>
  <si>
    <t>i0927_5s1p007_m25_e010</t>
  </si>
  <si>
    <t>Ilustração de crianças e planetas. Dividir a il em A, B, C, D, E e F</t>
  </si>
  <si>
    <t>i0930_5s1p007_m25_e010</t>
  </si>
  <si>
    <t>Ilustração de estrelas com números. Dividir em A, B, C, D, E e F</t>
  </si>
  <si>
    <t>i0931_5s1p007_m25_e010</t>
  </si>
  <si>
    <t>Ilustração de foguete e lua. Dividir em A e B</t>
  </si>
  <si>
    <t>i0932_5s1p007_m25_e010</t>
  </si>
  <si>
    <t>Ilustração de nuvem e sol. Dividir em A e B</t>
  </si>
  <si>
    <t>i0933_5s1p007_m25_e010</t>
  </si>
  <si>
    <t>Ilustração de astronauta e planeta terra. Dividir em A e B</t>
  </si>
  <si>
    <t>i0934_5s1p007_m25_e010</t>
  </si>
  <si>
    <t>Ilustração de telescópio e planeta saturno. Dividir em A e B</t>
  </si>
  <si>
    <t>i0940_5s1p007_m25_e010</t>
  </si>
  <si>
    <t xml:space="preserve">Inserir ilustração com dois astronautas, três planetas, um foguete, cenário espaço. Somente estes elementos pois as crianças terão que identificá-los na ilustração. Obs. O fundo não pode ser tão escuro. </t>
  </si>
  <si>
    <t>R: 11/07 ; F: 14/07</t>
  </si>
  <si>
    <t>i0941_5s1p007_m25_e010</t>
  </si>
  <si>
    <t>Ilustração de astronautas com roupa amarela, roupa azul e em fio contorno. Dividir em A, B, C e D</t>
  </si>
  <si>
    <t>i6120_5s1p007_m25_e010</t>
  </si>
  <si>
    <t>Inserir um círculo com 20 cm de diâmetro. Referência:</t>
  </si>
  <si>
    <t>i1102_5s1p007_m25_e010</t>
  </si>
  <si>
    <t>Ilustrar três crianças, um menino preto usando óculos, uma menina parda usando colar girassol de deficiência não aparente e uma menina branca com sobrepeso, e uma professora parda em uma sala de aula de educação infantil. As três crianças e a professora devem estar ao redor de uma mesa na qual deve haver uma bacia grande transparente cheia de água e alguns objetos e alimentos, como lápis de cor, borracha escolar, clipes de metal, prendedor de roupa, colher, esponja, maçã e laranja. A menina parda deve estar colocando a maçã dentro do recipiente e o menino de óculos deve estar fazendo uma anotação em uma tabela igual à apresentada na página 99. A ilustração deve ocupar todo o espaço disponível na página.</t>
  </si>
  <si>
    <t>R: 16/07 ; F: 18/07</t>
  </si>
  <si>
    <t>i1115_5s1p007_m25_e010</t>
  </si>
  <si>
    <t>Ilustração de cenas e objetos que completam a il. Dividir a ilustração em A, B, C, D, E, F, G e H</t>
  </si>
  <si>
    <t>R: 15/07 ; F: 21/07</t>
  </si>
  <si>
    <t>i1116_5s1p007_m25_e010</t>
  </si>
  <si>
    <t xml:space="preserve">Ilustrar crianças realizando um circuito sensorial, com diferentes texturas.
O circuito pode ser organizado com bandejas rasas, brancas, enfileiradas em um gramado, de maneira que em cada bandeja tenha um elemento. Por exemplo: 
bandeja 1 com pedras arredondadas;
bandeja 2 com pedaço de tecido de textura lisa
bandeja 3 com pedaços de algodão
bandeja 4 com areia
bandeja 5 com cascas de pinus
Bandeja 6 com argila molhada
Na imagem deve aparecer 3 crianças: uma menina preta que não tem um dos braços, uma menina parda de cabelos castanhos cacheados, um menino indígena. A menina preta deve estar com os pés descalços dentro de uma das bandejas, como se ela estivesse realizando o circuito. As outras duas crianças devem estar no começo do circuito, também descalças, como se estivessem esperando para participar. </t>
  </si>
  <si>
    <t>i1131_5s1p007_m25_e010</t>
  </si>
  <si>
    <t>Il. de três janelas, iguais, com a mesma "vista", mas com o céu em tonalidade diferente.
Janela 1: com o céu azul claro, sem nuvens, dando a ideia de que o tempo está ensolarado
Janela 2: Céu mais acinzentado com algumas nuvens (nublado)
Janela 3: Céu azul escuro com nuvens escuras e gotas de chuva caindo.
Ilustrar as janelas mais retangulares, de maneira que fique uma embaixo da outra e feche a página.
Dividir em A, B e C</t>
  </si>
  <si>
    <t>i1132_5s1p007_m25_e010</t>
  </si>
  <si>
    <t xml:space="preserve">Ilustração, apenas fio contorno, de um guarda-chuva aberto.
Ilustração, apenas fio contorno, de uma capa de chuva.
Ilustração, apenas fio contorno, de um par de botas de borracha, usadas nos dias de chuva.
Ilustração, apenas fio contorno, de uma camiseta de manga curta. 
Ilustração, apenas fio contorno, de uma bermuda.
Ilustração, apenas fio contorno, de uma saia curta.
Ilustração, apenas fio contorno, de um boné. 
Ilustração, apenas fio contorno, de um par de chinelos.
Ilustração, apenas fio contorno, de uma blusa de frio com capuz.
Ilustração, apenas fio contorno, de uma calça.
Ilustração, apenas fio contorno, de um par de tênis.
Ilustração, apenas fio contorno, de uma touca de lã.
Ilustração, apenas fio contorno de uma par de luvas.
Ilustração, apenas fio contorno, de camiseta de manga longa.
Ver referência, porém fazer apenas fio contorno, conforme indicação.
De maneira que as ilustrações ocupem o espaço disponível na página.
</t>
  </si>
  <si>
    <t>i1133_5s1p007_m25_e010</t>
  </si>
  <si>
    <t>Ilustrar uma cena em que apareçam 4 crianças na chuva: uma menina oriental com sobrepeso, um menino negro, uma menina negra de óculos, um menino ruivo. As crianças devem estar usando capa de chuva e botas de borracha, mas não devem estar usando guarda-chuva. Elas devem estar em um espaço aberto e devem aparecer as gotas de chuva, porém, o fundo deve ser bem clarinho, pois o aluno irá desenhar um guarda-chuva para cada criança. A posição de uma das mãos das crianças deve estar em uma posição que pareça que elas estão segurando um guarda-chuva. Ver referência, porém não ilustrar as árvores e os pássaros e fazer todas as crianças sem guarda-chuva e com as características descritas acima.</t>
  </si>
  <si>
    <t>i1143_5s1p007_m25_e010</t>
  </si>
  <si>
    <t>Ilustração de nuvens e gotas de chuva. Dividir em A, B, C, D, E e F</t>
  </si>
  <si>
    <t>F: 16/07</t>
  </si>
  <si>
    <t xml:space="preserve">i1144_5s1p007_m25_e010 </t>
  </si>
  <si>
    <t xml:space="preserve">Ilustração de uma sala de aula de educação infantil com um painel de fotografias e um mural de atividades. </t>
  </si>
  <si>
    <t>i0929_4s1p007_m25_e010</t>
  </si>
  <si>
    <t>Ilustração gerada por IA de dois lápis (um fino e um grosso) Ajuste: dividir em A e B.</t>
  </si>
  <si>
    <t>IA (arte)</t>
  </si>
  <si>
    <t>i0522_5s1p007_m25_e010</t>
  </si>
  <si>
    <t>Ilustração de uma sala de aula de educação infantil com atividades expostas.</t>
  </si>
  <si>
    <t>R: 15/07 F:17/07</t>
  </si>
  <si>
    <t>i6133_4s1p007_m25_e010</t>
  </si>
  <si>
    <t>Ilustração de uma janela estilo francesa. O centro da janela deverá ser vazado e destacável, ficando um buraco. As “folhas” da janela serão dobradas para trás,
então precisam de linha de dobra, conforme indicadas na referência a seguir. Toda a janela deve ser destacável, compor linha de corte por fora dela toda
também, conforme referência. Na parte branca que ficará no livro, fora do destacável, compor duas setas indicativas, uma para esquerda e outra para a direita
escrito “DOBRE PARA FORA”, indicando o lado correto para dobrar, essas únicas indicações devem ficar visíveis no livro.</t>
  </si>
  <si>
    <t>i1706_4s2p007_m25_e010</t>
  </si>
  <si>
    <t>Uma mancha de cor azul, uma de cor dourada e uma de cor alaranjada. 
Dividir a ilustração em A, B e C</t>
  </si>
  <si>
    <t>fg</t>
  </si>
  <si>
    <t>i1718_4s2p007_m25_e010</t>
  </si>
  <si>
    <t xml:space="preserve">Inserir ilustração de um pomar, com bananeira, laranjeira, uma pereira ao centro, uma jabuticabeira e um limoeiro. A pereira deve ficar em evidência pois estará sendo trabalhada a letra P e o reconhecimento da fruta. É possível ver todas as frutas em seus respectivos pés. A ilustração das árvores frutíferas devem ser feitas com base nas reais. Em cada árvore deve ter uma placa com o seu nome escrito em letra de forma maiúscula. </t>
  </si>
  <si>
    <t>vira shutter</t>
  </si>
  <si>
    <t>if1726_4s2p007_m25_e010</t>
  </si>
  <si>
    <t xml:space="preserve">Ilustração com foto de um quadro para formar um caminho para o quati encontrar seu bando. Ver referência para il. </t>
  </si>
  <si>
    <t>i1724_4s2p007_m25_e010</t>
  </si>
  <si>
    <t>Ilustração de frutas:
Dividir a ilustração em A, B, C e D conforme referência</t>
  </si>
  <si>
    <t>i1725_4s2p007_m25_e010</t>
  </si>
  <si>
    <t>i1725_4s2p007_m25_e010
Ilustração de legumes:
Dividir a ilustração em A, B, C e D conforme referência</t>
  </si>
  <si>
    <t>i1727_4s2p007_m25_e010</t>
  </si>
  <si>
    <t>Ilustração de árvores frutíferas sem fruto, com poucos e com muitos frutos. Dividir em A, B e C.</t>
  </si>
  <si>
    <t>i2306_4s2p007_m25_e010</t>
  </si>
  <si>
    <t>Ilustrar uma linha reta somente em fio contorno;
uma figura de losango somente em fio contorno;
uma linha curva semelhante a um quarto de um círculo;
uma figura de um círculo;
uma mancha de cor amarela; 
uma mancha de cor azul.
Dividir a il em A, B, C, D, E e F</t>
  </si>
  <si>
    <t>sl</t>
  </si>
  <si>
    <t>F: 25/07</t>
  </si>
  <si>
    <t>i2307_4s2p007_m25_e010</t>
  </si>
  <si>
    <t>Inserir uma ilustração grande da bandeira do Brasil. A bandeira deve estar com a área verde já pintada (preenchida), com as estrelas e a faixa branca com a frase “Ordem e Progresso” visível. As partes amarela (losango) e azul (círculo) devem estar com contornos pontilhados em cinza claro, para que a criança faça o traçado e sem pintura (sem cor), pois a criança também irá pintar o interior das formas traçadas</t>
  </si>
  <si>
    <t>yp</t>
  </si>
  <si>
    <t>Arquivo da editora</t>
  </si>
  <si>
    <t>BANDEIRA BRASIL/ARQUIVO DA EDITORA</t>
  </si>
  <si>
    <t>i2308_4s2p007_m25_e010</t>
  </si>
  <si>
    <t>Inserir bandeira do Brasil.</t>
  </si>
  <si>
    <t>i2309_4s2p007_m25_e010</t>
  </si>
  <si>
    <t>Inserir bandeira do Japão.</t>
  </si>
  <si>
    <t>i2310_4s2p007_m25_e010</t>
  </si>
  <si>
    <t>Inserir bandeira da Argentina</t>
  </si>
  <si>
    <t>i2311_4s2p007_m25_e010</t>
  </si>
  <si>
    <t>Inserir bandeira da África do Sul</t>
  </si>
  <si>
    <t>i2312_4s2p007_m25_e010</t>
  </si>
  <si>
    <t>Inserir bandeira da Austrália</t>
  </si>
  <si>
    <t>i2313_4s2p007_m25_e010</t>
  </si>
  <si>
    <t xml:space="preserve">Inserir bandeira d Brunei </t>
  </si>
  <si>
    <t>i2314_4s2p007_m25_e010</t>
  </si>
  <si>
    <t>Inserir bandeira de Maldivas</t>
  </si>
  <si>
    <t>i2315_4s2p007_m25_e010</t>
  </si>
  <si>
    <t>inserir bandeira Micronésia</t>
  </si>
  <si>
    <t>i2316_4s2p007_m25_e010</t>
  </si>
  <si>
    <t>inserir bandeira da Itália</t>
  </si>
  <si>
    <t>i2317_4s2p007_m25_e010</t>
  </si>
  <si>
    <t>Ilustração de duas máscaras. Dividir em A e B</t>
  </si>
  <si>
    <t>i2318_4s2p007_m25_e010</t>
  </si>
  <si>
    <t>Ilustração de objetos somente em fio contorno
Dividir em A, B, C, D, E, e F</t>
  </si>
  <si>
    <t>Foi excluida virou foto</t>
  </si>
  <si>
    <t>if2319_4s2p007_m25_e010</t>
  </si>
  <si>
    <t>Ilustração de um quadro formando um caminho. A criança pintará as letras Y formando um caminho ligando a imagem da família ao yakisoba.
Deixar as fotos em formato oval</t>
  </si>
  <si>
    <t>i2328_4s2p007_m25_e010</t>
  </si>
  <si>
    <t>compor uma tabela/legenda com as informações abaixo.</t>
  </si>
  <si>
    <t>i2329_4s2p007_m25_e010</t>
  </si>
  <si>
    <t xml:space="preserve">Ilustração – Ilustrar a fachada de uma escola feita somente com formas geométricas. Ela ocupará mais da metade da página. É necessário que ela tenha: quadrados, círculos, retângulos e triângulos. A ilustração deve ser feita somente com linhas sem preenchimento, pois as crianças irão pintar as formas geométricas de acordo com a legenda de cores da atividade. Segue referência apenas para visualização, pois a ilustração deve conter menos elementos do que a referência. </t>
  </si>
  <si>
    <t>i2331_4s2p007_m25_e010</t>
  </si>
  <si>
    <t>Figuras geométricas (dividir em A, B, C, D e E)</t>
  </si>
  <si>
    <t>g2334_4s2p007_m25_e010</t>
  </si>
  <si>
    <t>GRÁFICO</t>
  </si>
  <si>
    <t>gráfico conforme referência abaixo. Precisa ter abaixo da base espaço para a professora escrever os itens. Serão seis colunas com 10 divisões. Linha marcando base e embaixo espaço para escrita dos itens pela professora.</t>
  </si>
  <si>
    <t>i2345_4s2p007_m25_e010</t>
  </si>
  <si>
    <t>Inserir figura de um retângulo roxo.</t>
  </si>
  <si>
    <t xml:space="preserve">i2346_4s2p007_m25_e010 </t>
  </si>
  <si>
    <t>Inserir figura de um triângulo verde.</t>
  </si>
  <si>
    <t>i2347_4s2p007_m25_e010</t>
  </si>
  <si>
    <t>Inserir figura de um quadrado alaranjado</t>
  </si>
  <si>
    <t xml:space="preserve">i2348_4s2p007_m25_e010 </t>
  </si>
  <si>
    <t>Inserir figura de um retângulo preto</t>
  </si>
  <si>
    <t>g2353_4s2p007_m25_e010</t>
  </si>
  <si>
    <t>Inserir um gráfico sem preenchimento com 4 colunas e 5 linhas cada. Fazer uma linha na base e embaixo da linha na direção de cada coluna escrever as letras A, B, C, D. Uma letra para cada coluna, pois as crianças contaram quantos elementos cada grupo tem e pintarão no gráfico.</t>
  </si>
  <si>
    <t xml:space="preserve">i6109_4s2p007_m25_e010 </t>
  </si>
  <si>
    <t>Inserir a figura de um círculo amarelo</t>
  </si>
  <si>
    <t xml:space="preserve">i6110_4s2p007_m25_e010 </t>
  </si>
  <si>
    <t>Inserir a figura de um triângulo vermelho queimado</t>
  </si>
  <si>
    <t xml:space="preserve">i6111_4s2p007_m25_e010 </t>
  </si>
  <si>
    <t>Inserir a figura de um quadrado azul</t>
  </si>
  <si>
    <t xml:space="preserve">i6112_4s2p007_m25_e010 </t>
  </si>
  <si>
    <t>Inserir a figura de um retângulo verde</t>
  </si>
  <si>
    <t xml:space="preserve">i6113_4s2p007_m25_e010 </t>
  </si>
  <si>
    <t>Inserir a figura de um losango roxo</t>
  </si>
  <si>
    <t>i1302_4s2p007_m25_e010</t>
  </si>
  <si>
    <t xml:space="preserve">Ilustrar um menino de 5 anos, pardo, com colar de girassol (indicação de deficiência não visível), semblante sereno e contente, deve estar brincando em um jardim com uma fita colorida, perto dele deve ter uma bola de futebol. </t>
  </si>
  <si>
    <t>R: 23/07 ; F: 28/07</t>
  </si>
  <si>
    <t>i1306_4s2p007_m25_e010</t>
  </si>
  <si>
    <t>ilustração de um caminho para a criança pintar o caminho feito com a vogal i, levando a menina ao ioiô. 
Para isto, a ilustração deve ser de uma menina parda de cabelos curtos e óculos, no canto superior esquerdo. No caminho deve ser ilustrado quadrinhos com as vogais (todas em letra impressa, maiúscula), para fácil identificação da criança e o ioiô no final do caminho, no canto inferior direito.
Observação: a referência abaixo é apenas para visualizar como devem ser as letras, mas a quantidade de quadrinhos vai depender do espaço disponível na página</t>
  </si>
  <si>
    <t>i1307_4s2p007_m25_e010</t>
  </si>
  <si>
    <t xml:space="preserve">Ilustração em linguagem infantil, estilo xilogravura, de duas crianças de 4 anos. Um menino preto brincando de bambolê. Uma menina parda brincando com uma peteca, feita de pena, para o ar. Variar tipo físico das crianças. </t>
  </si>
  <si>
    <t>R: 21/07 ; F: 24/07</t>
  </si>
  <si>
    <t>i1368_4s2p007_m25_e010</t>
  </si>
  <si>
    <t>Ilustração de página inteira da brincadeira Coelho sai da toca, com crianças de mais ou menos 4 anos, de uniforme. 
O cenário é um pátio de escola, no chão devem estar desenhados quatro círculos grandes com giz de lousa e dentro de dois deles deve estar uma criança: 
- um menino branco com cabelo castanho com colar de identificação com girassol 
- uma menina negra, 
Fora das tocas devem ter 3 crianças:
- uma menina parda em cadeira de rodas com a professora negra atrás segurando sua cadeira, chegando perto de uma toca. 
uma menina branca com cabelo loiro com sobrepeso (em movimento), 
um menino negro (em movimento)
 Outra professora parda de óculos com ar animado, que vai dar o comando da brincadeira. As crianças devem estar alegres e com postura como estivessem atentos para o comando de sair correndo. Ter alguma natureza ao redor para não ficar só o piso de cimento.</t>
  </si>
  <si>
    <t>i1352_4s2p007_m25_e010</t>
  </si>
  <si>
    <t>Ilustração de página para a cantiga A Loja do Mestre André.
A cena deve ter poucos elementos. Ela deve representar algumas crianças em um palco simples de teatro (cortinas nas laterais). O cenário deve lembrar uma loja de instrumentos musicais. Terão dois personagens um menino negro que interpreta o Mestre André e uma menina parda comprando um pianinho. Soltos na página podem estar ilustrados os outros instrumentos citados na cantiga, tamborzinho, a flautinha e notas musicais. Ver referência</t>
  </si>
  <si>
    <t>i6114_4s2p007_m25_e010</t>
  </si>
  <si>
    <t>Ilustração de conjuntos de brinquedos. Cada conjunto deve estar organizado em um fio contorno ondulado:
Um conjunto de uma peteca.
Um conjunto de uma caixa de blocos de encaixe.
Um conjunto de um cavalinho de pau
Dividir em A, B e C</t>
  </si>
  <si>
    <t>i6115_4s2p007_m25_e010</t>
  </si>
  <si>
    <t xml:space="preserve">Ilustração de conjuntos de brinquedos. Cada conjunto deve estar organizado em um fio contorno ondulado:
Um conjunto de dois piões
Um conjunto de dois dados. Um de vogal e outro de número 
Um conjunto de dois aviões
Dividir em A, B e C
referências: </t>
  </si>
  <si>
    <t>i6116_4s2p007_m25_e010</t>
  </si>
  <si>
    <t xml:space="preserve">Ilustração de conjuntos de brinquedos. Cada conjunto deve estar organizado em um fio contorno ondulado:
Um conjunto de três bolinhas de borracha coloridas
Um conjunto de três bichinhos de banho - borracha
Um conjunto de três panelinhas
Dividir em A, B e C
Referências: </t>
  </si>
  <si>
    <t>i1511_4s2p007_m25_e010</t>
  </si>
  <si>
    <t>Ilustração de materiais e passo a passo da montagem de uma castanhola. Dividir a ilustração em A, B, C, D e E</t>
  </si>
  <si>
    <t>R: 22/07 ; F: 24/07</t>
  </si>
  <si>
    <t>i1512_4s2p007_m25_e010</t>
  </si>
  <si>
    <t xml:space="preserve">Arte: ilustrar um filhote de leão no canto superior esquerdo da página e um Leão adulto no canto inferior direito da página. Entre eles traçar três caminhos, porém somente um deles levará o filhote até seu pai. Dentro dos caminhos ilustrar em FIO CONTORNO, alguns animais. NO CAMINHO QUE LEVA O FILHOTE ATÉ O PAI, ILUSTRAR 3 ANIMAIS espalhados: LEOPARDO, LOBO E LAGARTO. Nos outros caminhos ilustrar animais espalhados. Em um caminho: girafa, elefante e macaco e no outro caminho: capivara, tucano e um tatu bola. Veja referência para o tipo de caminho. Deixar o caminho mais largo, manter as árvores pelo percurso para dar impressão de floresta. </t>
  </si>
  <si>
    <t>i1519_4s2p007_m25_e010</t>
  </si>
  <si>
    <t>Arte: ilustrar uma cena na qual contenha animais terrestres, aquáticos e aéreos. Veja abaixo uma referência para inspiração do cenário. Na cena deve conter uma parte de terra e também um riacho ou lagoa. Na parte de terra, deve ter 4 animais terrestres: lobo guará, capivara, coelho e porco espinho. Em cima de uma árvore ilustrar um pássaro e outro voando. Na lagoa deve ter dois peixes. Essa cena deve ocupar todo espaço disponível na página.</t>
  </si>
  <si>
    <t>i1520_4s2p007_m25_e010</t>
  </si>
  <si>
    <t>Arte: Ilustrar uma cena na qual 2 crianças (um menino branco com cordão de girassol e uma menina negra – ambos com 4 anos) estão visitando um aquário gigante. 
Nesse aquário deve conter 2 tubarões, 3 cavalos marinhos, 4 tartaruguinhas e um cardume com 5 peixes coloridos iguais. Os animais de mesma espécie devem ser iguais e estar próximos uns dos outros de modo a facilitar a contagem. 
No aquário deve ter poucos elementos (como corais, algas e pedras) além dos animais, para não poluir a imagem e dificultar a contagem do aluno. Veja referência para inspiração.</t>
  </si>
  <si>
    <t>i1521_4s2p007_m25_e010</t>
  </si>
  <si>
    <t>Ilustrar a ave narceja ao lado do seu ninho. No ninho devem ter 8 ovos e em cada ovo deve ter as seguintes imagens: uma nuvem, um nariz, um navio, uma bola, um cachorro, um novelo, um gato, um lápis. Os ovos e as imagens deles devem estar em fio contorno pois a criança irá pintar.
O ninho deve ocupar a maior parte da página, de maneira que os ovos e as figuras neles desenhadas fiquem em um tamanho bom para a criança pintar.
Veja a seguir referências de imagem.</t>
  </si>
  <si>
    <t>i1522_4s2p007_m25_e010</t>
  </si>
  <si>
    <t>Arte: Ilustrar uma árvore com 6 PÁSSAROS DE ESPÉCIES DIFERENTES. Dois deles voando perto da árvore e 4 pousados nos galhos, referência:</t>
  </si>
  <si>
    <t>i1531_4s2p007_m25_e010</t>
  </si>
  <si>
    <t>Arte: ilustrar uma exposição de “álbuns”, que podem estar em um varal pendurados. Na cena, inserir duas crianças de 4 anos observando os albuns expostos (um menino negro com cabelos cacheados e uma menina branca de óculos). A exposição pode ser no pátio da escola. Na cena deve estar evidente alguns álbuns bem como seus títulos na caixa alta, “ÁLBUM DE ANIMAIS SELVAGENS, ÁLBUM DE ANIMAIS DE ESTIMAÇÃO...” Veja referência para inspiração.</t>
  </si>
  <si>
    <t>i1532_4s2p007_m25_e010</t>
  </si>
  <si>
    <t>Arte: ilustrar dois patos, uma fêmea e um macho virados de frente. As patas devem estar bem evidentes para facilitar a contagem. Ver referência.</t>
  </si>
  <si>
    <t>i6130_4s2p007_m25_e010</t>
  </si>
  <si>
    <t>Ilustração de um jogo de memória, cada brinquedo terá a sua imagem duplicada. O jogo é formado por 16 peças – 8 pares de imagens. Conforme indicação abaixo
Dividir a il em A, B, C, D, E, F, G, H, I e J</t>
  </si>
  <si>
    <t>if6131_4s2p007_m25_e010</t>
  </si>
  <si>
    <t>Ilustração com foto de um jogo de memória, ilustrar uma bordinha para cada imagem de animal. O jogo é formado por 20 peças – 10 pares de imagens. Conforme indicação abaixo
Dividir a il em A, B, C, D, E, F, G, H, I e J</t>
  </si>
  <si>
    <t>i1903_4s2p007_m25_e010</t>
  </si>
  <si>
    <t>Ilustrar um círculo grande (ocupando o espaço disponível na página) dividido em 4 partes iguais. Em cada parte deve haver uma ilustração, em fio contorno, representado uma condição do tempo: Sol, Sol entre nuvens, Nuvem com vento e Nuvem com gotas de chuva. Ver referência, porém, as ilustrações devem ser apenas fio contorno e não podem ter olhos e bocas.</t>
  </si>
  <si>
    <t>F: 28/07</t>
  </si>
  <si>
    <t>if1918_4s2p007_m25_e010</t>
  </si>
  <si>
    <t>Ilustrar três caminhos partindo do tatu e chegando na toca. Os três caminhos devem conter letras de imprensa maiúsculas, sendo que o caminho do meio deve ter apenas letras T e os outros dois caminhos podem ter outras letras. Ver referência abaixo, porém completar o caminho do meio com letras T.</t>
  </si>
  <si>
    <t>F: 24/07</t>
  </si>
  <si>
    <t>i1928_4s2p007_m25_e010</t>
  </si>
  <si>
    <t xml:space="preserve">Inserir foto/vetor de balança de dois pratos. Em um dos pratos deve haver um óculos de grau e no outro prato deve haver um livro que aparente sem pesado. A balança deve estar em desequilíbrio, com o prato em que está o livro bem mais baixo que o prato com o óculos. Escolhida:
https://www.shutterstock.com/pt/image-illustration/scales-balance-imbalance-flat-libra-icon-1910370328
Ajuste: cropar somente a balança indicada.
</t>
  </si>
  <si>
    <t>Heloísa Pintarelli / Sergio Lima</t>
  </si>
  <si>
    <t>i1941_4s2p007_m25_e010</t>
  </si>
  <si>
    <t xml:space="preserve">Ilustrar uma lupa dando sobre um gramado. A lente da lupa deve ocupar quase toda a ilustração e deve parecer que ela representa um zoom do gramado, mostrando alguns animais de jardim. Na lente da lupa devem aparecer 6 formigas, 4 joaninhas, 2 borboletas e 3 abelhas. Ver referência para a ilustração do gramado e da posição da lupa, porém não precisa aparecer a mão segurando. </t>
  </si>
  <si>
    <t>R: 23/07 ; F: 29/07</t>
  </si>
  <si>
    <t>g1942_4s2p007_m25_e010</t>
  </si>
  <si>
    <t>Ilustração de um gráfico com uma abelha, uma joaninha, uma borboleta e uma formiga abaixo de cada coluna de quadrinhos, conforme a referência abaixo. Cada coluna deve ter 6 quadradinhos e os animais devem ser os mesmos que aparecem na i1941</t>
  </si>
  <si>
    <t>Recorte e ajuste, não pagar</t>
  </si>
  <si>
    <t>i1943_4s2p007_m25_e010</t>
  </si>
  <si>
    <t xml:space="preserve">Ilustrar sala na qual esteja organizada uma exposição de painéis sensoriais. Deve ser possível observar, fixados nas paredes, pelo menos três cartazes: 
- um cartaz com o título PAINEL DE TEXTURAS, no qual deve ser possível identificar elementos como papelão, veludo, lixa, algodão, plástico bolha;
- um cartaz com o título PAINEL DOS SONS, no qual deve ser possível identificar elementos como sinos, chocalhos e pequenos instrumentos musicais.
- um cartaz com o título PAINEL DA NATUREZA, no qual deve ser possível identificar elementos como folhas de árvores, conchas, gravetos, pedras, madeira, terra, areia, pedaços de troncos de árvores. 
Não é necessário aparecer pessoas na cena, apenas o espaço organizado e os cartazes nas paredes.
Se possível, colocar uma faixa com o nome da exposição: PAINÉIS DAS SENSAÇÕES.
Veja algumas referências para a ilustração dos cartazes, porém não devem aparecer mãos tocando os elementos:
</t>
  </si>
  <si>
    <t>i1951_4s2p007_m25_e010</t>
  </si>
  <si>
    <t>Inserir balança de dois pratos iguais à da ilustração anterior. As balanças devem estar em desequilíbrio, porém os pratos devem estar vazios.</t>
  </si>
  <si>
    <t>i2103_4s2p007_m25_e010</t>
  </si>
  <si>
    <t>As ilustrações são para a criança identificar a profissão e relacioná-la ao local de trabalho.
Serão três profissões e três cenários. Dividir a il em A, B, C, D, E e F</t>
  </si>
  <si>
    <t>nv</t>
  </si>
  <si>
    <t>R: 24/07 ; F: 31/07</t>
  </si>
  <si>
    <t>g2113_4s2p007_m25_e010</t>
  </si>
  <si>
    <t xml:space="preserve">Montar as informações como um gráfico. As ilustrações das profissões devem na parte de baixo. na lateral deve ter os números de 1 a 5. Ver referência. </t>
  </si>
  <si>
    <t>i2130_4s2p007_m25_e010</t>
  </si>
  <si>
    <t>Ilustração de dois caminhos. Um partindo da ilustração de um veterinário levando-o a uma vaca mais longe. E outro partindo do mesmo veterinário mas levando-o a uma vaca mais perto. O caminho deve ser um pouco largo pois as crianças que tiverem alguma dificuldade motora ou outra, poderão colar recortes papeis pequenos, bolinhas amassadas de papel no interior do caminho como resposta.
A ilustração deve ocupar todo o espaço disponível na página</t>
  </si>
  <si>
    <t>i2137_4s2p007_m25_e010</t>
  </si>
  <si>
    <t>Inserir ilustração conforme indicação abaixo, ou seja, o contorno de um grande w e em seu interior várias letras maiúsculas, principalmente, as que também foram aprendidas nesta vivência como o U e o V, mas é preciso que tenha 9 letras W, pois já foi redigida a resposta para a atividade.</t>
  </si>
  <si>
    <t>i2153_4s2p007_m25_e010</t>
  </si>
  <si>
    <t>Ilustração representando profissões. Dividir em A, B, C, D e E</t>
  </si>
  <si>
    <t>i6145_4s2p007_m25_e010</t>
  </si>
  <si>
    <t xml:space="preserve">Inserir ilustração de quebra-cabeças de duas peças de números de 1 ao 9 – Seguindo a ideia da referência
Na peça do lado esquerdo ilustrar os números, de cores variadas e do lado direito os elementos representando a quantidade
</t>
  </si>
  <si>
    <t>FG</t>
  </si>
  <si>
    <t>i6146_4s2p007_m25_e010</t>
  </si>
  <si>
    <t xml:space="preserve">Ilustrar um tabuleiro com pequenas ilustrações, seguindo a estrutura da referência.
Inserir no meio do tabuleiro o título: JOGO DAS PROFISSÕES, com letra de imprensa maiúscula e colorida
</t>
  </si>
  <si>
    <t>R: 28/07 ; F: 30/07</t>
  </si>
  <si>
    <t>i6147_4s2p007_m25_e010</t>
  </si>
  <si>
    <t>Resgatar i2601sl_4pmm_g19_mdn.eps e ajustar para o padrão de cor e pontilhado do sintonia</t>
  </si>
  <si>
    <t>ZZ</t>
  </si>
  <si>
    <t>PADRAO</t>
  </si>
  <si>
    <t>i6148_4s2p007_m25_e010</t>
  </si>
  <si>
    <t>Ilustração de três pinos para o jogo do tabuleiro. Ver referência:
Cada pino deve ser de uma cor.</t>
  </si>
  <si>
    <t>if1306_5s2p007_m25_e010</t>
  </si>
  <si>
    <t>Ilustrar 4 etiquetas e no topo de cada uma delas aplicar o zoom, em formato circular, do revestimento do corpo de um animal. Compor também um fio contorno no formato da foto que o aluno vai destacar dos ADESIVOS e colar na etiqueta. Ver referência para a ilustração das etiquetas, porém no lugar do animal aparecerá a imagem do zoom do revestimento do corpo dele. Dividir em A, B, C e D conforme referência das fotos abaixo.</t>
  </si>
  <si>
    <t>i1327_5s2p007_m25_e010</t>
  </si>
  <si>
    <t>Ilustração de gato visto de frente. Resgatar ilustração da página 102 do BONS-AMIGOS_PRE-ESCOLAI-VOL1-MIOLO-001-192-PNLD2022
código antigo: i1223wn_1p4sn_g22_ftd</t>
  </si>
  <si>
    <t>wn</t>
  </si>
  <si>
    <t>i1328_5s2p007_m25_e010</t>
  </si>
  <si>
    <t xml:space="preserve">Ilustração de cachorro visto de costas. Resgatar ilustração da página 102 do BONS-AMIGOS_PRE-ESCOLAI-VOL1-MIOLO-001-192-PNLD2022
código antigo: i1224wn_1p4sn_g22_ftd.psd
</t>
  </si>
  <si>
    <t>i1329_5s2p007_m25_e010</t>
  </si>
  <si>
    <t xml:space="preserve">Ilustração de girafa vista de frente. Resgatar ilustração da página 102 do BONS-AMIGOS_PRE-ESCOLAI-VOL1-MIOLO-001-192-PNLD2022
código antigo: i1226wn_1p4sn_g22_ftd.psd
</t>
  </si>
  <si>
    <t>i1330_5s2p007_m25_e010</t>
  </si>
  <si>
    <t>Ilustração de macaco visto de frente. Resgatar ilustração da página 102 do BONS-AMIGOS_PRE-ESCOLAI-VOL1-MIOLO-001-192-PNLD2022
código antigo: i1227wn_1p4sn_g22_ftd.psd
Ajuste: cropar somente o macaco visto de frente</t>
  </si>
  <si>
    <t>Resgate ajuste</t>
  </si>
  <si>
    <t>i1331_5s2p007_m25_e010</t>
  </si>
  <si>
    <t>Ilustração de pinguim visto de costas. Resgatar ilustração da página 102 do BONS-AMIGOS_PRE-ESCOLAI-VOL1-MIOLO-001-192-PNLD2022
código antigo: i1353rr_1p4sn_g22_ftd_ef.psd</t>
  </si>
  <si>
    <t>rr</t>
  </si>
  <si>
    <t>i1502_5s2p007_m25_e010</t>
  </si>
  <si>
    <t>Ilustrar 3 crianças (todas com 5 anos, 2 meninas – uma negra e uma parda, 1 menino branco com cordão autista) brincando de corda, uma menina e o menino devem estar batendo a corda e a outra menina pulando.
O cenário deve ser um quintal.</t>
  </si>
  <si>
    <t>is</t>
  </si>
  <si>
    <t>R: 31/07 ; F: 05/08</t>
  </si>
  <si>
    <t>i1510_5s2p007_m25_e010</t>
  </si>
  <si>
    <t>Ilustração de frutas semelhantes a original. Dividir a ilustração em A, B, C e D</t>
  </si>
  <si>
    <t>tx</t>
  </si>
  <si>
    <t>R: 30/07 ; F: 05/08</t>
  </si>
  <si>
    <t>i1511_5s2p007_m25_e010</t>
  </si>
  <si>
    <t xml:space="preserve">ilustrar um pomar com quatro árvores frutíferas na seguinte ordem: mangueira, jabuticabeira, laranjeira e abacateiro (uma ao lado da outra). O desenho das árvores deve se assemelhar a realidade da planta original. As frutas devem estar bem evidentes para a criança comparar a fruta isolada com a árvore. </t>
  </si>
  <si>
    <t>i1519_5s2p007_m25_e010</t>
  </si>
  <si>
    <t>Ilustração de três cestas com quantidades diferentes de legumes, ver referência abaixo. Dividir em A, B e C.</t>
  </si>
  <si>
    <t>i1529_5s2p007_m25_e010</t>
  </si>
  <si>
    <t xml:space="preserve">Ilustrar dois canteiros de uma horta, um em cima e outro embaixo. No canteiro de cima deve conter 8 PÉS DE ALFACES plantados, e, no canteiro debaixo deve ter 10 PÉS DE ALFACES plantados. </t>
  </si>
  <si>
    <t>i1537_5s2p007_m25_e010</t>
  </si>
  <si>
    <t>Ilustração de manchadas de tinta. Dividir em A, B, C, D e E conforme referência</t>
  </si>
  <si>
    <t>i1539_5s2p007_m25_e010</t>
  </si>
  <si>
    <t>Ilustração de frutas/vegetais. Dividir em A, B, C, D, E e F</t>
  </si>
  <si>
    <t>i1541_5s2p007_m25_e010</t>
  </si>
  <si>
    <t xml:space="preserve">Arte: ilustrar uma moldura para o registro da atividade. Inserir em um canto da moldura a imagem de uma família reunida lendo um livro. </t>
  </si>
  <si>
    <t>i1542_5s2p007_m25_e010</t>
  </si>
  <si>
    <t>Ilustração passo a passo de dança com fitas. Dividir a ilustração em A, B, C, D e E</t>
  </si>
  <si>
    <t>i1549_5s2p007_m25_e010</t>
  </si>
  <si>
    <t>Ilustrar 3 árvores. conforme referência abaixo e dividir em A, B e C</t>
  </si>
  <si>
    <t>Vai virar shutter</t>
  </si>
  <si>
    <t>i1550_5s2p007_m25_e010</t>
  </si>
  <si>
    <t xml:space="preserve">Ilustrar 10 flores em fio contorno e em sequência, uma ao lado da outra. No miolo de cada flor deve conter um número de 1 a 10 seguindo a sequência numérica. Nas flores de números 2, 5, 8 e 10, deixar o MIOLO EM BRANCO para as crianças escreverem o número que está faltando. </t>
  </si>
  <si>
    <t>i1551_5s2p007_m25_e010</t>
  </si>
  <si>
    <t>Ilustrar em fio contorno uma árvore para que a criança desenhe nela 10 frutas. Embaixo da árvore pode ter uma grama.</t>
  </si>
  <si>
    <t>i6105_5s2p007_m25_e010</t>
  </si>
  <si>
    <t>Ilustração de passo a passo do plantio de uma árvore. Dividir a ilustração em A, B, C e D</t>
  </si>
  <si>
    <t>i6109_5s2p007_m25_e010</t>
  </si>
  <si>
    <t>Ilustrar uma árvore frutífera em forma de quebra-cabeça com 5 peças para serem destacadas. Essa árvore deve conter as seguin-tes partes de uma planta: raiz, caule, folhas, flores e frutos. Essas partes estão marcadas na ilustração de referência só para dar um exemplo de como deve ser a árvore.</t>
  </si>
  <si>
    <t>i1704_5s2p007_m25_e010</t>
  </si>
  <si>
    <t>Ilustração de imagens somente em fio contorno, conforme referência abaixo. Dividir a il em A, B, C, D, E, F, G, H, I, J, K e L</t>
  </si>
  <si>
    <t>R: 29/07 ; F: 31/07</t>
  </si>
  <si>
    <t>i1733_5s2p007_m25_e010</t>
  </si>
  <si>
    <t>ilustração de duas cenas. Dividir em A e B</t>
  </si>
  <si>
    <t>i1734_5s2p007_m25_e010</t>
  </si>
  <si>
    <t xml:space="preserve">Ilustrar uma cena de vias pública com dois carros, uma moto e um caminhão; com duas bicicletas numa ciclovia, com uma menina negra, uma menina parda com colar de deficiência oculta e uma senhora negra com cabelos grisalhos + um homem branco com sobrepeso + uma mulher branca de cabelos castanhos com prótese em uma das pernas atravessando a faixa de pedestre. De fundo deve ter casas e prédios – poucas moradias para não poluir a ilustração.  </t>
  </si>
  <si>
    <t>i0318_3s1p007_m25_e010</t>
  </si>
  <si>
    <t>Ilustração de uma folha de receita, seguindo os ingredientes listados abaixo. Verificar se fica bom usar um fundo shutter ou ilustrar. Obs.: as palavras devem estar escritas com letra cursiva. Ver referências nos comentários.</t>
  </si>
  <si>
    <t>R: 04/08  F: 12/08</t>
  </si>
  <si>
    <t>i0319_3s1p007_m25_e010</t>
  </si>
  <si>
    <t>ilustração de uma folha de receita para o aluno preencher com a família. Verificar se é melhor usar uma shutter no fundo ou ilustrar. Obs.: as palavras devem estar escritas com letra cursiva.</t>
  </si>
  <si>
    <t>i0320_3s1p007_m25_e010</t>
  </si>
  <si>
    <t>i0327_3s1p007_m25_e010</t>
  </si>
  <si>
    <t>Ilustração de um parque onde uma família (uma mãe parda, um avô negro de óculos – DE 70 A 80 ANOS, dois meninos pardos – variar tipo físico) estão fazendo um piquenique. A cena deve ser simples, com pouco elementos: mostrar árvores, bancos, lixeiras, brinquedos como escorregador e balanço, gramado e animais como passarinhos. Mostrar uma toalha no chão com comidas saudáveis e pessoas reunidas em torno dela, representando o piquenique. Nesta cena deverá ter espaços visuais para que a criança cole adesivos de ações corretas com o cuidado com o ambiente. Atenção: no material complementar – adesivo - deverão estar os seguintes elementos: prever na cena e dividir em A, B, C... uma criança menina parda jogando lixo nas lixeiras recicláveis, um homem adulto oriental recolhendo o cocô do cachorro, uma placa com duas orientações (texto e imagem): NÃO RETIRE FLORES OU PLANTAS, NÃO ALIMENTE OS ANIMAIS.</t>
  </si>
  <si>
    <t>R: 04/08  F: 07/08</t>
  </si>
  <si>
    <t>if0329_3s1p007_m25_e010</t>
  </si>
  <si>
    <t xml:space="preserve">Imagem de três carros e três garagens nas cores vermelha amarela e azul. Escolhida: 
https://www.shutterstock.com/pt/image-vector/tracing-lines-kids-cartoon-colorful-cars-2508344023 
Ilustrar os caminhos retos conforme referência abaixando, inserindo as indicações de cores no início de cada caminho.
Ajustar tamanho dos carros e garagens de acordo com o tamanho da página. Deixar os carros na margem do canto esquerdo da página e as garagens nas margens do canto direito.
</t>
  </si>
  <si>
    <t>i1541_4s2p007_m25_e010</t>
  </si>
  <si>
    <t xml:space="preserve">imagem de jacaré gerada por IA
Arquivo na pasta: jacare
</t>
  </si>
  <si>
    <t>i1542_4s2p007_m25_e010</t>
  </si>
  <si>
    <t xml:space="preserve">imagem de elefante gerada por IA
Arquivo na pasta: elefante
</t>
  </si>
  <si>
    <t>i1543_4s2p007_m25_e010</t>
  </si>
  <si>
    <t xml:space="preserve">Imagem de animal com corpo de jacaré e cabeça de elefante gerado por IA
Arquivo na pasta: jacafante
</t>
  </si>
  <si>
    <t>i1544_4s2p007_m25_e010</t>
  </si>
  <si>
    <t xml:space="preserve">Imagem de uma baleia gerada por IA
Arquivo na pasta: baleia
</t>
  </si>
  <si>
    <t>i1545_4s2p007_m25_e010</t>
  </si>
  <si>
    <t xml:space="preserve">Imagem de um camelo gerada por IA
Arquivo na pasta: camelo
</t>
  </si>
  <si>
    <t>i1546_4s2p007_m25_e010</t>
  </si>
  <si>
    <t xml:space="preserve">Imagem de um macaco gerada por IA
Arquivo na pasta: macaco
</t>
  </si>
  <si>
    <t>i1547_4s2p007_m25_e010</t>
  </si>
  <si>
    <t xml:space="preserve">Imagem de uma girafa gerada por IA
Arquivo na pasta: girafa
</t>
  </si>
  <si>
    <t>Ajuste IA</t>
  </si>
  <si>
    <t>if1342_5s2p007_m25_e010</t>
  </si>
  <si>
    <t>Compor cards do tipo Super trunfo com as fotos e as informações dos animais indicados abaixo: onça-pintada, golfinho, tucano e jacaré-do-pantanal, conforme referência abaixo. Arte, por favor sugerir um fundo que combine com as cartinhas para compor a if.</t>
  </si>
  <si>
    <t>i1343_5s2p007_m25_e010</t>
  </si>
  <si>
    <t>Ilustrar uma família brincando com dedoches da história O jabuti e a festa no céu, que farão parte do Material destacável (cartonado). Produzir a imagem de uma família com pai, mãe, avô e um filho de 5 anos. O pai deve ser um homem branco, de cabelos castanhos, aprox. 30 anos, de óculos e barba. A mãe deve ser uma mulher negra, aprox.. 30 anos. O avô deve ser um homem branco (como se fosse avô paterno), aprox. 70 anos, com sobrepeso, de cabelos brancos, usando óculos. O menino deve ser negro, aprox. 5 anos, com síndrome de Down. A mãe, o pai e o menino devem estar sentados no chão e o avô pode estar no sofá. Eles devem estar brincando com os dedoches que farão parte do MATERIAL CARTONADO. (i6110 deste mesmo lote). Ao todo, serão cinco dedoches: jabuti, macaco, girafa, garça e papagaio. O menino pode estar com dois dedoches, um em cada mão, e os adultos com um dedoche cada um. Veja a seguir algumas referências para a ilustração, porém fazer a formação familiar, bem como suas características físicas, de acordo com a descrição.</t>
  </si>
  <si>
    <t>R: 01/08 ; F: 05/08</t>
  </si>
  <si>
    <t>i1344_5s2p007_m25_e010</t>
  </si>
  <si>
    <t>Compor uma moldura para a criança desenhar seu animal de estimação. A moldura deve ter  alguns elementos relacionados a pets, como pegadas de patas, novelos de linha, peixes, aquários, corações, biscoitos em formato de osso, entre outros. No topo da moldura deve estar escrito: ESTE É MEU ANIMAL DE ESTIMAÇÃO!</t>
  </si>
  <si>
    <t>i1345_5s2p007_m25_e010</t>
  </si>
  <si>
    <t>Compor um cartão com os mesmos elementos da moldura i1344. Inserir os títulos NOME, IDADE, COR e GOSTA DE COMER na primeira coluna do cartão e deixar um espaço em branco na frente de cada um desses títulos para a criança escrever, conforme a referência abaixo.</t>
  </si>
  <si>
    <t>i6110_5s2p007_m25_e010</t>
  </si>
  <si>
    <t>ilustração de dedoches. de animais da história “a festa no céu” ver referênicas abaixo. Dividir em A, B, C, D e E</t>
  </si>
  <si>
    <t>i2339_5s2p007_m25_e010</t>
  </si>
  <si>
    <t>IMAGEM GERADA POR IA: Peixe em fio contorno. Arquivo na pasta: peixe.</t>
  </si>
  <si>
    <t>i2319_5s2p007_m25_e010</t>
  </si>
  <si>
    <t>ilustração de círculo, triângulo, quadrado, retângulo conforme descrições abaixo. Dividir em A, B, C, D conforme referência</t>
  </si>
  <si>
    <t>nf</t>
  </si>
  <si>
    <t xml:space="preserve">i0539_2s1p007_m25_e010 </t>
  </si>
  <si>
    <t>Ilustração de uma sala de estar simples e com poucos elementos. A imagem deve mostrar um ambiente doméstico com uma estante de TV, um relógio redondo na parede e um calendário permanente sobre a estante. O controle remoto da televisão deve estar visível em cima de uma mesinha ou próximo à TV. Os objetos devem conter números visíveis, como os números no mostrador do relógio, no calendário e no controle remoto. A cena deve estar bem iluminada, com aparência realista e aconchegante.
Obs.: esta imagem será um quebra-cabeça, o corte deve ser na diagonal e parte dela deve ficar no material destacável.
Ver algumas referências para a ilustração.
Dividir a ilustração em A e B</t>
  </si>
  <si>
    <t>R:01/08 F:05/08</t>
  </si>
  <si>
    <t>i1747_5s2p007_m25_e010</t>
  </si>
  <si>
    <t>imagem de carrinho gerada por ia. 
Ajuste pintar o carrinho de alaranjado.</t>
  </si>
  <si>
    <t>i1748_5s2p007_m25_e010</t>
  </si>
  <si>
    <t xml:space="preserve">imagem de carrinho gerada por ia. 
Ajuste pintar o carrinho de vermelho (não pode ser vermelho vivo).
</t>
  </si>
  <si>
    <t>i1749_5s2p007_m25_e010</t>
  </si>
  <si>
    <t xml:space="preserve">imagem de carrinho gerada por ia. </t>
  </si>
  <si>
    <t>i1750_5s2p007_m25_e010</t>
  </si>
  <si>
    <t xml:space="preserve">imagem de carrinho gerada por ia. 
Ajuste pintar o carrinho azul
</t>
  </si>
  <si>
    <t>i1751_5s2p007_m25_e010</t>
  </si>
  <si>
    <t xml:space="preserve">imagem de carrinho gerada por ia. 
Ajuste pintar o carrinho de verde.
</t>
  </si>
  <si>
    <t>i1752_5s2p007_m25_e010</t>
  </si>
  <si>
    <t>i1754_5s2p007_m25_e010</t>
  </si>
  <si>
    <t xml:space="preserve">Inserir ilustração conforme o modelo abaixo formando um carrinho com círculos. Precisa seguir a quantidade indicada pois estão sendo trabalhados estes números na atividade, as cores também, caso precise serem alteradas tem que mudar a resposta. </t>
  </si>
  <si>
    <t>i1755_5s2p007_m25_e010</t>
  </si>
  <si>
    <t>Inserir ilustração de página inteira que contém
um caminho que sai de um lugar próximo a uma árvore e conduz a uma casa simples. Neste percurso tem 20 placas distribuídas ao longo do trajeto, sendo numeradas apenas de 1 a 15 e a última 20, as demais que seriam de 16 a 19 não tem escrito o número, pois será a criança que registrará, por isto o espaço no interior da placa não deve ser muito pequeno. Uma menina negra de bicicleta com capacete de proteção estará parada logo após a placa 15, olhando alegre pra frente, para quanto falta ainda andar de bicicleta. O caminho pode passar por um gramado verde, mas não ter tanto elementos na ilustração para não tirar o foco das placas. O caminho pode ser algo parecido com a referência abaixo.</t>
  </si>
  <si>
    <t>R: 04/08 ; F: 06/08</t>
  </si>
  <si>
    <t>i1756_5s2p007_m25_e010</t>
  </si>
  <si>
    <t xml:space="preserve">Inserir ilustração de uma coleção de 20 carrinhos coloridos simples. 
observação: 5 dos 20 carrinhos estarão no material complementar. (os do material complementar deverão ser divididos em A, B, C... para cada carrinho ser um adesivo)
</t>
  </si>
  <si>
    <t>i1757_5s2p007_m25_e010</t>
  </si>
  <si>
    <t>Inserir ilustração de uma coleção com 20 aviãozinhos coloridos simples.
observação: 10 dos 20 carrinhos estarão no material complementar. (os do material complementar deverão ser divididos em A, B, C... para cada aviãozinho ser um adesivo)
Referência apenas de modelo do avião.</t>
  </si>
  <si>
    <t>i1764_5s2p007_m25_e010</t>
  </si>
  <si>
    <t>Inserir ilustração com 2 crianças ao redor de uma grande mesa junto com a professora construindo uma maquete com caixas, papelão, tinta, retalhos de papel colorido, tampinhas, etc. A maquete é para representar uma cidade com, por exemplo, ruas, placas de trânsito (exemplo: placa de estacionamento para pessoa em cadeira de rodas, placa de pedestre, não buzine, entre outras), praça, casas, loja e um hospital. Não ter muitos elementos ao redor da mesa, focar na construção da maquete.
Características das pessoas da ilustração:
Professora negra
Menino negro com colar de deficiência oculta
Menina parda com sobrepeso</t>
  </si>
  <si>
    <t>if2101_5s2p007_m25_e010</t>
  </si>
  <si>
    <t>ilustração com foto de várias crianças vivenciando situações sonoras como tocando em baldes ou panelas, com a mão no ouvido como se quisesse ouvir algo, com um megafone, tocando um instrumento, pedindo silêncio com dedo indicador próximo a boca, estalando os dedos, perto de um desenho de carrinho, foguete ou avião, fazendo som em uma fonoaudióloga etc. 
Poderiam ter em volta das crianças outros elementos que fazem barulhos como instrumentos musicais desenhados, escrita dos sons como história em quadrinhos (sugestões das palavras na imagem abaixo) para fazer o fundo das imagens se conectarem.
Arte: Verificar se recortes orgânicos deixariam a composição das fotos mais harmônicas, assim como a necessidade de inserir um fundo na if. Já que é página de abertura e ela tem um tom meio amarelo/alaranjado e não branco.</t>
  </si>
  <si>
    <t>i2109_5s2p007_m25_e010</t>
  </si>
  <si>
    <t>Inserir uma ilustração de quase meia página para uma atividade sobre paisagem sonora. Nela deve ter quatro crianças (um menino negro, uma menina negra, um menino pardo com colar de deficiência oculta e uma menina branca de cabelos castanhos de óculos) e uma professora negra. As crianças estão sentadas com os olhos fechados, em um ambiente externo de escola, mas que nele é possível perceber tanto a natureza (árvores, flores, pássaros) quanto elementos urbanos (um pedacinho de prédio ao fundo, talvez um carro distante). Ao redor da cabeça das criança, ou flutuando no ar, há pequenas bolhas ou ícones representando diferentes sons, como pássaros cantando, um cachorro latindo, uma buzina de carro, o som do vento (representado por linhas onduladas), uma voz humana (talvez um balão de fala com uma nota musical)
E, no chão, espalhados alguns dos materiais alternativos que serão usados para criar sons: uma lata vazia, uma caixa de papelão
uma garrafa plástica com algo dentro (indicando chocalho) e algumas folhas secas.</t>
  </si>
  <si>
    <t>R: 04/08 ; F: 07/08</t>
  </si>
  <si>
    <t>i2116_5s2p007_m25_e010</t>
  </si>
  <si>
    <t>ilustração de três cenas representando passo a passo de uma percussão corporal. Dividir a ilustração em A, B, C, D e E</t>
  </si>
  <si>
    <t>i2117_5s2p007_m25_e010</t>
  </si>
  <si>
    <t>Inserir ilustração de linha reta na horizontal, vertical e diagonal.</t>
  </si>
  <si>
    <t>i2118_5s2p007_m25_e010</t>
  </si>
  <si>
    <t>Inserir ilustração de linhas curvas conforme os modelos abaixo:</t>
  </si>
  <si>
    <t>i2120_5s2p007_m25_e010</t>
  </si>
  <si>
    <t>Inserir uma borda com notas musicais coloridas e pequenas, algo bem leve.</t>
  </si>
  <si>
    <t>R: 11/08 ; F: 13/08</t>
  </si>
  <si>
    <t>i2355_4s2p007_m25_e010</t>
  </si>
  <si>
    <t>Imagem de tabuleiro de xadrez gerada por ia
Ajuste: repetir as peças de cima na parte de baixo para padronizar os tamanhos, posição e modelo.</t>
  </si>
  <si>
    <t>i0357_5s1p007_m25_e010</t>
  </si>
  <si>
    <t>Ilustração represente a cantiga da cobra em um pé de limão.</t>
  </si>
  <si>
    <t>R: 06/08 ; F: 08/08</t>
  </si>
  <si>
    <t>i0361_5s1p007_m25_e010</t>
  </si>
  <si>
    <t>Ilustração gerada por ia. Ajuste: remover as linhas indicadas em vermelho.</t>
  </si>
  <si>
    <t>Ajuste arte</t>
  </si>
  <si>
    <t>if0536_5s1p007_m25_e010</t>
  </si>
  <si>
    <t>Ilustrar cartela de bingo simples com borda. Cada uma deve ter uma cor e o fio contorno deve ser grosso para diferenciar bem da if0537
Inserir nas cartelas as imagens indicadas. AS cartelas não precisam ser grandes. Ver referência para as cartelas:</t>
  </si>
  <si>
    <t>if0537_5s1p007_m25_e010</t>
  </si>
  <si>
    <t>Ilustrar cartela de bingo simples com borda. Cada uma deve ter uma cor e o fio contorno deve ser grosso para diferenciar bem da if0536
Inserir nas cartelas as imagens indicadas. AS cartelas não precisam ser grandes. Ver referência para as cartelas:</t>
  </si>
  <si>
    <t>i0743_5s1p007_m25_e010</t>
  </si>
  <si>
    <t>ilustrações dos ícones indicados a seguir. Resgatar do padrão da ftd</t>
  </si>
  <si>
    <t>Cynthia Sekiguchi/Keithy Mostachi</t>
  </si>
  <si>
    <t xml:space="preserve">i1968_4s2p007_m25_e010 </t>
  </si>
  <si>
    <t>Ilustração de maozinho fazendo sinal de positivo</t>
  </si>
  <si>
    <t>Padrão (Com ajuste)</t>
  </si>
  <si>
    <t>i1969_4s2p007_m25_e011</t>
  </si>
  <si>
    <t>Ilustração de maozinho fazendo sinal de negativo</t>
  </si>
  <si>
    <t>i1907_5s2p007_m25_e010</t>
  </si>
  <si>
    <t>Compor uma moldura com elementos relacionados ao tema Dinossauros, como fósseis, ovos, pincel, pá, lupa, folhas, galhos com folhas, pegadas, entre outras. Dentro dessa moldura, serão inseridas aproximadamente 10 linhas de resposta.
IMAGEM GERADA POR IA. AJUSTE: DEIXAR O FUNDO BRANCO E REMOVER MARCA “AI”. e inserir dentro da moldura aproximadamente 10 linhas de resposta</t>
  </si>
  <si>
    <t>i1908_5s2p007_m25_e010</t>
  </si>
  <si>
    <t xml:space="preserve">Imagem de dinossauro raptor. IMAGEM GERADA POR IA. </t>
  </si>
  <si>
    <t>i1925_5s2p007_m25_e010</t>
  </si>
  <si>
    <t>Ilustração de uma cena de floresta em que apareça uma vegetação rasteira e árvores ao fundo. Deve aparecer um pequeno lago, um vulcão em erupção e dois dinossauros, sendo que um deve estar perto do vulcão e o outro longe do vulcão. A distância entre eles deve estar bem evidente. Não colocar muitos elementos na cena além dos descritos. Ver referência, porém os dinossauros podem ser de outras espécies e a cena não precisa ser exatamente assim. O importante é que haja um vulcão e os dois dinossauros, um perto e outro longe do vulcão, e que a ilustração ocupe todo o espaço disponível na página.</t>
  </si>
  <si>
    <t>R: 11/08 ; F: 15/08</t>
  </si>
  <si>
    <t>i1926_5s2p007_m25_e010</t>
  </si>
  <si>
    <t>Ilustrar uma faixa de terra e rochas, simulando um local de escavação para encontrar fósseis. A ideia é que a criança cole os adesivos de fósseis sobre essa faixa de terra dando a impressão de continuidade do adesivo. (Ilustrações dos adesivos dividir em A, B, C...)</t>
  </si>
  <si>
    <t>if1927_5s2p007_m25_e010</t>
  </si>
  <si>
    <t>Ilustrar um quadro com 5 linhas e 4 colunas de quadrados. Os quadrinhos devem ser apenas contorno para a criança pintar. No início do caminho deve haver uma mamãe dinossauro e no final do caminho um bebê dinossauro. A criança vai pintar os quadrinhos para formar o caminho que leva a mamãe dinossauro até seu bebê. Ver referências:</t>
  </si>
  <si>
    <t>i1929_5s2p007_m25_e010</t>
  </si>
  <si>
    <t>Ilustrar uma cena de floresta, com um lago na lateral da cena. Devem aparecer na cena 4 dinossauros de diferentes espécies, andando em fila indiana rumo ao lago. Sugiro a vista de lado dos dinossauros indicada na referência, pois deve estar evidente a posição deles para a criança identificar, qual é o primeiro e qual é o último dinossauro da fila</t>
  </si>
  <si>
    <t>i1940_5s2p007_m25_e010</t>
  </si>
  <si>
    <t xml:space="preserve">IMAGEM GERADA POR IA: ARQUIVO NA PASTA: ovo_dinossauro.
AJUSTE: reaplicar 4 vezes o ovo de dinossauros, sendo: 2 ovos do mesmo tamanho, 1 maior e outro menor. As diferenças de tamanho entre eles devem estar evidentes para a criança identificar com facilidade. Compor uma base (que pode ter cor) para os 4 ovos. Ver referência. </t>
  </si>
  <si>
    <t>i1941_5s2p007_m25_e010</t>
  </si>
  <si>
    <t>Arte: ilustrar uma professora conduzindo 4 crianças em uma fila. A professora deve ser negra, usando guarda-pó. As crianças devem ser: uma menina negra com uma prótese ortopédica na perna esquerda, um menino pardo de óculos, um menino negro e uma menina parda. As crianças devem estar usando na cabeça chapéus imitando dinossauro. Ver referência das crianças em fila e do chapéu de brinquedo.</t>
  </si>
  <si>
    <t>if6115_5s2p007_m25_e010</t>
  </si>
  <si>
    <t xml:space="preserve">Ilustrar as peças de um jogo de dominó de dinossauros. O jogo deve ter 28 peças e nas peças serão distribuídas 7 ilustrações de dinossauros de diferentes es-pécies. Cada imagem deve ter uma legenda com o nome do dinossauro. A distribuição dos dinossauros nas peças deve ser feita conforme a referência a seguir. As imagens dos dinossauros devem ser recortadas da imagem escolhida:
https://www.shutterstock.com/pt/image-vector/dinosaurs-set-realistic-triceratops-pterodactyl-spinosaurus-2231523971
Dividir a ilf em A, B, C, D....
</t>
  </si>
  <si>
    <t>i1943_5s2p007_m25_e010</t>
  </si>
  <si>
    <t xml:space="preserve">inserir sequência de setas, conforme as indicações abaixo.
Dividir em A e B 
</t>
  </si>
  <si>
    <t>i6126_5s1p007_m25_e010</t>
  </si>
  <si>
    <t>Ilustração de adesivos que serão colados na i1131Atc_5s1p007_m25_e010_ly, i1131Btc_5s1p007_m25_e010_ly e i1131Ctc_5s1p007_m25_e010_ly
Dividir a ilustração em A, B e C</t>
  </si>
  <si>
    <t>RESGATE AJUSTE</t>
  </si>
  <si>
    <t>i6127_5s1p007_m25_e010</t>
  </si>
  <si>
    <t>Inserir um círculo dividido em 6 partes, com uma marcação no centro. Em cada uma delas deve ter elementos representando a previsão do tempo:
- Sol
- Sol entre nuvens
- Nublado
- Chuva
- Temporal (raio)
- Vento forte
Deve ter também uma seta para ser fixada no centro da roleta.</t>
  </si>
  <si>
    <t>i6125_5s1p007_m25_e010</t>
  </si>
  <si>
    <t>Inserir um alfabeto ilustrado (Resgate do alfabeto do Plantar com ajuste na letra W) com os quatro tipos de letra. Ver referência.</t>
  </si>
  <si>
    <t>Keithy Mostachi / Cynthia Sekiguchi / Felipe Grigoli</t>
  </si>
  <si>
    <t>i2123_5s2p007_m25_e010</t>
  </si>
  <si>
    <t>AVALIANDO</t>
  </si>
  <si>
    <t>Ilustração passo a passo de construção de um violão com caixa de sapato. Dividir a ilustração em A, B, C e D</t>
  </si>
  <si>
    <t>i2124_5s2p007_m25_e010</t>
  </si>
  <si>
    <t>Ilustração passo a passo de uma percussão corporal. Dividir em A, B e C</t>
  </si>
  <si>
    <t>i2137_5s2p007_m25_e010</t>
  </si>
  <si>
    <t>ilustração de linhas. Ver referência abaixo. Dividir a ilustração em A, B, C, D</t>
  </si>
  <si>
    <t>i2331_5s2p007_m25_e010</t>
  </si>
  <si>
    <t>Ilustrar duas crianças de 5 anos, um menino pardo e uma menina branca de cabelos encaracolados, pescando no rio com um homem negro adulto. Cada uma das crianças devem estar com sua vara de pescar.</t>
  </si>
  <si>
    <t>i2309_5s2p007_m25_e010</t>
  </si>
  <si>
    <t xml:space="preserve">IMAGEM GERADA POR IA: Peixe em fio contorno. Arquivo na pasta: peixe.
Ajuste: pintar de azul
</t>
  </si>
  <si>
    <t>i2332_5s2p007_m25_e010</t>
  </si>
  <si>
    <t>Ilustração de barco com pessoas e depois vazio. Dividir em A e B, conforme referência</t>
  </si>
  <si>
    <t>i2334_5s2p007_m25_e010</t>
  </si>
  <si>
    <t>Ilustrar um espaço que represente a Galeria das formas e das cores. Nesse espaço devem ter trabalhos expostos que mostrem figuras geométricas, poderia ser um mural com trabalhos que representem mosaicos. REFERÊNCIA:</t>
  </si>
  <si>
    <t>i2335_5s2p007_m25_e010</t>
  </si>
  <si>
    <t>Ilustrar em fio contorno: triângulo, círculo, retângulo e quadrado.
Dividir em A, B. C, D</t>
  </si>
  <si>
    <t>i2336_5s2p007_m25_e010</t>
  </si>
  <si>
    <t>Ilustrar um círculo azul, um triângulo amarelo, um quadrado verde, um retângulo vermelho, um círculo azul, um triângulo amarelo. Dividir em A, B, C, D,</t>
  </si>
  <si>
    <t>i2338_5s2p007_m25_e010</t>
  </si>
  <si>
    <t>Ilustrar 5 formigas trabalhando próximas ao formigueiro, elas podem estar carregando folhas. Atenção, as formigas devem ser grandes para que a criança consiga contar. REFERÊNCIA:</t>
  </si>
  <si>
    <t>i6120_5s2p007_m25_e010</t>
  </si>
  <si>
    <t xml:space="preserve">Ilustrar peixe que será utilizado em pescaria. Ver referência. </t>
  </si>
  <si>
    <t>i6121_5s2p007_m25_e010</t>
  </si>
  <si>
    <t xml:space="preserve">Ilustrar em fio contorno 1 círculo, 1 quadrado, 1 retângulo, 1 triângulo que devem ser entre 2 e 3cm cada. 
Dividir em A, B, C e D
</t>
  </si>
  <si>
    <t>i6119_5s2p007_m25_e010</t>
  </si>
  <si>
    <t>Ilustração de uma zebra gerada por IA</t>
  </si>
  <si>
    <t>i6122_5s2p007_m25_e010</t>
  </si>
  <si>
    <t>Ilustração de um zíper gerada por IA</t>
  </si>
  <si>
    <t>i6123_5s2p007_m25_e010</t>
  </si>
  <si>
    <t>Ilustração da frente de um zoológico gerada por IA</t>
  </si>
  <si>
    <t>i6124_5s2p007_m25_e010</t>
  </si>
  <si>
    <t>Ilustração de uma zabumba gerada por IA</t>
  </si>
  <si>
    <t>i0362_4s1p007_m25_e010</t>
  </si>
  <si>
    <t>Inserir ilustração em fio contorno de um ovo estalado (gema e clara) gerada por IA: ovo</t>
  </si>
  <si>
    <t>i0363_4s1p007_m25_e010</t>
  </si>
  <si>
    <t>Inserir ilustração em fio contorno de uma mão, gerada por IA: mao</t>
  </si>
  <si>
    <t>i0364_4s1p007_m25_e010</t>
  </si>
  <si>
    <t>Inserir ilustração em fio contorno de uma asa gerada por IA: asa</t>
  </si>
  <si>
    <t>i0790_4s1p007_m25_e010</t>
  </si>
  <si>
    <t>Carro gerada por IA: carro</t>
  </si>
  <si>
    <t>i0791_4s1p007_m25_e010</t>
  </si>
  <si>
    <t>Casa gerada por IA: casa</t>
  </si>
  <si>
    <t>i0792_4s1p007_m25_e010</t>
  </si>
  <si>
    <t>Dedo gerada por IA: dedo</t>
  </si>
  <si>
    <t>i0793_4s1p007_m25_e010</t>
  </si>
  <si>
    <t>Dente gerada por IA: dente</t>
  </si>
  <si>
    <t>i0794_4s1p007_m25_e010</t>
  </si>
  <si>
    <t>Coelho gerada por IA: coelho</t>
  </si>
  <si>
    <t>i0795_4s1p007_m25_e010</t>
  </si>
  <si>
    <t>Copo gerada por IA: copo</t>
  </si>
  <si>
    <t>i0931_4s1p007_m25_e010</t>
  </si>
  <si>
    <t>ilustrar uma mão pontilhada, ver referência, porém ilustrar mostrando as unhas. fazer de modo que os fios fiquem parecidos com o da casinha acima.</t>
  </si>
  <si>
    <t>i0502_3s1p007_m25_e010</t>
  </si>
  <si>
    <t>Ilustração de um convite de acampamento escolar. O convite deve ter imagens que lembram um acampamento, como barraca, fogueira e um céu estrelado. 
Ver referência para o convite (deixar com poucas informações e menos estadunidense possível. Ver referência para aplicação de dia, horário...</t>
  </si>
  <si>
    <t>R: 14/08 ; F: 18/08</t>
  </si>
  <si>
    <t>i0503_3s1p007_m25_e010</t>
  </si>
  <si>
    <t>Ilustração passo a passo da produção de uma lanterna mágica. Segue link do que será produzido para exemplificar: https://br.pinterest.com/pin/703756187877888/. Dividir a ilustração em A, B, C e D</t>
  </si>
  <si>
    <t>i0504_3s1p007_m25_e010</t>
  </si>
  <si>
    <t xml:space="preserve">IL. De elementos normalmente utilizados em acampamento:
- barraca/ cabana simples, adaptada com tecidos
- colchonete
- lanterna
- caixa de som tipo JBL (não copiar designer de marcas)
-garrafa térmica 2L
- Jarra com suco
-palitos de espeto com frutas
-bola 
-fogueira
-violão
-almofadas
As imagens devem ser em fio contorno, para que o aluno possa pintar e devem estar “soltas” na página. Dividir em A, B, C...
Veja algumas referências para Ilustração:
</t>
  </si>
  <si>
    <t>i0505_3s1p007_m25_e010</t>
  </si>
  <si>
    <t>Ilustração de um ratinho verde, um gafanhoto verde, uma rã verde, um camaleão verde e um elefante. Dividir a ilustração em A, B, C, D e E</t>
  </si>
  <si>
    <t>i0506_3s1p007_m25_e010</t>
  </si>
  <si>
    <t>ilustração de cena com 7 crianças de aproximadamente 3 anos brincando. Elas devem estar distribuídas em dois grupos com 3 crianças cada, sendo duas delas de mãos dadas, uma de frente para outra, formando uma casinha e a terceira dentro da casa (entre as duas crianças). A sétima criança deve estar próxima as demais, observando em qual casinha irá entrar. As crianças devem ser ilustradas de modo ter a diversidade representada. Ver referência:</t>
  </si>
  <si>
    <t>i0507_3s1p007_m25_e010</t>
  </si>
  <si>
    <t xml:space="preserve">Ilustrar uma casinha com dois ratinhos, sendo que um deve estar visivelmente dentro da casa e o outro ratinho fora da casa. A cena pode estar colorida, porém os ratos em fio contorno, pois a criança irá pintá-los. 
Fazer o rato o mais parecido possível com o do livro “Você quer ser meu amigo?”. Ver referência de rato e sugestões de casa. </t>
  </si>
  <si>
    <t>i0508_3s1p007_m25_e010</t>
  </si>
  <si>
    <t>Ilustrações de retângulos de papel coloridos. 1 azul, 1 vermelho e 1 amarelo. Dividir em A, B e C</t>
  </si>
  <si>
    <t>R2: 15/08 ; F: 20/08</t>
  </si>
  <si>
    <t>i0509_3s1p007_m25_e010</t>
  </si>
  <si>
    <t>IL. De cena de uma roda com aproximadamente 5 crianças (etnias diferentes), de aproximadamente 3 anos, sentadas em roda.
Uma das crianças deve estar segurando, com uma das mãos, um saquinho transparente com dois papeis dobrados dentro nas cores: vermelho e azul. Na outra mão, um pouco erguida, deve ter uma tira de papel retangular na cor amarelo. A criança deve ter um balão de fala com o desenho de uma maçã dentro. O balão de fala deve estar em destaque, ou seja, com zoom.</t>
  </si>
  <si>
    <t>i0510_3s1p007_m25_e010</t>
  </si>
  <si>
    <t>Ilustração de uma secretária de escola sentada em uma cadeira, de sala de aula, em uma roda de conversa com crianças de 3 anos, como se estivesse respondendo a algumas perguntas das crianças. A secretária deve estar com uma caneta na mão, e um caderno e telefone sem fio no colo. As crianças podem estar na cena de costas e sentadas no chão. Ter diversidade entre as crianças e, se possível, incluir uma criança com o crachá de autismo. Veja referência de secretária:</t>
  </si>
  <si>
    <t>i0511_3s1p007_m25_e010</t>
  </si>
  <si>
    <t>ilustração de uma escola feita com massa de modelar, em 2d mesmo. A imagem deve estar chapada, pois a criança irá reproduzi-la.
Veja a seguir uma referência de imagem.</t>
  </si>
  <si>
    <t>i6105_3s1p007_m25_e010</t>
  </si>
  <si>
    <t>Ilustração de silhueta de dinossauro, foguete, borboleta e coração, conforme referência abaixo. A il deve ter relação com a ilustração i0503. Fazer na mesma linguagem</t>
  </si>
  <si>
    <t xml:space="preserve">i6121_3s1p007_m25_e010 </t>
  </si>
  <si>
    <t xml:space="preserve">Destacável
Imagem de envelope para as crianças destacarem e decorarem com desenho, pintura ou colagem por fora. O tamanho deve ser proporcional de modo que quando dobrado caiba uma folha pautada também a ser produzida para o material complementar.
</t>
  </si>
  <si>
    <t>i0902_2s2p007_m25_e010</t>
  </si>
  <si>
    <t>Ilustrar uma panela grande, cheia de sopa, sobre a chama de um fogão, como se a sopa estivesse sendo preparada. IMAGEM GERADA POR IA. Arquivo na pasta: panela.</t>
  </si>
  <si>
    <t>i0903_2s2p007_m25_e010</t>
  </si>
  <si>
    <t>Ilustração de cenoura, apenas fio contorno. IMAGEM GERADA POR IA. Arquivo na pasta: cenoura.</t>
  </si>
  <si>
    <t>i0904_2s2p007_m25_e010</t>
  </si>
  <si>
    <t>Ilustração de batata, apenas fio contorno. IMAGEM GERADA POR IA. Arquivo na pasta: batara.</t>
  </si>
  <si>
    <t>i0905_2s2p007_m25_e010</t>
  </si>
  <si>
    <t>Ilustração de brócolis, apenas fio contorno. IMAGEM GERADA POR IA. Arquivo na pasta: brocolis.</t>
  </si>
  <si>
    <t>i0906_2s2p007_m25_e010</t>
  </si>
  <si>
    <t>Ilustração de cebola, apenas fio contorno. IMAGEM GERADA POR IA. Arquivo na pasta: cebola.</t>
  </si>
  <si>
    <t>i0907_2s2p007_m25_e010</t>
  </si>
  <si>
    <t>Ilustração de espiga de milho, apenas fio contorno. IMAGEM GERADA POR IA. Arquivo na pasta: milho.</t>
  </si>
  <si>
    <t>i0908_2s2p007_m25_e010</t>
  </si>
  <si>
    <t>Ilustração de berinjela, apenas fio contorno. IMAGEM GERADA POR IA. Arquivo na pasta: berinjela.</t>
  </si>
  <si>
    <t>i0909_2s2p007_m25_e010</t>
  </si>
  <si>
    <t>Ilustração de tomate, apenas fio contorno. IMAGEM GERADA POR IA. Arquivo na pasta: tomate.</t>
  </si>
  <si>
    <t>i0910_2s2p007_m25_e010</t>
  </si>
  <si>
    <t>Ilustração de abóbora, apenas fio contorno. IMAGEM GERADA POR IA. Arquivo na pasta: abobora.</t>
  </si>
  <si>
    <t>i0912_2s2p007_m25_e010</t>
  </si>
  <si>
    <t xml:space="preserve">Ilustração de João chegando ao lugar onde vive o gigante e encontrando o gigante e a galinha dos ovos de ouro. Deve aparecer o menino (João) em uma parte do pé de feijão, que atravessou as nuvens. Ele deve estar com cara de assustado. Devem aparecer também o Gigante, com cara de bravo, e a galinha ao lado dele, ambos olhando para o menino. A ilustração deve ser simples e com poucos elementos. </t>
  </si>
  <si>
    <t>R:15/08 F:20/08</t>
  </si>
  <si>
    <t>i0916_2s2p007_m25_e010</t>
  </si>
  <si>
    <t>Ilustrar um fundo como se fosse um caderno de receitas aberto, aparecendo duas páginas espelhadas. Na página da esquerda, compor o título RECEITA DE ________________, deixando uma linha para escrever o nome da receita, e também o título INGREDIENTES, com várias linhas abaixo dele para escrever os ingredientes. Na página da direita, compor o título MODO DE PREPARO e deixar a página toda com linhas para escrever, conforme as indicações abaixo. Decorar as páginas do caderno de receitas com elementos relacionados à cozinha, como panelas, colheres, pratos, luvas térmicas, tábua de carne, potes, entre outros. Ver referências:</t>
  </si>
  <si>
    <t>i0923_2s2p007_m25_e010</t>
  </si>
  <si>
    <t>Ilustração de personagens de contos de fadas. Dividir em A, B, C e D</t>
  </si>
  <si>
    <t>i6128_5s1p007_m25_e010</t>
  </si>
  <si>
    <t xml:space="preserve">Inserir cone amarelo do padrão de ilustrações da obra:
resgatar ilustração do miolo i0737zz_5s1p007_m25_e010
</t>
  </si>
  <si>
    <t>i6129_5s1p007_m25_e010</t>
  </si>
  <si>
    <t xml:space="preserve">Inserir cubo roxo do padrão de ilustrações da obra
resgatar ilustração do miolo: i0739zz_5s1p007_m25_e010:
</t>
  </si>
  <si>
    <t>i6130_5s1p007_m25_e010</t>
  </si>
  <si>
    <t xml:space="preserve">Inserir pirâmide verde do padrão de ilustrações da obra:
resgatar ilustração do miolo: i0736zz_5s1p007_m25_e010
</t>
  </si>
  <si>
    <t>i6131_5s1p007_m25_e010</t>
  </si>
  <si>
    <t>Inserir cilindro vermelho
do padrão de ilustrações da obra: resgatar ilustração do miolo: i0740zz_5s1p007_m25_e010</t>
  </si>
  <si>
    <t>i6132_5s1p007_m25_e010</t>
  </si>
  <si>
    <t>ARTE - ADESIVO
Inserir ilustração de estrela azul. Recortar a mesma ilustração usada na página da atividade.  Referência:
 Resgatar i0930Ald_5s1p007_m25_e010_ly</t>
  </si>
  <si>
    <t>i6133_5s1p007_m25_e010</t>
  </si>
  <si>
    <t xml:space="preserve">ARTE - ADESIVO
Inserir ilustração de estrela amarela. Recortar a mesma ilustração usada na página da atividade.   Referência:
resgatar: i0930Bld_5s1p007_m25_e010_ly
</t>
  </si>
  <si>
    <t>i6134_5s1p007_m25_e010</t>
  </si>
  <si>
    <t xml:space="preserve">Inserir ilustração de um foguete. Recortar a mesma ilustração usada na página da atividade.
 Referência:
resgatar: i0931Ald_5s1p007_m25_e010_ly
</t>
  </si>
  <si>
    <t>i6135_5s1p007_m25_e010</t>
  </si>
  <si>
    <t xml:space="preserve">Inserir ilustração da lua.
Recortar a mesma ilustração usada na página da atividade. Referência:
Resgatar: i0931Bld_5s1p007_m25_e010_ly
</t>
  </si>
  <si>
    <t>i6136_5s1p007_m25_e010</t>
  </si>
  <si>
    <t xml:space="preserve">ARTE - ADESIVO
Inserir ilustração de nuvem. Recortar a mesma ilustração usada na página da atividade. resgatar do miolo: i0932Ald_5s1p007_m25_e010_ly
</t>
  </si>
  <si>
    <t>i6137_5s1p007_m25_e010</t>
  </si>
  <si>
    <t xml:space="preserve">Inserir ilustração de sol. Recortar a mesma ilustração usada na página da atividade. 
resgatar do miolo: 
i0932Bld_5s1p007_m25_e010_ly
</t>
  </si>
  <si>
    <t>i6138_5s1p007_m25_e010</t>
  </si>
  <si>
    <t>Inserir ilustração do planeta Terra. Recortar a mesma ilustração usada na página da atividade. resgatar do miolo: i0933Ald_5s1p007_m25_e010_ly</t>
  </si>
  <si>
    <t>i6139_5s1p007_m25_e010</t>
  </si>
  <si>
    <t>Inserir ilustração do astronauta. Recortar a mesma ilustração usada na página da atividade.resgatar do miolo: i0933Bld_5s1p007_m25_e010_ly</t>
  </si>
  <si>
    <t>i6140_5s1p007_m25_e010</t>
  </si>
  <si>
    <t xml:space="preserve">Inserir ilustração de telescópio. Seguir o mesmo tipo de ilustração usada na página da atividade. 
resgatar do miolo: i0934Ald_5s1p007_m25_e010_ly
</t>
  </si>
  <si>
    <t>i6141_5s1p007_m25_e010</t>
  </si>
  <si>
    <t xml:space="preserve">Inserir ilustração do planeta Saturno. Recortar a mesma ilustração usada na página da atividade. 
resgatar do miolo: i0934Bld_5s1p007_m25_e010_ly
</t>
  </si>
  <si>
    <t>i0924_2s2p007_m25_e010</t>
  </si>
  <si>
    <t>Ilustrar 6 cenas em sequência para representar a fábula A CIGARRA E A FORMIGA. Dividir em A, B, C, D, E e F</t>
  </si>
  <si>
    <t>r:14/08 f:22/08</t>
  </si>
  <si>
    <t>i0925_2s2p007_m25_e010</t>
  </si>
  <si>
    <t>Ilustração de duas cenas. Dividir em A e B</t>
  </si>
  <si>
    <t>i0926_2s2p007_m25_e010</t>
  </si>
  <si>
    <t xml:space="preserve">Ilustrar uma fila de formigas partindo de um formigueiro até um montinho de alimentos, como folhas, pedaços de caules e sementes. Ver referência: </t>
  </si>
  <si>
    <t>i0927_2s2p007_m25_e010</t>
  </si>
  <si>
    <t>Ilustração de menina andando sobre uma corda. Resgatar i0122ss_3p007_m25_e010. Obs: será um resgate do 3 anos, mas a imagem não será usada lá.</t>
  </si>
  <si>
    <t>i0930_2s2p007_m25_e010</t>
  </si>
  <si>
    <t>Ilustrar cena da história João e o pé de feijão em que apareçam João, o gigante, a galinha dos ovos de ouro e a harpa encantada. O gigante sentado à mesa, comendo um prato de sopa, a harpa deve aparecer em destaque na cena, com notas musicais saindo dela, como se estivesse tocando uma música, a galinha deve estar em um canto do ambiente sentada no ninho de modo que dê para ver os ovos de ouro. João deve estar escondido atrás de uma porta, observando tudo. Os personagens devem ser os mesmos da ilustração da folha 8 e a harpa deve ter mais destaque que os demais personagens. Fazer a ilustração na horizontal, para se adequar ao espaço disponível. Ver referências:</t>
  </si>
  <si>
    <t>i0931_2s2p007_m25_e010</t>
  </si>
  <si>
    <t>Ilustração de uma caixa de madeira com vários objetos com os quais é possível produzir som, como tampa de panela, colher de metal, colher de pau, pente de cabelo, potes plásticos, lata, saco de papel, entre outros. A caixa deve ter uma tampa, que deve estar entreaberta, possibilitando ver os objetos dentro dela. Ver referência para a ilustração da caixa, porém ilustrar os elementos listados nessa descrição.</t>
  </si>
  <si>
    <t>i0934_2s2p007_m25_e010</t>
  </si>
  <si>
    <t>Ilustração de personagens de conto de fadas. Dividir a il em A, B C...
Ilustração semelhante a Cinderela em fundo branco. Ver referência:
Ilustração semelhante a Rapunzel em fundo branco. Ver referência:
Ilustração semelhante a Branca de Neve em fundo branco. Ver referência:
Ilustração semelhante a um príncipe de conto de fadas em fundo branco. Ver referência:
Ilustração semelhante ao Gato de botas em fundo branco. Ver referência:
Ilustração semelhante ao Aladim em fundo branco. Ver referência:</t>
  </si>
  <si>
    <t>i1101_2s2p007_m25_e010</t>
  </si>
  <si>
    <t>IMAGEM GERADA POR IA.1 graveto
Arquivo na pasta: graveto</t>
  </si>
  <si>
    <t>i1102_2s2p007_m25_e010</t>
  </si>
  <si>
    <t>IMAGEM GERADA POR IA. 1 pinha
Arquivo na pasta: pinha</t>
  </si>
  <si>
    <t>i1103_2s2p007_m25_e010</t>
  </si>
  <si>
    <t>IMAGEM GERADA POR IA. 3 flores
Arquivo na pasta: flores
AJUSTE: recortar apenas a flor rosa.</t>
  </si>
  <si>
    <t>i1104_2s2p007_m25_e010</t>
  </si>
  <si>
    <t>IMAGEM GERADA POR IA. 4 folhas
Arquivo na pasta: folhas
AJUSTE: recortar apenas 1 folha.</t>
  </si>
  <si>
    <t>i1105_2s2p007_m25_e010</t>
  </si>
  <si>
    <t>IMAGEM GERADA POR IA. 5 pedras
Arquivo na pasta: pedras
AJUSTE: recortar apenas 1 pedra.</t>
  </si>
  <si>
    <t>i1106_2s2p007_m25_e010</t>
  </si>
  <si>
    <t>Ilustração de 4 cenas em fio contorno referente a ações de cuidado do meio ambiente. Dividir em A, B, C e D</t>
  </si>
  <si>
    <t>R: 18/08 ; F: 09/09</t>
  </si>
  <si>
    <t>i1117_2s2p007_m25_e010</t>
  </si>
  <si>
    <t>Ilustrar uma aranha bem fofa subindo por uma parede e gotas de chuva caindo sobre ela. Ela deve estar com expressão de que está se esforçando para não cair. Ao fundo também deve aparecer o Sol, como se estivesse parando de chover e o Sol estivesse começando a aparecer.</t>
  </si>
  <si>
    <t>i1121_2s2p007_m25_e010</t>
  </si>
  <si>
    <t>Ilustração de um quebra-cabeça de duas peças com um corte reto no meio. Uma peça vai ficar na página e a outra no MATERIAL DESTACÁVEL. A ilustração do quebra-cabeça deve ser um menino negro, aprox. 2 anos, de calção de banho, chinelo e chapéu. Ele deve estar usando um colar de girassol, indicando deficiência não aparente. O cenário deve ser uma praia, céu claro e sol. Deixar a parte de cima na página e a parte de baixo no material destacável. Ver referência para a ilustração e para o corte da peça. Dividir em A e B.</t>
  </si>
  <si>
    <t>i1122_2s2p007_m25_e010</t>
  </si>
  <si>
    <t>Ilustração de um quebra-cabeça de duas peças com um corte reto no meio. Uma peça vai ficar na página e a outra no MATERIAL DESTACÁVEL. A ilustração do quebra-cabeça deve ser uma menina oriental usando uma capa de chuva e galochas. O cenário deve ser um tempo de chuva com nuvens, gotas de chuva e céu mais escuro. Deixar a parte de baixo na página e a parte de cima no material destacável. Ver referência para a ilustração e para o corte da peça. Dividir em A e B</t>
  </si>
  <si>
    <t>i1123_2s2p007_m25_e010</t>
  </si>
  <si>
    <t>Ilustração de um quebra-cabeça de duas peças com um corte reto no meio. Uma peça vai ficar na página e a outra no MATERIAL DESTACÁVEL. A ilustração do quebra-cabeça deve ser uma menina negra retinta usando uma calça comprida, jaqueta, luvas, touca e tênis. O cenário deve ser um céu azul, porém não tão claro, e deve parecer que está ventando, como se fosse um dia de inverno. Deixar a parte de cima na página e a parte de baixo no material destacável. Ver referência para a ilustração e para o corte da peça. Dividir em A e B</t>
  </si>
  <si>
    <t>i1124_2s2p007_m25_e010</t>
  </si>
  <si>
    <t>Guarda-chuva com o cabo azul e a parte de cima apenas fio contorno. IMAGEM GERADA POR IA. Arquivo na pasta: guarda_chuva_azul</t>
  </si>
  <si>
    <t>i1125_2s2p007_m25_e010</t>
  </si>
  <si>
    <t>Guarda-chuva exatamente igual ao anterior, porém com o cabo amarelo. IMAGEM GERADA POR IA. Arquivo na pasta: guarda_chuva_amarelo</t>
  </si>
  <si>
    <t>i1126_2s2p007_m25_e010</t>
  </si>
  <si>
    <t>Guarda-chuva exatamente igual aos anteriores, porém com o cabo vermelho. IMAGEM GERADA POR IA. Arquivo na pasta: guarda_chuva_vermelho</t>
  </si>
  <si>
    <t>i1127_2s2p007_m25_e010</t>
  </si>
  <si>
    <t>Ilustrar uma mancha na cor verde</t>
  </si>
  <si>
    <t>i1128_2s2p007_m25_e010</t>
  </si>
  <si>
    <t>Ilustrar uma mancha na cor alaranjada</t>
  </si>
  <si>
    <t>i1762_4s2p007_m25_e010</t>
  </si>
  <si>
    <t>Ilustração de uma banca de frutas com 3 caixas: a primeira vazia, a segunda com pêra (poucas frutas), a terceira com maçãs (muitas frutas)</t>
  </si>
  <si>
    <t>gx</t>
  </si>
  <si>
    <t>i0330_3s1p007_m25_e010</t>
  </si>
  <si>
    <t xml:space="preserve">resgatar ilustração que foi produzida para o 4 anos e não será mais utilizada lá: i1531gk_4s2p007_m25_e010_ly </t>
  </si>
  <si>
    <t>i0930_3s2p007_m25_e010</t>
  </si>
  <si>
    <t>Ilustração de cena de animais (leão, elefante e raposa) em floresta. A cena não deve ter muitos elementos, somente os animais, o fundo de floresta e ocupar todo espaço da folha. Os animais devem estar no maior tamanho possível e incompletos, pois a criança irá colar o destacável para completá-los.
O LEÃO deve estar de frente e SEM JUBA (a juba ficará no material complementar); o ELEFANTE também deve estar de frente e SEM TROMBA (a tromba ficará no material complementar) e a RAPOSA deve estar de lado e SEM O RABO (o rabo ficará no material complementar)
Veja a seguir referência de cena. (Se possível “espalhar” os animais pela floresta, não deixando-os tão próximos um do outro. Dividir a ilustração em A, B, C, D</t>
  </si>
  <si>
    <t>R: 19/08 ; F: 21/08</t>
  </si>
  <si>
    <t>i0931_3s2p007_m25_e010</t>
  </si>
  <si>
    <t xml:space="preserve">Ilustração de cena de floresta, sem muitos elementos, com os seguintes animais: girafa, lobo-guará, tigre e zebra. 
É necessário que haja PROPORCIONALIDADE entre os tamanhos dos animais, pois isso implicará na proposta de atividade para as crianças.
Segue referências dos animais para compor a cena. É preciso CUIDAR na produção da ilustração evitando que o tigre fique perto das presas, como se estivesse caçando, mas que não fique tão longe um do outro de modo que a criança tenha condições de comparar os tamanhos entre os animais.
Não ilustrar outros animais, somente os solicitados.
</t>
  </si>
  <si>
    <t>i0932_3s2p007_m25_e010</t>
  </si>
  <si>
    <t xml:space="preserve">Inserir resgate de lustração de cena de criança pendurando formas quadrados com a professora em um varal. Ilustração Bons Amigos Edinfa i1467ss_1cbsn_g22_ftd
Ajuste: o varal deve ter quadrados de diferentes tamanhos e cores.
</t>
  </si>
  <si>
    <t>i0941_3s2p007_m25_e010</t>
  </si>
  <si>
    <t>Ilustração passo a passo de confecção de um biloquê. Dividir a ilustração em A, B, C, D, E e F. Obs. as patas do sapo e a mosca devem ter a mesma aparência da i6101 do material complementar</t>
  </si>
  <si>
    <t>i6101_3s2p007_m25_e010</t>
  </si>
  <si>
    <t>ilustração de dois elementos para serem usados em um bilboquê. Dividir em A e B. Deve ter relação com a i0941</t>
  </si>
  <si>
    <t>if0365_4s1p007_m25_e010</t>
  </si>
  <si>
    <t>Ilustração com foto de texto escrito por criança. Inserir elementos para decorar a if.</t>
  </si>
  <si>
    <t>i6160_4s2p007_m25_e010</t>
  </si>
  <si>
    <t>resgatar i1724D
Ilustração de metade de um kiwi (a mesma que foi aplicada na página)</t>
  </si>
  <si>
    <t>i6161_4s2p007_m25_e010</t>
  </si>
  <si>
    <t>resgatar i1724C
Ilustração de um mamão (a mesma que foi aplicada na página)</t>
  </si>
  <si>
    <t>i6162_4s2p007_m25_e010</t>
  </si>
  <si>
    <t>resgatar i1724B
Ilustração de uma banana (a mesma que foi aplicada na página)</t>
  </si>
  <si>
    <t>i6163_4s2p007_m25_e010</t>
  </si>
  <si>
    <t>resgatar i01724A 
ilustração de uma fatia de melancia (a mesma que foi aplicada na página)</t>
  </si>
  <si>
    <t>i6164_4s2p007_m25_e010</t>
  </si>
  <si>
    <t>resgatar i1725D
Ilustração de metade de um milho (a mesma que foi aplicada na página)</t>
  </si>
  <si>
    <t>i6165_4s2p007_m25_e010</t>
  </si>
  <si>
    <t>resgatar i1725C
Ilustração de metade de um beterraba (a mesma que foi aplicada na página)</t>
  </si>
  <si>
    <t>i6166_4s2p007_m25_e010</t>
  </si>
  <si>
    <t>resgatar i1725B
Ilustração de metade de um alface (a mesma que foi aplicada na página)</t>
  </si>
  <si>
    <t>i6167_4s2p007_m25_e010</t>
  </si>
  <si>
    <t>resgatar i1725A
Ilustração de metade de uma cenoura (a mesma que foi aplicada na página)</t>
  </si>
  <si>
    <t>i6168_4s2p007_m25_e010</t>
  </si>
  <si>
    <t>i6169_4s2p007_m25_e010</t>
  </si>
  <si>
    <t>resgatar i2308yp_4s2p007_m25_e010. ADESIVO.
Inserir bandeira do Brasil igual a aplicada na página.</t>
  </si>
  <si>
    <t>i6170_4s2p007_m25_e010</t>
  </si>
  <si>
    <t>resgatar i2310yp_4s2p007_m25_e010. ADESIVO
Inserir bandeira da Argentina Igual a aplicada na página</t>
  </si>
  <si>
    <t>i6171_4s2p007_m25_e010</t>
  </si>
  <si>
    <t>resgatar i2313yp_4s2p007_m25_e010. ADESIVO
Inserir bandeira de Brunei igual a aplicada na página</t>
  </si>
  <si>
    <t>i6172_4s2p007_m25_e010</t>
  </si>
  <si>
    <t>resgatar i2314yp_4s2p007_m25_e010. ADESIVO
Inserir bandeira das Maldivas igual a aplicada na página</t>
  </si>
  <si>
    <t>i0701_3s1p007_m25_e010</t>
  </si>
  <si>
    <t>Inserir ilustração de uma menina parda com cabelos cacheados em pé em um banquinho, lavando as mãos em uma pia pequena, com um prato de frutas (como melancia e banana, por exemplo) por perto em uma mesa. Pode ter um ou mais adultos próximos à criança, em um ambiente similar à cozinha ou sala de jantar. O objetivo é que a ilustração, possa unir a higiene das mãos e do corpo, com a alimentação saudável, com o bem estar e a autonomia das crianças-temas trabalhados nessa vivência.</t>
  </si>
  <si>
    <t>R: 26/08 ; F: 28/08</t>
  </si>
  <si>
    <t>i0715_3s1p007_m25_e010</t>
  </si>
  <si>
    <t>Inserir ilustração de uma moldura como se fosse desenhada para a criança desenhar seu autorretrato no espaço interno.</t>
  </si>
  <si>
    <t>i0728_3s1p007_m25_e010</t>
  </si>
  <si>
    <t>Ilustração em fio contorno, de alguns vegetais:
-cacho de uva
- abóbora
-cenoura
-pepino
-morango
-beterraba
Dividir em A, B, C , D, E e F</t>
  </si>
  <si>
    <t>i0729_3s1p007_m25_e010</t>
  </si>
  <si>
    <t>Ilustração de uma banca de feira com caixas com diferentes vegetais, com o mesmo formato e perspectiva da referência.
Nessa banca deve ter um feirante, visto de costas (mas com o rosto aparecendo um pouco o perfil), entre duas bancas.
Deve ficar claro para o aluno qual banca está na frente e qual está atrás do feirante.
Somente uma das caixas que estará na frente do feirante e uma das caixas que estará atrás deve estar vazia, pois a criança irá colar adesivo. (Na referência são as que estão com X vermelho).
Deve ter menos informação/caixas e o feirante estar um pouco mais no canto da cena, para que a caixa da frente dele esteja mais visível e a criança consiga colar o adesivo. O espaço também no corredor, entre as caixas da frente e as de trás, deve ser maior.
Veja referência de imagem:
As frutas que serão coladas nas caixas vazias devem ser: bananas e brócolis. Dividir a il em A, B, C.</t>
  </si>
  <si>
    <t>i0732_3s1p007_m25_e010</t>
  </si>
  <si>
    <t>Ilustração de uma caixa de fio dental, aberta, com uma ponta do fio dental saindo da caixa.
Veja referência:</t>
  </si>
  <si>
    <t>i0733_3s1p007_m25_e010</t>
  </si>
  <si>
    <t>Ilustração de uma escova de dentes, sem creme dental. A escova deve estar deitada, vista de frente, com as cerdas do lado direito da folha e ocupando a maior parte da página.
A escova deve ter poucas cerdas desenhadas, pois a criança irá colar barbante para representar o restante.</t>
  </si>
  <si>
    <t>i0734_3s1p007_m25_e010</t>
  </si>
  <si>
    <t>Resgatar imagem i0350ko_5s1p007_m25_e010_ly.psd que não será mais usado no 5 anos.</t>
  </si>
  <si>
    <t>i6210_5s1p007_m25_e010</t>
  </si>
  <si>
    <t>Ilustrar um modelo do foguete de papel, conforme referência abaixo.</t>
  </si>
  <si>
    <t>F: 25/08</t>
  </si>
  <si>
    <t>i1771_5s2p007_m25_e010</t>
  </si>
  <si>
    <t>Ilustrar 3 carros coloridos na parte superior (azul, amarelo e verde), logo abaixo um labirinto com caminhos levemente entrelaçados. Atenção: os caminhos devem estar em branco para a criança pintar e não podem ser tão estreitos.
Na parte de baixo da ilustração, na ponta de cada caminho deve ter: um par de patins, um piano e uma pipa.
Ver referências:</t>
  </si>
  <si>
    <t>R: 27/08 ; F: 29/08</t>
  </si>
  <si>
    <t>i6142_5s2p007_m25_e010</t>
  </si>
  <si>
    <t xml:space="preserve">Ilustrar um tabuleiro com pequenas ilustrações, seguindo a estrutura do tabuleiro feito na ilustração na i6146_4s2p007_m25_e010.
Obs.: as casas podem ter como base um fundo como se fosse uma rua.
Inserir no meio do tabuleiro o título: JOGO DO TRÂNSITO, com letra de imprensa maiúscula e colorida
</t>
  </si>
  <si>
    <t>R: 27/08 ; F: 01/09</t>
  </si>
  <si>
    <t>i6136_5s2p007_m25_e010</t>
  </si>
  <si>
    <t>Resgatar ilustração i6147_4s2p007_m25_e010</t>
  </si>
  <si>
    <t>i6137_5s2p007_m25_e010</t>
  </si>
  <si>
    <t>Resgatar ilustração i6148_4s2p007_m25_e010</t>
  </si>
  <si>
    <t>i6133_5s2p007_m25_e010</t>
  </si>
  <si>
    <t>Ilustração de um Zabelê gerada por IA</t>
  </si>
  <si>
    <t>i6138_5s2p007_m25_e010</t>
  </si>
  <si>
    <t>resgatar i2319A_5s2p007_m25_e010 do miolo</t>
  </si>
  <si>
    <t>i6139_5s2p007_m25_e010</t>
  </si>
  <si>
    <t>resgatar i2319B_5s2p007_m25_e010 do miolo</t>
  </si>
  <si>
    <t>i6140_5s2p007_m25_e010</t>
  </si>
  <si>
    <t>resgatar i2319C_5s2p007_m25_e010 do miolo</t>
  </si>
  <si>
    <t>i6141_5s2p007_m25_e010</t>
  </si>
  <si>
    <t>resgatar i2319D_5s2p007_m25_e010 do miolo</t>
  </si>
  <si>
    <t>i1104_3s2p007_m25_e010</t>
  </si>
  <si>
    <t>IL. De crianças participando da brincadeira Vendedor de frutas
Cena de 4 crianças de aproximadamente 3 anos ao lado uma da outra. (menina negra, menino branco em cadeira de rodas, menino preto e menina ruiva de óculos) De frente para esse grupo deve ter outra criança (menina parda de cabelos cacheados) da mesma idade e com um balão de fala, com uma fatia de melancia desenhada dentro.
A cena deve ser em um espaço externo como quadra ou pátio.
Veja referência da brincadeira e da perspectiva da imagem</t>
  </si>
  <si>
    <t>R: 01/09 ; F: 08/09</t>
  </si>
  <si>
    <t>i1105_3s2p007_m25_e010</t>
  </si>
  <si>
    <t>ilustração de passo a passo da plantação do pé de feijão. As imagens devem ser coloridas, simples e de fácil compreensão. Dividir a ilustração em A, B, C, D e E</t>
  </si>
  <si>
    <t>R: 29/08 ; F: 02/09</t>
  </si>
  <si>
    <t>i1106_3s2p007_m25_e010</t>
  </si>
  <si>
    <t xml:space="preserve">Inserir uma moldura, ocupando a maior parte da folha, para que as crianças façam a colagem dentro desse limite. 
Deixar o fundo branco. A moldura deve ter elementos da natureza para combinar com a colagem das crianças que será de folhas e flores. Referência: Imagem criada por IA.
</t>
  </si>
  <si>
    <t>i1126_3s2p007_m25_e010</t>
  </si>
  <si>
    <t>Inserir na página uma ilustração, em fio contorno, de uma folha e de um galho de árvore. 
As imagens podem ser grandes, ocupando o maior espaço da folha.
Dividir a ilustração em A e B</t>
  </si>
  <si>
    <t>i1107_3s2p007_m25_e010</t>
  </si>
  <si>
    <t>Ilustrar o passo a passo de uma iguana feita na i6102_3s2p007_m25_e010 (material destacável) e língua de sogra.</t>
  </si>
  <si>
    <t>i1109_3s2p007_m25_e010</t>
  </si>
  <si>
    <t>Ilustrar 5 lixeiras pequenas, sem tampas, com mesmo formato, porém cada uma com um papel cartão de uma cor colado na frente: Amarelo, vermelho, verde, azul e marrom. 
Em cada papel, deve aparecer escrito em letra bastão e canetinhas (para dar impressão de que as lixeiras foram adaptadas pela professora para a atividade), com os seguintes termos:
METAIS (no papel amarelo); PLÁSTICOS (no papel vermelho); VIDROS (no papel verde); PAPÉIS (no papel azul) e ORGÂNICOS (no papel marrom).
Na cena deve aparecer 2 crianças, de aproximadamente 3 anos (uma menina asiática e um menino pardo). Uma deve estar segurando uma casca de banana e se aproximando da lixeira marrom enquanto a outra deve estar jogando um papel amassado na lixeira azul. A cena pode ser num espaço externo, não precisa ter muitas informações, somente um chão, as lixeiras e crianças.</t>
  </si>
  <si>
    <t>i1110_3s2p007_m25_e010</t>
  </si>
  <si>
    <t>Ilustrar uma cena de praça em que apareça uma criança, de aproximadamente 3 anos, segurando uma garrafa pet de água, caminhando como se estivesse indo em direção a uma lixeira. (A mãe da criança deve aparecer na cena, sentada em um banco).
Prever na cena um conjunto de lixeiras recicláveis e uma lixeira de resíduos (que estarão no material destacável)
A criança terá que colar as lixeiras, do material destacável, de acordo com o comando: as lixeiras de coleta seletivas perto da menina e a lixeira de resíduos longe da menina. (Não terá um lugar determinado para a colagem, o objetivo é que a criança cole perto e longe da menina ilustrada, por isso a importância de ter espaço na cena e poucos elementos).
Dividir a il em A, B, C</t>
  </si>
  <si>
    <t>i1111_3s2p007_m25_e010</t>
  </si>
  <si>
    <t>Ilustrar ao lado da cantiga, em média 4 crianças, de aproximadamente 3 anos, sentadas em roda, segurando com as mãos a borda de um tecido, tipo tnt  grande e liso. O pano deve parecer estar em movimento. Variar etnia das crianças. (menina branca com sobrepeso, menino asiático, menina preta de óculos, menino branco com colar de deficiência oculta)
Em cima do pano, no centro, deve ter a figura de um peixe. No canto da imagem, fora da roda, deve aparecer uma professora sentada tocando violão. Veja a seguir referência de imagem.</t>
  </si>
  <si>
    <t>i1112_3s2p007_m25_e010</t>
  </si>
  <si>
    <t>Apresentar na página duas ilustrações de rios, sendo um limpo e outro poluído. A diferença deve ficar evidente para as crianças. O rio limpo deve ter água clara, vegetação ao redor e o rio poluído deve ter água escura e lixo boiando sobre a água. Ilustrar três peixes que estarão no material complementar. Dividir a ilustração em A, B, C...</t>
  </si>
  <si>
    <t>i1125_3s2p007_m25_e010</t>
  </si>
  <si>
    <t>Inserir uma ilustração que represente uma exposição de atividades escolares. O tema da exposição deve ser brinquedos de materiais recicláveis.
Referência:  Google imagens - exposição de brinquedos reciclados. https://folhadecianorte.com/2018/09/cmei-lucia-reschetti-cerqueira-realiza-mostra-de-brinquedos-feitos-com-materiais-reciclados/</t>
  </si>
  <si>
    <t>i1119_3s2p007_m25_e010</t>
  </si>
  <si>
    <t>Inserir um círculo pontilhado para que a criança cubra com giz de cera.</t>
  </si>
  <si>
    <t>i6102_3s2p007_m25_e010</t>
  </si>
  <si>
    <t>Ilustrar a silhueta de uma iguana, na cor verde claro, liso, sem detalhes. Veja a seguir referência de formato:</t>
  </si>
  <si>
    <t>i1303_2s2p007_m25_e010</t>
  </si>
  <si>
    <t>Ilustrar uma figura com formato orgânico, apenas contorno em fio preto. Ver referência:</t>
  </si>
  <si>
    <t>i1304_2s2p007_m25_e010</t>
  </si>
  <si>
    <t>Ilustrar uma cena em que aparecem três crianças e uma mulher em um parquinho infantil. Na cena, uma mulher negra usando óculos deve estar sentada em um banco, na sombra, observando as crianças. As crianças, todas com aprox. 2 anos, devem ser uma menina negra com colar de girassol indicando deficiência não aparente, um menino negro e uma menina parda usando óculos. As três crianças devem estar em pé, próximas aos brinquedos, que devem ser somente um escorregador e dois balanços. A proposta será de ligar uma criança a cada brinquedo, por isso o fundo da ilustração deve ser bem clarinho. As crianças devem estar dispostas na cena de forma que não fiquem na frente dos brinquedos.</t>
  </si>
  <si>
    <t>R: 02/09 ; F: 05/09</t>
  </si>
  <si>
    <t>i1305_2s2p007_m25_e010</t>
  </si>
  <si>
    <t>Ilustrar um cartaz com algumas regras que as crianças devem seguir para brincar no parquinho. O título do cartaz deve ser REGRAS PARA BRINCAR PARQUINHO. O cartaz deve contar 4 “cartões” com imagem e texto, conforme referência abaixo, porém as imagens devem ser coloridas. Segue a descrição de cada “cartão”:
- cartão 1: ilustração bem simples de uma menina negra de óculos subindo a escada de um escorregador segurando no corrimão com as duas mãos. Abaixo dessa imagem deve aparecer o seguinte texto:
SUBIR ESCADA PISANDO COM CUIDADO E SEGURANDO COM AS DUAS MÃOS. 
- cartão 2: ilustração bem simples de um menino pardo com aparelho auditivo descendo o escorregador sentado. Abaixo dessa imagem deve aparecer o seguinte texto:
DESCER O ESCORREGADOR SENTADO.
- cartão 3: ilustração bem simples de uma menina oriental sentada em um balanço segurando com as duas mãos. Abaixo dessa imagem deve aparecer o seguinte texto:
BALANÇAR SENTADO E SEGURANDO COM AS DUAS MÃOS.
- cartão 3: ilustração bem simples de um menino negro e uma menina indígena brincando em uma caixa de areia. Não deve haver areia fora da caixa e perto das crianças deve haver brinquedos, como baldinho, pá, rastelo. Abaixo dessa imagem deve aparecer o seguinte texto:
NÃO JOGAR AREIA NOS AMIGOS NEM FORA DA CAIXA.
Na parte de baixo do cartaz, escrever a frase:
RESPEITE A VEZ DE CADA UM BRINCAR, SEJA GENTIL COM SEUS COLEGAS E DIVIRTA-SE!</t>
  </si>
  <si>
    <t>i1306_2s2p007_m25_e010</t>
  </si>
  <si>
    <t>Ilustrar duas crianças: um menino negro e uma menina parda de óculos brincando de escorregar um boneco em uma prancha imitando um escorregador. Na cena, devem aparecer duas cadeiras, uma ao lado da outra, cada uma com uma prancha apoiada imitando um escorregador. Ao lado de cada cadeira, deve estar uma das crianças sentadas no chão colocando um boneco para “escorregar”. Os dois bonecos devem ser diferentes e o da menina deve “parecer” estar descendo mais rápido do que o do menino. Ilustrar a cena de maneira que ocupe todo o espaço disponível na página. Ver referência:</t>
  </si>
  <si>
    <t>i1307_2s2p007_m25_e010</t>
  </si>
  <si>
    <t xml:space="preserve">Ilustrar um menino oriental, aprox. 2 anos, e uma menina negra, aprox. 2 anos, com prótese em uma das pernas sentados em uma caixa de areia, daquelas que existem nos parquinhos infantis das escolas. As crianças devem estar fazendo desenhos na areia e já deve haver algumas linhas retas, onduladas e em ziguezague e alguns círculos desenhados na areia perto delas. Também devem aparecer brinquedos como baldinhos, pás, rastelos e moldes de brincar na areia. Fazer a ilustração de modo que ocupe o espaço disponível na página. Ver referências: </t>
  </si>
  <si>
    <t>i1308_2s2p007_m25_e010</t>
  </si>
  <si>
    <t>Ilustrar uma linha ondulada, apenas fio preto, conforme referência:</t>
  </si>
  <si>
    <t>i1309_2s2p007_m25_e010</t>
  </si>
  <si>
    <t>Ilustração técnica de um círculo azul.</t>
  </si>
  <si>
    <t>i1313_2s2p007_m25_e010</t>
  </si>
  <si>
    <t>Ilustrar uma cena de área externa com árvores, grama, pedregulhos, riacho, pássaros e uma mulher e 3 crianças caminhando nesse ambiente. A mulher deve ser parda e ter cabelos cacheados. As crianças devem ter aprox. 2 anos, sendo um menino negro, uma menina negra e uma menina branca de cabelos castanhos com síndrome de Down . As crianças devem estar atentas aos diferentes sons produzidos, como canto de pássaro, água do riacho, vento, entre outros. Na cena deve aparecer dois pássaros em um galho com notas musicais próximas a eles para indicar que estão cantando. Uma das crianças deve estar pisando em uma folha seca e perto do pé dela deve aparecer escrito CRAC. Deve parecer que está ventando e próximo ao “vento” deve estar escrito FUUUUU. Deve aparecer um riacho e próximo a ele deve estar escrito CHUÁ para indicar o som das águas.  Imagem de referência criada por IA. Está será a cena principal e terá os recortes dela abaixo. Dividir em A, B, C, D.</t>
  </si>
  <si>
    <t>i1502_2s2p007_m25_e010</t>
  </si>
  <si>
    <t>Ilustrar um cenário para a história A GALINHA RUIVA. Neste cenário não deve aparecer nenhum animal. Os animais estarão no MATERIAL DESTACÁVEL (i6107A, B e C). A criança vai manuseá-los sobre este cenário para representar a história que a professora vai contar. O cenário deve mostrar uma parte da fazenda, com árvores, riacho, árvores, bastante verde, uma plantação de milho e também a cozinha onde a Galinha Ruiva vai preparar o bolo. Na parte superior do cenário, incluir o título A GALINHA RUIVA O cenário deve ocupar toda a página. Ver referências:</t>
  </si>
  <si>
    <t>R: 05/09 ; F: 09/09</t>
  </si>
  <si>
    <t>i6107_2s2p007_m25_e010</t>
  </si>
  <si>
    <t>Ilustrar personagens da história A GALINHA RUIVA que a criança vai usar para representar a história no cenário que aparece na página (i1502). Ilustrar A Galinha Ruiva, 3 pintinhos, um gato, um cachorro, um pato e um porco</t>
  </si>
  <si>
    <t>i1503_2s2p007_m25_e010</t>
  </si>
  <si>
    <t>Inserir a receita abaixo em um fundo como se fossem duas páginas espelhadas de um caderno de receitas. Na página da esquerda, colocar os ingredientes e uma ilustração de um bolo de milho feito em uma forma com furo no meio. Na página da direita, colocar o modo de fazer. Compor alguns elementos relacionados à cozinha, como colher, xícara, fouet, avental, luvas térmicas, assadeira com furo, entre outros, para decorar as páginas. Ver referência para a apresentação dos ingredientes da receita.</t>
  </si>
  <si>
    <t>i1504_2s2p007_m25_e010</t>
  </si>
  <si>
    <t>Ilustração apenas em fio contorno de uma vaca, um pato, um cachorro, um coelho, um gato,
um porco. Dividir em A, B, C, D, E e F</t>
  </si>
  <si>
    <t>i1505_2s2p007_m25_e010</t>
  </si>
  <si>
    <t>Ilustrar uma cena de fazenda na qual apareçam um cavalo e uma ovelha. Esses animais devem estar distantes um do outro e ambos devem estar de frente para o leitor. Fazer a cena de uma perspectiva em que pareça que o cavalo está mais para frente na cena e a ovelha mais para trás, pois os dois animais não podem estar ao lado um do outro. Ilustrar também um cachorro e um porco que estarão no material complementar. Prever o espaço ao lado do cavalo e ovelha para serem colados. Ver referência: Dividir a il em A, B, C...</t>
  </si>
  <si>
    <t>i1506_2s2p007_m25_e010</t>
  </si>
  <si>
    <t>Ilustração de uma cena em que apareçam a professora e 4 crianças brincando de História da serpente. A professora, uma mulher oriental, deve ser a primeira da fila. Atrás dela devem estar três crianças, uma menina negra usando abafador de som, um menino negro e uma menina indígena. Todos devem estar de pé com as pernas afastadas e menino ruivo está abaixado passando por baixo das pernas de todos os que estão na fila. Todos parecem felizes e estão cantando. Ver referência:</t>
  </si>
  <si>
    <t>i1507_2s2p007_m25_e010</t>
  </si>
  <si>
    <t>Ilustrar uma vaca e um porco vistos de costas e ambos sem rabo, pois a criança vai colar barbante para representar o rabo. Fazer uma ilustração fofinha e com cenário bem simples de fundo, somente um gramado e um céu. Ver referências:</t>
  </si>
  <si>
    <t>i1508_2s2p007_m25_e010</t>
  </si>
  <si>
    <t>Ilustração de crianças imitando animais. Dividir em A, B, C e D</t>
  </si>
  <si>
    <t>i1512_2s2p007_m25_e010</t>
  </si>
  <si>
    <t>Ilustração passo a passo de produção de um porco de garrafa pet. Dividir em A, B, C...</t>
  </si>
  <si>
    <t>i1519_2s2p007_m25_e010</t>
  </si>
  <si>
    <t>Ilustração de cenas referente a cuidados com animal de estimação. Dividir em A, B e C</t>
  </si>
  <si>
    <t>i1521_2s2p007_m25_e010</t>
  </si>
  <si>
    <t>Ilustração técnica de um triângulo alaranjado.</t>
  </si>
  <si>
    <t>i1522_2s2p007_m25_e010</t>
  </si>
  <si>
    <t>Ilustração de um poleiro de galinhas com a base em formato de triângulo. A base em forma de triângulo deve ficar quase de frente para o leitor, ficando bem evidente o formato de triângulo, conforme a referência. A criança irá colar palitos de sorvete nessas partes que formam a base do poleiro, portanto, cada uma dessas três partes deve ter a medida exata e o formato de um palito de sorvete feito em fio contorno preto. Ver Imagem de referência do poleiro, sendo que a parte indicada em vermelho é onde serão colados os palitos de sorvete. Fazer o poleiro maior e com mais profundidade, pois a criança vai colar nele 4 galinhas que estarão no MATERIAL DESTACÁVEL.
As galinhas devem ser uma diferente da outra. Dividir a ilustração em A, B, C...</t>
  </si>
  <si>
    <t>i1523_2s2p007_m25_e010</t>
  </si>
  <si>
    <t xml:space="preserve">Resgatar imagem i0538tc_2p007_m25_e010.psd e fazer os ajustes indicados.
Ajustes: Excluir as casinhas feitas com dobradura e substituir os desenhos de quarto por desenhos de sombras/silhuetas de animais da fazenda: cavalo, vaca, galinha, porco e pato. Essas sombras/silhuetas devem parecer ter sido feitas por crianças.
</t>
  </si>
  <si>
    <t>i1307_3s2p007_m25_e010</t>
  </si>
  <si>
    <t>Ilustração em três cenas, com a mesma criança, no mesmo lugar (jardim de casa) mas com diferentes condições do tempo, conforme descrição abaixo.  Dividir em A, B e C</t>
  </si>
  <si>
    <t>R:03/09 F:05/09</t>
  </si>
  <si>
    <t>i1321_3s2p007_m25_e010</t>
  </si>
  <si>
    <t>Ilustrar só o contorno, para o aluno pintar, em torno da parlenda: de um lado noite e de outro dia, com a parlendo no centro.
Ref: se possível mudar o morro para um terreno plano, mais brasileiro. Dividir em A e B.</t>
  </si>
  <si>
    <t>i1322_3s2p007_m25_e010</t>
  </si>
  <si>
    <t>Ilustrar o passo a passo para a produção do fantoche, conforme imagens de referência. Dividir em A, B, C e D</t>
  </si>
  <si>
    <t>i1326_3s2p007_m25_e010</t>
  </si>
  <si>
    <t>Ilustração de 3 triângulos grandes com pequenas manchas ou pinceladas de tinta nas cores azul, amarelo e vermelho. Conforme referência. 
Dividir em A, B e C.</t>
  </si>
  <si>
    <t>i6107_3s2p007_m25_e010</t>
  </si>
  <si>
    <t>Ilustrações isoladas de um Sol, uma nuvem com gostas de chuva e uma nuvem, representando os símbolos de tempo ensolarado, chuvoso e nublado. Ver referência. Dividir a ilustração em A. B e C</t>
  </si>
  <si>
    <t>i0135_0p007_m25_e010</t>
  </si>
  <si>
    <t>Ilustração (ocupar toda a mancha) de um grupo de crianças com duas professoras confeccionando um mural com o tema NO FUNDO DO MAR. A cena deve estar dentro de uma sala de aula com um papel kraft grande colado na parede com fitas adesivas na altura que os bebês possam alcançar. Sobre uma mesa baixa devem estar os demais materiais utilizados na atividade: pratos rasos com tintas dentro deles (uma cor de tinta em cada prato, nada misturado), potes de tintas de cores variadas e pincéis. No mural devem aparecer mãos em tamanho maior, representando os carimbos das mãos das professoras e, ao redor, carimbos de mãos menores representando as das crianças. Deve ter três bebês da faixa etária de até 11 meses (um menino branco, uma menina parda e uma menina preta. As crianças devem aparecer com carinhas felizes, mãos com tintas e camisetas com algumas manchas de tintas que caíram. 
Seguem sugestões de imagens para compor elementos para esta atividade Atenção: o mural será algo simples, mas as sugestões aqui são para compor mais elementos de fundo do mar no mural.</t>
  </si>
  <si>
    <t>R: 11/09 ; F: 19/09</t>
  </si>
  <si>
    <t>i0140_0p007_m25_e010</t>
  </si>
  <si>
    <t xml:space="preserve">Ilustração  (ocupar toda a mancha) de crianças sobre tapete sensorial. O tapete deve ser composto pelos materiais elencados no boxe Preparação. No entanto, deve aparecer somente o produto final. Logo, a superfície deve parecer fofa por causa dos colchonetes, mas estar encapada com papel kraft, ter manchas de tintas, casca de ovos, pedaços de espuma, miçangas e canudos de papel espalhados nele. Em cima de tudo isso deve haver um plástico transparente fixado ao chão com fita adesiva. Sobre este “tapete”, devem ser ilustradas três crianças (um menino pardo, uma menina asiática  e um menino preto – faixa etária de até 11 meses) apertando as tintas, quebrando as cascas de ovos e apertando espuma. Alguns objetos ou espuma podem aparecer colorizados pelas tintas que as crianças espalharam. Perto das crianças deve aparecer uma professora também apertando algum material, como se estivesse mostrando aos bebês o que devem fazer. Ver sugestões de imagem como referência para compor a cena.  NÃO ilustrar alimentos, trocar o macarrão por casca de ovo, por exemplo. </t>
  </si>
  <si>
    <t>i0141_0p007_m25_e010</t>
  </si>
  <si>
    <t>Ilustrar cena de bebê branco deitado em berço e uma professora negra sentada perto dele segurando um de seus pezinhos com uma das mãos. Com a outra mão ela deve estar segurando uma bolinha cravejada (aquelas de fisioterapia) ou um pompom, passando o objeto no pé do bebê. A carinha do bebê deve ser de quem está feliz, rindo por estar sentindo cócegas. A fisionomia da professora também deve ser alegre por ver a reação do bebê. A cena pode ter tamanho médio para ficar claro o movimento que precisa ser feito na atividade proposta. No móbile pode ter alguns animais ou outros elementos infantis. Segue sugestões de imagens.</t>
  </si>
  <si>
    <t>i0143_0p007_m25_e010</t>
  </si>
  <si>
    <t>Ilustração de cena grande. Deve ser o espaço de uma sala aula aparecendo três berços, dentro de cada berço deve ter um bebê (um menino ruivo, uma menina negra e um menino branco de até 11 meses). No berço de cada bebê deve haver tiras de tecidos de diferentes texturas e cores fixados às bordas. A professora deve estar perto de um dos bebês conversando com ele. Este bebê deve aparecer segurando uma das tiras com uma de suas mãos. Deve ter uma professora auxiliar entre dois berços como se ela estivesse atenta à exploração dos bebês. Cada um desses bebês deve estar segurando uma ou duas tiras, demonstrando curiosidade. Importante: ter duas crianças sentadas dentro do berço e uma em pé. 
Sugestões de imagem de como pode ser a disposição das tiras e os bebês juntos. NO ENTANTO, dentro de berço.</t>
  </si>
  <si>
    <t>i0144_0p007_m25_e010</t>
  </si>
  <si>
    <t xml:space="preserve">Ilustração de cena grande. As mesmas crianças da i0143 (ilustração anterior) devem aparecer nesta. No entanto, devem estar livres pela sala de aula também organizada para a atividade. Na cena, deve aparecer um varal no meio da sala com tiras de diferentes cores e tecidos (aquelas também mencionadas na i0143). No chão da sala deve ter aqueles tapetes de tatames coloridos e os bebês sentados neles. Pode ter algum em pé também. As crianças deverão estar próximas destas tiras, interagindo com elas. As professoras devem estar na cena, perto das crianças. A fisionomia dos bebês da cena deve ser de alegria e de curiosidade.
Sugestões de imagens para compor o ambiente ocorrendo a atividade. </t>
  </si>
  <si>
    <t>i0145_0p007_m25_e010</t>
  </si>
  <si>
    <t xml:space="preserve">Ilustração de móbile confeccionado por familiares e professora. A cena deve ter ocupar toda mancha.
Para a cena compor professora ruiva de óculos, mãe parda, pai preto, bebê pardo e móbile. O pai deve aparecer segurando o móbile pronto que construiu. Todas as personagens da cena devem aparecer felizes.
Para o móbile, ver sugestão de imagem para compor na cena. Os elementos devem ser simples (pássaros, corações, estrelas de cores variadas).
Ver sugestão de imagem para o móbile. </t>
  </si>
  <si>
    <t>ez</t>
  </si>
  <si>
    <t>R:11/09 F:16/09</t>
  </si>
  <si>
    <t>i0146_0p007_m25_e010</t>
  </si>
  <si>
    <t xml:space="preserve">Ilustração de cena de bebês e professora em sala de aula, sentados em círculo ao redor de uma banheira.
Na banheira deve ter alguns objetos como embalagens de xampu, sabonetes, buchas de espuma, livros infantis próprios para levar para o banho, bonecas e patinhos. Na cena a professora deve aparecer segurando uma bucha de espuma de banho, esfregando o próprio braço como se estivesse sinalizando o que é feito com aquele objeto. As crianças devem aparecer com carinhas de curiosas. Algumas podem estar olhando para professora e outras, ajoelhadas perto da banheira, olhando o que tem dentro dela. Uma criança pode estar de pé, segurando a toalha de banho como se estivesse tentando entender o que é aquele objeto macio e comprido. Debaixo de todas as personagens da cena, e claro, da banheira também deve ter aqueles tatames coloridos de salas de educação infantil para não parecer um chão duro e desconfortável para propor a atividade. Devem ser ilustradas 4 crianças (uma menina parda, um menino pardo, uma menina preta e um menino branco) Ver sugestão de imagem para compor esta cena. 
</t>
  </si>
  <si>
    <t>i0147_0p007_m25_e010</t>
  </si>
  <si>
    <t>Ilustração das mesmas personagens da i0146, mas agora, deve ter um bebê dentro da banheira. NÃO haverá água dentro da banheira, pois se trata de uma encenação da hora do banho. A professora deve estar próxima do bebê da banheira. Em uma das mãos dela, deve ter uma bucha de espuma. Ela estará esfregando um dos braços do bebê. As demais crianças devem aparecer com carinhas felizes observando como a professora está fazendo. A professora e algumas crianças podem aparecer de boquinha aberta como se estivessem cantando alguma cantiga. Algumas crianças podem estar batendo palmas como se estivessem se divertindo com a cantiga.
A sugestão de imagem serve como auxílio para verificar a disposição que as crianças podem estar, MAS todas devem estar vestidas e TER somente um bebê na banheira e, a professora deve aparecer na cena.</t>
  </si>
  <si>
    <t>i0149_0p007_m25_e010</t>
  </si>
  <si>
    <t>Ilustração de grupo de bebês em sala aula, todos sobre tapete emborrachado brincando com diferentes brinquedos. Na cena deve ter uma caixa de papelão vazia, pois todos os objetos que estavam lá foram colocados no chão. A professora deve estar na cena. Ilustrar 5 crianças de aproximadamente 11 meses (uma menina asiática, uma menina preta, uma menina parda, um menino pardo e um menino branco).</t>
  </si>
  <si>
    <t>i0159_0p007_m25_e010</t>
  </si>
  <si>
    <t xml:space="preserve">Ilustração de oito trouxinhas de tecido amarrados com fitas de cetim, de CORES DIFERENTES. Devem parecer cheinhas e estarem amarradas. Compor de maneira que fiquem organizadas uma próxima a outra, mas que seja possível ver cada uma delas. Elas devem estar sobre uma superfície ou em uma caixa de papelão (não de pizza como na sugestão da imagem. Ali foi apenas para observar como as trouxinhas podem ser feitas de maneira simples. </t>
  </si>
  <si>
    <t>i0160_0p007_m25_e010</t>
  </si>
  <si>
    <t xml:space="preserve">Compor ilustração com três cenas, de quatro bebês de aproximadamente 11 meses em uma escola (menino pardo, menina asiática, menina parda e menino branco), na sala de referência, com suas duas professoras. Na primeira deve aparecer a professora com uma criança. Na cena a professora estará olhando para o bebê enquanto ele segura a trouxinha levando-a ao nariz. Deve ter mais crianças por perto, como se estivessem formando um círculo, mas no momento, só a criança mais próxima estará cheirando a trouxinha. 
Na segunda cena, deve ter as mesmas personagens da cena anterior, mas agora, é a última criança quem estará segurando e cheirando a trouxinha. Na última cena, deve aparecer a professora abrindo a trouxinha e todas as crianças e a professora com carinhas felizes descobrindo o que estava lá dentro. Dividir em A, B e C
</t>
  </si>
  <si>
    <t>i1133_2s2p007_m25_e010</t>
  </si>
  <si>
    <t>Ilustrar uma cena com 2 crianças andando sobre um tapete sensorial. O tapete deve feito de TNT ou papelão em formato retangular, com oito quadrados separados colados. Em cada quadrado deve haver um elemento colado: lixa, algodão, tampinhas plásticas de garrafa, pedras (aquelas brancas arredondadas), espuma, retalhos de tecidos, lã, bucha vegetal. Deve haver duas crianças, aprox. 2 anos andando sobre o tapete: um menino negro com aparelho auditivo e uma menina parda com sobrepeso. Fazer a ilustração de forma que ocupe o espaço disponível na página. Ver referência, porém fazer o tapete e as crianças conforme a descrição.</t>
  </si>
  <si>
    <t>i1134_2s2p007_m25_e010</t>
  </si>
  <si>
    <t>Ilustração passo a passo da produção de uma lupa. Dividir a il em A, B, C...</t>
  </si>
  <si>
    <t>i1136_2s2p007_m25_e010</t>
  </si>
  <si>
    <t>Ilustrar, em fio contorno, apenas as pétalas de 3 flores. A criança vai colar uma tampinha plástica de garrafa para fazer o miolo e colar um fio de lã para fazer o caule de cada flor. As flores vão ficar na parte de cima, uma ao lado da outra. Na parte de baixo da página deve haver um gramadinho, que deve estar colorido. Deixar um espaço em branco entre o gramadinho e as pétalas para a criança colar o fio de lã. Ver referência:</t>
  </si>
  <si>
    <t>i1137_2s2p007_m25_e010</t>
  </si>
  <si>
    <t>Ilustração técnica de um quadrado verde.</t>
  </si>
  <si>
    <t>i1138_2s2p007_m25_e010</t>
  </si>
  <si>
    <t>ilustração de prendedores de roupa com itens na ponta conforme descrição abaixo. Dividir em A, B, C e D</t>
  </si>
  <si>
    <t>i1139_2s2p007_m25_e010</t>
  </si>
  <si>
    <t>Resgatar i0918bx_4s1p007_m25_e010_ly e fazer os ajustes indicados.
Ajustes: Recortar excluindo essas duas cabeças que estão em primeiro plano e deixando o tamanho da ilustração mais adequado ao espaço que vai ocupar na página. Seguir a marcação em vermelho, porém fazer um corte orgânico.</t>
  </si>
  <si>
    <t>i0502_0p007_m25_e010</t>
  </si>
  <si>
    <t>Ilustração de um móbile de cabide, como o da imagem ao lado. A ideia é retratar um cabide com fitas de cetim coloridas de diferentes tamanhos (umas maiores e outras menores) e na ponta de cada fita estará a fotografia de diferentes familiares.</t>
  </si>
  <si>
    <t>R: 10/09  F: 12/09</t>
  </si>
  <si>
    <t>if0528_0p007_m25_e010</t>
  </si>
  <si>
    <t>Arte, por favor, ilustrar ao lado do texto as estações interativas conforme referência criada por IA a seguir. Para as imagens de cada semana, por favor, utilizar as mesmas imagens que aparecem no miolo.</t>
  </si>
  <si>
    <t>i6206_4s2p007_m25_e010</t>
  </si>
  <si>
    <t xml:space="preserve">Resgatar ilustração do Bons Amigos i1802ds_1p5sn_g22_ftd de uma balança feita com um cabide de roupas. </t>
  </si>
  <si>
    <t>ds</t>
  </si>
  <si>
    <t>i1514_3s2p007_m25_e010</t>
  </si>
  <si>
    <t xml:space="preserve">Ilustrar cena de caixa de papelão com a abertura dela sendo vista de frente nesta cena.
A caixa deve ter formato retangular ou quadrado, ser grande e dentro dela deve ser possível visualizar com muita clareza os seguintes elementos: chumaço de algodão, tecido, pedrinhas, argila, massa de modelar, escova de dente, escova de cabelo, lixa de unha, esponja de banho, pompom.
Na cena deve ser possível observar dois furos ao fundo da caixa com diâmetro que seja possível passar mãos e braços de crianças pequenas. 
Ilustrar dentro da caixa mãos e braços de criança segurando um dos materiais citados, manipulando-o como se estivesse tentando adivinhar o que é com suas mãos. Não precisa aparecer meio corpo da criança, mas é preciso avaliar como fica a imagem para não ficar estranha e se achar que fica melhor, compor criança (busto) ao fundo.
 Ver imagem de referência de como a cena precisa ser apresentada na página (posição, elementos etc.). Verificar composição da cena, se é interessante compor com corte orgânico. Manter graciosidade na página.
</t>
  </si>
  <si>
    <t>jx</t>
  </si>
  <si>
    <t>R:09/09 F:11/09</t>
  </si>
  <si>
    <t>if1515_3s2p007_m25_e010</t>
  </si>
  <si>
    <t>Ilustrar o fundo atrás das fotos como uma cartela de bingo e compor as imagens abaixo</t>
  </si>
  <si>
    <t>i1516_3s2p007_m25_e010</t>
  </si>
  <si>
    <t>Ilustração de instrumentos musicais de materiais recicláveis conforme referência abaixo. Dividir em A, B, C e D</t>
  </si>
  <si>
    <t>i1528_3s2p007_m25_e010</t>
  </si>
  <si>
    <t>Ilustração passo a passo. Dividir em A, B e C</t>
  </si>
  <si>
    <t>i1529_3s2p007_m25_e010</t>
  </si>
  <si>
    <t xml:space="preserve">Ilustração de um gramado verde e lindo, com flores, algumas borboletas e passarinhos em meio a ele. Também deve ter uma cerca de madeira e no fundo uma galinha, em fio contorno. 
A galinha deve aparecer em tamanho grande na cena. 
A cerca deve ocupar toda a largura da página e ser o foco da ilustração, pois as crianças irão pintar seguindo uma sequência. Os 4 primeiros palitos devem estar pintados nas cores: azul, alaranjado, verde e azul novamente.
Ver referências para a ilustração da galinha e da cerc, porém lembrar que deve ser em fio contorno e apenas os primeiros palitos devem estar pintados.
</t>
  </si>
  <si>
    <t>m2362_4s2p007_m25_e010</t>
  </si>
  <si>
    <t>MAPA</t>
  </si>
  <si>
    <t>Mapa mundi com alguns países;continentes em destaque.</t>
  </si>
  <si>
    <t>ed</t>
  </si>
  <si>
    <t>i6143_5s2p007_m25_e010</t>
  </si>
  <si>
    <t>Mc</t>
  </si>
  <si>
    <t>ilustração de imagem na horizontal, semelhante a esta:  https://http2.mlstatic.com/D_NQ_NP_727183-MLB70756057262_072023-O.webp. Ver com Tamires</t>
  </si>
  <si>
    <t>i0131_2s1p007_m25_e010</t>
  </si>
  <si>
    <t>Ilustração de mãos de criança conforme referência abaixo. Dividir em A, B, C ... Varias os tons de pele</t>
  </si>
  <si>
    <t>if0119_2s1p007_m25_e010</t>
  </si>
  <si>
    <t>Ilustração de manchas de tinta em volta de foto.</t>
  </si>
  <si>
    <t>i0357_2s1p007_m25_e010</t>
  </si>
  <si>
    <t>Ilustração bem simples de um menino branco e de uma menina negra conversando em um ambiente aberto. Acima da menina deve aparecer uma espécie de nuvem com uma imagem de praia e acima do menino a mesma nuvem com uma imagem de jardim. Usar como referência a imagem do print, porém não deve aparecer a escola ao fundo e as crianças não devem estar usando uniforme nem mochila.</t>
  </si>
  <si>
    <t>ly</t>
  </si>
  <si>
    <t>R: 08/09 F:10/09</t>
  </si>
  <si>
    <t>i0512_3s1p007_m25_e010</t>
  </si>
  <si>
    <t>Ilustração em fio contorno de uma garrafinha de água individual e uma lanterna convencional</t>
  </si>
  <si>
    <t>i6122_3s1p007_m25_e010</t>
  </si>
  <si>
    <t>ilustração de silhueta de pássaro alaranjado, nuvem branca, estrela cinza e sol amarelo. A il, deve ter relação com a i0503 e a i6105. Precisa ter tamanho que caiba na circunferência de um rolo de papel higiênico. Dividir em A, B. C e D</t>
  </si>
  <si>
    <t>i6210_3s1p007_m25_e010</t>
  </si>
  <si>
    <t>Ilustrar exemplo de molde de carrinho pendurado no pescoço de criança. Não precisa ser de corpo inteiro, só representar do torso para cima. Ilustrar apenas um carrinho, o que está em seu pescoço. Não ilustrar o adereço de cabeça. Ver referência</t>
  </si>
  <si>
    <t>i0714_0p007_m25_e010</t>
  </si>
  <si>
    <t>Ilustração de bolas de plástico, estilo bolas de piscina de bolinhas, coladas na parede de preferência com fita crepe. Ilustrar uma bebê parda por perto mexendo nelas. As bolas devem estar coladas próximo ao solo, na altura dos bebês.</t>
  </si>
  <si>
    <t>R: 22/09 ; F: 24/09</t>
  </si>
  <si>
    <t>i0716_0p007_m25_e010</t>
  </si>
  <si>
    <t xml:space="preserve">Ilustração de sala de aula com um mural com a letra da cantiga. </t>
  </si>
  <si>
    <t>i0156_3s1p007_m25_e010</t>
  </si>
  <si>
    <t>resgatar ilustração 
i6101B_2s1p007_m25_e010 de emoji sorrindo</t>
  </si>
  <si>
    <t>i0157_3s1p007_m25_e010</t>
  </si>
  <si>
    <t>resgatar ilustração i6101A_2s1p007_m25_e010 de emoji triste</t>
  </si>
  <si>
    <t>i0158_3s1p007_m25_e010</t>
  </si>
  <si>
    <t>resgatar ilustração do medo e ajustar  i6101D_2s1p007_m25_e010</t>
  </si>
  <si>
    <t>i0159_3s1p007_m25_e010</t>
  </si>
  <si>
    <t>resgatar ilustração alegre e ajustar i6101B_2s1p007_m25_e010 deixando emoji bravo</t>
  </si>
  <si>
    <t>Tamires Azevedo</t>
  </si>
  <si>
    <t>AJUSTE ARTE</t>
  </si>
  <si>
    <t>i1142_2s2p007_m25_e010</t>
  </si>
  <si>
    <t>ilustração, vista de frente, de um jardim na parede com 9 vasos quadrados (sendo quadrados bem definidos) de suculentas. os vasos devem estar organizados em 3 fileiras na vertical e 3 na horizontal. os vasos devem ser brancos, em um tamanho bom para serem enfeitados por crianças.</t>
  </si>
  <si>
    <t>i0168_0p007_m25_e010</t>
  </si>
  <si>
    <t>Ilustração de um mural, incluindo as seguintes ilustrações da vivência:
 Usar recortes como se fossem fotos das ilus: 
i0160Bez_0p007_m25_e010
i0149ez_0p007_m25_e010
i0145ez_0p007_m25_e010
i0140ko_0p007_m25_e010
Colocar no Mural o título O QUE FIZEMOS E DESCOBRIMOS DURANTE ESTA VIVÊNCIA
O fundo do mural deve parecer um papel kraft</t>
  </si>
  <si>
    <t>Gabriella Imai</t>
  </si>
  <si>
    <t>Ezequiel Silva/Karina Oliveira</t>
  </si>
  <si>
    <t>i6205_2s2p007_m25_e010</t>
  </si>
  <si>
    <t>Ilustrar um painel do tempo em formato circular. O círculo deve ser dividido em Sol, nublado (Sol + nuvem), chuva fraca (nuvem com gostas) e temporal (nuvem com raio/ trovão). Sobre o círculo, ilustrar uma seta giratória com a frase “HOJE ESTÁ”. Deixar a ilustração texturizada, de modo que pareça ser de tecido de feltro. Ver referência:</t>
  </si>
  <si>
    <t>i0910_0p007_m25_e010</t>
  </si>
  <si>
    <t>Arte, ilustrar uma cobra com tubos de papel higiênico, semelhante à imagem de referência. Os tubos devem ser coloridos e ter alguns papéis colados, “decorando-os”, fazer uma ilustração representando uma pintura feita por crianças bem pequenas, ou seja, nada muito elaborado nem perfeito. Deixar claro que por dentro dos tubos passa uma fita vermelha larga.</t>
  </si>
  <si>
    <t>ESTÁ OK APENAS PARA FECHAMENTO</t>
  </si>
  <si>
    <t>i0914_0p007_m25_e010</t>
  </si>
  <si>
    <t>Arte ilustrar em uma sala de referência tecidos azuis suspensos – não muito alto – com peixinhos de papelão, de cores e tamanhos diferentes pendurados nesse tecido. Seguem duas fotografias como referência e uma ilustração que gerei por IA (e é quase isso! A alternativa de deixar uns pedaços de tecido caídos acho que ficou legal.)</t>
  </si>
  <si>
    <t>i0928_0p007_m25_e010</t>
  </si>
  <si>
    <t>Arte, ilustrar uma caixa de sapato com a imagem de um coelho colada na tampa. A boca do coelho deve ser vazada/recortada, como se estivesse furada, conforme exemplo visual. Ilustrar um animal real, sem estereótipos.</t>
  </si>
  <si>
    <t>i0932_0p007_m25_e010</t>
  </si>
  <si>
    <t>Arte, compor 3 ilustrações. Passo a passo. Dividir em A, B, e C</t>
  </si>
  <si>
    <t>i0935_0p007_m25_e010</t>
  </si>
  <si>
    <t>Arte, ilustrar um circuito motor para bebês com obstáculos, em uma área externa da escola. A ideia, é da primeira imagem, mas com outros elementos: arcos, almofadas, túneis com caixas de papelão ou colchonetes, caminho com almofadas, caminho com colchonetes. No túnel com caixas de papelão, colocar uma placa com o desenho de um cachorro. No caminho feito com arcos e colchonetes, colocar uma placa com desenho de cobra. No caminho com almofadas, colocar uma placa com desenho de gato. Ilustrar três bebês (um menino negro, uma menina parda e uma menina asiática de aproximadamente 10 meses. Junto deles ilustrar uma professora negra.</t>
  </si>
  <si>
    <t>i0941_0p007_m25_e010</t>
  </si>
  <si>
    <t>Arte, ilustrar o passo a passo de produção do dedoche de acordo com a imagem a seguir.
Ilustrar as duas bases do dedoche. Ilustrar as bases sendo coladas. Ilustrar o rosto do animal sendo desenhado em papel colorido. Por fim, ilustrar o dedoche pronto. Fazer dois dedoches prontos: um de vaca e um de pato. Dividir em A, B, C e D.</t>
  </si>
  <si>
    <t>i1103_0p007_m25_e010</t>
  </si>
  <si>
    <t>Arte, por favor, ilustrar cinco garrafas de PET de 200 mL furadinhas e cheias de maços de ervas perfumadas (lavanda, alecrim, manjericão, hortelã e eucalipto), sendo cada erva dentro de uma garrafa. As garrafas podem estar enfileiras e, na frente de cada uma delas, ilustrar um maço de cada planta alinhada à respectiva garrafa de PET. Ver imagens de referência:</t>
  </si>
  <si>
    <t>R: 30/09 ; F: 03/10</t>
  </si>
  <si>
    <t>i1104_0p007_m25_e010</t>
  </si>
  <si>
    <t>Arte, por favor, ilustrar cena em tamanho mediano ou um pouco maior. Deve haver um grupo de bebês sentadas em tapete emborrachado com várias garrafas de PET, iguais às ilustradas na cena anterior (i1103). Deve aparecer uma criança segurando a garrafa e olhando de maneira curiosa para o que tem dentro dela; outra criança deve estar segurando uma das garrafinhas próximas ao nariz, cheirando o que tem dentro dela. Deve aparecer também uma professora. Na composição da cena, dar ênfase à criança que está cheirando a garrafinha.
Ver sugestões de disposição na sala de aula.</t>
  </si>
  <si>
    <t>i1111_0p007_m25_e010</t>
  </si>
  <si>
    <t>Ilustração de duas cenas. Dividir em A e B conforme referência abaixo.</t>
  </si>
  <si>
    <t>i1113_0p007_m25_e010</t>
  </si>
  <si>
    <t>Ilustração passo a passo. Dividir em A, B e C conforme referência abaixo.</t>
  </si>
  <si>
    <t>i1114_0p007_m25_e010</t>
  </si>
  <si>
    <t xml:space="preserve">Arte, favor ilustrar uma cena com três bebês na faixa etária até 11 meses e duas professoras dentro de sala de referência pintando flores (de diferentes tipos e tamanhos) em papel kraft estendido sobre o chão, colocado sobre o tatame emborrachado.
Algumas flores devem aparecer já com seus interiores coloridos, como se os bebês já tivessem pintado. É importante que a pintura não seja perfeita, ou seja, que represente a pintura de um bebê. Ainda sobre o papel kraft, deve aparecer tintas, de diferentes cores, em pratos rasos de plástico, pincéis e gizes de cera (grossos), também de diferentes cores. Alguns bebês devem aparecer segurando pincéis e outros, os gizes. Ver sugestões de imagem: </t>
  </si>
  <si>
    <t>R: 30/09 ; F: 04/10</t>
  </si>
  <si>
    <t>i1116_0p007_m25_e010</t>
  </si>
  <si>
    <t>Arte, favor ilustrar a mão de uma professora finalizando o desenho do contorno de uma árvore em papel kraft. Além da árvore, deve aparecer na ilustração a base/chão do desenho, como grama ou terra. A ilustração pode ter tamanho médio, mas de maneira que a árvore fique visível.</t>
  </si>
  <si>
    <t>i1117_0p007_m25_e010</t>
  </si>
  <si>
    <t>Arte, por favor, ilustra professora (a mesma da i1116)  e 4 bebês (uma menina parda, um menina preto, uma menina asiática e um menino branco) dentro da sala de referência amassando folhas de revistas. Todos devem estar sentados sobre o tapete emborrachado. A professora deve estar com uma bolinha de papel da mão e algumas crianças também. Outras deve aparecer tentando manusear as folhas. Se possível, contemplar na cena o papel kraft com o contorno da árvore (i1116) já com algumas bolas de papel coladas nela.
Ver sugestões de imagens:</t>
  </si>
  <si>
    <t>i1118_0p007_m25_e010</t>
  </si>
  <si>
    <t>Arte, compor uma grande ilustração de quatro crianças bem pequenas (menina preta, menino pardo, menina branca e menino pardo) e professora apresentando uma dança.
Todas as crianças (e até a professora) devem aparecer uniformizadas e realizando o mesmo movimento, deixando claro que se trata de uma coreografia simples. A professora e as crianças podem aparecer levemente agachadas com os braços estendidos para o chão como se estivessem representando o verso da canção “E A GRAMA FOI CRESCENDO POR TODOS OS LADOS, SEM PARAR”.
Ao redor desta cena, compor algumas notas musicais para dar a ideia de apresentação de canção.</t>
  </si>
  <si>
    <t>i1301_0p007_m25_e010</t>
  </si>
  <si>
    <t>Ilustração de duas cenas conforme referência abaixo. Dividir em A e B</t>
  </si>
  <si>
    <t>i1518_0p007_m25_e010</t>
  </si>
  <si>
    <t>Arte, por favor, compor a ilustração de uma caixa de papelão com tampa de cor vermelha. Na lateral da caixa, inserir a figura de uma joaninha, conforme referência. Favor inserir imagem ao lado do parágrafo anterior.</t>
  </si>
  <si>
    <t>i1524_0p007_m25_e010</t>
  </si>
  <si>
    <t>Arte, por favor, ilustrar um canteiro de flores de papelão conforme o modelo. As flores devem ser feitas de pratinhos de papelão com caule de palito de sorvete colorido e devem parecer que foram pintadas por bebês (sem pintar a flor toda, pintura não uniforme e sem se preocupar com a “estética”). Ilustrar cada flor com diferentes cores vivas. Todas as flores devem estar “plantadas” em um caixote de madeira cheio de terra.</t>
  </si>
  <si>
    <t>i1529_0p007_m25_e010</t>
  </si>
  <si>
    <t>Arte, favor ilustrar um mural com o título “Tesouros do nosso jardim”. No chão deste mural e ao redor dele (com mobiles), inserir elementos da natureza (folhas, flores, pedrinhas e gravetos) que remetam às explorações sensoriais vivenciadas pelos bebês. Inserir a caixa sensorial conforme imagem shutter 1556625572. O ambiente onde o mural será exposto deve ser acolhedor, com cores claras em tons pastéis.</t>
  </si>
  <si>
    <t>i0943_3s2p007_m25_e010</t>
  </si>
  <si>
    <t>Inserir uma if
A imagem de um mockup da capa de um livro, com a ilustração do nome do livro "quem está chegando? - não podemos copiar/recortar o título do livro. Ver referência de como vai ficar a página no print.
Para o mockup - escolhida:
https://www.shutterstock.com/pt/image-vector/mock-book-cover-on-white-background-642809509</t>
  </si>
  <si>
    <t>if0944_3s2p007_m25_e010</t>
  </si>
  <si>
    <t>Ilustração com foto, ilustrar um card com as informações e a imagem. Ver referência.</t>
  </si>
  <si>
    <t xml:space="preserve">if0945_3s2p007_m25_e010 </t>
  </si>
  <si>
    <t>if0946_3s2p007_m25_e010</t>
  </si>
  <si>
    <t>if0947_3s2p007_m25_e010</t>
  </si>
  <si>
    <t>i0948_3s2p007_m25_e010</t>
  </si>
  <si>
    <t>esgate e ajuste da il
i1443se_1cbsn_g22_ftd
Ajustar a ilustração, deixar sem o contorno do avental, apenas o sítio (seu lobato e animais). Se necessário completar o fundo da imagem preencher a página.</t>
  </si>
  <si>
    <t>se</t>
  </si>
  <si>
    <t>i1327_3s2p007_m25_e010</t>
  </si>
  <si>
    <t>Ilustração de um quadro, na vertical,
para a criança de 3 anos colar adesivos para preencher as seguintes
informações:
HOJE É (deixar espaço – retangular - para a criança colar um adesivo do dia
da semana)
O DIA ESTÁ (deixar espaço para a criança colar um adesivo
com símbolo do tempo)
HOJE EU ESTOU (deixar espaço para a criança colar um adesivo
representando o sentimento)
Os adesivos estão indicados na i6113 e devem encaixar nos espaços destinados na
ilustração</t>
  </si>
  <si>
    <t>i6113_3s2p007_m25_e010</t>
  </si>
  <si>
    <t>Ilustração de adesivos para serem inseridas na ilustração i1327 da vivência 7:
- Os dias da semana
- Símbolos: sol, sol entre nuvens, nublado e chuva
- Emojis: feliz, triste. chorando, doente, assustado, dando risada.
Dividir a ilustração em A, B C...</t>
  </si>
  <si>
    <t>i0118_1p007_m25_e010</t>
  </si>
  <si>
    <t>Arte, ilustrar duas crianças de aproximadamente um ano e meio de costas olhando um varal afixado na parede da sala de aula da educação. O varal deve ter fichas feitas de papel cartão colorido e pendurados por pregadores de roupa. Cada ficha deve ter o rostinho de um bebê de aproximadamente 1 ano e o nome dele escrito em letra maiúscula. (podemos ter o rostinho de um menino japonês (JOÃO), uma menina morena clara (BRUNA), um menino ruivo (CARLOS) no varal.
O varal deve estar na altura do rosto das crianças. Ao lado deles, sentada, colocar uma professora de aproximadamente 45 anos, de jaleco, observando as crianças. Atenção, usar a foto de referência como exemplo, mas deixar a cor da parede e do tapete do chão mais claros.</t>
  </si>
  <si>
    <t>TX</t>
  </si>
  <si>
    <t>R:30/09 F:06/10</t>
  </si>
  <si>
    <t>if0120_1p007_m25_e010</t>
  </si>
  <si>
    <t>ilustrar um papel kraft contendo umas janelinhas feitas de papel colorido, como se fossem papel sulfite. Quatro janelinhas podem estar abertas e outras duas fechadas, conforme referência a seguir. Inserir na ilustração, dentro das janelinhas abertas a foto de rosto de bebês, de aproximadamente 1 ano</t>
  </si>
  <si>
    <t>R:29/09 F:01/10</t>
  </si>
  <si>
    <t>i0121_1p007_m25_e010</t>
  </si>
  <si>
    <t>Arte: ilustrar uma sala de referência com um varal com fitas coloridas de diversas texturas e cores penduradas. Nas pontas das fitas, ilustrar fotografias de bebês penduradas. Colocar dois bebês na cena, um menino com traços indígenas e uma menina morena clara. O menino está tocando uma fotografia com uma de suas mãos e a menina deve estar olhando e apontando para a outra fotografia de um amiguinho. Sentada ao lado das crianças, ilustrar uma professora negra, de cabelo bem ondulado, vestindo jaleco e observando as crianças. A garotinha deve ter algumas manchinhas na pele pra indicar que têm vitiligo. Atenção, ilustrar as crianças com roupinhas, com camisetinha e bermudinha, roupas confortáveis para bebês.</t>
  </si>
  <si>
    <t>R:30/09 F:02/10</t>
  </si>
  <si>
    <t>i0122_1p007_m25_e010</t>
  </si>
  <si>
    <t>Arte: ilustrar a cena de um bebê sentado sobre o tapete emborrachado da sala de educação infantil e ao lado dele a professora, uma mulher de aproximadamente 50 anos, meio grisalha, vestindo jaleco. Ela está apontando para uma garrafa PET que está meio distante dela e do bebê. Na frente da garrafa deve ter colada uma fotografia do rostinho de outro bebê, uma menina loira, de cabelo encaracolado, que deve estar bem visível para quem está observando.  O bebê está com os bracinhos virados na direção da foto fixada na garrafa, como se estivesse interessado em pegá-la.</t>
  </si>
  <si>
    <t>i0133_1p007_m25_e010</t>
  </si>
  <si>
    <t>Arte, ilustrar em uma folha de papel branco a mão de um bebê pintada a tinta e aberta conforme o exemplo abaixo, mostrando o formato de uma borboleta.</t>
  </si>
  <si>
    <t>i0136_1p007_m25_e010</t>
  </si>
  <si>
    <t>Ilustrar um mural na sala de referência. Neste mural deverá estar afixado folhas brancas com contornos feitos com giz de cera das mãos de pessoas da mesma família. Por exemplo, de uma família pode ter o contorno das mãos de dois adultos e de uma criança. Uma outra folha pode a mão de um adulto e uma criança. Na outra folha, a mão de dois adultos e duas crianças.
 Delimitar cada folha com um contorno colorido e em cada uma delas ilustrar uma etiqueta com um nome (que não precisa ser identificável) escrito como se fosse cobrinhas. Ilustrar uma professora fixando a última folha no mural e dois bebês, um japonês e um ruivo próximos dela.
Nesta ilustração criada por IA, dá para ter uma ideia, no entanto, as folhas devem ter impressões de várias mãos e estarem posicionadas de modo que os bebês tenham acesso a elas.</t>
  </si>
  <si>
    <t>if0137_1p007_m25_e010</t>
  </si>
  <si>
    <t xml:space="preserve">ilustração com foto de um mural que contenha os rostinhos com as fotografias dos bebês e as mãos deles carimbadas juntas, como se formassem uma borboleta que fizeram na aula. A ideia é montar um mural conforme referência a seguir:
O mural deve ser visto de frente, como se estivesse exposto na parede em um local da escola. Colocar a foto de uma criança e, logo ao lado dela, a imagem das mãos abertas do bebê, feitas de tinta colorida, com o objetivo de imitar a imagem da borboletinha. Abaixo da imagem das mãos, colocar os nomes das crianças. Ao lado da foto 1, colocar o nome MIGUEL. Ao lado da foto 2, colocar o nome SARA, ao lado da foto 3, colocar o nome PEDRO e ao lado da foto 4, o nome CLARA. Atenção, todos os nomes devem ser em letra bastão, letra maiúscula.
</t>
  </si>
  <si>
    <t>i1534_3s2p007_m25_e010</t>
  </si>
  <si>
    <t>Resgatar a if1515sl_3s2p007_m25_e010_ly e fazer os ajustes necessários.</t>
  </si>
  <si>
    <t>i1535_3s2p007_m25_e010</t>
  </si>
  <si>
    <t>Resgatar i1000th_1p5sn_g22_ftd do BONS AMIGOS e fazer os ajustes indicados.</t>
  </si>
  <si>
    <t>i6131_3s2p007_m25_e010</t>
  </si>
  <si>
    <t>Arte: Fazer uma base em forma de círculo, dividida no meio: em uma parte representar o céu durante o dia – céu azul e Sol e poucas nuvens; na outra metade representar o céu à noite, escuro com algumas estrelas e a Lua; Lua e Sol não devem ter rostos, ou seja, não podem ser antropomorfizados. 
Fazer outro círculo, em branco, com apenas uma parte do círculo vazada, conforme referência, formando uma janela. As duas partes serão encaixadas, e fixadas no meio, uma por cima da outra, de forma que a criança consiga girar e fazer aparecer ora a ilustração do dia, ora a da noite. 
Dividir em A e B</t>
  </si>
  <si>
    <t>i0510_1p007_m25_e010</t>
  </si>
  <si>
    <t xml:space="preserve">Inserir ilustração de uma garrafa de PET de 500 ml preenchida até a metade com pedrinhas coloridas. A garrafa deve estar fechada com a tampa e fita adesiva colorida. Envolvendo a base da garrafa, ilustrar uma fotografia de família com bebê, dando a ideia de que por cima dela passa um adesivo transparente. </t>
  </si>
  <si>
    <t>R: 01/10 ; F: 03/10</t>
  </si>
  <si>
    <t>i0518_1p007_m25_e010</t>
  </si>
  <si>
    <t xml:space="preserve">Inserir ilustração de um cesto com alguns objetos como escova, colher de pau, livro de capa dura, almofada pequena, chocalho, esponja limpa, argolas, molhos de chaves de plástico, coador de plástico, formas de silicone etc. </t>
  </si>
  <si>
    <t>i0529_1p007_m25_e010</t>
  </si>
  <si>
    <t>Inserir ilustração: um cavalinho de pau feito de garrafa de PET, conforme o exemplo. Deixar claro que os olhos, as orelhas e as narinas do cavalo são feitos de papel, e a boca e a crina de lã.</t>
  </si>
  <si>
    <t>i0530_1p007_m25_e010</t>
  </si>
  <si>
    <t>Inserir ilustração de bebê menino pardo de 1 anos andando/brincando de cavalinho de paú feito com as seguintes características: um cavalinho de pau feito de garrafa de PET, conforme o exemplo. Deixar claro que os olhos, as orelhas e as narinas do cavalo são feitos de papel, e a boca e a crina de lã.
Seguir o modelo que será feito para ilustração (i0529)</t>
  </si>
  <si>
    <t>i0534_1p007_m25_e010</t>
  </si>
  <si>
    <t>Arte, resgatar i1429th_1cbsn_g22_ftd ilustração da p. 79 do “Bons amigos”, vol. 1.
AJUSTE: excluir a cola: BONS-AMIGOS_CRECHEI-VOL1-MANUAL-001-128-PNLD2022</t>
  </si>
  <si>
    <t>i0539_1p007_m25_e010</t>
  </si>
  <si>
    <t xml:space="preserve">Inserir ilustração de um mural com o título “MINHA FAMÍLIA É ASSIM” em uma parede da escola na qual sejam expostas fotografias dos familiares em molduras coloridas em formato de casa. Ao redor das fotografias, inserir dois papéis com as frases: “João apontou e sorriu quando viu a fotografia da mãe”. “Marina apontou para fotografia da família” Ilustrar molduras coloridas com fotografias em diferentes tamanhos e posições. Ilustrar dentro das molduras diferentes composições familiares, sendo família com pai, mãe em cadeira de rodas e bebê negros; família composta apenas por mãe e avó e bebê asiáticos; família de bebê com dois pais um ruivo e um negro. </t>
  </si>
  <si>
    <t>i6203_3s2p007_m25_e010</t>
  </si>
  <si>
    <t>Ilustrar modelo de molde conforme referência</t>
  </si>
  <si>
    <t>i6205_3s2p007_m25_e010</t>
  </si>
  <si>
    <t>Ilustrar uma única imagem: a cabeça de um elefante, desenhada com caneta hidrográfica preta em um papel kraft. A tromba será uma fita de cetim, longa e larga,e deve aparecer as mãos de uma criança segurando a fita e passando por dentro de um rolinho de papel higiênico (cortado ao meio). Veja a seguir algumas referências para ilustração:</t>
  </si>
  <si>
    <t>R: 29/09 F: 29/09 ESTA OK APENAS PARA FECHAMENTO</t>
  </si>
  <si>
    <t>i6206_3s2p007_m25_e010</t>
  </si>
  <si>
    <t>Ilustrar um palhaço e um gato com peças de blocos lógicos conforme a referência abaixo. Dividir em A e B</t>
  </si>
  <si>
    <t>i6211_3s2p007_m25_e010</t>
  </si>
  <si>
    <t>Resgatar ilustração que foi excluída do miolo i1125bv_3s2p007_m25_e010_ly</t>
  </si>
  <si>
    <t>i0704_1p007_m25_e010</t>
  </si>
  <si>
    <t>Arte: ilustrar uma garrafa plástica com ranhuras. Envolver a boca da garrafa – que deve estar sem tampa – com fita adesiva. Ao lado, ilustrar uma baqueta feita com colher de pau. Exemplo em https://professoraraquel.wordpress.com/2016/08/10/construindo-um-reco-reco/.</t>
  </si>
  <si>
    <t>R: 30/09  F: 02/10</t>
  </si>
  <si>
    <t>i0722_1p007_m25_e010</t>
  </si>
  <si>
    <t>Arte, por favor, ilustrar uma árvore de papel (marrom para o tronco e verde para a copa) que pareça estar colada na parede da sala. Na copa da árvore deve aparecer alguns velcros colados. Além disso, ilustrar um bebê negro afro em pé tentando colar uma bolinha em um dos velcros. Ver referências:</t>
  </si>
  <si>
    <t>i0915_1p007_m25_e010</t>
  </si>
  <si>
    <t>Arte: reaproveitar ilustração da página 91 do Bons Amigos (BONS-AMIGOS_CRECHEI-VOL1-MANUAL-001-128-PNLD2022). i1444se_1cbsn_g22_ftd</t>
  </si>
  <si>
    <t>i0919_1p007_m25_e010</t>
  </si>
  <si>
    <t xml:space="preserve">ilustrar um prato de papelão pintado de tinta guache azul. Deixar a pintura imperfeita de modo que pareça ter sido feita por uma criança pequena. No centro do prato, inserir a imagem de um animal marinho, como um tubarão ou tartaruga. Exemplo: ilustração produzida por IA. </t>
  </si>
  <si>
    <t>i0923_1p007_m25_e010</t>
  </si>
  <si>
    <t xml:space="preserve"> ilustrar, de acordo com a referência, um tabuleiro composto por 14 tampas de lenço umedecido – todas da mesma cor. A ideia é a de um painel no qual os bebês tenham de abrir as tampas para encontrar pares de animais – macho e fêmea correspondentes. Ilustrar algumas tampas abertas e outras fechadas. Nas tampas abertas, ilustrar os seguintes animais: vaca e boi; cavalo e égua.</t>
  </si>
  <si>
    <t>i0928_1p007_m25_e010</t>
  </si>
  <si>
    <t>Arte: Reaproveitar ilustração da p. 95 do “Bons amigos”. (BONS-AMIGOS_CRECHEI-VOL1-MANUAL-001-128-PNLD2022) i1448se_1cbsn_g22_ftd</t>
  </si>
  <si>
    <t>i0940_1p007_m25_e010</t>
  </si>
  <si>
    <t>Arte: ilustrar um painel em um corredor de escola cujo fundo seja uma fazenda. Não fazer tão norte americana como na referência, compor uma casa, um gramado, algumas árvores, uma cerca e uma horta, por exemplo. A parte da grama precisa ser grande e nessa parte, inserir como se fossem folhas A4 com desenhos de animais simples (podem ser uma vaca, uma galinha, um porco e um pato) em fio contorne pintados por bebês, a pintura sem muita definição, ver referência. Também ilustrar mais 2 desenhos desses, porém sem pintar ainda, um A4 com um cavalo e um com uma ovelha.
Próximo desses A4 sem pintar, ilustrar 1 adulto homem, acima do peso, negro e 1 criança menina negra bem pequena sentados no chão, pintando juntos um desses animais.  O outro A4 estará sendo pintado por uma mãe, acima do peso, morena clara, e seu filho pardo.
Ver referência gerada por IA.</t>
  </si>
  <si>
    <t>i1106_1p007_m25_e010</t>
  </si>
  <si>
    <t>ilustração de um percurso no chão feito com folhas secas, formando um "tapete natural</t>
  </si>
  <si>
    <t>R: 03/10 ; F: 07/10</t>
  </si>
  <si>
    <t>i1113_1p007_m25_e010</t>
  </si>
  <si>
    <t xml:space="preserve"> ilustração de um mural feito pelas crianças com frutas
Imagem gerada por IA.
Ajuste: excluir o símbolo do gemini</t>
  </si>
  <si>
    <t>i1129_1p007_m25_e010</t>
  </si>
  <si>
    <t>favor ilustrar aqui um mural de flores com base no mural NOSSO JARDIM 
Escrever NOSSO JARDIM no topo do cartaz, e na parte de baixo inserir 5 flores iguais com papéis colados. A base das flores deve ser igual, porém os papéis devem estar colados de formas diferentes, representando ter sido feito por crianças diferentes. Ver referências</t>
  </si>
  <si>
    <t>i6228_2p007_m25_e010</t>
  </si>
  <si>
    <t>MP-G</t>
  </si>
  <si>
    <t>MPG</t>
  </si>
  <si>
    <t>Inserir a ilustração de da cantiga.
Sugestão: Resgate do 4 anos: i1352_4s2p007_m25_e010
(pode ser um recorte do Mestre André)</t>
  </si>
  <si>
    <t>i6229_2p007_m25_e010</t>
  </si>
  <si>
    <t xml:space="preserve">Inserir a ilustração de algumas borboletas ao lado da cantiga.
Sugestão: Recorte de Resgate dos Bons amigos: i1437dn_1p5sn_g22_ftd </t>
  </si>
  <si>
    <t>dn</t>
  </si>
  <si>
    <t>i6230_2p007_m25_e010</t>
  </si>
  <si>
    <t xml:space="preserve">Inserir a ilustração de um jacaré ao lado da cantiga.
Sugestão: Resgate dos Bons amigos: i1212wn_1p4sn_g22_ftd </t>
  </si>
  <si>
    <t>i6231_2p007_m25_e010</t>
  </si>
  <si>
    <t xml:space="preserve">Inserir a ilustração de um sapo ao lado da cantiga.
Sugestão: Resgate dos Bons amigos: i1512za_1p5sn_g22_ftd </t>
  </si>
  <si>
    <t>i6232_2p007_m25_e010</t>
  </si>
  <si>
    <t xml:space="preserve">Inserir a ilustração de um tatu ao lado do texto.
Sugestão: Resgate dos Bons amigos: i1513za_1p5sn_g22_ftd </t>
  </si>
  <si>
    <t>i1301_1p007_m25_e010</t>
  </si>
  <si>
    <t>Arte, ilustrar uma caixa de papelão com buracos na parte superior – um de cada lado – circulados por fita adesiva colorida. Usar uma cor – azul, vermelho e amarelo – para cada abertura. A caixa pode ser ilustrada na diagonal, conforme o exemplo abaixo para que seja possível ver os furos feitos, conforme indicado. Ao lado da caixa, ilustrar um recipiente de plástico transparente cheio de bolas azuis, vermelhas e amarelas. A imagem a seguir é apenas uma referência, pois nela os buracos estão todos no mesmo lado</t>
  </si>
  <si>
    <t>R: 06/10 ; F: 08/10</t>
  </si>
  <si>
    <t>i1311_1p007_m25_e010</t>
  </si>
  <si>
    <t>Arte, ilustrar painel sensorial de formas geométricas conforme modelo. Em vez de coração, estrelas e outras formas, manter apenas círculo, retângulo, triângulo e quadrado, três de cada e de tamanhos diferentes. Deixar claro na ilustração que os elementos do painel têm texturas diferentes (juta, esponja, tecido, pelúcia, feltro, plástico bolha, barbante). O fundo do painel pode ser meio marrom claro, conforme o exemplo, para mostrar que ele pode ser feito de papelão.</t>
  </si>
  <si>
    <t>i1313_1p007_m25_e010</t>
  </si>
  <si>
    <t>Ilustrar um par de binóculos feito de rolo de papel higiênico. Na extremidade do binóculo, na frente dele, colocar papel celofane colorido, pode ser na cor alaranjado. O papel precisa ser visível, pois o objetivo é mostrar que a criança vai ver o mundo na cor do papel. Os rolos de papel higiênico precisam estar presos por fita adesiva.</t>
  </si>
  <si>
    <t>i1315_1p007_m25_e010</t>
  </si>
  <si>
    <t>Arte, ilustrar centopeia colorida conforme exemplo, com rostinho feliz, antena e um par de perninhas abaixo de cada círculo. O fundo da imagem pode ser um papel kraf, mas numa cor mais clara, para ficar mais fácil para visualizar o desenho. Manter na ilustração apenas as cores azul, vermelho e amarelo – em sequência. Deixar alguns círculos em branco, para demonstrar que é o local em que as crianças vão colar os círculos com uma dessas cores.</t>
  </si>
  <si>
    <t>i1319_1p007_m25_e010</t>
  </si>
  <si>
    <t>Arte, ilustrar uma paisagem feita com formas geométricas simples (círculo, quadrado, retângulo e triângulo). Paisagem contendo uma casa feita com triângulo(teto) e quadrados (estrutura da casa e a porta. Árvore com o tronco feito de retângulo e a copa feita de círculo e um sol feito de um círculo amarelo. (Atenção, não precisa fazer na paisagem as nuvens, nem a pipa e nem o arbusto, somente uma casa, duas árvores e o sol.</t>
  </si>
  <si>
    <t>i1328_1p007_m25_e010</t>
  </si>
  <si>
    <t>Arte, ilustrar painel sensorial com formas geométricas – círculo, retângulo, triângulo e quadrado – de diversos tamanhos. Deixar claro na ilustração que o painel tem textura (o círculo pode ser feito de juta, o quadrado de esponja, o triângulo de tecido, entre outros materiais como feltro, plástico bolha, barbante). O painel deve estar em um espaço aberto da escola. Ao redor dele, ilustrar fotografias de mãos de crianças tocando esse painel. Ao lado dele, colocar uma mãe negra, segurando o seu bebê, também negro, no colo e apontando para o painel. Ela pode estar de costas para o leitor, pois o objetivo é mostrar que ela está apreciando o painel feito pela turma dele. A mãe e o bebê podem aparecer só de meio corpo.</t>
  </si>
  <si>
    <t>i1524_1p007_m25_e010</t>
  </si>
  <si>
    <t>ilustrações: 1. um quadro feito com moldura de palito de picolé, com fita adesiva larga de fundo e flores, folhas e gravetos fixados sobre. 2. A outra segue o mesmo contexto só que a moldura feita com tiras de papelão. Referência:</t>
  </si>
  <si>
    <t>R: 08/10 ; F: 10/10</t>
  </si>
  <si>
    <t>i1521_1p007_m25_e010</t>
  </si>
  <si>
    <t>Ilustrar duas minhocas feitas com tiras de caixa de ovos de papelão, a pintura deve estar parecendo ser feita por bebê de um ano, ou seja, não estará totalmente uniforme e pode ser uma de uma cor e outra com duas cores, não ter antena como no exemplo e os olhos e a boca dando a impressão de ser feita com caneta hidrocor grossa preta. Na ponta tem que ter um furo e um pedaço de barbante preso, pois a criança irá puxar o “bichinho”pelo cordão. Referência abaixo:</t>
  </si>
  <si>
    <t>i1325_0p007_m25_e010</t>
  </si>
  <si>
    <t>Inserir imagem de bebê encaixando uma bolinha em uma caixa de papelão. Resgate do Bons Amigos: i1471se_1cbsn_g22_ftd
Ajuste: fazer dois círculos de tamanhos diferentes (um precisa ser grande) no lugar do triângulo e do quadrado e fazer um tapete no lugar da sombra</t>
  </si>
  <si>
    <t>i0732_1p007_m25_e010</t>
  </si>
  <si>
    <t>Ilustração resgate da obra Bons Amigos (código original: i1447se_1cbsn_g22_ftd_ef)</t>
  </si>
  <si>
    <t>i0943_1p007_m25_e010</t>
  </si>
  <si>
    <t>Resgate de ilustração de um painel dos Bons amigos:  i0577ss_1ccsn_g22_ftd</t>
  </si>
  <si>
    <t>i6129_0p007_m25_e010</t>
  </si>
  <si>
    <t>parte geral</t>
  </si>
  <si>
    <t>Inserir ilustração de rastro (tracejado) de passarinho ao redor do espaço para fotografia, como se fosse uma moldura. Posicionar o passarinho próximo de onde está a pergunta. Se houver uma estruturinha de boxe, pousar o pássaro em cima dele. O pássaro deve ser pequeno, um filhote</t>
  </si>
  <si>
    <t>i6130_0p007_m25_e010</t>
  </si>
  <si>
    <t>PAG.ESPECIAL</t>
  </si>
  <si>
    <t>portifólio</t>
  </si>
  <si>
    <t>"Arte: inserir uma borda simples, delimitando o espaço para que os familiares possam escrever e/ou inserir uma imagem de recordação para o bebê</t>
  </si>
  <si>
    <t>Arte. Editado pelo Word</t>
  </si>
  <si>
    <t>i6131_0p007_m25_e010</t>
  </si>
  <si>
    <t>Inserir o mesmo tracejado do passarinho e o mesmo passarinho no verso. Deixar verso no canto superior da página</t>
  </si>
  <si>
    <t>i6132_0p007_m25_e010</t>
  </si>
  <si>
    <t xml:space="preserve">Ilustrar mesmo passarinho da página 7 em um ninho, junto com seus irmãos. A mamãe pássaro deve estar alimentando-os com minhocas. </t>
  </si>
  <si>
    <t>i6147_0p007_m25_e010</t>
  </si>
  <si>
    <t>Ilustrar um jardim com dois “talinhos” de flor, com espaço entre eles, para a professora carimbar a mãozinha do bebê quando ele chegou na creche e no final do 1º semestre.</t>
  </si>
  <si>
    <t>i6148_0p007_m25_e010</t>
  </si>
  <si>
    <t xml:space="preserve">Ilustrar fundo estrelado não muito escuro, utilizar tons em lilás e azul, que permitam um bom contraste com os textos. Incluir pequenos carneirinhos “passeando” página, alguns podem estar deitados dormindo.
</t>
  </si>
  <si>
    <t>i6157_0p007_m25_e010</t>
  </si>
  <si>
    <t>Inserir fundo de livro aberto em branco, que deve ocupar basicamente toda a página. De preferência foto. Referência: shutter 212607709
A ideia é que do lado esquerdo da página aberta, tenha um espaço para colar foto do bebê e do lado direito da página, um espaço para a professora registrar anotações e observações. No miolo, se possível, inserir um marca páginas coloridinho, com elementos que remetam à imaginação: cavalos, castelos, nuvens, arco-íris.</t>
  </si>
  <si>
    <t>i6158_0p007_m25_e010</t>
  </si>
  <si>
    <t>Inserir ilustração seguindo a ideia do volume 1 - Um jardim só com o gramado ou com aqueles degrauzinhos de pedras que formam caminhos....
Talvez a pedrinha possa ser fio contorno para carimbar o pé do bebê  dentro</t>
  </si>
  <si>
    <t>i6101_1p007_m25_e010</t>
  </si>
  <si>
    <t xml:space="preserve"> - Arte: inserir uma borda simples, delimitando o espaço para que os familiares possam escrever e/ou inserir uma imagem de recordação para o bebê
RESGATAR ilustração do berçário: i6130_0p007_m25_e010</t>
  </si>
  <si>
    <t>i6102_1p007_m25_e010</t>
  </si>
  <si>
    <t>Ilustração de bichinhos feitos com traços simples e carimbo de dedos infantis, como na referência. Incluir dois ou três exemplos, mas garantir espaço para que o bebê e a professora façam o seu próprio bichinho. Referência:</t>
  </si>
  <si>
    <t>i6103_1p007_m25_e010</t>
  </si>
  <si>
    <t xml:space="preserve">Inserir ilustração de rastro (tracejado) de passarinho ao redor do espaço para fotografia, como se fosse uma moldura. O pássaro deve ser o mesmo pardal filhote que foi inserido nos portfólios do berçário. Resgatar ilustração i6129_0p007_m25_e010 do berçário e ajustá-lo minimamente para que pareça um pouquinho maior do que estava lá, demonstrando que cresceu um pouco. </t>
  </si>
  <si>
    <t>i6104_1p007_m25_e010</t>
  </si>
  <si>
    <t xml:space="preserve">Inserir o mesmo tracejado do passarinho e o mesmo passarinho no verso. 
Deixar verso no canto superior da página
Resgatar a ilustração i6131_0p007_m25_e010 do berçário e ajusta-lo minimamente para que pareça um pouquinho maior do que estava lá, demonstrando que cresceu um pouco.
</t>
  </si>
  <si>
    <t>i6108_1p007_m25_e010</t>
  </si>
  <si>
    <t xml:space="preserve">Ilustrar fundo estrelado não muito escuro, utilizar tons em lilás e azul, que permitam um bom contraste com os textos. Incluir pequenos carneirinhos “passeando” página, alguns podem estar deitados dormindo.
Resgatar ilustração i6148_0p007_m25_e010 do berçário.
</t>
  </si>
  <si>
    <t>i6109_1p007_m25_e010</t>
  </si>
  <si>
    <t>Resgatar ilustração produzida no volume 1para esta página. Resgatar a ilustração i6132_0p007_m25_e010 do berçário.</t>
  </si>
  <si>
    <t xml:space="preserve">i6125_1p007_m25_e010 </t>
  </si>
  <si>
    <t>Inserir fundo de livro aberto em branco, que deve ocupar basicamente toda a página. Resgatar ilustração i6157_0p007_m25_e010 do berçário</t>
  </si>
  <si>
    <t>i6126_1p007_m25_e010</t>
  </si>
  <si>
    <t xml:space="preserve">Incluir moldura de tracejado simples, pode ser a mesma que já foi utilizada em outras páginas dos portfólios anteriores. A ideia é deixar um espaço bem grande livre para a criança desenhar. </t>
  </si>
  <si>
    <t>Acervo da editora</t>
  </si>
  <si>
    <t>xx</t>
  </si>
  <si>
    <t>3 Pixel Studio</t>
  </si>
  <si>
    <t>px</t>
  </si>
  <si>
    <t>Robson Olivieri</t>
  </si>
  <si>
    <t>A7 Estudio</t>
  </si>
  <si>
    <t>ao</t>
  </si>
  <si>
    <t>Jorge Ribeiro</t>
  </si>
  <si>
    <t xml:space="preserve">Adilson Farias </t>
  </si>
  <si>
    <t>af</t>
  </si>
  <si>
    <t>Adilson Farias</t>
  </si>
  <si>
    <t xml:space="preserve">Adilson Secco </t>
  </si>
  <si>
    <t>ac</t>
  </si>
  <si>
    <t>Adilson Secco</t>
  </si>
  <si>
    <t>Adriano Cesar Moreno Pátaro</t>
  </si>
  <si>
    <t>ad</t>
  </si>
  <si>
    <t>Adriano Pátaro</t>
  </si>
  <si>
    <t>Adriel Contieri</t>
  </si>
  <si>
    <t>av</t>
  </si>
  <si>
    <t>Águeda Horn</t>
  </si>
  <si>
    <t>ah</t>
  </si>
  <si>
    <t>Alessandra Tozi</t>
  </si>
  <si>
    <t>az</t>
  </si>
  <si>
    <t>Alexandre Affonso</t>
  </si>
  <si>
    <t>ax</t>
  </si>
  <si>
    <t>Alexandre de Lima Barvik</t>
  </si>
  <si>
    <t>ab</t>
  </si>
  <si>
    <t>Alexandre de Souza</t>
  </si>
  <si>
    <t>xe</t>
  </si>
  <si>
    <t>Alexandre Koyama</t>
  </si>
  <si>
    <t>ak</t>
  </si>
  <si>
    <t>Alexandre Rampazo</t>
  </si>
  <si>
    <t>am</t>
  </si>
  <si>
    <t>Amanda Neves</t>
  </si>
  <si>
    <t>Ana Elisa Carneiro</t>
  </si>
  <si>
    <t>ae</t>
  </si>
  <si>
    <t>Ana Laura Alexius</t>
  </si>
  <si>
    <t>au</t>
  </si>
  <si>
    <t>Ana Alexius</t>
  </si>
  <si>
    <t>Ana Kozuki</t>
  </si>
  <si>
    <t>zk</t>
  </si>
  <si>
    <t>Andressa Meissner</t>
  </si>
  <si>
    <t>aq</t>
  </si>
  <si>
    <t>André Aguiar</t>
  </si>
  <si>
    <t>aa</t>
  </si>
  <si>
    <t>André Leandro Silva</t>
  </si>
  <si>
    <t>an</t>
  </si>
  <si>
    <t>André L. Silva</t>
  </si>
  <si>
    <t>André Rodrigues</t>
  </si>
  <si>
    <t>ag</t>
  </si>
  <si>
    <t xml:space="preserve">Angelo Shuman </t>
  </si>
  <si>
    <t>as</t>
  </si>
  <si>
    <t>Angelo Shuman</t>
  </si>
  <si>
    <t>Anna Anjos</t>
  </si>
  <si>
    <t>nn</t>
  </si>
  <si>
    <t>Anna Simonin</t>
  </si>
  <si>
    <t>ai</t>
  </si>
  <si>
    <t>Ariel Fajtlowicz</t>
  </si>
  <si>
    <t>aj</t>
  </si>
  <si>
    <t>Art Capri - Gustavo Machado</t>
  </si>
  <si>
    <t>gm</t>
  </si>
  <si>
    <t>Gustavo Machado</t>
  </si>
  <si>
    <t>Arthur Moreno Milan Parreira</t>
  </si>
  <si>
    <t>at</t>
  </si>
  <si>
    <t>Arthur M. M. Parreira</t>
  </si>
  <si>
    <t>Arthur Rosseto</t>
  </si>
  <si>
    <t>ar</t>
  </si>
  <si>
    <t>Bárbara Lô Sarzi</t>
  </si>
  <si>
    <t>ba</t>
  </si>
  <si>
    <t>Bárbara Sarzi</t>
  </si>
  <si>
    <t>Beatriz Carvalho</t>
  </si>
  <si>
    <t>bt</t>
  </si>
  <si>
    <t>Beatriz Mayumi</t>
  </si>
  <si>
    <t>bm</t>
  </si>
  <si>
    <t>Belli Studio Design</t>
  </si>
  <si>
    <t>bl</t>
  </si>
  <si>
    <t>Bernardo França</t>
  </si>
  <si>
    <t>be</t>
  </si>
  <si>
    <t>Bianca Nazari</t>
  </si>
  <si>
    <t>bi</t>
  </si>
  <si>
    <t>Brenda Bossato</t>
  </si>
  <si>
    <t>bd</t>
  </si>
  <si>
    <t>bg</t>
  </si>
  <si>
    <t>Bruna Borges Campos</t>
  </si>
  <si>
    <t>Brunna Mancuso</t>
  </si>
  <si>
    <t>bs</t>
  </si>
  <si>
    <t>Bruna Menezes</t>
  </si>
  <si>
    <t>bz</t>
  </si>
  <si>
    <t>Bruno Badain</t>
  </si>
  <si>
    <t>bb</t>
  </si>
  <si>
    <t>Bruno H. S. Cerkuenik</t>
  </si>
  <si>
    <t>bc</t>
  </si>
  <si>
    <t>Bruno Cerkuenik</t>
  </si>
  <si>
    <t>Bruno Nunes Coelho</t>
  </si>
  <si>
    <t>bn</t>
  </si>
  <si>
    <t>Bruno Nunes</t>
  </si>
  <si>
    <t>Bruno Oliveira Sampaio</t>
  </si>
  <si>
    <t>br</t>
  </si>
  <si>
    <t>Bruno Sampaio</t>
  </si>
  <si>
    <t>Bruno Rosal de Vasconcelos</t>
  </si>
  <si>
    <t>bu</t>
  </si>
  <si>
    <t>Caio Hideki Takaso Tanaka</t>
  </si>
  <si>
    <t>ct</t>
  </si>
  <si>
    <t>Caio Tanaka</t>
  </si>
  <si>
    <t>Camila Cristiane Pereira dos Santos</t>
  </si>
  <si>
    <t>cd</t>
  </si>
  <si>
    <t>ca</t>
  </si>
  <si>
    <t>Camila Carmona</t>
  </si>
  <si>
    <t>Carlitos Pinheiro</t>
  </si>
  <si>
    <t>cq</t>
  </si>
  <si>
    <t>Carlito Pinheiro</t>
  </si>
  <si>
    <t>Carlos Alberto Borin Junior</t>
  </si>
  <si>
    <t>cj</t>
  </si>
  <si>
    <t>Carlos Eduardo Nascimento</t>
  </si>
  <si>
    <t>cn</t>
  </si>
  <si>
    <t>Carmen Ferreira Martinez</t>
  </si>
  <si>
    <t>cc</t>
  </si>
  <si>
    <t>Carmen Martinez</t>
  </si>
  <si>
    <t>Carol Rempto</t>
  </si>
  <si>
    <t>cw</t>
  </si>
  <si>
    <t>Carol Sartori</t>
  </si>
  <si>
    <t>cx</t>
  </si>
  <si>
    <t>Carolina Coroa</t>
  </si>
  <si>
    <t>kk</t>
  </si>
  <si>
    <t>Carolina Herrera (Lina Pin)</t>
  </si>
  <si>
    <t>hh</t>
  </si>
  <si>
    <t>Carolina Herrera</t>
  </si>
  <si>
    <t>Caroline Romão Bezerra</t>
  </si>
  <si>
    <t>co</t>
  </si>
  <si>
    <t>Cartoon Pro</t>
  </si>
  <si>
    <t>cp</t>
  </si>
  <si>
    <t>Cássia Roriz</t>
  </si>
  <si>
    <t>cv</t>
  </si>
  <si>
    <t>Cássio Bittencourt</t>
  </si>
  <si>
    <t>cs</t>
  </si>
  <si>
    <t>Cássio Yoshiyaki Shibukawa</t>
  </si>
  <si>
    <t>cy</t>
  </si>
  <si>
    <t>Cátia Germani</t>
  </si>
  <si>
    <t>cm</t>
  </si>
  <si>
    <t>Cauê Zunchini</t>
  </si>
  <si>
    <t>ci</t>
  </si>
  <si>
    <t>Cecilia Andrade</t>
  </si>
  <si>
    <t>cl</t>
  </si>
  <si>
    <t xml:space="preserve">Chanceler </t>
  </si>
  <si>
    <t>ch</t>
  </si>
  <si>
    <t>Chris Borges</t>
  </si>
  <si>
    <t>cg</t>
  </si>
  <si>
    <t>Clarissa França</t>
  </si>
  <si>
    <t>cf</t>
  </si>
  <si>
    <t>Claudia Brito</t>
  </si>
  <si>
    <t>cb</t>
  </si>
  <si>
    <t>Claudia Souza</t>
  </si>
  <si>
    <t>cz</t>
  </si>
  <si>
    <t>Copa Studio</t>
  </si>
  <si>
    <t>ap</t>
  </si>
  <si>
    <t>Cria Ideias</t>
  </si>
  <si>
    <t>cr</t>
  </si>
  <si>
    <t>Cris Eich (Maria Cristina Pires de Carvalho)</t>
  </si>
  <si>
    <t>ce</t>
  </si>
  <si>
    <t>Cris Eich</t>
  </si>
  <si>
    <t>Cynthia Karina Sekiguchi</t>
  </si>
  <si>
    <t>ck</t>
  </si>
  <si>
    <t>Cynthia Sekiguchi</t>
  </si>
  <si>
    <t>Dani Mota</t>
  </si>
  <si>
    <t>dm</t>
  </si>
  <si>
    <t>Daniel Araujo</t>
  </si>
  <si>
    <t>da</t>
  </si>
  <si>
    <t>Daniel Carvalho</t>
  </si>
  <si>
    <t>dc</t>
  </si>
  <si>
    <t>Daniel Wu</t>
  </si>
  <si>
    <t>dw</t>
  </si>
  <si>
    <t>Daniel Zeppo</t>
  </si>
  <si>
    <t>dz</t>
  </si>
  <si>
    <t>Danielle Pioli</t>
  </si>
  <si>
    <t>dp</t>
  </si>
  <si>
    <t>Danillo Souza</t>
  </si>
  <si>
    <t>dl</t>
  </si>
  <si>
    <t>Danilo Santos - Red Dragon</t>
  </si>
  <si>
    <t>dd</t>
  </si>
  <si>
    <t>Danilo Santos</t>
  </si>
  <si>
    <t>Davi Augusto</t>
  </si>
  <si>
    <t>do</t>
  </si>
  <si>
    <t>David Renó</t>
  </si>
  <si>
    <t>dv</t>
  </si>
  <si>
    <t>Davi Renó</t>
  </si>
  <si>
    <t>Dayane A. Barbieri Ferreira</t>
  </si>
  <si>
    <t>db</t>
  </si>
  <si>
    <t>Débora Ferreira</t>
  </si>
  <si>
    <t>df</t>
  </si>
  <si>
    <t>Débora Kamogawa</t>
  </si>
  <si>
    <t>dk</t>
  </si>
  <si>
    <t>Desenhorama Estúdio</t>
  </si>
  <si>
    <t>Deivy Lima Costa</t>
  </si>
  <si>
    <t>Dogzilla Studio - Walkir Fernandes</t>
  </si>
  <si>
    <t>dg</t>
  </si>
  <si>
    <t>Walkir Fernandes</t>
  </si>
  <si>
    <t>Dois de nós (Kime Rodrigues)</t>
  </si>
  <si>
    <t>Guilherme Rodrigues</t>
  </si>
  <si>
    <t>Eber Evangelista</t>
  </si>
  <si>
    <t>ee</t>
  </si>
  <si>
    <t>Edde Wagner Aguiar</t>
  </si>
  <si>
    <t>ew</t>
  </si>
  <si>
    <t>Edde Aguiar</t>
  </si>
  <si>
    <t>Edson Bellusci Cavalcante</t>
  </si>
  <si>
    <t>Edson Bellusci</t>
  </si>
  <si>
    <t>Edson Farias</t>
  </si>
  <si>
    <t>ef</t>
  </si>
  <si>
    <t>Eduardo A. Rosa Neto</t>
  </si>
  <si>
    <t>du</t>
  </si>
  <si>
    <t>Eduardo Rosa</t>
  </si>
  <si>
    <t>Eduardo Borges</t>
  </si>
  <si>
    <t>eb</t>
  </si>
  <si>
    <t>Eduardo Carriça dos Santos</t>
  </si>
  <si>
    <t>es</t>
  </si>
  <si>
    <t>Eduardo Carriça</t>
  </si>
  <si>
    <t>Ellen Beatriz Jacob</t>
  </si>
  <si>
    <t>ej</t>
  </si>
  <si>
    <t>Ellen Jacob</t>
  </si>
  <si>
    <t>Enágio Coelho</t>
  </si>
  <si>
    <t>en</t>
  </si>
  <si>
    <t>Erica Maria Rocha Santos (Erica Maradona)</t>
  </si>
  <si>
    <t>er</t>
  </si>
  <si>
    <t>Erica Maradona</t>
  </si>
  <si>
    <t>Erika Lourenço</t>
  </si>
  <si>
    <t>ek</t>
  </si>
  <si>
    <t>Estúdio Amplarena</t>
  </si>
  <si>
    <t>al</t>
  </si>
  <si>
    <t>Estúdio Guerra</t>
  </si>
  <si>
    <t>eg</t>
  </si>
  <si>
    <t>Estúdio Ilustranet</t>
  </si>
  <si>
    <t>it</t>
  </si>
  <si>
    <t>Rubens Tavares Lima Filho</t>
  </si>
  <si>
    <t>Estúdio Kiwi</t>
  </si>
  <si>
    <t>kw</t>
  </si>
  <si>
    <t>Thiago Lopes</t>
  </si>
  <si>
    <t>Estúdio Lab307</t>
  </si>
  <si>
    <t>lb</t>
  </si>
  <si>
    <t>Erik Malagrino</t>
  </si>
  <si>
    <t>Estúdio Meraki</t>
  </si>
  <si>
    <t>mk</t>
  </si>
  <si>
    <t>Natanaele Bilmaia</t>
  </si>
  <si>
    <t>Estúdio Mil</t>
  </si>
  <si>
    <t>em</t>
  </si>
  <si>
    <t>Estúdio Orangotango</t>
  </si>
  <si>
    <t>eo</t>
  </si>
  <si>
    <t>Estúdio Ornitorrinco</t>
  </si>
  <si>
    <t>ec</t>
  </si>
  <si>
    <t>Márcio Guerra</t>
  </si>
  <si>
    <t>Estúdio Um mais Dois</t>
  </si>
  <si>
    <t>ud</t>
  </si>
  <si>
    <t>Ezequiel Silva (Monge Lua)</t>
  </si>
  <si>
    <t>Ezequiel Silva</t>
  </si>
  <si>
    <t>Ewerton Xavier</t>
  </si>
  <si>
    <t>ex</t>
  </si>
  <si>
    <t>Fabio Eugenio</t>
  </si>
  <si>
    <t>fe</t>
  </si>
  <si>
    <t>Fabíola Petri</t>
  </si>
  <si>
    <t>fp</t>
  </si>
  <si>
    <t>Fernanda Monteiro</t>
  </si>
  <si>
    <t>fm</t>
  </si>
  <si>
    <t>Fernanda Pardini Biagio</t>
  </si>
  <si>
    <t>fb</t>
  </si>
  <si>
    <t>Flávia Nunes</t>
  </si>
  <si>
    <t>fn</t>
  </si>
  <si>
    <t>Flavio Roberto Pereira</t>
  </si>
  <si>
    <t>fl</t>
  </si>
  <si>
    <t>Flavio Pereira</t>
  </si>
  <si>
    <t>Gabi Vasko</t>
  </si>
  <si>
    <t>gv</t>
  </si>
  <si>
    <t>Gabriel Kyu</t>
  </si>
  <si>
    <t>Gabriela Abreu de Souza</t>
  </si>
  <si>
    <t>gs</t>
  </si>
  <si>
    <t>Gabriela Abreu</t>
  </si>
  <si>
    <t>Gabriela Heberle</t>
  </si>
  <si>
    <t>gb</t>
  </si>
  <si>
    <t>Gabriela Tozati</t>
  </si>
  <si>
    <t>gt</t>
  </si>
  <si>
    <t xml:space="preserve">Gilberto Audibert Alicio </t>
  </si>
  <si>
    <t>ga</t>
  </si>
  <si>
    <t>Gilberto Alicio</t>
  </si>
  <si>
    <t>Giovana Medeiros</t>
  </si>
  <si>
    <t>gi</t>
  </si>
  <si>
    <t>Girafa Listrada</t>
  </si>
  <si>
    <t>gl</t>
  </si>
  <si>
    <t>Bruna Assis Brasil</t>
  </si>
  <si>
    <t xml:space="preserve">Giully Leão </t>
  </si>
  <si>
    <t>gy</t>
  </si>
  <si>
    <t>Giully Leão</t>
  </si>
  <si>
    <t xml:space="preserve">Giz de Cera Studio </t>
  </si>
  <si>
    <t>gz</t>
  </si>
  <si>
    <t>Graphorama</t>
  </si>
  <si>
    <t>gh</t>
  </si>
  <si>
    <t>Graziela Andrade</t>
  </si>
  <si>
    <t>ge</t>
  </si>
  <si>
    <t>Guilherme Aranega - Estudio Rufus</t>
  </si>
  <si>
    <t>gn</t>
  </si>
  <si>
    <t>Guilherme Aranega</t>
  </si>
  <si>
    <t>Guilherme Casagrandi</t>
  </si>
  <si>
    <t>gg</t>
  </si>
  <si>
    <t>Guilherme Da Cas</t>
  </si>
  <si>
    <t>gc</t>
  </si>
  <si>
    <t>Gustavo Conti</t>
  </si>
  <si>
    <t>gu</t>
  </si>
  <si>
    <t>Gustavo Pedrosa</t>
  </si>
  <si>
    <t>gp</t>
  </si>
  <si>
    <t>Gustavo Ramos</t>
  </si>
  <si>
    <t>Heloísa Pintarelli - Somma</t>
  </si>
  <si>
    <t>he</t>
  </si>
  <si>
    <t>Henrique Dan Fuzitani</t>
  </si>
  <si>
    <t>hf</t>
  </si>
  <si>
    <t>Henrique Jorge</t>
  </si>
  <si>
    <t>hj</t>
  </si>
  <si>
    <t>Henrique Jorge G. M. Silva</t>
  </si>
  <si>
    <t>Hiro Kawahara</t>
  </si>
  <si>
    <t>hk</t>
  </si>
  <si>
    <t xml:space="preserve">Hiro Kawahara </t>
  </si>
  <si>
    <t>Hugo Araújo</t>
  </si>
  <si>
    <t>ha</t>
  </si>
  <si>
    <t>Iberá Júnior</t>
  </si>
  <si>
    <t>ij</t>
  </si>
  <si>
    <t>Ideário Lab - Renato Ventura</t>
  </si>
  <si>
    <t>id</t>
  </si>
  <si>
    <t xml:space="preserve">Reinaldo Rosa </t>
  </si>
  <si>
    <t>Ilustra Cartoon</t>
  </si>
  <si>
    <t>ic</t>
  </si>
  <si>
    <t>Imaginario Studio - Fabio Eiji</t>
  </si>
  <si>
    <t>ig</t>
  </si>
  <si>
    <t>Fabio Eiji Sirasuma</t>
  </si>
  <si>
    <t>Ingrid Skare</t>
  </si>
  <si>
    <t>ik</t>
  </si>
  <si>
    <t>Ingridhi Fratoni Borges</t>
  </si>
  <si>
    <t>ib</t>
  </si>
  <si>
    <t>Ingridhi Borges</t>
  </si>
  <si>
    <t>Inkdrop Estudio</t>
  </si>
  <si>
    <t>ie</t>
  </si>
  <si>
    <t>Irena Freitas</t>
  </si>
  <si>
    <t>if</t>
  </si>
  <si>
    <t>Isadora Zeferino</t>
  </si>
  <si>
    <t>Ísis Duarte</t>
  </si>
  <si>
    <t>iu</t>
  </si>
  <si>
    <t>Ivy Nunes</t>
  </si>
  <si>
    <t>iv</t>
  </si>
  <si>
    <t>Izaac Brito</t>
  </si>
  <si>
    <t>zb</t>
  </si>
  <si>
    <t>Jacqueline Amadio</t>
  </si>
  <si>
    <t>jc</t>
  </si>
  <si>
    <t>Jacquie Lima</t>
  </si>
  <si>
    <t>jl</t>
  </si>
  <si>
    <t>Janaina de Oliveira Castro</t>
  </si>
  <si>
    <t>ja</t>
  </si>
  <si>
    <t>Janaina Oliveira</t>
  </si>
  <si>
    <t>Janyne Azevedo</t>
  </si>
  <si>
    <t>jz</t>
  </si>
  <si>
    <t>Jessica Machado</t>
  </si>
  <si>
    <t>jg</t>
  </si>
  <si>
    <t>Jéssica Sinnema</t>
  </si>
  <si>
    <t>jt</t>
  </si>
  <si>
    <t>Jéssyca Gomes</t>
  </si>
  <si>
    <t>je</t>
  </si>
  <si>
    <t>Jéssyka Gomes</t>
  </si>
  <si>
    <t>João Ricardo Sampaio</t>
  </si>
  <si>
    <t>js</t>
  </si>
  <si>
    <t>João Sampaio</t>
  </si>
  <si>
    <t>João Vitor Vanzela</t>
  </si>
  <si>
    <t>jv</t>
  </si>
  <si>
    <t>Johannes de Paulo</t>
  </si>
  <si>
    <t>jp</t>
  </si>
  <si>
    <t>Jorge Henrique Brazilio dos Santos</t>
  </si>
  <si>
    <t>jh</t>
  </si>
  <si>
    <t>Jorge Brazílio</t>
  </si>
  <si>
    <t>José Vitor Elorza Costa</t>
  </si>
  <si>
    <t>zv</t>
  </si>
  <si>
    <t>José Vitor Elorza</t>
  </si>
  <si>
    <t>Jotabe Ilustração Infantil</t>
  </si>
  <si>
    <t>jb</t>
  </si>
  <si>
    <t>Julia Mello</t>
  </si>
  <si>
    <t>jm</t>
  </si>
  <si>
    <t>Julia Ponnick</t>
  </si>
  <si>
    <t>jn</t>
  </si>
  <si>
    <t>Juliana Dacosta</t>
  </si>
  <si>
    <t>Juliana Del Anhol Azevedo</t>
  </si>
  <si>
    <t>jd</t>
  </si>
  <si>
    <t>Juliana Oliveira</t>
  </si>
  <si>
    <t>ju</t>
  </si>
  <si>
    <t>Juliana Oliveria</t>
  </si>
  <si>
    <t>Júnior Caramez (Antonio Carlos Caramez Jr.)</t>
  </si>
  <si>
    <t>jr</t>
  </si>
  <si>
    <t>Antonio Carlos Caramez Júnior</t>
  </si>
  <si>
    <t>Karina Oliveira</t>
  </si>
  <si>
    <t>Karina Tamaki Kobayashi</t>
  </si>
  <si>
    <t>kr</t>
  </si>
  <si>
    <t>Karyne Elise Teixeira</t>
  </si>
  <si>
    <t>ke</t>
  </si>
  <si>
    <t>Katharine Frota</t>
  </si>
  <si>
    <t>kf</t>
  </si>
  <si>
    <t>Keithy Kassiely Mostachi</t>
  </si>
  <si>
    <t>km</t>
  </si>
  <si>
    <t>Keithy Mostachi</t>
  </si>
  <si>
    <t>Kendra Rubio da Silva</t>
  </si>
  <si>
    <t>ks</t>
  </si>
  <si>
    <t>Kendra Rubio</t>
  </si>
  <si>
    <t>Kézia Trentini</t>
  </si>
  <si>
    <t>kt</t>
  </si>
  <si>
    <t>Kirlley Velôso</t>
  </si>
  <si>
    <t>kv</t>
  </si>
  <si>
    <t>Klayton Luz</t>
  </si>
  <si>
    <t>kl</t>
  </si>
  <si>
    <t>Kleber Maurício Coelho - GIZ DE CERA</t>
  </si>
  <si>
    <t>kb</t>
  </si>
  <si>
    <t>Kleber Maurício Coelho</t>
  </si>
  <si>
    <t>Laís Bicudo</t>
  </si>
  <si>
    <t>lc</t>
  </si>
  <si>
    <t xml:space="preserve">Laís Cristina Caldonazzo Garbelini </t>
  </si>
  <si>
    <t>lg</t>
  </si>
  <si>
    <t>Laís Garbelini</t>
  </si>
  <si>
    <t>Leandro Júnior Pimenta</t>
  </si>
  <si>
    <t>lt</t>
  </si>
  <si>
    <t>Leandro Pimenta</t>
  </si>
  <si>
    <t>Leandro Lassmar</t>
  </si>
  <si>
    <t xml:space="preserve">ls </t>
  </si>
  <si>
    <t xml:space="preserve">Leandro Lassmar </t>
  </si>
  <si>
    <t>Leo Gibran</t>
  </si>
  <si>
    <t>le</t>
  </si>
  <si>
    <t>Leo Natsume</t>
  </si>
  <si>
    <t>ln</t>
  </si>
  <si>
    <t>Leonardo de Moura Amaral - GIZ DE CERA</t>
  </si>
  <si>
    <t>la</t>
  </si>
  <si>
    <t>Leonardo de Moura Amaral</t>
  </si>
  <si>
    <t>Leonardo Mari</t>
  </si>
  <si>
    <t>lm</t>
  </si>
  <si>
    <t>Letícia Ribeiro</t>
  </si>
  <si>
    <t>lr</t>
  </si>
  <si>
    <t>Liberi</t>
  </si>
  <si>
    <t>l</t>
  </si>
  <si>
    <t>Lídia Farias</t>
  </si>
  <si>
    <t>Lislley Velani</t>
  </si>
  <si>
    <t>Lislley Gomes Feige</t>
  </si>
  <si>
    <t>Loquaz Design</t>
  </si>
  <si>
    <t>lq</t>
  </si>
  <si>
    <t>Lucas Kenzo Hamazaki</t>
  </si>
  <si>
    <t>kz</t>
  </si>
  <si>
    <t>Kenzo Hamazaki</t>
  </si>
  <si>
    <t>Lucas Palma</t>
  </si>
  <si>
    <t>lp</t>
  </si>
  <si>
    <t xml:space="preserve">Luciane Mori </t>
  </si>
  <si>
    <t>lu</t>
  </si>
  <si>
    <t>Luciane Mori</t>
  </si>
  <si>
    <t>Luciano Veronezi</t>
  </si>
  <si>
    <t>lv</t>
  </si>
  <si>
    <t>Luiz Fernando Fogaça</t>
  </si>
  <si>
    <t>lf</t>
  </si>
  <si>
    <t>Luiz F. Fogaça</t>
  </si>
  <si>
    <t>Luiz Lentini</t>
  </si>
  <si>
    <t>ll</t>
  </si>
  <si>
    <t>Luiz Perez Lentini</t>
  </si>
  <si>
    <t>Luiz Roberto Lúcio Correa</t>
  </si>
  <si>
    <t>bo</t>
  </si>
  <si>
    <t>Luiz Roberto</t>
  </si>
  <si>
    <t>Malu Menezes</t>
  </si>
  <si>
    <t>mx</t>
  </si>
  <si>
    <t>Marcela Pialarissi</t>
  </si>
  <si>
    <t>ma</t>
  </si>
  <si>
    <t>Marcello Araújo</t>
  </si>
  <si>
    <t>mj</t>
  </si>
  <si>
    <t>Marcello Araujo</t>
  </si>
  <si>
    <t>Marcelo Castro</t>
  </si>
  <si>
    <t>Marciano Palácio</t>
  </si>
  <si>
    <t>mz</t>
  </si>
  <si>
    <t>Marcos Farrell</t>
  </si>
  <si>
    <t>mr</t>
  </si>
  <si>
    <t>Marcos Machado</t>
  </si>
  <si>
    <t>mm</t>
  </si>
  <si>
    <t>Marcos Mello</t>
  </si>
  <si>
    <t>me</t>
  </si>
  <si>
    <t>Marco Mello</t>
  </si>
  <si>
    <t>Maria Gabriela Gama</t>
  </si>
  <si>
    <t>md</t>
  </si>
  <si>
    <t>Mariana Coan</t>
  </si>
  <si>
    <t>mq</t>
  </si>
  <si>
    <t>Mariana Valente</t>
  </si>
  <si>
    <t>mn</t>
  </si>
  <si>
    <t>Marília Bruno</t>
  </si>
  <si>
    <t>mb</t>
  </si>
  <si>
    <t xml:space="preserve">Marília Bruno </t>
  </si>
  <si>
    <t>Marilia Pirilo</t>
  </si>
  <si>
    <t>mp</t>
  </si>
  <si>
    <t>Mario Henrique Boaventura Nakano</t>
  </si>
  <si>
    <t>mh</t>
  </si>
  <si>
    <t>Mario Henrique</t>
  </si>
  <si>
    <t>Marlowa</t>
  </si>
  <si>
    <t>mw</t>
  </si>
  <si>
    <t>Maryane Vioto Silva</t>
  </si>
  <si>
    <t>mv</t>
  </si>
  <si>
    <t>Maurenilson Freire</t>
  </si>
  <si>
    <t>mu</t>
  </si>
  <si>
    <t>Maurício Loyola</t>
  </si>
  <si>
    <t>ml</t>
  </si>
  <si>
    <t>Maurício Planel</t>
  </si>
  <si>
    <t>mo</t>
  </si>
  <si>
    <t>Mauricio Planel</t>
  </si>
  <si>
    <t>Mauro Souza</t>
  </si>
  <si>
    <t>ms</t>
  </si>
  <si>
    <t>Melissa Garabeli</t>
  </si>
  <si>
    <t>mg</t>
  </si>
  <si>
    <t>Michel Ramalho</t>
  </si>
  <si>
    <t>mi</t>
  </si>
  <si>
    <t>Mosaico Fluído</t>
  </si>
  <si>
    <t>mf</t>
  </si>
  <si>
    <t>Motoca Design</t>
  </si>
  <si>
    <t>mt</t>
  </si>
  <si>
    <t>Murilo Moretti</t>
  </si>
  <si>
    <t>et</t>
  </si>
  <si>
    <t xml:space="preserve">Natanaele Lima Bilmaia </t>
  </si>
  <si>
    <t>nb</t>
  </si>
  <si>
    <t>Nathalia Ichioka</t>
  </si>
  <si>
    <t>ni</t>
  </si>
  <si>
    <t xml:space="preserve">Nelson Akira Ishikawa </t>
  </si>
  <si>
    <t>ne</t>
  </si>
  <si>
    <t xml:space="preserve">Nelson Ishikawa </t>
  </si>
  <si>
    <t>Nelson Cosentino</t>
  </si>
  <si>
    <t>nc</t>
  </si>
  <si>
    <t>Nicolas Furtado</t>
  </si>
  <si>
    <t>Nicole Santos</t>
  </si>
  <si>
    <t>ns</t>
  </si>
  <si>
    <t>Nik Neves</t>
  </si>
  <si>
    <t>nk</t>
  </si>
  <si>
    <t>Ohanna Schmitt Bolfe</t>
  </si>
  <si>
    <t>oh</t>
  </si>
  <si>
    <t>Ohanna Schmitt</t>
  </si>
  <si>
    <t>Patrícia Kelen Takahashi</t>
  </si>
  <si>
    <t>pk</t>
  </si>
  <si>
    <t>Patricia Paulozi de Menezes</t>
  </si>
  <si>
    <t>pp</t>
  </si>
  <si>
    <t>Patrícia Paulozi</t>
  </si>
  <si>
    <t>Patricia Pessoa</t>
  </si>
  <si>
    <t>pt</t>
  </si>
  <si>
    <t>Paula Diazzi Ferreira</t>
  </si>
  <si>
    <t>pa</t>
  </si>
  <si>
    <t>Paula Diazzi</t>
  </si>
  <si>
    <t>Paula Kranz</t>
  </si>
  <si>
    <t>pz</t>
  </si>
  <si>
    <t>Paula Radi</t>
  </si>
  <si>
    <t>pr</t>
  </si>
  <si>
    <t>Pedro Guilherme Pauletti Lorenzo</t>
  </si>
  <si>
    <t>pl</t>
  </si>
  <si>
    <t>Pedro Lorenzo</t>
  </si>
  <si>
    <t>Petra Mendes</t>
  </si>
  <si>
    <t>pm</t>
  </si>
  <si>
    <t>Poliana de Fátima Garcia</t>
  </si>
  <si>
    <t>po</t>
  </si>
  <si>
    <t>Poliana Garcia</t>
  </si>
  <si>
    <t>Poliana Fernandes dos Santos</t>
  </si>
  <si>
    <t>pf</t>
  </si>
  <si>
    <t>Pri Wi</t>
  </si>
  <si>
    <t>pw</t>
  </si>
  <si>
    <t>PriWi</t>
  </si>
  <si>
    <t xml:space="preserve">Priscilla Camacho </t>
  </si>
  <si>
    <t>ps</t>
  </si>
  <si>
    <t>Priscilla Camacho</t>
  </si>
  <si>
    <t>Quanta Studio (2014 em diante)</t>
  </si>
  <si>
    <t>qs</t>
  </si>
  <si>
    <t>Quanta Studio (até 2013)</t>
  </si>
  <si>
    <t>qt</t>
  </si>
  <si>
    <t>Rafael da Silva (ARTE)</t>
  </si>
  <si>
    <t>rd</t>
  </si>
  <si>
    <t>Rafael Silva</t>
  </si>
  <si>
    <t>Rafael da Silva Hatadani</t>
  </si>
  <si>
    <t>rh</t>
  </si>
  <si>
    <t>Rafael Hatadani</t>
  </si>
  <si>
    <t>Rafael Gallardo</t>
  </si>
  <si>
    <t>rf</t>
  </si>
  <si>
    <t>Rafael Lam</t>
  </si>
  <si>
    <t>rl</t>
  </si>
  <si>
    <t>Rafael Luís Gaion</t>
  </si>
  <si>
    <t>rn</t>
  </si>
  <si>
    <t>Rafael L. Gaion</t>
  </si>
  <si>
    <t>Rafael Luzio Rodrigues</t>
  </si>
  <si>
    <t>lz</t>
  </si>
  <si>
    <t xml:space="preserve">Rafael Luzio </t>
  </si>
  <si>
    <t>Rafael Martins - Somma</t>
  </si>
  <si>
    <t>Rafaela Harger</t>
  </si>
  <si>
    <t xml:space="preserve">rx </t>
  </si>
  <si>
    <t>Rafaela Hidalgo Pereira</t>
  </si>
  <si>
    <t>rp</t>
  </si>
  <si>
    <t>Rafaela H. Pereira</t>
  </si>
  <si>
    <t xml:space="preserve">Rafaela Panissa </t>
  </si>
  <si>
    <t>Rafaela Villela</t>
  </si>
  <si>
    <t>Raíssa Bulhões</t>
  </si>
  <si>
    <t>rs</t>
  </si>
  <si>
    <t>Raitan Ohi</t>
  </si>
  <si>
    <t>rt</t>
  </si>
  <si>
    <t>Raquel Silva</t>
  </si>
  <si>
    <t>rq</t>
  </si>
  <si>
    <t>Raquel Teixeira</t>
  </si>
  <si>
    <t>Raul Aguiar</t>
  </si>
  <si>
    <t>ra</t>
  </si>
  <si>
    <t>Ray Cardoso</t>
  </si>
  <si>
    <t>ay</t>
  </si>
  <si>
    <t>Rebecca Baniski</t>
  </si>
  <si>
    <t>Reinaldo Rosa - Ideario Lab</t>
  </si>
  <si>
    <t>il</t>
  </si>
  <si>
    <t>Reinaldo Rosa</t>
  </si>
  <si>
    <t>Renan de Oliveira Fonseca</t>
  </si>
  <si>
    <t>re</t>
  </si>
  <si>
    <t>Renan Fonseca</t>
  </si>
  <si>
    <t>Renan Nuche</t>
  </si>
  <si>
    <t>rz</t>
  </si>
  <si>
    <t>Renato Rodrigues</t>
  </si>
  <si>
    <t>xr</t>
  </si>
  <si>
    <t>Rivaldo Ferreira Barboza Filho</t>
  </si>
  <si>
    <t>rv</t>
  </si>
  <si>
    <t>Rivaldo Barboza</t>
  </si>
  <si>
    <t>Roberto Bigas</t>
  </si>
  <si>
    <t>rb</t>
  </si>
  <si>
    <t>Roberto Weigand</t>
  </si>
  <si>
    <t>rw</t>
  </si>
  <si>
    <t>Robson Araújo</t>
  </si>
  <si>
    <t>rj</t>
  </si>
  <si>
    <t>Rodrigo Arraya</t>
  </si>
  <si>
    <t>ry</t>
  </si>
  <si>
    <t>Rodrigo Gafa</t>
  </si>
  <si>
    <t>ro</t>
  </si>
  <si>
    <t>Roger Cartoon</t>
  </si>
  <si>
    <t>rg</t>
  </si>
  <si>
    <t>Rogério Casagrande da Rocha</t>
  </si>
  <si>
    <t>Rogério Casagrande</t>
  </si>
  <si>
    <t>Rogério Coelho</t>
  </si>
  <si>
    <t>rc</t>
  </si>
  <si>
    <t xml:space="preserve">Rogério Coelho </t>
  </si>
  <si>
    <t>Ronaldo Inácio De Lucena</t>
  </si>
  <si>
    <t>ri</t>
  </si>
  <si>
    <t>Ronaldo Lucena</t>
  </si>
  <si>
    <t>Rosana Urbes</t>
  </si>
  <si>
    <t>ru</t>
  </si>
  <si>
    <t>RS2 Comunicação</t>
  </si>
  <si>
    <t>sm</t>
  </si>
  <si>
    <t>Sabrina Eras</t>
  </si>
  <si>
    <t>Samanta Flôor</t>
  </si>
  <si>
    <t>sf</t>
  </si>
  <si>
    <t>Samanda Flôor</t>
  </si>
  <si>
    <t xml:space="preserve">Samuel Silva Nascimento </t>
  </si>
  <si>
    <t>sa</t>
  </si>
  <si>
    <t>Samuel Silva</t>
  </si>
  <si>
    <t>Saulo Nunes Marques</t>
  </si>
  <si>
    <t>sq</t>
  </si>
  <si>
    <t>Saulo Nunes</t>
  </si>
  <si>
    <t>Sergio Luiz de Lima Filho</t>
  </si>
  <si>
    <t>Sidney Siqueira Meireles</t>
  </si>
  <si>
    <t>sd</t>
  </si>
  <si>
    <t>Silvia Otofuji</t>
  </si>
  <si>
    <t>so</t>
  </si>
  <si>
    <t>Simone Bellusci Cavalcante</t>
  </si>
  <si>
    <t>si</t>
  </si>
  <si>
    <t xml:space="preserve">Simone </t>
  </si>
  <si>
    <t>Sonia Horn</t>
  </si>
  <si>
    <t>sh</t>
  </si>
  <si>
    <t>Sonia Vaz</t>
  </si>
  <si>
    <t>VAZ</t>
  </si>
  <si>
    <t xml:space="preserve">Sputinik Studio </t>
  </si>
  <si>
    <t>sk</t>
  </si>
  <si>
    <t>Sputinik Studio</t>
  </si>
  <si>
    <t>Studio Caparroz (Selma)</t>
  </si>
  <si>
    <t>sc</t>
  </si>
  <si>
    <t xml:space="preserve">Selma Caparroz </t>
  </si>
  <si>
    <t>Studio Maya</t>
  </si>
  <si>
    <t>my</t>
  </si>
  <si>
    <t>Studio OPZ</t>
  </si>
  <si>
    <t>oz</t>
  </si>
  <si>
    <t>Anderson Gabriel Capeloto Macohin</t>
  </si>
  <si>
    <t>Studio Pack</t>
  </si>
  <si>
    <t>sp</t>
  </si>
  <si>
    <t>Suppa</t>
  </si>
  <si>
    <t>su</t>
  </si>
  <si>
    <t>Vivian Suppa</t>
  </si>
  <si>
    <t>Sylvia Muniz</t>
  </si>
  <si>
    <t>sy</t>
  </si>
  <si>
    <t>Sylvia S. Nakamura</t>
  </si>
  <si>
    <t>sn</t>
  </si>
  <si>
    <t>Sylvia Nakamura</t>
  </si>
  <si>
    <t>Tamires Rose Azevedo</t>
  </si>
  <si>
    <t>tr</t>
  </si>
  <si>
    <t>Tânia Machado</t>
  </si>
  <si>
    <t>tm</t>
  </si>
  <si>
    <t xml:space="preserve">Tatiana Paiva </t>
  </si>
  <si>
    <t>tp</t>
  </si>
  <si>
    <t>Tatiana Paiva</t>
  </si>
  <si>
    <t>Tatiane Santos Galheiro</t>
  </si>
  <si>
    <t>Thiago Araujo Lima (Thiago Limon)</t>
  </si>
  <si>
    <t>tl</t>
  </si>
  <si>
    <t>Thiago Lima</t>
  </si>
  <si>
    <t>Thiago Barbosa De Almeida</t>
  </si>
  <si>
    <t>ta</t>
  </si>
  <si>
    <t>Thiago Almeida</t>
  </si>
  <si>
    <t xml:space="preserve">Thiago Moura Januário </t>
  </si>
  <si>
    <t>tj</t>
  </si>
  <si>
    <t>Thiago Moura Januário</t>
  </si>
  <si>
    <t>Thiago Neumann</t>
  </si>
  <si>
    <t>tn</t>
  </si>
  <si>
    <t>Thiago Soares</t>
  </si>
  <si>
    <t>tg</t>
  </si>
  <si>
    <t xml:space="preserve">TypoStudio </t>
  </si>
  <si>
    <t>ts</t>
  </si>
  <si>
    <t>Veridiana Pegoraro Camelo</t>
  </si>
  <si>
    <t>vo</t>
  </si>
  <si>
    <t xml:space="preserve">Veridiana Scarpelli - IMAGERIA ESTUDIO </t>
  </si>
  <si>
    <t>vs</t>
  </si>
  <si>
    <t>Viridiana Scarpelli</t>
  </si>
  <si>
    <t>Victor Ferreira Lemos</t>
  </si>
  <si>
    <t>vf</t>
  </si>
  <si>
    <t>Victor Lemos</t>
  </si>
  <si>
    <t>Vinícius Soares Costa</t>
  </si>
  <si>
    <t>Vitor Locatelli</t>
  </si>
  <si>
    <t>vl</t>
  </si>
  <si>
    <t>Volpe Studio</t>
  </si>
  <si>
    <t>vp</t>
  </si>
  <si>
    <t xml:space="preserve">Waldomiro Neto </t>
  </si>
  <si>
    <t>Waldomiro Neto</t>
  </si>
  <si>
    <t xml:space="preserve">Wandson Rocha </t>
  </si>
  <si>
    <t>wr</t>
  </si>
  <si>
    <t>Wandson Rocha</t>
  </si>
  <si>
    <t>Wanick Correa Flores</t>
  </si>
  <si>
    <t>wk</t>
  </si>
  <si>
    <t>Wanick Correa</t>
  </si>
  <si>
    <t>Werllen Holanda</t>
  </si>
  <si>
    <t>wh</t>
  </si>
  <si>
    <t>EDICAO_EQUIPE</t>
  </si>
  <si>
    <t>CAPA</t>
  </si>
  <si>
    <t>SCRIBA</t>
  </si>
  <si>
    <t>PREVISAO</t>
  </si>
  <si>
    <t>Sintonia E010 - Gente Contente!</t>
  </si>
  <si>
    <t>EDICAO_ARTE</t>
  </si>
  <si>
    <t>APRESENT.</t>
  </si>
  <si>
    <t>FTD</t>
  </si>
  <si>
    <t>ILUSTRANDO</t>
  </si>
  <si>
    <t>SUMÁRIO</t>
  </si>
  <si>
    <t>SCRIBAPLAY</t>
  </si>
  <si>
    <t>FINALIZADO RAFE</t>
  </si>
  <si>
    <t>Bons Amigos Creche - Vol 1 PNLD2022</t>
  </si>
  <si>
    <t>GRAF TEC</t>
  </si>
  <si>
    <t>ABERTURA</t>
  </si>
  <si>
    <t>AJUSTANDO</t>
  </si>
  <si>
    <t>PAGO RAFE</t>
  </si>
  <si>
    <t>Bons Amigos Pré-Escola - Guia Educ Infantil - PNLD2022</t>
  </si>
  <si>
    <t>FINALIZANDO</t>
  </si>
  <si>
    <t>INFOGRÁFICO</t>
  </si>
  <si>
    <t>ÚNICO</t>
  </si>
  <si>
    <t>IL TEC MAT</t>
  </si>
  <si>
    <t>retranca</t>
  </si>
  <si>
    <t>status</t>
  </si>
  <si>
    <t>categoria</t>
  </si>
  <si>
    <t>localizacao</t>
  </si>
  <si>
    <t>pagina</t>
  </si>
  <si>
    <t>volume</t>
  </si>
  <si>
    <t>unidade</t>
  </si>
  <si>
    <t>capitulo_secao</t>
  </si>
  <si>
    <t>tipo</t>
  </si>
  <si>
    <t>descricao</t>
  </si>
  <si>
    <t>ilustrador_resgate</t>
  </si>
  <si>
    <t>lote</t>
  </si>
  <si>
    <t>observacao_edit_nuc</t>
  </si>
  <si>
    <t>data_liberacao_para_arte</t>
  </si>
  <si>
    <t>data_envio_pedido</t>
  </si>
  <si>
    <t>data_recebimento_rafe</t>
  </si>
  <si>
    <t>data_retorno_rafe</t>
  </si>
  <si>
    <t>data_recebimento_finalizada</t>
  </si>
  <si>
    <t>classificacao</t>
  </si>
  <si>
    <t>observacao_arte</t>
  </si>
  <si>
    <t>ilustrador</t>
  </si>
  <si>
    <t>ilustrador_ajuste</t>
  </si>
  <si>
    <t>credito</t>
  </si>
  <si>
    <t>pagamento</t>
  </si>
  <si>
    <t>sigla</t>
  </si>
  <si>
    <t>Minna Miná</t>
  </si>
  <si>
    <t>Michael Altomani</t>
  </si>
  <si>
    <t>Michel Altomani</t>
  </si>
  <si>
    <t>mq2</t>
  </si>
  <si>
    <t>ml2</t>
  </si>
  <si>
    <t>nome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</si>
</sst>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0"/>
      <name val="Calibri"/>
      <family val="2"/>
      <scheme val="minor"/>
    </font>
    <font>
      <sz val="10"/>
      <color theme="1"/>
      <name val="Arial"/>
      <family val="2"/>
    </font>
    <font>
      <sz val="10"/>
      <color rgb="FFBF9000"/>
      <name val="Arial"/>
      <family val="2"/>
    </font>
    <font>
      <sz val="9"/>
      <color indexed="81"/>
      <name val="Segoe UI"/>
      <family val="2"/>
    </font>
    <font>
      <b/>
      <sz val="9"/>
      <color indexed="81"/>
      <name val="Segoe UI"/>
      <family val="2"/>
    </font>
    <font>
      <sz val="8"/>
      <name val="Calibri"/>
      <family val="2"/>
      <scheme val="minor"/>
    </font>
    <font>
      <b/>
      <sz val="10"/>
      <color theme="1"/>
      <name val="Arial"/>
      <family val="2"/>
    </font>
    <font>
      <sz val="10"/>
      <color theme="1"/>
      <name val="Calibri"/>
      <family val="2"/>
      <scheme val="minor"/>
    </font>
    <font>
      <sz val="10"/>
      <color theme="0"/>
      <name val="Calibri"/>
      <family val="2"/>
      <scheme val="minor"/>
    </font>
    <font>
      <sz val="12"/>
      <color theme="1"/>
      <name val="Calibri"/>
      <family val="2"/>
      <scheme val="minor"/>
    </font>
    <font>
      <sz val="11"/>
      <color rgb="FF000000"/>
      <name val="Aptos Narrow"/>
      <family val="2"/>
    </font>
    <font>
      <sz val="11"/>
      <color theme="1"/>
      <name val="Aptos"/>
      <family val="2"/>
    </font>
    <font>
      <b/>
      <sz val="11"/>
      <color theme="1"/>
      <name val="Calibri"/>
      <family val="2"/>
      <scheme val="minor"/>
    </font>
    <font>
      <sz val="10"/>
      <color rgb="FF000000"/>
      <name val="Calibri"/>
      <family val="2"/>
    </font>
    <font>
      <sz val="11"/>
      <color rgb="FF002060"/>
      <name val="Calibri"/>
      <family val="2"/>
      <scheme val="minor"/>
    </font>
    <font>
      <b/>
      <sz val="11"/>
      <color rgb="FF002060"/>
      <name val="Calibri"/>
      <family val="2"/>
      <scheme val="minor"/>
    </font>
    <font>
      <sz val="10"/>
      <color rgb="FF002060"/>
      <name val="Calibri"/>
      <family val="2"/>
      <scheme val="minor"/>
    </font>
    <font>
      <sz val="10"/>
      <name val="Arial"/>
      <family val="2"/>
    </font>
    <font>
      <sz val="11"/>
      <name val="Calibri"/>
      <family val="2"/>
      <scheme val="minor"/>
    </font>
    <font>
      <sz val="11"/>
      <color rgb="FF000000"/>
      <name val="Calibri"/>
      <family val="2"/>
    </font>
  </fonts>
  <fills count="11">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rgb="FFFFFFFF"/>
        <bgColor indexed="64"/>
      </patternFill>
    </fill>
    <fill>
      <patternFill patternType="solid">
        <fgColor rgb="FFFFFFFF"/>
        <bgColor rgb="FFFFFFFF"/>
      </patternFill>
    </fill>
    <fill>
      <patternFill patternType="solid">
        <fgColor rgb="FFFFC5C5"/>
        <bgColor indexed="64"/>
      </patternFill>
    </fill>
    <fill>
      <patternFill patternType="solid">
        <fgColor theme="0"/>
        <bgColor indexed="64"/>
      </patternFill>
    </fill>
    <fill>
      <patternFill patternType="solid">
        <fgColor theme="8" tint="0.39997558519241921"/>
        <bgColor indexed="64"/>
      </patternFill>
    </fill>
    <fill>
      <patternFill patternType="solid">
        <fgColor theme="7" tint="-0.499984740745262"/>
        <bgColor indexed="64"/>
      </patternFill>
    </fill>
    <fill>
      <patternFill patternType="solid">
        <fgColor theme="5" tint="-0.249977111117893"/>
        <bgColor indexed="64"/>
      </patternFill>
    </fill>
  </fills>
  <borders count="3">
    <border>
      <left/>
      <right/>
      <top/>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0" fontId="0" fillId="0" borderId="0" xfId="0" applyAlignment="1">
      <alignment horizontal="center" vertical="center"/>
    </xf>
    <xf numFmtId="0" fontId="2" fillId="4" borderId="0" xfId="0" applyFont="1" applyFill="1" applyAlignment="1">
      <alignment wrapText="1"/>
    </xf>
    <xf numFmtId="0" fontId="3" fillId="4" borderId="0" xfId="0" applyFont="1" applyFill="1" applyAlignment="1">
      <alignment vertical="center"/>
    </xf>
    <xf numFmtId="0" fontId="0" fillId="0" borderId="0" xfId="0" applyAlignment="1">
      <alignment horizontal="center"/>
    </xf>
    <xf numFmtId="0" fontId="2" fillId="4" borderId="0" xfId="0" applyFont="1" applyFill="1" applyAlignment="1">
      <alignment horizontal="center" wrapText="1"/>
    </xf>
    <xf numFmtId="0" fontId="2" fillId="5" borderId="0" xfId="0" applyFont="1" applyFill="1"/>
    <xf numFmtId="0" fontId="0" fillId="2" borderId="0" xfId="0" applyFill="1" applyAlignment="1">
      <alignment horizontal="center" vertical="top"/>
    </xf>
    <xf numFmtId="0" fontId="0" fillId="0" borderId="0" xfId="0" applyAlignment="1">
      <alignment vertical="top"/>
    </xf>
    <xf numFmtId="0" fontId="0" fillId="0" borderId="0" xfId="0" applyAlignment="1" applyProtection="1">
      <alignment horizontal="center"/>
      <protection locked="0"/>
    </xf>
    <xf numFmtId="0" fontId="0" fillId="0" borderId="0" xfId="0" applyProtection="1">
      <protection locked="0"/>
    </xf>
    <xf numFmtId="14" fontId="0" fillId="0" borderId="0" xfId="0" applyNumberFormat="1" applyProtection="1">
      <protection locked="0"/>
    </xf>
    <xf numFmtId="0" fontId="0" fillId="0" borderId="2" xfId="0" applyBorder="1" applyAlignment="1">
      <alignment horizontal="center" vertical="center"/>
    </xf>
    <xf numFmtId="0" fontId="2" fillId="0" borderId="2" xfId="0" applyFont="1" applyBorder="1" applyAlignment="1" applyProtection="1">
      <alignment vertical="center" wrapText="1"/>
      <protection locked="0"/>
    </xf>
    <xf numFmtId="0" fontId="0" fillId="0" borderId="2" xfId="0" applyBorder="1" applyAlignment="1" applyProtection="1">
      <alignment horizontal="center" vertical="center"/>
      <protection locked="0"/>
    </xf>
    <xf numFmtId="0" fontId="2" fillId="0" borderId="2" xfId="0" applyFont="1" applyBorder="1" applyAlignment="1" applyProtection="1">
      <alignment horizontal="center" vertical="center" wrapText="1"/>
      <protection locked="0"/>
    </xf>
    <xf numFmtId="0" fontId="8" fillId="0" borderId="2" xfId="0" applyFont="1" applyBorder="1" applyAlignment="1" applyProtection="1">
      <alignment vertical="center" wrapText="1"/>
      <protection locked="0"/>
    </xf>
    <xf numFmtId="0" fontId="7" fillId="0" borderId="2" xfId="0" applyFont="1" applyBorder="1" applyAlignment="1" applyProtection="1">
      <alignment horizontal="center" vertical="center" wrapText="1"/>
      <protection locked="0"/>
    </xf>
    <xf numFmtId="14" fontId="2" fillId="0" borderId="2" xfId="0" applyNumberFormat="1" applyFont="1" applyBorder="1" applyAlignment="1" applyProtection="1">
      <alignment horizontal="center" vertical="center" wrapText="1"/>
      <protection locked="0"/>
    </xf>
    <xf numFmtId="0" fontId="2" fillId="0" borderId="2" xfId="0" applyFont="1" applyBorder="1" applyAlignment="1" applyProtection="1">
      <alignment horizontal="center" vertical="center"/>
      <protection locked="0"/>
    </xf>
    <xf numFmtId="0" fontId="8" fillId="0" borderId="2" xfId="0" applyFont="1" applyBorder="1" applyAlignment="1" applyProtection="1">
      <alignment horizontal="center" vertical="center" wrapText="1"/>
      <protection locked="0"/>
    </xf>
    <xf numFmtId="0" fontId="0" fillId="0" borderId="2" xfId="0" applyBorder="1" applyAlignment="1" applyProtection="1">
      <alignment horizontal="left" vertical="center"/>
      <protection locked="0"/>
    </xf>
    <xf numFmtId="0" fontId="0" fillId="0" borderId="2" xfId="0" applyBorder="1" applyAlignment="1" applyProtection="1">
      <alignment vertical="center"/>
      <protection locked="0"/>
    </xf>
    <xf numFmtId="14" fontId="0" fillId="0" borderId="2" xfId="0" applyNumberFormat="1" applyBorder="1" applyAlignment="1" applyProtection="1">
      <alignment vertical="center"/>
      <protection locked="0"/>
    </xf>
    <xf numFmtId="0" fontId="0" fillId="0" borderId="0" xfId="0" applyAlignment="1" applyProtection="1">
      <alignment horizontal="center" vertical="center"/>
      <protection locked="0"/>
    </xf>
    <xf numFmtId="0" fontId="0" fillId="0" borderId="2" xfId="0" applyBorder="1" applyAlignment="1" applyProtection="1">
      <alignment vertical="center" wrapText="1"/>
      <protection locked="0"/>
    </xf>
    <xf numFmtId="14" fontId="0" fillId="0" borderId="2" xfId="0" applyNumberFormat="1" applyBorder="1" applyAlignment="1" applyProtection="1">
      <alignment horizontal="center" vertical="center" wrapText="1"/>
      <protection locked="0"/>
    </xf>
    <xf numFmtId="14" fontId="0" fillId="0" borderId="2" xfId="0" applyNumberFormat="1" applyBorder="1" applyAlignment="1" applyProtection="1">
      <alignment horizontal="center" vertical="center"/>
      <protection locked="0"/>
    </xf>
    <xf numFmtId="0" fontId="13" fillId="0" borderId="2" xfId="0" applyFont="1" applyBorder="1" applyAlignment="1" applyProtection="1">
      <alignment horizontal="center" vertical="center"/>
      <protection locked="0"/>
    </xf>
    <xf numFmtId="0" fontId="13" fillId="0" borderId="0" xfId="0" applyFont="1" applyAlignment="1" applyProtection="1">
      <alignment horizontal="center"/>
      <protection locked="0"/>
    </xf>
    <xf numFmtId="0" fontId="0" fillId="0" borderId="2" xfId="0" applyBorder="1" applyAlignment="1">
      <alignment horizontal="center" vertical="center" wrapText="1"/>
    </xf>
    <xf numFmtId="0" fontId="0" fillId="0" borderId="2" xfId="0" applyBorder="1" applyAlignment="1" applyProtection="1">
      <alignment horizontal="center" vertical="center" wrapText="1"/>
      <protection locked="0"/>
    </xf>
    <xf numFmtId="0" fontId="0" fillId="0" borderId="2" xfId="0" applyBorder="1" applyAlignment="1" applyProtection="1">
      <alignment horizontal="left" vertical="center" wrapText="1"/>
      <protection locked="0"/>
    </xf>
    <xf numFmtId="0" fontId="2" fillId="0" borderId="2" xfId="0" applyFont="1" applyBorder="1" applyAlignment="1" applyProtection="1">
      <alignment horizontal="left" vertical="center" wrapText="1"/>
      <protection locked="0"/>
    </xf>
    <xf numFmtId="0" fontId="0" fillId="7" borderId="2" xfId="0" applyFill="1" applyBorder="1" applyAlignment="1" applyProtection="1">
      <alignment horizontal="left" vertical="center"/>
      <protection locked="0"/>
    </xf>
    <xf numFmtId="0" fontId="2" fillId="0" borderId="2" xfId="0" applyFont="1" applyBorder="1" applyAlignment="1" applyProtection="1">
      <alignment horizontal="left" vertical="center"/>
      <protection locked="0"/>
    </xf>
    <xf numFmtId="0" fontId="0" fillId="0" borderId="0" xfId="0" applyAlignment="1" applyProtection="1">
      <alignment horizontal="left" vertical="center"/>
      <protection locked="0"/>
    </xf>
    <xf numFmtId="14" fontId="8" fillId="0" borderId="2" xfId="0" applyNumberFormat="1" applyFont="1" applyBorder="1" applyAlignment="1" applyProtection="1">
      <alignment horizontal="center" vertical="center" wrapText="1"/>
      <protection locked="0"/>
    </xf>
    <xf numFmtId="14" fontId="11" fillId="0" borderId="2" xfId="0" applyNumberFormat="1" applyFont="1" applyBorder="1" applyAlignment="1" applyProtection="1">
      <alignment horizontal="center" vertical="center"/>
      <protection locked="0"/>
    </xf>
    <xf numFmtId="14" fontId="0" fillId="0" borderId="0" xfId="0" applyNumberFormat="1" applyAlignment="1" applyProtection="1">
      <alignment horizontal="center" vertical="center"/>
      <protection locked="0"/>
    </xf>
    <xf numFmtId="0" fontId="0" fillId="6" borderId="2" xfId="0" applyFill="1" applyBorder="1" applyAlignment="1">
      <alignment horizontal="center" vertical="center"/>
    </xf>
    <xf numFmtId="0" fontId="0" fillId="6" borderId="2" xfId="0" applyFill="1" applyBorder="1" applyAlignment="1">
      <alignment horizontal="center" vertical="center" wrapText="1"/>
    </xf>
    <xf numFmtId="0" fontId="0" fillId="6" borderId="2" xfId="0" applyFill="1" applyBorder="1" applyAlignment="1">
      <alignment vertical="center"/>
    </xf>
    <xf numFmtId="0" fontId="18" fillId="4" borderId="0" xfId="0" applyFont="1" applyFill="1" applyAlignment="1">
      <alignment vertical="center"/>
    </xf>
    <xf numFmtId="0" fontId="18" fillId="4" borderId="0" xfId="0" applyFont="1" applyFill="1" applyAlignment="1">
      <alignment wrapText="1"/>
    </xf>
    <xf numFmtId="0" fontId="19" fillId="0" borderId="0" xfId="0" applyFont="1"/>
    <xf numFmtId="14" fontId="14" fillId="0" borderId="2" xfId="0" applyNumberFormat="1" applyFont="1" applyBorder="1" applyAlignment="1" applyProtection="1">
      <alignment horizontal="center"/>
      <protection locked="0"/>
    </xf>
    <xf numFmtId="0" fontId="12" fillId="0" borderId="2" xfId="0" applyFont="1" applyBorder="1" applyAlignment="1" applyProtection="1">
      <alignment vertical="center"/>
      <protection locked="0"/>
    </xf>
    <xf numFmtId="0" fontId="10" fillId="0" borderId="2" xfId="0" applyFont="1" applyBorder="1" applyAlignment="1" applyProtection="1">
      <alignment wrapText="1"/>
      <protection locked="0"/>
    </xf>
    <xf numFmtId="0" fontId="0" fillId="6" borderId="2" xfId="0" applyFill="1" applyBorder="1" applyAlignment="1">
      <alignment vertical="center" wrapText="1"/>
    </xf>
    <xf numFmtId="0" fontId="15" fillId="8" borderId="0" xfId="0" applyFont="1" applyFill="1" applyAlignment="1">
      <alignment horizontal="center" vertical="center"/>
    </xf>
    <xf numFmtId="0" fontId="15" fillId="8" borderId="0" xfId="0" applyFont="1" applyFill="1" applyAlignment="1">
      <alignment horizontal="center" vertical="center" wrapText="1"/>
    </xf>
    <xf numFmtId="0" fontId="16" fillId="8" borderId="0" xfId="0" applyFont="1" applyFill="1" applyAlignment="1">
      <alignment horizontal="center" vertical="center"/>
    </xf>
    <xf numFmtId="14" fontId="17" fillId="8" borderId="0" xfId="0" applyNumberFormat="1" applyFont="1" applyFill="1" applyAlignment="1">
      <alignment horizontal="center" vertical="center" wrapText="1"/>
    </xf>
    <xf numFmtId="14" fontId="1" fillId="9" borderId="0" xfId="0" applyNumberFormat="1" applyFont="1" applyFill="1" applyAlignment="1">
      <alignment horizontal="center" vertical="center" wrapText="1"/>
    </xf>
    <xf numFmtId="14" fontId="9" fillId="9" borderId="0" xfId="0" applyNumberFormat="1" applyFont="1" applyFill="1" applyAlignment="1">
      <alignment horizontal="center" vertical="center" wrapText="1"/>
    </xf>
    <xf numFmtId="14" fontId="1" fillId="9"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0" fillId="3" borderId="0" xfId="0" applyFill="1" applyAlignment="1">
      <alignment horizontal="center" vertical="center" wrapText="1"/>
    </xf>
    <xf numFmtId="0" fontId="0" fillId="0" borderId="0" xfId="0" applyAlignment="1" applyProtection="1">
      <alignment wrapText="1"/>
      <protection locked="0"/>
    </xf>
    <xf numFmtId="0" fontId="20" fillId="0" borderId="0" xfId="0" applyFont="1" applyProtection="1">
      <protection locked="0"/>
    </xf>
    <xf numFmtId="14" fontId="0" fillId="0" borderId="2" xfId="0" applyNumberFormat="1" applyBorder="1" applyAlignment="1" applyProtection="1">
      <alignment vertical="center" wrapText="1"/>
      <protection locked="0"/>
    </xf>
    <xf numFmtId="0" fontId="0" fillId="0" borderId="0" xfId="0" applyNumberFormat="1"/>
    <xf numFmtId="0" fontId="0" fillId="0" borderId="0" xfId="0" applyNumberFormat="1" applyAlignment="1">
      <alignment horizontal="center"/>
    </xf>
  </cellXfs>
  <cellStyles count="1">
    <cellStyle name="Normal" xfId="0" builtinId="0"/>
  </cellStyles>
  <dxfs count="37">
    <dxf>
      <numFmt numFmtId="0" formatCode="General"/>
    </dxf>
    <dxf>
      <numFmt numFmtId="0" formatCode="General"/>
    </dxf>
    <dxf>
      <numFmt numFmtId="0" formatCode="General"/>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1"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0" formatCode="General"/>
      <fill>
        <patternFill patternType="solid">
          <fgColor indexed="64"/>
          <bgColor rgb="FFFFC5C5"/>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9" formatCode="dd/mm/yyyy"/>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font>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textRotation="0" indent="0" justifyLastLine="0" shrinkToFit="0" readingOrder="0"/>
    </dxf>
    <dxf>
      <alignment horizontal="center" vertical="top" textRotation="0" indent="0" justifyLastLine="0" shrinkToFit="0" readingOrder="0"/>
    </dxf>
  </dxfs>
  <tableStyles count="0" defaultTableStyle="TableStyleMedium2" defaultPivotStyle="PivotStyleLight16"/>
  <colors>
    <mruColors>
      <color rgb="FFFFC5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connections" Target="connection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16</xdr:col>
      <xdr:colOff>1314450</xdr:colOff>
      <xdr:row>245</xdr:row>
      <xdr:rowOff>0</xdr:rowOff>
    </xdr:from>
    <xdr:ext cx="184731" cy="264560"/>
    <xdr:sp macro="" textlink="">
      <xdr:nvSpPr>
        <xdr:cNvPr id="12" name="CaixaDeTexto 11">
          <a:extLst>
            <a:ext uri="{FF2B5EF4-FFF2-40B4-BE49-F238E27FC236}">
              <a16:creationId xmlns:a16="http://schemas.microsoft.com/office/drawing/2014/main" id="{C0D0B432-8808-E101-96C9-A52FA9314447}"/>
            </a:ext>
          </a:extLst>
        </xdr:cNvPr>
        <xdr:cNvSpPr txBox="1"/>
      </xdr:nvSpPr>
      <xdr:spPr>
        <a:xfrm>
          <a:off x="20507325" y="2809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pt-BR" sz="1100"/>
        </a:p>
      </xdr:txBody>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251AB11A-0DE7-46B4-83EB-B73301DE5237}">
    <nsvFilter filterId="{E165F8BA-DDD4-4801-9886-F4BA0F4995B3}" ref="A1:AF735" tableId="2"/>
  </namedSheetView>
</namedSheetView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78C81CB-7FEA-4A9E-87C8-18965E63ACD7}" autoFormatId="16" applyNumberFormats="0" applyBorderFormats="0" applyFontFormats="0" applyPatternFormats="0" applyAlignmentFormats="0" applyWidthHeightFormats="0">
  <queryTableRefresh nextId="27">
    <queryTableFields count="3">
      <queryTableField id="1" name="ATUALIZADO EM 17/07/2023" tableColumnId="1"/>
      <queryTableField id="2" name="SIGLA ARTE" tableColumnId="2"/>
      <queryTableField id="3" name="CRÉDITO A SER PUBLICADO" tableColumnId="3"/>
    </queryTableFields>
    <queryTableDeletedFields count="23">
      <deletedField name="Column4"/>
      <deletedField name="Column5"/>
      <deletedField name="Column6"/>
      <deletedField name="Column7"/>
      <deletedField name="Column8"/>
      <deletedField name="Column9"/>
      <deletedField name="Column10"/>
      <deletedField name="Column11"/>
      <deletedField name="Column12"/>
      <deletedField name="Column13"/>
      <deletedField name="Column14"/>
      <deletedField name="Column15"/>
      <deletedField name="Column16"/>
      <deletedField name="Column17"/>
      <deletedField name="Column18"/>
      <deletedField name="Column19"/>
      <deletedField name="Column20"/>
      <deletedField name="Column21"/>
      <deletedField name="Column22"/>
      <deletedField name="Column23"/>
      <deletedField name="Column24"/>
      <deletedField name="Column25"/>
      <deletedField name="Column26"/>
    </queryTableDeleted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65F8BA-DDD4-4801-9886-F4BA0F4995B3}" name="STAT" displayName="STAT" ref="A1:AF735" totalsRowShown="0" headerRowDxfId="36" dataDxfId="35">
  <autoFilter ref="A1:AF735" xr:uid="{E165F8BA-DDD4-4801-9886-F4BA0F4995B3}">
    <filterColumn colId="5">
      <filters>
        <filter val="MC"/>
      </filters>
    </filterColumn>
  </autoFilter>
  <tableColumns count="32">
    <tableColumn id="2" xr3:uid="{686FFB2D-2980-4B48-8ADD-968DC53851EC}" name="CÓD. NUMÉRICO" dataDxfId="34">
      <calculatedColumnFormula array="1">IF(STAT[[#This Row],[retranca]]="","",       RegxFunc(STAT[[#This Row],[retranca]],  "\w\d{4}\w*_\d")     )</calculatedColumnFormula>
    </tableColumn>
    <tableColumn id="3" xr3:uid="{79764688-5733-4708-A963-D86A93E99502}" name="retranca" dataDxfId="33"/>
    <tableColumn id="4" xr3:uid="{F4D6860E-F9E5-4226-BE4A-085EF905E108}" name="status" dataDxfId="32"/>
    <tableColumn id="5" xr3:uid="{FDA8529D-7CC0-4CF4-BA4D-F3B1985DD80F}" name="categoria" dataDxfId="31"/>
    <tableColumn id="6" xr3:uid="{2A270988-BF58-44CE-9E7C-6612F7F6084C}" name="localizacao" dataDxfId="30"/>
    <tableColumn id="7" xr3:uid="{A5CCE7ED-62A7-49A8-A1B4-83ABB42FA914}" name="pagina" dataDxfId="29"/>
    <tableColumn id="8" xr3:uid="{A5570D63-BA8F-4145-833D-523E6552C87E}" name="volume" dataDxfId="28"/>
    <tableColumn id="9" xr3:uid="{2EC71D1F-A09E-422E-A999-F0DBEE2397B5}" name="unidade" dataDxfId="27"/>
    <tableColumn id="10" xr3:uid="{8618B8D2-1763-4CBF-80BA-D247CCCCEA59}" name="capitulo_secao" dataDxfId="26"/>
    <tableColumn id="11" xr3:uid="{77BEDB7B-AFF9-4F1B-8960-96986297B9A5}" name="tipo" dataDxfId="25"/>
    <tableColumn id="12" xr3:uid="{D83F2011-5608-40C2-B53B-ADEFB7F72300}" name="NOME DA OBRA_x000a_ PARA RESGATE" dataDxfId="24"/>
    <tableColumn id="13" xr3:uid="{041164D8-7ACF-4F23-8368-3CEDCDB81B36}" name="PÁGINA PARA RESGATE" dataDxfId="23"/>
    <tableColumn id="14" xr3:uid="{32A0632B-7090-4A4F-A498-1A50C1E4292B}" name="VOLUME PARA RESGATE" dataDxfId="22"/>
    <tableColumn id="15" xr3:uid="{33113DA6-0281-4B34-97EA-B026FCC0150B}" name="VERSÃO PARA RESGATE" dataDxfId="21"/>
    <tableColumn id="16" xr3:uid="{4BE61EEA-04AD-4387-B63C-CCA491EDFF45}" name="PROPRIEDADE" dataDxfId="20"/>
    <tableColumn id="17" xr3:uid="{D3FCFCEA-5D20-4890-9D85-6C559107F5BC}" name="descricao" dataDxfId="19"/>
    <tableColumn id="18" xr3:uid="{AFDC836B-0B0F-4BF1-8DAE-3BED3D2F3C48}" name="ilustrador_resgate" dataDxfId="18"/>
    <tableColumn id="19" xr3:uid="{AF7AB69E-A7C9-4096-9602-FA4522964412}" name="observacao_edit_nuc" dataDxfId="17"/>
    <tableColumn id="20" xr3:uid="{B3D4B613-E88D-4AA4-A701-0DBACE65F8D3}" name="lote" dataDxfId="16"/>
    <tableColumn id="21" xr3:uid="{29D024E0-DD1A-4F91-B77D-DCDB3792B910}" name="data_liberacao_para_arte" dataDxfId="15"/>
    <tableColumn id="22" xr3:uid="{94F986EF-B305-46B7-B347-208C3C3890F3}" name="data_envio_pedido" dataDxfId="14"/>
    <tableColumn id="24" xr3:uid="{A3F57D5C-FA07-4CEE-944E-5608AF1387BF}" name="data_recebimento_rafe" dataDxfId="13"/>
    <tableColumn id="25" xr3:uid="{7E9ADEC2-5BFD-40AE-AE14-FC125C946342}" name="data_retorno_rafe" dataDxfId="12"/>
    <tableColumn id="26" xr3:uid="{8ADF9C41-1FF9-4047-95F3-F97562561A4E}" name="data_recebimento_finalizada" dataDxfId="11"/>
    <tableColumn id="27" xr3:uid="{15CF7325-8A27-4785-A934-4EE5126711CF}" name="sigla" dataDxfId="10"/>
    <tableColumn id="28" xr3:uid="{CCE623E1-CEC9-425E-9B31-18F88A3F8ABD}" name="ilustrador" dataDxfId="9">
      <calculatedColumnFormula>IF(STAT[[#This Row],[sigla]]="","",VLOOKUP(STAT[[#This Row],[sigla]],CRÉDITOS_GERAIS[[sigla]:[credito]],2,))</calculatedColumnFormula>
    </tableColumn>
    <tableColumn id="29" xr3:uid="{3491B0AF-2F14-437E-8820-D238F07CCCAC}" name="ilustrador_ajuste" dataDxfId="8"/>
    <tableColumn id="31" xr3:uid="{D13CC50C-B3FE-49D0-90E2-7AB224ABA24A}" name="credito" dataDxfId="7"/>
    <tableColumn id="32" xr3:uid="{1CB107D6-30FB-49EC-A905-43B220FEB055}" name="classificacao" dataDxfId="6"/>
    <tableColumn id="33" xr3:uid="{1E6AA802-AB3F-4E96-93BC-B545A284E41E}" name="observacao_arte" dataDxfId="5"/>
    <tableColumn id="30" xr3:uid="{02C0DC24-AF57-4413-ACC4-230A6ADA34D8}" name="pagamento" dataDxfId="4"/>
    <tableColumn id="1" xr3:uid="{CA1FF9FD-BA57-410B-A1F0-55AE85063DE2}" name="PROJETO" dataDxfId="3">
      <calculatedColumnFormula>"P007"</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D5958E-A970-4689-B351-117F8F9C0D41}" name="CRÉDITOS_GERAIS" displayName="CRÉDITOS_GERAIS" ref="A1:C335" tableType="queryTable" totalsRowShown="0">
  <autoFilter ref="A1:C335" xr:uid="{71D5958E-A970-4689-B351-117F8F9C0D41}"/>
  <tableColumns count="3">
    <tableColumn id="1" xr3:uid="{830F9760-0A31-4623-BA4E-A6C7430EE582}" uniqueName="1" name="nome" queryTableFieldId="1" dataDxfId="2"/>
    <tableColumn id="2" xr3:uid="{B6080DC4-737F-4E0F-87E5-868992E9A396}" uniqueName="2" name="sigla" queryTableFieldId="2" dataDxfId="1"/>
    <tableColumn id="3" xr3:uid="{377BB2C8-21FB-47A3-BE68-33E00A24818B}" uniqueName="3" name="credito" queryTableFieldId="3" dataDxfId="0"/>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namedSheetView" Target="../namedSheetViews/namedSheetView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F9F0B-776B-4BCA-8B21-F3103B732D38}">
  <sheetPr codeName="Planilha1"/>
  <dimension ref="A1:AF737"/>
  <sheetViews>
    <sheetView topLeftCell="B1" zoomScale="85" zoomScaleNormal="85" workbookViewId="0">
      <selection activeCell="G145" sqref="G145"/>
    </sheetView>
  </sheetViews>
  <sheetFormatPr defaultRowHeight="14.4" x14ac:dyDescent="0.3"/>
  <cols>
    <col min="1" max="1" width="20.5546875" style="4" hidden="1" customWidth="1"/>
    <col min="2" max="2" width="30.44140625" style="24" customWidth="1"/>
    <col min="3" max="3" width="20.109375" style="9" customWidth="1"/>
    <col min="4" max="4" width="19.5546875" style="9" customWidth="1"/>
    <col min="5" max="5" width="16.6640625" style="9" customWidth="1"/>
    <col min="6" max="6" width="15" style="9" customWidth="1"/>
    <col min="7" max="8" width="15.6640625" style="9" customWidth="1"/>
    <col min="9" max="9" width="17.44140625" style="9" customWidth="1"/>
    <col min="10" max="10" width="13.44140625" style="29" customWidth="1"/>
    <col min="11" max="11" width="40" style="24" hidden="1" customWidth="1"/>
    <col min="12" max="12" width="16.6640625" style="9" hidden="1" customWidth="1"/>
    <col min="13" max="13" width="17.44140625" style="9" hidden="1" customWidth="1"/>
    <col min="14" max="15" width="15.88671875" style="9" hidden="1" customWidth="1"/>
    <col min="16" max="16" width="88.88671875" style="61" customWidth="1"/>
    <col min="17" max="17" width="39.33203125" style="10" customWidth="1"/>
    <col min="18" max="18" width="48" style="10" customWidth="1"/>
    <col min="19" max="19" width="11.33203125" style="10" customWidth="1"/>
    <col min="20" max="20" width="20.6640625" style="11" customWidth="1"/>
    <col min="21" max="21" width="15.5546875" style="11" customWidth="1"/>
    <col min="22" max="22" width="15.44140625" style="11" customWidth="1"/>
    <col min="23" max="23" width="15" style="11" customWidth="1"/>
    <col min="24" max="24" width="15.33203125" style="11" customWidth="1"/>
    <col min="25" max="25" width="11.33203125" style="10" customWidth="1"/>
    <col min="26" max="26" width="41.44140625" customWidth="1"/>
    <col min="27" max="27" width="38.6640625" style="10" customWidth="1"/>
    <col min="28" max="28" width="40.109375" style="10" bestFit="1" customWidth="1"/>
    <col min="29" max="29" width="17.109375" style="10" bestFit="1" customWidth="1"/>
    <col min="30" max="30" width="39.33203125" style="10" bestFit="1" customWidth="1"/>
    <col min="31" max="31" width="18.33203125" style="10" customWidth="1"/>
    <col min="32" max="32" width="35.88671875" customWidth="1"/>
  </cols>
  <sheetData>
    <row r="1" spans="1:32" s="8" customFormat="1" ht="28.8" x14ac:dyDescent="0.3">
      <c r="A1" s="7" t="s">
        <v>0</v>
      </c>
      <c r="B1" s="50" t="s">
        <v>2465</v>
      </c>
      <c r="C1" s="50" t="s">
        <v>2466</v>
      </c>
      <c r="D1" s="50" t="s">
        <v>2467</v>
      </c>
      <c r="E1" s="50" t="s">
        <v>2468</v>
      </c>
      <c r="F1" s="50" t="s">
        <v>2469</v>
      </c>
      <c r="G1" s="50" t="s">
        <v>2470</v>
      </c>
      <c r="H1" s="50" t="s">
        <v>2471</v>
      </c>
      <c r="I1" s="51" t="s">
        <v>2472</v>
      </c>
      <c r="J1" s="52" t="s">
        <v>2473</v>
      </c>
      <c r="K1" s="51" t="s">
        <v>1</v>
      </c>
      <c r="L1" s="51" t="s">
        <v>2</v>
      </c>
      <c r="M1" s="51" t="s">
        <v>3</v>
      </c>
      <c r="N1" s="51" t="s">
        <v>4</v>
      </c>
      <c r="O1" s="50" t="s">
        <v>5</v>
      </c>
      <c r="P1" s="51" t="s">
        <v>2474</v>
      </c>
      <c r="Q1" s="50" t="s">
        <v>2475</v>
      </c>
      <c r="R1" s="51" t="s">
        <v>2477</v>
      </c>
      <c r="S1" s="50" t="s">
        <v>2476</v>
      </c>
      <c r="T1" s="53" t="s">
        <v>2478</v>
      </c>
      <c r="U1" s="54" t="s">
        <v>2479</v>
      </c>
      <c r="V1" s="54" t="s">
        <v>2480</v>
      </c>
      <c r="W1" s="55" t="s">
        <v>2481</v>
      </c>
      <c r="X1" s="56" t="s">
        <v>2482</v>
      </c>
      <c r="Y1" s="57" t="s">
        <v>2489</v>
      </c>
      <c r="Z1" s="58" t="s">
        <v>2485</v>
      </c>
      <c r="AA1" s="58" t="s">
        <v>2486</v>
      </c>
      <c r="AB1" s="59" t="s">
        <v>2487</v>
      </c>
      <c r="AC1" s="58" t="s">
        <v>2483</v>
      </c>
      <c r="AD1" s="58" t="s">
        <v>2484</v>
      </c>
      <c r="AE1" s="60" t="s">
        <v>2488</v>
      </c>
      <c r="AF1" s="1" t="s">
        <v>6</v>
      </c>
    </row>
    <row r="2" spans="1:32" ht="57.6" hidden="1" x14ac:dyDescent="0.3">
      <c r="A2" s="12" t="e" cm="1">
        <f t="array" aca="1" ref="A2" ca="1">IF(STAT[[#This Row],[retranca]]="","",       RegxFunc(STAT[[#This Row],[retranca]],  "\w\d{4}\w*_\d")     )</f>
        <v>#NAME?</v>
      </c>
      <c r="B2" s="32" t="s">
        <v>7</v>
      </c>
      <c r="C2" s="14" t="s">
        <v>8</v>
      </c>
      <c r="D2" s="14" t="s">
        <v>9</v>
      </c>
      <c r="E2" s="14" t="s">
        <v>10</v>
      </c>
      <c r="F2" s="14"/>
      <c r="G2" s="14">
        <v>3</v>
      </c>
      <c r="H2" s="14">
        <v>1</v>
      </c>
      <c r="I2" s="14"/>
      <c r="J2" s="28" t="s">
        <v>11</v>
      </c>
      <c r="K2" s="36" t="s">
        <v>12</v>
      </c>
      <c r="L2" s="14">
        <v>45</v>
      </c>
      <c r="M2" s="14" t="s">
        <v>13</v>
      </c>
      <c r="N2" s="14" t="s">
        <v>14</v>
      </c>
      <c r="O2" s="14"/>
      <c r="P2" s="25" t="s">
        <v>15</v>
      </c>
      <c r="Q2" s="22" t="s">
        <v>16</v>
      </c>
      <c r="R2" s="22"/>
      <c r="S2" s="14"/>
      <c r="T2" s="27"/>
      <c r="U2" s="27"/>
      <c r="V2" s="27"/>
      <c r="W2" s="27"/>
      <c r="X2" s="27"/>
      <c r="Y2" s="14"/>
      <c r="Z2" s="40" t="str">
        <f>IF(STAT[[#This Row],[sigla]]="","",VLOOKUP(STAT[[#This Row],[sigla]],CRÉDITOS_GERAIS[[sigla]:[credito]],2,))</f>
        <v/>
      </c>
      <c r="AA2" s="14"/>
      <c r="AB2" s="14" t="str">
        <f>STAT[[#This Row],[ilustrador]]</f>
        <v/>
      </c>
      <c r="AC2" s="14"/>
      <c r="AD2" s="22"/>
      <c r="AE2" s="14"/>
      <c r="AF2" s="42" t="str">
        <f t="shared" ref="AF2:AF65" si="0">"P007"</f>
        <v>P007</v>
      </c>
    </row>
    <row r="3" spans="1:32" ht="57.6" hidden="1" x14ac:dyDescent="0.3">
      <c r="A3" s="12" t="e" cm="1">
        <f t="array" aca="1" ref="A3" ca="1">IF(STAT[[#This Row],[retranca]]="","",       RegxFunc(STAT[[#This Row],[retranca]],  "\w\d{4}\w*_\d")     )</f>
        <v>#NAME?</v>
      </c>
      <c r="B3" s="32" t="s">
        <v>17</v>
      </c>
      <c r="C3" s="14" t="s">
        <v>8</v>
      </c>
      <c r="D3" s="14" t="s">
        <v>9</v>
      </c>
      <c r="E3" s="14" t="s">
        <v>10</v>
      </c>
      <c r="F3" s="14"/>
      <c r="G3" s="14">
        <v>3</v>
      </c>
      <c r="H3" s="14">
        <v>1</v>
      </c>
      <c r="I3" s="14"/>
      <c r="J3" s="28" t="s">
        <v>18</v>
      </c>
      <c r="K3" s="36" t="s">
        <v>19</v>
      </c>
      <c r="L3" s="14">
        <v>27</v>
      </c>
      <c r="M3" s="14" t="s">
        <v>20</v>
      </c>
      <c r="N3" s="14" t="s">
        <v>14</v>
      </c>
      <c r="O3" s="14"/>
      <c r="P3" s="25" t="s">
        <v>21</v>
      </c>
      <c r="Q3" s="22" t="s">
        <v>22</v>
      </c>
      <c r="R3" s="22"/>
      <c r="S3" s="14"/>
      <c r="T3" s="27"/>
      <c r="U3" s="27"/>
      <c r="V3" s="27"/>
      <c r="W3" s="27"/>
      <c r="X3" s="27"/>
      <c r="Y3" s="14" t="s">
        <v>23</v>
      </c>
      <c r="Z3" s="40" t="str">
        <f>IF(STAT[[#This Row],[sigla]]="","",VLOOKUP(STAT[[#This Row],[sigla]],CRÉDITOS_GERAIS[[sigla]:[credito]],2,))</f>
        <v>Thamires Paredes</v>
      </c>
      <c r="AA3" s="14" t="s">
        <v>24</v>
      </c>
      <c r="AB3" s="14" t="str">
        <f>STAT[[#This Row],[ilustrador]]</f>
        <v>Thamires Paredes</v>
      </c>
      <c r="AC3" s="14">
        <v>13</v>
      </c>
      <c r="AD3" s="25" t="s">
        <v>25</v>
      </c>
      <c r="AE3" s="14"/>
      <c r="AF3" s="42" t="str">
        <f t="shared" si="0"/>
        <v>P007</v>
      </c>
    </row>
    <row r="4" spans="1:32" ht="57.6" hidden="1" x14ac:dyDescent="0.3">
      <c r="A4" s="12" t="e" cm="1">
        <f t="array" aca="1" ref="A4" ca="1">IF(STAT[[#This Row],[retranca]]="","",       RegxFunc(STAT[[#This Row],[retranca]],  "\w\d{4}\w*_\d")     )</f>
        <v>#NAME?</v>
      </c>
      <c r="B4" s="32" t="s">
        <v>26</v>
      </c>
      <c r="C4" s="14" t="s">
        <v>8</v>
      </c>
      <c r="D4" s="14" t="s">
        <v>9</v>
      </c>
      <c r="E4" s="14" t="s">
        <v>10</v>
      </c>
      <c r="F4" s="14"/>
      <c r="G4" s="14">
        <v>3</v>
      </c>
      <c r="H4" s="14">
        <v>1</v>
      </c>
      <c r="I4" s="14"/>
      <c r="J4" s="28" t="s">
        <v>18</v>
      </c>
      <c r="K4" s="36" t="s">
        <v>27</v>
      </c>
      <c r="L4" s="14">
        <v>27</v>
      </c>
      <c r="M4" s="14" t="s">
        <v>20</v>
      </c>
      <c r="N4" s="14" t="s">
        <v>14</v>
      </c>
      <c r="O4" s="14"/>
      <c r="P4" s="25" t="s">
        <v>28</v>
      </c>
      <c r="Q4" s="22" t="s">
        <v>22</v>
      </c>
      <c r="R4" s="22"/>
      <c r="S4" s="14"/>
      <c r="T4" s="27"/>
      <c r="U4" s="27"/>
      <c r="V4" s="27"/>
      <c r="W4" s="27"/>
      <c r="X4" s="27"/>
      <c r="Y4" s="14" t="s">
        <v>23</v>
      </c>
      <c r="Z4" s="40" t="str">
        <f>IF(STAT[[#This Row],[sigla]]="","",VLOOKUP(STAT[[#This Row],[sigla]],CRÉDITOS_GERAIS[[sigla]:[credito]],2,))</f>
        <v>Thamires Paredes</v>
      </c>
      <c r="AA4" s="14" t="s">
        <v>24</v>
      </c>
      <c r="AB4" s="14" t="str">
        <f>STAT[[#This Row],[ilustrador]]</f>
        <v>Thamires Paredes</v>
      </c>
      <c r="AC4" s="14">
        <v>13</v>
      </c>
      <c r="AD4" s="25" t="s">
        <v>25</v>
      </c>
      <c r="AE4" s="14"/>
      <c r="AF4" s="42" t="str">
        <f t="shared" si="0"/>
        <v>P007</v>
      </c>
    </row>
    <row r="5" spans="1:32" ht="57.6" hidden="1" x14ac:dyDescent="0.3">
      <c r="A5" s="12" t="e" cm="1">
        <f t="array" aca="1" ref="A5" ca="1">IF(STAT[[#This Row],[retranca]]="","",       RegxFunc(STAT[[#This Row],[retranca]],  "\w\d{4}\w*_\d")     )</f>
        <v>#NAME?</v>
      </c>
      <c r="B5" s="32" t="s">
        <v>29</v>
      </c>
      <c r="C5" s="14" t="s">
        <v>8</v>
      </c>
      <c r="D5" s="14" t="s">
        <v>9</v>
      </c>
      <c r="E5" s="14" t="s">
        <v>10</v>
      </c>
      <c r="F5" s="14"/>
      <c r="G5" s="14">
        <v>3</v>
      </c>
      <c r="H5" s="14">
        <v>1</v>
      </c>
      <c r="I5" s="14"/>
      <c r="J5" s="28" t="s">
        <v>18</v>
      </c>
      <c r="K5" s="36" t="s">
        <v>30</v>
      </c>
      <c r="L5" s="14">
        <v>27</v>
      </c>
      <c r="M5" s="14" t="s">
        <v>20</v>
      </c>
      <c r="N5" s="14" t="s">
        <v>14</v>
      </c>
      <c r="O5" s="14"/>
      <c r="P5" s="25" t="s">
        <v>31</v>
      </c>
      <c r="Q5" s="22" t="s">
        <v>22</v>
      </c>
      <c r="R5" s="22"/>
      <c r="S5" s="14"/>
      <c r="T5" s="27"/>
      <c r="U5" s="27"/>
      <c r="V5" s="27"/>
      <c r="W5" s="27"/>
      <c r="X5" s="27"/>
      <c r="Y5" s="14" t="s">
        <v>23</v>
      </c>
      <c r="Z5" s="40" t="str">
        <f>IF(STAT[[#This Row],[sigla]]="","",VLOOKUP(STAT[[#This Row],[sigla]],CRÉDITOS_GERAIS[[sigla]:[credito]],2,))</f>
        <v>Thamires Paredes</v>
      </c>
      <c r="AA5" s="14" t="s">
        <v>24</v>
      </c>
      <c r="AB5" s="14" t="str">
        <f>STAT[[#This Row],[ilustrador]]</f>
        <v>Thamires Paredes</v>
      </c>
      <c r="AC5" s="14">
        <v>13</v>
      </c>
      <c r="AD5" s="25" t="s">
        <v>25</v>
      </c>
      <c r="AE5" s="14"/>
      <c r="AF5" s="42" t="str">
        <f t="shared" si="0"/>
        <v>P007</v>
      </c>
    </row>
    <row r="6" spans="1:32" ht="57.6" hidden="1" x14ac:dyDescent="0.3">
      <c r="A6" s="12" t="e" cm="1">
        <f t="array" aca="1" ref="A6" ca="1">IF(STAT[[#This Row],[retranca]]="","",       RegxFunc(STAT[[#This Row],[retranca]],  "\w\d{4}\w*_\d")     )</f>
        <v>#NAME?</v>
      </c>
      <c r="B6" s="32" t="s">
        <v>32</v>
      </c>
      <c r="C6" s="14" t="s">
        <v>8</v>
      </c>
      <c r="D6" s="14" t="s">
        <v>9</v>
      </c>
      <c r="E6" s="14" t="s">
        <v>10</v>
      </c>
      <c r="F6" s="14"/>
      <c r="G6" s="14">
        <v>3</v>
      </c>
      <c r="H6" s="14">
        <v>1</v>
      </c>
      <c r="I6" s="14"/>
      <c r="J6" s="28" t="s">
        <v>18</v>
      </c>
      <c r="K6" s="36" t="s">
        <v>33</v>
      </c>
      <c r="L6" s="14">
        <v>27</v>
      </c>
      <c r="M6" s="14" t="s">
        <v>20</v>
      </c>
      <c r="N6" s="14" t="s">
        <v>14</v>
      </c>
      <c r="O6" s="14"/>
      <c r="P6" s="25" t="s">
        <v>34</v>
      </c>
      <c r="Q6" s="22" t="s">
        <v>22</v>
      </c>
      <c r="R6" s="22"/>
      <c r="S6" s="14"/>
      <c r="T6" s="27"/>
      <c r="U6" s="27"/>
      <c r="V6" s="27"/>
      <c r="W6" s="27"/>
      <c r="X6" s="27"/>
      <c r="Y6" s="14" t="s">
        <v>23</v>
      </c>
      <c r="Z6" s="40" t="str">
        <f>IF(STAT[[#This Row],[sigla]]="","",VLOOKUP(STAT[[#This Row],[sigla]],CRÉDITOS_GERAIS[[sigla]:[credito]],2,))</f>
        <v>Thamires Paredes</v>
      </c>
      <c r="AA6" s="14" t="s">
        <v>24</v>
      </c>
      <c r="AB6" s="14" t="str">
        <f>STAT[[#This Row],[ilustrador]]</f>
        <v>Thamires Paredes</v>
      </c>
      <c r="AC6" s="14">
        <v>13</v>
      </c>
      <c r="AD6" s="25" t="s">
        <v>25</v>
      </c>
      <c r="AE6" s="14"/>
      <c r="AF6" s="42" t="str">
        <f t="shared" si="0"/>
        <v>P007</v>
      </c>
    </row>
    <row r="7" spans="1:32" ht="72" hidden="1" x14ac:dyDescent="0.3">
      <c r="A7" s="12" t="e" cm="1">
        <f t="array" aca="1" ref="A7" ca="1">IF(STAT[[#This Row],[retranca]]="","",       RegxFunc(STAT[[#This Row],[retranca]],  "\w\d{4}\w*_\d")     )</f>
        <v>#NAME?</v>
      </c>
      <c r="B7" s="32" t="s">
        <v>35</v>
      </c>
      <c r="C7" s="14" t="s">
        <v>8</v>
      </c>
      <c r="D7" s="14" t="s">
        <v>9</v>
      </c>
      <c r="E7" s="14" t="s">
        <v>10</v>
      </c>
      <c r="F7" s="14"/>
      <c r="G7" s="14">
        <v>3</v>
      </c>
      <c r="H7" s="14">
        <v>1</v>
      </c>
      <c r="I7" s="14"/>
      <c r="J7" s="28" t="s">
        <v>18</v>
      </c>
      <c r="K7" s="36" t="s">
        <v>36</v>
      </c>
      <c r="L7" s="14">
        <v>76</v>
      </c>
      <c r="M7" s="14" t="s">
        <v>37</v>
      </c>
      <c r="N7" s="14" t="s">
        <v>14</v>
      </c>
      <c r="O7" s="14"/>
      <c r="P7" s="25" t="s">
        <v>38</v>
      </c>
      <c r="Q7" s="22" t="s">
        <v>39</v>
      </c>
      <c r="R7" s="22"/>
      <c r="S7" s="14"/>
      <c r="T7" s="27"/>
      <c r="U7" s="27"/>
      <c r="V7" s="27"/>
      <c r="W7" s="27"/>
      <c r="X7" s="27"/>
      <c r="Y7" s="14" t="s">
        <v>23</v>
      </c>
      <c r="Z7" s="40" t="str">
        <f>IF(STAT[[#This Row],[sigla]]="","",VLOOKUP(STAT[[#This Row],[sigla]],CRÉDITOS_GERAIS[[sigla]:[credito]],2,))</f>
        <v>Thamires Paredes</v>
      </c>
      <c r="AA7" s="14" t="s">
        <v>24</v>
      </c>
      <c r="AB7" s="14" t="str">
        <f>STAT[[#This Row],[ilustrador]]</f>
        <v>Thamires Paredes</v>
      </c>
      <c r="AC7" s="14">
        <v>13</v>
      </c>
      <c r="AD7" s="25" t="s">
        <v>25</v>
      </c>
      <c r="AE7" s="14"/>
      <c r="AF7" s="42" t="str">
        <f t="shared" si="0"/>
        <v>P007</v>
      </c>
    </row>
    <row r="8" spans="1:32" ht="86.4" hidden="1" x14ac:dyDescent="0.3">
      <c r="A8" s="12" t="e" cm="1">
        <f t="array" aca="1" ref="A8" ca="1">IF(STAT[[#This Row],[retranca]]="","",       RegxFunc(STAT[[#This Row],[retranca]],  "\w\d{4}\w*_\d")     )</f>
        <v>#NAME?</v>
      </c>
      <c r="B8" s="32" t="s">
        <v>40</v>
      </c>
      <c r="C8" s="14" t="s">
        <v>8</v>
      </c>
      <c r="D8" s="14" t="s">
        <v>9</v>
      </c>
      <c r="E8" s="14" t="s">
        <v>10</v>
      </c>
      <c r="F8" s="14"/>
      <c r="G8" s="14">
        <v>3</v>
      </c>
      <c r="H8" s="14">
        <v>1</v>
      </c>
      <c r="I8" s="14"/>
      <c r="J8" s="28" t="s">
        <v>18</v>
      </c>
      <c r="K8" s="36"/>
      <c r="L8" s="14" t="s">
        <v>41</v>
      </c>
      <c r="M8" s="14" t="s">
        <v>41</v>
      </c>
      <c r="N8" s="14" t="s">
        <v>41</v>
      </c>
      <c r="O8" s="14"/>
      <c r="P8" s="25" t="s">
        <v>42</v>
      </c>
      <c r="Q8" s="22"/>
      <c r="R8" s="22" t="s">
        <v>41</v>
      </c>
      <c r="S8" s="14">
        <v>1</v>
      </c>
      <c r="T8" s="27">
        <v>45579</v>
      </c>
      <c r="U8" s="27">
        <v>45579</v>
      </c>
      <c r="V8" s="27"/>
      <c r="W8" s="27"/>
      <c r="X8" s="27">
        <v>45579</v>
      </c>
      <c r="Y8" s="14" t="s">
        <v>43</v>
      </c>
      <c r="Z8" s="40" t="e">
        <f>IF(STAT[[#This Row],[sigla]]="","",VLOOKUP(STAT[[#This Row],[sigla]],CRÉDITOS_GERAIS[[sigla]:[credito]],2,))</f>
        <v>#N/A</v>
      </c>
      <c r="AA8" s="14" t="s">
        <v>44</v>
      </c>
      <c r="AB8" s="14" t="s">
        <v>45</v>
      </c>
      <c r="AC8" s="14"/>
      <c r="AD8" s="22"/>
      <c r="AE8" s="14" t="s">
        <v>46</v>
      </c>
      <c r="AF8" s="42" t="str">
        <f t="shared" si="0"/>
        <v>P007</v>
      </c>
    </row>
    <row r="9" spans="1:32" ht="57.6" hidden="1" x14ac:dyDescent="0.3">
      <c r="A9" s="12" t="e" cm="1">
        <f t="array" aca="1" ref="A9" ca="1">IF(STAT[[#This Row],[retranca]]="","",       RegxFunc(STAT[[#This Row],[retranca]],  "\w\d{4}\w*_\d")     )</f>
        <v>#NAME?</v>
      </c>
      <c r="B9" s="32" t="s">
        <v>47</v>
      </c>
      <c r="C9" s="14" t="s">
        <v>8</v>
      </c>
      <c r="D9" s="14" t="s">
        <v>9</v>
      </c>
      <c r="E9" s="14" t="s">
        <v>10</v>
      </c>
      <c r="F9" s="14"/>
      <c r="G9" s="14">
        <v>3</v>
      </c>
      <c r="H9" s="14">
        <v>1</v>
      </c>
      <c r="I9" s="14"/>
      <c r="J9" s="28" t="s">
        <v>18</v>
      </c>
      <c r="K9" s="36" t="s">
        <v>12</v>
      </c>
      <c r="L9" s="14">
        <v>61</v>
      </c>
      <c r="M9" s="14" t="s">
        <v>13</v>
      </c>
      <c r="N9" s="14" t="s">
        <v>14</v>
      </c>
      <c r="O9" s="14"/>
      <c r="P9" s="25" t="s">
        <v>48</v>
      </c>
      <c r="Q9" s="22" t="s">
        <v>16</v>
      </c>
      <c r="R9" s="22"/>
      <c r="S9" s="14"/>
      <c r="T9" s="27"/>
      <c r="U9" s="27"/>
      <c r="V9" s="27"/>
      <c r="W9" s="27"/>
      <c r="X9" s="27"/>
      <c r="Y9" s="14" t="s">
        <v>23</v>
      </c>
      <c r="Z9" s="40" t="str">
        <f>IF(STAT[[#This Row],[sigla]]="","",VLOOKUP(STAT[[#This Row],[sigla]],CRÉDITOS_GERAIS[[sigla]:[credito]],2,))</f>
        <v>Thamires Paredes</v>
      </c>
      <c r="AA9" s="14" t="s">
        <v>24</v>
      </c>
      <c r="AB9" s="14" t="str">
        <f>STAT[[#This Row],[ilustrador]]</f>
        <v>Thamires Paredes</v>
      </c>
      <c r="AC9" s="14">
        <v>13</v>
      </c>
      <c r="AD9" s="25" t="s">
        <v>25</v>
      </c>
      <c r="AE9" s="14"/>
      <c r="AF9" s="42" t="str">
        <f t="shared" si="0"/>
        <v>P007</v>
      </c>
    </row>
    <row r="10" spans="1:32" ht="28.8" hidden="1" x14ac:dyDescent="0.3">
      <c r="A10" s="12" t="e" cm="1">
        <f t="array" aca="1" ref="A10" ca="1">IF(STAT[[#This Row],[retranca]]="","",       RegxFunc(STAT[[#This Row],[retranca]],  "\w\d{4}\w*_\d")     )</f>
        <v>#NAME?</v>
      </c>
      <c r="B10" s="32" t="s">
        <v>49</v>
      </c>
      <c r="C10" s="14" t="s">
        <v>8</v>
      </c>
      <c r="D10" s="14" t="s">
        <v>9</v>
      </c>
      <c r="E10" s="14" t="s">
        <v>10</v>
      </c>
      <c r="F10" s="14"/>
      <c r="G10" s="14">
        <v>3</v>
      </c>
      <c r="H10" s="14">
        <v>1</v>
      </c>
      <c r="I10" s="14"/>
      <c r="J10" s="28" t="s">
        <v>11</v>
      </c>
      <c r="K10" s="36" t="s">
        <v>12</v>
      </c>
      <c r="L10" s="14">
        <v>61</v>
      </c>
      <c r="M10" s="14" t="s">
        <v>13</v>
      </c>
      <c r="N10" s="14" t="s">
        <v>14</v>
      </c>
      <c r="O10" s="14"/>
      <c r="P10" s="25" t="s">
        <v>50</v>
      </c>
      <c r="Q10" s="22" t="s">
        <v>51</v>
      </c>
      <c r="R10" s="22"/>
      <c r="S10" s="14"/>
      <c r="T10" s="27"/>
      <c r="U10" s="27"/>
      <c r="V10" s="27"/>
      <c r="W10" s="27"/>
      <c r="X10" s="27"/>
      <c r="Y10" s="14"/>
      <c r="Z10" s="40" t="str">
        <f>IF(STAT[[#This Row],[sigla]]="","",VLOOKUP(STAT[[#This Row],[sigla]],CRÉDITOS_GERAIS[[sigla]:[credito]],2,))</f>
        <v/>
      </c>
      <c r="AA10" s="14"/>
      <c r="AB10" s="14" t="str">
        <f>STAT[[#This Row],[ilustrador]]</f>
        <v/>
      </c>
      <c r="AC10" s="14"/>
      <c r="AD10" s="22"/>
      <c r="AE10" s="14"/>
      <c r="AF10" s="42" t="str">
        <f t="shared" si="0"/>
        <v>P007</v>
      </c>
    </row>
    <row r="11" spans="1:32" ht="28.8" hidden="1" x14ac:dyDescent="0.3">
      <c r="A11" s="12" t="e" cm="1">
        <f t="array" aca="1" ref="A11" ca="1">IF(STAT[[#This Row],[retranca]]="","",       RegxFunc(STAT[[#This Row],[retranca]],  "\w\d{4}\w*_\d")     )</f>
        <v>#NAME?</v>
      </c>
      <c r="B11" s="32" t="s">
        <v>52</v>
      </c>
      <c r="C11" s="14" t="s">
        <v>8</v>
      </c>
      <c r="D11" s="14" t="s">
        <v>9</v>
      </c>
      <c r="E11" s="14" t="s">
        <v>10</v>
      </c>
      <c r="F11" s="14"/>
      <c r="G11" s="14">
        <v>3</v>
      </c>
      <c r="H11" s="14">
        <v>1</v>
      </c>
      <c r="I11" s="14"/>
      <c r="J11" s="28" t="s">
        <v>11</v>
      </c>
      <c r="K11" s="36" t="s">
        <v>12</v>
      </c>
      <c r="L11" s="14">
        <v>61</v>
      </c>
      <c r="M11" s="14" t="s">
        <v>13</v>
      </c>
      <c r="N11" s="14" t="s">
        <v>14</v>
      </c>
      <c r="O11" s="14"/>
      <c r="P11" s="25" t="s">
        <v>53</v>
      </c>
      <c r="Q11" s="22" t="s">
        <v>51</v>
      </c>
      <c r="R11" s="22"/>
      <c r="S11" s="14"/>
      <c r="T11" s="27"/>
      <c r="U11" s="27"/>
      <c r="V11" s="27"/>
      <c r="W11" s="27"/>
      <c r="X11" s="27"/>
      <c r="Y11" s="14"/>
      <c r="Z11" s="40" t="str">
        <f>IF(STAT[[#This Row],[sigla]]="","",VLOOKUP(STAT[[#This Row],[sigla]],CRÉDITOS_GERAIS[[sigla]:[credito]],2,))</f>
        <v/>
      </c>
      <c r="AA11" s="14"/>
      <c r="AB11" s="14" t="str">
        <f>STAT[[#This Row],[ilustrador]]</f>
        <v/>
      </c>
      <c r="AC11" s="14"/>
      <c r="AD11" s="22"/>
      <c r="AE11" s="14"/>
      <c r="AF11" s="42" t="str">
        <f t="shared" si="0"/>
        <v>P007</v>
      </c>
    </row>
    <row r="12" spans="1:32" ht="57.6" hidden="1" x14ac:dyDescent="0.3">
      <c r="A12" s="12" t="e" cm="1">
        <f t="array" aca="1" ref="A12" ca="1">IF(STAT[[#This Row],[retranca]]="","",       RegxFunc(STAT[[#This Row],[retranca]],  "\w\d{4}\w*_\d")     )</f>
        <v>#NAME?</v>
      </c>
      <c r="B12" s="32" t="s">
        <v>54</v>
      </c>
      <c r="C12" s="14" t="s">
        <v>8</v>
      </c>
      <c r="D12" s="14" t="s">
        <v>9</v>
      </c>
      <c r="E12" s="14" t="s">
        <v>10</v>
      </c>
      <c r="F12" s="14"/>
      <c r="G12" s="14">
        <v>3</v>
      </c>
      <c r="H12" s="14">
        <v>1</v>
      </c>
      <c r="I12" s="14"/>
      <c r="J12" s="28" t="s">
        <v>55</v>
      </c>
      <c r="K12" s="36"/>
      <c r="L12" s="14" t="s">
        <v>41</v>
      </c>
      <c r="M12" s="14" t="s">
        <v>41</v>
      </c>
      <c r="N12" s="14" t="s">
        <v>41</v>
      </c>
      <c r="O12" s="14"/>
      <c r="P12" s="25" t="s">
        <v>56</v>
      </c>
      <c r="Q12" s="22"/>
      <c r="R12" s="22" t="s">
        <v>41</v>
      </c>
      <c r="S12" s="14"/>
      <c r="T12" s="27"/>
      <c r="U12" s="27"/>
      <c r="V12" s="27"/>
      <c r="W12" s="27"/>
      <c r="X12" s="27"/>
      <c r="Y12" s="14" t="s">
        <v>43</v>
      </c>
      <c r="Z12" s="40" t="e">
        <f>IF(STAT[[#This Row],[sigla]]="","",VLOOKUP(STAT[[#This Row],[sigla]],CRÉDITOS_GERAIS[[sigla]:[credito]],2,))</f>
        <v>#N/A</v>
      </c>
      <c r="AA12" s="14"/>
      <c r="AB12" s="14" t="e">
        <f>STAT[[#This Row],[ilustrador]]</f>
        <v>#N/A</v>
      </c>
      <c r="AC12" s="14"/>
      <c r="AD12" s="22"/>
      <c r="AE12" s="14"/>
      <c r="AF12" s="42" t="str">
        <f t="shared" si="0"/>
        <v>P007</v>
      </c>
    </row>
    <row r="13" spans="1:32" ht="28.8" hidden="1" x14ac:dyDescent="0.3">
      <c r="A13" s="12" t="e" cm="1">
        <f t="array" aca="1" ref="A13" ca="1">IF(STAT[[#This Row],[retranca]]="","",       RegxFunc(STAT[[#This Row],[retranca]],  "\w\d{4}\w*_\d")     )</f>
        <v>#NAME?</v>
      </c>
      <c r="B13" s="32" t="s">
        <v>57</v>
      </c>
      <c r="C13" s="14" t="s">
        <v>8</v>
      </c>
      <c r="D13" s="14" t="s">
        <v>9</v>
      </c>
      <c r="E13" s="14" t="s">
        <v>10</v>
      </c>
      <c r="F13" s="14"/>
      <c r="G13" s="14">
        <v>5</v>
      </c>
      <c r="H13" s="14">
        <v>1</v>
      </c>
      <c r="I13" s="14"/>
      <c r="J13" s="28" t="s">
        <v>11</v>
      </c>
      <c r="K13" s="36" t="s">
        <v>12</v>
      </c>
      <c r="L13" s="14"/>
      <c r="M13" s="14" t="s">
        <v>13</v>
      </c>
      <c r="N13" s="14" t="s">
        <v>14</v>
      </c>
      <c r="O13" s="14"/>
      <c r="P13" s="25" t="s">
        <v>58</v>
      </c>
      <c r="Q13" s="22" t="s">
        <v>39</v>
      </c>
      <c r="R13" s="22"/>
      <c r="S13" s="14"/>
      <c r="T13" s="27"/>
      <c r="U13" s="27"/>
      <c r="V13" s="27"/>
      <c r="W13" s="27"/>
      <c r="X13" s="27"/>
      <c r="Y13" s="14" t="s">
        <v>59</v>
      </c>
      <c r="Z13" s="40" t="str">
        <f>IF(STAT[[#This Row],[sigla]]="","",VLOOKUP(STAT[[#This Row],[sigla]],CRÉDITOS_GERAIS[[sigla]:[credito]],2,))</f>
        <v>Isabela Santos</v>
      </c>
      <c r="AA13" s="14" t="s">
        <v>60</v>
      </c>
      <c r="AB13" s="14" t="s">
        <v>61</v>
      </c>
      <c r="AC13" s="14">
        <v>13</v>
      </c>
      <c r="AD13" s="22"/>
      <c r="AE13" s="14"/>
      <c r="AF13" s="42" t="str">
        <f t="shared" si="0"/>
        <v>P007</v>
      </c>
    </row>
    <row r="14" spans="1:32" ht="28.8" hidden="1" x14ac:dyDescent="0.3">
      <c r="A14" s="12" t="e" cm="1">
        <f t="array" aca="1" ref="A14" ca="1">IF(STAT[[#This Row],[retranca]]="","",       RegxFunc(STAT[[#This Row],[retranca]],  "\w\d{4}\w*_\d")     )</f>
        <v>#NAME?</v>
      </c>
      <c r="B14" s="32" t="s">
        <v>62</v>
      </c>
      <c r="C14" s="14" t="s">
        <v>8</v>
      </c>
      <c r="D14" s="14" t="s">
        <v>9</v>
      </c>
      <c r="E14" s="14" t="s">
        <v>10</v>
      </c>
      <c r="F14" s="14"/>
      <c r="G14" s="14">
        <v>5</v>
      </c>
      <c r="H14" s="14">
        <v>1</v>
      </c>
      <c r="I14" s="14"/>
      <c r="J14" s="28" t="s">
        <v>11</v>
      </c>
      <c r="K14" s="36" t="s">
        <v>12</v>
      </c>
      <c r="L14" s="14"/>
      <c r="M14" s="14" t="s">
        <v>13</v>
      </c>
      <c r="N14" s="14" t="s">
        <v>14</v>
      </c>
      <c r="O14" s="14"/>
      <c r="P14" s="25" t="s">
        <v>63</v>
      </c>
      <c r="Q14" s="22" t="s">
        <v>64</v>
      </c>
      <c r="R14" s="22"/>
      <c r="S14" s="14"/>
      <c r="T14" s="27"/>
      <c r="U14" s="27"/>
      <c r="V14" s="27"/>
      <c r="W14" s="27"/>
      <c r="X14" s="27"/>
      <c r="Y14" s="14" t="s">
        <v>65</v>
      </c>
      <c r="Z14" s="40" t="str">
        <f>IF(STAT[[#This Row],[sigla]]="","",VLOOKUP(STAT[[#This Row],[sigla]],CRÉDITOS_GERAIS[[sigla]:[credito]],2,))</f>
        <v>Fran Matsumoto</v>
      </c>
      <c r="AA14" s="14" t="s">
        <v>60</v>
      </c>
      <c r="AB14" s="14" t="s">
        <v>66</v>
      </c>
      <c r="AC14" s="14">
        <v>14</v>
      </c>
      <c r="AD14" s="22"/>
      <c r="AE14" s="14"/>
      <c r="AF14" s="42" t="str">
        <f t="shared" si="0"/>
        <v>P007</v>
      </c>
    </row>
    <row r="15" spans="1:32" ht="28.8" hidden="1" x14ac:dyDescent="0.3">
      <c r="A15" s="12" t="e" cm="1">
        <f t="array" aca="1" ref="A15" ca="1">IF(STAT[[#This Row],[retranca]]="","",       RegxFunc(STAT[[#This Row],[retranca]],  "\w\d{4}\w*_\d")     )</f>
        <v>#NAME?</v>
      </c>
      <c r="B15" s="32" t="s">
        <v>67</v>
      </c>
      <c r="C15" s="14" t="s">
        <v>8</v>
      </c>
      <c r="D15" s="14" t="s">
        <v>9</v>
      </c>
      <c r="E15" s="14" t="s">
        <v>10</v>
      </c>
      <c r="F15" s="14"/>
      <c r="G15" s="14">
        <v>5</v>
      </c>
      <c r="H15" s="14">
        <v>1</v>
      </c>
      <c r="I15" s="14"/>
      <c r="J15" s="28" t="s">
        <v>11</v>
      </c>
      <c r="K15" s="36" t="s">
        <v>12</v>
      </c>
      <c r="L15" s="14"/>
      <c r="M15" s="14" t="s">
        <v>13</v>
      </c>
      <c r="N15" s="14" t="s">
        <v>14</v>
      </c>
      <c r="O15" s="14"/>
      <c r="P15" s="25" t="s">
        <v>68</v>
      </c>
      <c r="Q15" s="22" t="s">
        <v>69</v>
      </c>
      <c r="R15" s="22"/>
      <c r="S15" s="14"/>
      <c r="T15" s="27"/>
      <c r="U15" s="27"/>
      <c r="V15" s="27"/>
      <c r="W15" s="27"/>
      <c r="X15" s="27"/>
      <c r="Y15" s="14" t="s">
        <v>70</v>
      </c>
      <c r="Z15" s="40" t="str">
        <f>IF(STAT[[#This Row],[sigla]]="","",VLOOKUP(STAT[[#This Row],[sigla]],CRÉDITOS_GERAIS[[sigla]:[credito]],2,))</f>
        <v>Rodrigo Cordeiro</v>
      </c>
      <c r="AA15" s="14" t="s">
        <v>60</v>
      </c>
      <c r="AB15" s="14" t="s">
        <v>69</v>
      </c>
      <c r="AC15" s="14">
        <v>14</v>
      </c>
      <c r="AD15" s="22"/>
      <c r="AE15" s="14"/>
      <c r="AF15" s="42" t="str">
        <f t="shared" si="0"/>
        <v>P007</v>
      </c>
    </row>
    <row r="16" spans="1:32" ht="28.8" hidden="1" x14ac:dyDescent="0.3">
      <c r="A16" s="12" t="e" cm="1">
        <f t="array" aca="1" ref="A16" ca="1">IF(STAT[[#This Row],[retranca]]="","",       RegxFunc(STAT[[#This Row],[retranca]],  "\w\d{4}\w*_\d")     )</f>
        <v>#NAME?</v>
      </c>
      <c r="B16" s="32" t="s">
        <v>71</v>
      </c>
      <c r="C16" s="14" t="s">
        <v>72</v>
      </c>
      <c r="D16" s="14" t="s">
        <v>9</v>
      </c>
      <c r="E16" s="14" t="s">
        <v>10</v>
      </c>
      <c r="F16" s="14"/>
      <c r="G16" s="14">
        <v>5</v>
      </c>
      <c r="H16" s="14">
        <v>1</v>
      </c>
      <c r="I16" s="14"/>
      <c r="J16" s="28" t="s">
        <v>11</v>
      </c>
      <c r="K16" s="36" t="s">
        <v>12</v>
      </c>
      <c r="L16" s="14"/>
      <c r="M16" s="14" t="s">
        <v>13</v>
      </c>
      <c r="N16" s="14" t="s">
        <v>14</v>
      </c>
      <c r="O16" s="14"/>
      <c r="P16" s="25" t="s">
        <v>73</v>
      </c>
      <c r="Q16" s="22" t="s">
        <v>16</v>
      </c>
      <c r="R16" s="22"/>
      <c r="S16" s="14"/>
      <c r="T16" s="27"/>
      <c r="U16" s="27"/>
      <c r="V16" s="27"/>
      <c r="W16" s="27"/>
      <c r="X16" s="27"/>
      <c r="Y16" s="14" t="s">
        <v>74</v>
      </c>
      <c r="Z16" s="40" t="str">
        <f>IF(STAT[[#This Row],[sigla]]="","",VLOOKUP(STAT[[#This Row],[sigla]],CRÉDITOS_GERAIS[[sigla]:[credito]],2,))</f>
        <v>Jorge Zaiba</v>
      </c>
      <c r="AA16" s="14" t="s">
        <v>60</v>
      </c>
      <c r="AB16" s="14" t="s">
        <v>16</v>
      </c>
      <c r="AC16" s="14">
        <v>13</v>
      </c>
      <c r="AD16" s="22"/>
      <c r="AE16" s="14"/>
      <c r="AF16" s="42" t="str">
        <f t="shared" si="0"/>
        <v>P007</v>
      </c>
    </row>
    <row r="17" spans="1:32" ht="28.8" hidden="1" x14ac:dyDescent="0.3">
      <c r="A17" s="12" t="e" cm="1">
        <f t="array" aca="1" ref="A17" ca="1">IF(STAT[[#This Row],[retranca]]="","",       RegxFunc(STAT[[#This Row],[retranca]],  "\w\d{4}\w*_\d")     )</f>
        <v>#NAME?</v>
      </c>
      <c r="B17" s="32" t="s">
        <v>75</v>
      </c>
      <c r="C17" s="14" t="s">
        <v>72</v>
      </c>
      <c r="D17" s="14" t="s">
        <v>9</v>
      </c>
      <c r="E17" s="14" t="s">
        <v>10</v>
      </c>
      <c r="F17" s="14"/>
      <c r="G17" s="14">
        <v>5</v>
      </c>
      <c r="H17" s="14">
        <v>1</v>
      </c>
      <c r="I17" s="14"/>
      <c r="J17" s="28" t="s">
        <v>11</v>
      </c>
      <c r="K17" s="36" t="s">
        <v>12</v>
      </c>
      <c r="L17" s="14"/>
      <c r="M17" s="14" t="s">
        <v>13</v>
      </c>
      <c r="N17" s="14" t="s">
        <v>14</v>
      </c>
      <c r="O17" s="14"/>
      <c r="P17" s="25" t="s">
        <v>76</v>
      </c>
      <c r="Q17" s="22" t="s">
        <v>64</v>
      </c>
      <c r="R17" s="22"/>
      <c r="S17" s="14"/>
      <c r="T17" s="27"/>
      <c r="U17" s="27"/>
      <c r="V17" s="27"/>
      <c r="W17" s="27"/>
      <c r="X17" s="27"/>
      <c r="Y17" s="14" t="s">
        <v>65</v>
      </c>
      <c r="Z17" s="40" t="str">
        <f>IF(STAT[[#This Row],[sigla]]="","",VLOOKUP(STAT[[#This Row],[sigla]],CRÉDITOS_GERAIS[[sigla]:[credito]],2,))</f>
        <v>Fran Matsumoto</v>
      </c>
      <c r="AA17" s="14" t="s">
        <v>60</v>
      </c>
      <c r="AB17" s="14" t="s">
        <v>66</v>
      </c>
      <c r="AC17" s="14">
        <v>13</v>
      </c>
      <c r="AD17" s="22"/>
      <c r="AE17" s="14"/>
      <c r="AF17" s="42" t="str">
        <f t="shared" si="0"/>
        <v>P007</v>
      </c>
    </row>
    <row r="18" spans="1:32" ht="86.4" hidden="1" x14ac:dyDescent="0.3">
      <c r="A18" s="12" t="e" cm="1">
        <f t="array" aca="1" ref="A18" ca="1">IF(STAT[[#This Row],[retranca]]="","",       RegxFunc(STAT[[#This Row],[retranca]],  "\w\d{4}\w*_\d")     )</f>
        <v>#NAME?</v>
      </c>
      <c r="B18" s="32" t="s">
        <v>77</v>
      </c>
      <c r="C18" s="14" t="s">
        <v>72</v>
      </c>
      <c r="D18" s="14" t="s">
        <v>9</v>
      </c>
      <c r="E18" s="14" t="s">
        <v>10</v>
      </c>
      <c r="F18" s="14">
        <v>20</v>
      </c>
      <c r="G18" s="14">
        <v>5</v>
      </c>
      <c r="H18" s="14">
        <v>1</v>
      </c>
      <c r="I18" s="14"/>
      <c r="J18" s="28" t="s">
        <v>18</v>
      </c>
      <c r="K18" s="36" t="s">
        <v>12</v>
      </c>
      <c r="L18" s="14"/>
      <c r="M18" s="14" t="s">
        <v>13</v>
      </c>
      <c r="N18" s="14" t="s">
        <v>14</v>
      </c>
      <c r="O18" s="14"/>
      <c r="P18" s="25" t="s">
        <v>78</v>
      </c>
      <c r="Q18" s="22" t="s">
        <v>22</v>
      </c>
      <c r="R18" s="22"/>
      <c r="S18" s="14">
        <v>8</v>
      </c>
      <c r="T18" s="27">
        <v>45807</v>
      </c>
      <c r="U18" s="27"/>
      <c r="V18" s="27"/>
      <c r="W18" s="27"/>
      <c r="X18" s="27">
        <v>45807</v>
      </c>
      <c r="Y18" s="14" t="s">
        <v>23</v>
      </c>
      <c r="Z18" s="40" t="str">
        <f>IF(STAT[[#This Row],[sigla]]="","",VLOOKUP(STAT[[#This Row],[sigla]],CRÉDITOS_GERAIS[[sigla]:[credito]],2,))</f>
        <v>Thamires Paredes</v>
      </c>
      <c r="AA18" s="14" t="s">
        <v>79</v>
      </c>
      <c r="AB18" s="14" t="s">
        <v>80</v>
      </c>
      <c r="AC18" s="14">
        <v>13</v>
      </c>
      <c r="AD18" s="22" t="s">
        <v>81</v>
      </c>
      <c r="AE18" s="14" t="s">
        <v>46</v>
      </c>
      <c r="AF18" s="42" t="str">
        <f t="shared" si="0"/>
        <v>P007</v>
      </c>
    </row>
    <row r="19" spans="1:32" ht="100.8" hidden="1" x14ac:dyDescent="0.3">
      <c r="A19" s="12" t="e" cm="1">
        <f t="array" aca="1" ref="A19" ca="1">IF(STAT[[#This Row],[retranca]]="","",       RegxFunc(STAT[[#This Row],[retranca]],  "\w\d{4}\w*_\d")     )</f>
        <v>#NAME?</v>
      </c>
      <c r="B19" s="32" t="s">
        <v>82</v>
      </c>
      <c r="C19" s="14" t="s">
        <v>72</v>
      </c>
      <c r="D19" s="14" t="s">
        <v>9</v>
      </c>
      <c r="E19" s="14" t="s">
        <v>10</v>
      </c>
      <c r="F19" s="14">
        <v>5</v>
      </c>
      <c r="G19" s="14">
        <v>2</v>
      </c>
      <c r="H19" s="14">
        <v>1</v>
      </c>
      <c r="I19" s="14">
        <v>1</v>
      </c>
      <c r="J19" s="28" t="s">
        <v>55</v>
      </c>
      <c r="K19" s="36"/>
      <c r="L19" s="14"/>
      <c r="M19" s="14"/>
      <c r="N19" s="14"/>
      <c r="O19" s="14"/>
      <c r="P19" s="25" t="s">
        <v>83</v>
      </c>
      <c r="Q19" s="22"/>
      <c r="R19" s="22"/>
      <c r="S19" s="14">
        <v>2</v>
      </c>
      <c r="T19" s="27">
        <v>45775</v>
      </c>
      <c r="U19" s="27">
        <v>45777</v>
      </c>
      <c r="V19" s="27">
        <v>45782</v>
      </c>
      <c r="W19" s="27">
        <v>45783</v>
      </c>
      <c r="X19" s="27">
        <v>45784</v>
      </c>
      <c r="Y19" s="14" t="s">
        <v>84</v>
      </c>
      <c r="Z19" s="40" t="str">
        <f>IF(STAT[[#This Row],[sigla]]="","",VLOOKUP(STAT[[#This Row],[sigla]],CRÉDITOS_GERAIS[[sigla]:[credito]],2,))</f>
        <v>Gabriel Brum</v>
      </c>
      <c r="AA19" s="14"/>
      <c r="AB19" s="14" t="s">
        <v>85</v>
      </c>
      <c r="AC19" s="14">
        <v>5</v>
      </c>
      <c r="AD19" s="22" t="s">
        <v>86</v>
      </c>
      <c r="AE19" s="14" t="s">
        <v>87</v>
      </c>
      <c r="AF19" s="42" t="str">
        <f t="shared" si="0"/>
        <v>P007</v>
      </c>
    </row>
    <row r="20" spans="1:32" ht="57.6" hidden="1" x14ac:dyDescent="0.3">
      <c r="A20" s="12" t="e" cm="1">
        <f t="array" aca="1" ref="A20" ca="1">IF(STAT[[#This Row],[retranca]]="","",       RegxFunc(STAT[[#This Row],[retranca]],  "\w\d{4}\w*_\d")     )</f>
        <v>#NAME?</v>
      </c>
      <c r="B20" s="32" t="s">
        <v>88</v>
      </c>
      <c r="C20" s="14" t="s">
        <v>72</v>
      </c>
      <c r="D20" s="14" t="s">
        <v>9</v>
      </c>
      <c r="E20" s="14" t="s">
        <v>10</v>
      </c>
      <c r="F20" s="14">
        <v>6</v>
      </c>
      <c r="G20" s="14">
        <v>2</v>
      </c>
      <c r="H20" s="14">
        <v>1</v>
      </c>
      <c r="I20" s="14">
        <v>1</v>
      </c>
      <c r="J20" s="28" t="s">
        <v>55</v>
      </c>
      <c r="K20" s="36"/>
      <c r="L20" s="14"/>
      <c r="M20" s="14"/>
      <c r="N20" s="14"/>
      <c r="O20" s="14"/>
      <c r="P20" s="25" t="s">
        <v>89</v>
      </c>
      <c r="Q20" s="22"/>
      <c r="R20" s="22"/>
      <c r="S20" s="14">
        <v>2</v>
      </c>
      <c r="T20" s="27">
        <v>45775</v>
      </c>
      <c r="U20" s="27"/>
      <c r="V20" s="27"/>
      <c r="W20" s="27"/>
      <c r="X20" s="27">
        <v>45777</v>
      </c>
      <c r="Y20" s="14" t="s">
        <v>43</v>
      </c>
      <c r="Z20" s="40" t="e">
        <f>IF(STAT[[#This Row],[sigla]]="","",VLOOKUP(STAT[[#This Row],[sigla]],CRÉDITOS_GERAIS[[sigla]:[credito]],2,))</f>
        <v>#N/A</v>
      </c>
      <c r="AA20" s="14" t="s">
        <v>90</v>
      </c>
      <c r="AB20" s="14" t="s">
        <v>45</v>
      </c>
      <c r="AC20" s="14">
        <v>13</v>
      </c>
      <c r="AD20" s="22" t="s">
        <v>91</v>
      </c>
      <c r="AE20" s="14" t="s">
        <v>46</v>
      </c>
      <c r="AF20" s="42" t="str">
        <f t="shared" si="0"/>
        <v>P007</v>
      </c>
    </row>
    <row r="21" spans="1:32" ht="100.8" hidden="1" x14ac:dyDescent="0.3">
      <c r="A21" s="12" t="e" cm="1">
        <f t="array" aca="1" ref="A21" ca="1">IF(STAT[[#This Row],[retranca]]="","",       RegxFunc(STAT[[#This Row],[retranca]],  "\w\d{4}\w*_\d")     )</f>
        <v>#NAME?</v>
      </c>
      <c r="B21" s="32" t="s">
        <v>92</v>
      </c>
      <c r="C21" s="14" t="s">
        <v>72</v>
      </c>
      <c r="D21" s="14" t="s">
        <v>9</v>
      </c>
      <c r="E21" s="14" t="s">
        <v>10</v>
      </c>
      <c r="F21" s="14">
        <v>8</v>
      </c>
      <c r="G21" s="14">
        <v>2</v>
      </c>
      <c r="H21" s="14">
        <v>1</v>
      </c>
      <c r="I21" s="14">
        <v>1</v>
      </c>
      <c r="J21" s="28" t="s">
        <v>55</v>
      </c>
      <c r="K21" s="36"/>
      <c r="L21" s="14"/>
      <c r="M21" s="14"/>
      <c r="N21" s="14"/>
      <c r="O21" s="14"/>
      <c r="P21" s="25" t="s">
        <v>93</v>
      </c>
      <c r="Q21" s="22"/>
      <c r="R21" s="22"/>
      <c r="S21" s="14">
        <v>2</v>
      </c>
      <c r="T21" s="27">
        <v>45775</v>
      </c>
      <c r="U21" s="27">
        <v>45777</v>
      </c>
      <c r="V21" s="27">
        <v>45779</v>
      </c>
      <c r="W21" s="27">
        <v>45779</v>
      </c>
      <c r="X21" s="27">
        <v>45786</v>
      </c>
      <c r="Y21" s="14" t="s">
        <v>94</v>
      </c>
      <c r="Z21" s="40" t="str">
        <f>IF(STAT[[#This Row],[sigla]]="","",VLOOKUP(STAT[[#This Row],[sigla]],CRÉDITOS_GERAIS[[sigla]:[credito]],2,))</f>
        <v>Thais Castro</v>
      </c>
      <c r="AA21" s="14"/>
      <c r="AB21" s="14" t="s">
        <v>95</v>
      </c>
      <c r="AC21" s="14">
        <v>1</v>
      </c>
      <c r="AD21" s="22" t="s">
        <v>96</v>
      </c>
      <c r="AE21" s="14" t="s">
        <v>87</v>
      </c>
      <c r="AF21" s="42" t="str">
        <f t="shared" si="0"/>
        <v>P007</v>
      </c>
    </row>
    <row r="22" spans="1:32" ht="100.8" hidden="1" x14ac:dyDescent="0.3">
      <c r="A22" s="12" t="e" cm="1">
        <f t="array" aca="1" ref="A22" ca="1">IF(STAT[[#This Row],[retranca]]="","",       RegxFunc(STAT[[#This Row],[retranca]],  "\w\d{4}\w*_\d")     )</f>
        <v>#NAME?</v>
      </c>
      <c r="B22" s="32" t="s">
        <v>97</v>
      </c>
      <c r="C22" s="14" t="s">
        <v>72</v>
      </c>
      <c r="D22" s="14" t="s">
        <v>9</v>
      </c>
      <c r="E22" s="14" t="s">
        <v>10</v>
      </c>
      <c r="F22" s="14">
        <v>11</v>
      </c>
      <c r="G22" s="14">
        <v>2</v>
      </c>
      <c r="H22" s="14">
        <v>1</v>
      </c>
      <c r="I22" s="14">
        <v>1</v>
      </c>
      <c r="J22" s="28" t="s">
        <v>55</v>
      </c>
      <c r="K22" s="36"/>
      <c r="L22" s="14"/>
      <c r="M22" s="14"/>
      <c r="N22" s="14"/>
      <c r="O22" s="14"/>
      <c r="P22" s="25" t="s">
        <v>98</v>
      </c>
      <c r="Q22" s="22"/>
      <c r="R22" s="22"/>
      <c r="S22" s="14">
        <v>2</v>
      </c>
      <c r="T22" s="27">
        <v>45775</v>
      </c>
      <c r="U22" s="27">
        <v>45777</v>
      </c>
      <c r="V22" s="27">
        <v>45783</v>
      </c>
      <c r="W22" s="27">
        <v>45784</v>
      </c>
      <c r="X22" s="27">
        <v>45786</v>
      </c>
      <c r="Y22" s="14" t="s">
        <v>99</v>
      </c>
      <c r="Z22" s="40" t="str">
        <f>IF(STAT[[#This Row],[sigla]]="","",VLOOKUP(STAT[[#This Row],[sigla]],CRÉDITOS_GERAIS[[sigla]:[credito]],2,))</f>
        <v>Débora Mini</v>
      </c>
      <c r="AA22" s="14"/>
      <c r="AB22" s="14" t="s">
        <v>100</v>
      </c>
      <c r="AC22" s="14">
        <v>1</v>
      </c>
      <c r="AD22" s="22" t="s">
        <v>101</v>
      </c>
      <c r="AE22" s="14" t="s">
        <v>87</v>
      </c>
      <c r="AF22" s="42" t="str">
        <f t="shared" si="0"/>
        <v>P007</v>
      </c>
    </row>
    <row r="23" spans="1:32" ht="28.8" hidden="1" x14ac:dyDescent="0.3">
      <c r="A23" s="12" t="e" cm="1">
        <f t="array" aca="1" ref="A23" ca="1">IF(STAT[[#This Row],[retranca]]="","",       RegxFunc(STAT[[#This Row],[retranca]],  "\w\d{4}\w*_\d")     )</f>
        <v>#NAME?</v>
      </c>
      <c r="B23" s="32" t="s">
        <v>102</v>
      </c>
      <c r="C23" s="14" t="s">
        <v>72</v>
      </c>
      <c r="D23" s="14" t="s">
        <v>9</v>
      </c>
      <c r="E23" s="14" t="s">
        <v>10</v>
      </c>
      <c r="F23" s="14">
        <v>14</v>
      </c>
      <c r="G23" s="14">
        <v>2</v>
      </c>
      <c r="H23" s="14">
        <v>1</v>
      </c>
      <c r="I23" s="14">
        <v>1</v>
      </c>
      <c r="J23" s="28" t="s">
        <v>55</v>
      </c>
      <c r="K23" s="36"/>
      <c r="L23" s="14"/>
      <c r="M23" s="14"/>
      <c r="N23" s="14"/>
      <c r="O23" s="14"/>
      <c r="P23" s="25" t="s">
        <v>103</v>
      </c>
      <c r="Q23" s="22"/>
      <c r="R23" s="22"/>
      <c r="S23" s="14"/>
      <c r="T23" s="27"/>
      <c r="U23" s="27"/>
      <c r="V23" s="27"/>
      <c r="W23" s="27"/>
      <c r="X23" s="27"/>
      <c r="Y23" s="14" t="s">
        <v>43</v>
      </c>
      <c r="Z23" s="40" t="e">
        <f>IF(STAT[[#This Row],[sigla]]="","",VLOOKUP(STAT[[#This Row],[sigla]],CRÉDITOS_GERAIS[[sigla]:[credito]],2,))</f>
        <v>#N/A</v>
      </c>
      <c r="AA23" s="14"/>
      <c r="AB23" s="14" t="e">
        <f>STAT[[#This Row],[ilustrador]]</f>
        <v>#N/A</v>
      </c>
      <c r="AC23" s="14"/>
      <c r="AD23" s="22"/>
      <c r="AE23" s="14"/>
      <c r="AF23" s="42" t="str">
        <f t="shared" si="0"/>
        <v>P007</v>
      </c>
    </row>
    <row r="24" spans="1:32" ht="43.2" hidden="1" x14ac:dyDescent="0.3">
      <c r="A24" s="12" t="e" cm="1">
        <f t="array" aca="1" ref="A24" ca="1">IF(STAT[[#This Row],[retranca]]="","",       RegxFunc(STAT[[#This Row],[retranca]],  "\w\d{4}\w*_\d")     )</f>
        <v>#NAME?</v>
      </c>
      <c r="B24" s="32" t="s">
        <v>104</v>
      </c>
      <c r="C24" s="14" t="s">
        <v>8</v>
      </c>
      <c r="D24" s="14" t="s">
        <v>9</v>
      </c>
      <c r="E24" s="14" t="s">
        <v>10</v>
      </c>
      <c r="F24" s="14">
        <v>15</v>
      </c>
      <c r="G24" s="14">
        <v>2</v>
      </c>
      <c r="H24" s="14">
        <v>1</v>
      </c>
      <c r="I24" s="14">
        <v>1</v>
      </c>
      <c r="J24" s="28" t="s">
        <v>55</v>
      </c>
      <c r="K24" s="36"/>
      <c r="L24" s="14"/>
      <c r="M24" s="14"/>
      <c r="N24" s="14"/>
      <c r="O24" s="14"/>
      <c r="P24" s="25" t="s">
        <v>105</v>
      </c>
      <c r="Q24" s="22"/>
      <c r="R24" s="22"/>
      <c r="S24" s="14">
        <v>2</v>
      </c>
      <c r="T24" s="27">
        <v>45775</v>
      </c>
      <c r="U24" s="27"/>
      <c r="V24" s="27"/>
      <c r="W24" s="27"/>
      <c r="X24" s="27"/>
      <c r="Y24" s="14"/>
      <c r="Z24" s="40" t="str">
        <f>IF(STAT[[#This Row],[sigla]]="","",VLOOKUP(STAT[[#This Row],[sigla]],CRÉDITOS_GERAIS[[sigla]:[credito]],2,))</f>
        <v/>
      </c>
      <c r="AA24" s="14"/>
      <c r="AB24" s="14" t="str">
        <f>STAT[[#This Row],[ilustrador]]</f>
        <v/>
      </c>
      <c r="AC24" s="14"/>
      <c r="AD24" s="22" t="s">
        <v>106</v>
      </c>
      <c r="AE24" s="14"/>
      <c r="AF24" s="42" t="str">
        <f t="shared" si="0"/>
        <v>P007</v>
      </c>
    </row>
    <row r="25" spans="1:32" ht="86.4" hidden="1" x14ac:dyDescent="0.3">
      <c r="A25" s="12" t="e" cm="1">
        <f t="array" aca="1" ref="A25" ca="1">IF(STAT[[#This Row],[retranca]]="","",       RegxFunc(STAT[[#This Row],[retranca]],  "\w\d{4}\w*_\d")     )</f>
        <v>#NAME?</v>
      </c>
      <c r="B25" s="32" t="s">
        <v>107</v>
      </c>
      <c r="C25" s="14" t="s">
        <v>72</v>
      </c>
      <c r="D25" s="14" t="s">
        <v>9</v>
      </c>
      <c r="E25" s="14" t="s">
        <v>10</v>
      </c>
      <c r="F25" s="14">
        <v>17</v>
      </c>
      <c r="G25" s="14">
        <v>2</v>
      </c>
      <c r="H25" s="14">
        <v>1</v>
      </c>
      <c r="I25" s="14">
        <v>1</v>
      </c>
      <c r="J25" s="28" t="s">
        <v>55</v>
      </c>
      <c r="K25" s="36"/>
      <c r="L25" s="14"/>
      <c r="M25" s="14"/>
      <c r="N25" s="14"/>
      <c r="O25" s="14"/>
      <c r="P25" s="25" t="s">
        <v>108</v>
      </c>
      <c r="Q25" s="22"/>
      <c r="R25" s="22"/>
      <c r="S25" s="14">
        <v>2</v>
      </c>
      <c r="T25" s="27">
        <v>45775</v>
      </c>
      <c r="U25" s="27">
        <v>45777</v>
      </c>
      <c r="V25" s="27">
        <v>45782</v>
      </c>
      <c r="W25" s="27">
        <v>45782</v>
      </c>
      <c r="X25" s="27">
        <v>45783</v>
      </c>
      <c r="Y25" s="14" t="s">
        <v>109</v>
      </c>
      <c r="Z25" s="40" t="str">
        <f>IF(STAT[[#This Row],[sigla]]="","",VLOOKUP(STAT[[#This Row],[sigla]],CRÉDITOS_GERAIS[[sigla]:[credito]],2,))</f>
        <v>Clarice Baracho</v>
      </c>
      <c r="AA25" s="14"/>
      <c r="AB25" s="14" t="s">
        <v>110</v>
      </c>
      <c r="AC25" s="14">
        <v>5</v>
      </c>
      <c r="AD25" s="22" t="s">
        <v>86</v>
      </c>
      <c r="AE25" s="14" t="s">
        <v>87</v>
      </c>
      <c r="AF25" s="42" t="str">
        <f t="shared" si="0"/>
        <v>P007</v>
      </c>
    </row>
    <row r="26" spans="1:32" ht="129.6" hidden="1" x14ac:dyDescent="0.3">
      <c r="A26" s="12" t="e" cm="1">
        <f t="array" aca="1" ref="A26" ca="1">IF(STAT[[#This Row],[retranca]]="","",       RegxFunc(STAT[[#This Row],[retranca]],  "\w\d{4}\w*_\d")     )</f>
        <v>#NAME?</v>
      </c>
      <c r="B26" s="32" t="s">
        <v>111</v>
      </c>
      <c r="C26" s="14" t="s">
        <v>72</v>
      </c>
      <c r="D26" s="14" t="s">
        <v>9</v>
      </c>
      <c r="E26" s="14" t="s">
        <v>10</v>
      </c>
      <c r="F26" s="14">
        <v>1</v>
      </c>
      <c r="G26" s="14">
        <v>2</v>
      </c>
      <c r="H26" s="14"/>
      <c r="I26" s="14" t="s">
        <v>112</v>
      </c>
      <c r="J26" s="28" t="s">
        <v>55</v>
      </c>
      <c r="K26" s="36"/>
      <c r="L26" s="14"/>
      <c r="M26" s="14"/>
      <c r="N26" s="14"/>
      <c r="O26" s="14"/>
      <c r="P26" s="25" t="s">
        <v>113</v>
      </c>
      <c r="Q26" s="22"/>
      <c r="R26" s="22"/>
      <c r="S26" s="14">
        <v>2</v>
      </c>
      <c r="T26" s="27">
        <v>45775</v>
      </c>
      <c r="U26" s="27">
        <v>45777</v>
      </c>
      <c r="V26" s="27"/>
      <c r="W26" s="27"/>
      <c r="X26" s="27">
        <v>45782</v>
      </c>
      <c r="Y26" s="14" t="s">
        <v>114</v>
      </c>
      <c r="Z26" s="40" t="str">
        <f>IF(STAT[[#This Row],[sigla]]="","",VLOOKUP(STAT[[#This Row],[sigla]],CRÉDITOS_GERAIS[[sigla]:[credito]],2,))</f>
        <v>Heloísa Pintarelli</v>
      </c>
      <c r="AA26" s="14"/>
      <c r="AB26" s="14" t="s">
        <v>115</v>
      </c>
      <c r="AC26" s="14">
        <v>8</v>
      </c>
      <c r="AD26" s="22" t="s">
        <v>116</v>
      </c>
      <c r="AE26" s="14" t="s">
        <v>87</v>
      </c>
      <c r="AF26" s="42" t="str">
        <f t="shared" si="0"/>
        <v>P007</v>
      </c>
    </row>
    <row r="27" spans="1:32" ht="28.8" hidden="1" x14ac:dyDescent="0.3">
      <c r="A27" s="12" t="e" cm="1">
        <f t="array" aca="1" ref="A27" ca="1">IF(STAT[[#This Row],[retranca]]="","",       RegxFunc(STAT[[#This Row],[retranca]],  "\w\d{4}\w*_\d")     )</f>
        <v>#NAME?</v>
      </c>
      <c r="B27" s="32" t="s">
        <v>117</v>
      </c>
      <c r="C27" s="14" t="s">
        <v>72</v>
      </c>
      <c r="D27" s="14" t="s">
        <v>9</v>
      </c>
      <c r="E27" s="14" t="s">
        <v>10</v>
      </c>
      <c r="F27" s="14">
        <v>2</v>
      </c>
      <c r="G27" s="14">
        <v>2</v>
      </c>
      <c r="H27" s="14"/>
      <c r="I27" s="14" t="s">
        <v>112</v>
      </c>
      <c r="J27" s="28" t="s">
        <v>55</v>
      </c>
      <c r="K27" s="36"/>
      <c r="L27" s="14"/>
      <c r="M27" s="14"/>
      <c r="N27" s="14"/>
      <c r="O27" s="14"/>
      <c r="P27" s="25" t="s">
        <v>118</v>
      </c>
      <c r="Q27" s="22"/>
      <c r="R27" s="22"/>
      <c r="S27" s="14">
        <v>2</v>
      </c>
      <c r="T27" s="27">
        <v>45775</v>
      </c>
      <c r="U27" s="27">
        <v>45777</v>
      </c>
      <c r="V27" s="27"/>
      <c r="W27" s="27"/>
      <c r="X27" s="27">
        <v>45778</v>
      </c>
      <c r="Y27" s="14" t="s">
        <v>119</v>
      </c>
      <c r="Z27" s="40" t="str">
        <f>IF(STAT[[#This Row],[sigla]]="","",VLOOKUP(STAT[[#This Row],[sigla]],CRÉDITOS_GERAIS[[sigla]:[credito]],2,))</f>
        <v>Bianca Tavares</v>
      </c>
      <c r="AA27" s="14"/>
      <c r="AB27" s="14" t="s">
        <v>120</v>
      </c>
      <c r="AC27" s="14">
        <v>7</v>
      </c>
      <c r="AD27" s="22" t="s">
        <v>116</v>
      </c>
      <c r="AE27" s="14" t="s">
        <v>87</v>
      </c>
      <c r="AF27" s="42" t="str">
        <f t="shared" si="0"/>
        <v>P007</v>
      </c>
    </row>
    <row r="28" spans="1:32" hidden="1" x14ac:dyDescent="0.3">
      <c r="A28" s="12" t="e" cm="1">
        <f t="array" aca="1" ref="A28" ca="1">IF(STAT[[#This Row],[retranca]]="","",       RegxFunc(STAT[[#This Row],[retranca]],  "\w\d{4}\w*_\d")     )</f>
        <v>#NAME?</v>
      </c>
      <c r="B28" s="32" t="s">
        <v>121</v>
      </c>
      <c r="C28" s="14" t="s">
        <v>122</v>
      </c>
      <c r="D28" s="14" t="s">
        <v>9</v>
      </c>
      <c r="E28" s="14" t="s">
        <v>10</v>
      </c>
      <c r="F28" s="14">
        <v>20</v>
      </c>
      <c r="G28" s="14">
        <v>2</v>
      </c>
      <c r="H28" s="14">
        <v>2</v>
      </c>
      <c r="I28" s="14">
        <v>2</v>
      </c>
      <c r="J28" s="28" t="s">
        <v>55</v>
      </c>
      <c r="K28" s="36"/>
      <c r="L28" s="14"/>
      <c r="M28" s="14"/>
      <c r="N28" s="14"/>
      <c r="O28" s="14"/>
      <c r="P28" s="25" t="s">
        <v>123</v>
      </c>
      <c r="Q28" s="22"/>
      <c r="R28" s="22" t="s">
        <v>124</v>
      </c>
      <c r="S28" s="14">
        <v>3</v>
      </c>
      <c r="T28" s="27">
        <v>45790</v>
      </c>
      <c r="U28" s="27">
        <v>45791</v>
      </c>
      <c r="V28" s="27">
        <v>45796</v>
      </c>
      <c r="W28" s="27">
        <v>45800</v>
      </c>
      <c r="X28" s="27">
        <v>45808</v>
      </c>
      <c r="Y28" s="14" t="s">
        <v>109</v>
      </c>
      <c r="Z28" s="40" t="str">
        <f>IF(STAT[[#This Row],[sigla]]="","",VLOOKUP(STAT[[#This Row],[sigla]],CRÉDITOS_GERAIS[[sigla]:[credito]],2,))</f>
        <v>Clarice Baracho</v>
      </c>
      <c r="AA28" s="14"/>
      <c r="AB28" s="14" t="str">
        <f>STAT[[#This Row],[ilustrador]]</f>
        <v>Clarice Baracho</v>
      </c>
      <c r="AC28" s="14">
        <v>8</v>
      </c>
      <c r="AD28" s="22" t="s">
        <v>125</v>
      </c>
      <c r="AE28" s="14" t="s">
        <v>87</v>
      </c>
      <c r="AF28" s="42" t="str">
        <f t="shared" si="0"/>
        <v>P007</v>
      </c>
    </row>
    <row r="29" spans="1:32" hidden="1" x14ac:dyDescent="0.3">
      <c r="A29" s="12" t="e" cm="1">
        <f t="array" aca="1" ref="A29" ca="1">IF(STAT[[#This Row],[retranca]]="","",       RegxFunc(STAT[[#This Row],[retranca]],  "\w\d{4}\w*_\d")     )</f>
        <v>#NAME?</v>
      </c>
      <c r="B29" s="32" t="s">
        <v>126</v>
      </c>
      <c r="C29" s="14" t="s">
        <v>122</v>
      </c>
      <c r="D29" s="14" t="s">
        <v>9</v>
      </c>
      <c r="E29" s="14" t="s">
        <v>10</v>
      </c>
      <c r="F29" s="14">
        <v>20</v>
      </c>
      <c r="G29" s="14">
        <v>2</v>
      </c>
      <c r="H29" s="14">
        <v>2</v>
      </c>
      <c r="I29" s="14">
        <v>2</v>
      </c>
      <c r="J29" s="28" t="s">
        <v>55</v>
      </c>
      <c r="K29" s="36"/>
      <c r="L29" s="14"/>
      <c r="M29" s="14"/>
      <c r="N29" s="14"/>
      <c r="O29" s="14"/>
      <c r="P29" s="25" t="s">
        <v>127</v>
      </c>
      <c r="Q29" s="22"/>
      <c r="R29" s="22" t="s">
        <v>124</v>
      </c>
      <c r="S29" s="14">
        <v>3</v>
      </c>
      <c r="T29" s="27">
        <v>45790</v>
      </c>
      <c r="U29" s="27">
        <v>45791</v>
      </c>
      <c r="V29" s="27">
        <v>45796</v>
      </c>
      <c r="W29" s="27">
        <v>45800</v>
      </c>
      <c r="X29" s="27">
        <v>45808</v>
      </c>
      <c r="Y29" s="14" t="s">
        <v>109</v>
      </c>
      <c r="Z29" s="40" t="str">
        <f>IF(STAT[[#This Row],[sigla]]="","",VLOOKUP(STAT[[#This Row],[sigla]],CRÉDITOS_GERAIS[[sigla]:[credito]],2,))</f>
        <v>Clarice Baracho</v>
      </c>
      <c r="AA29" s="14"/>
      <c r="AB29" s="14" t="str">
        <f>STAT[[#This Row],[ilustrador]]</f>
        <v>Clarice Baracho</v>
      </c>
      <c r="AC29" s="14">
        <v>8</v>
      </c>
      <c r="AD29" s="22" t="s">
        <v>125</v>
      </c>
      <c r="AE29" s="14" t="s">
        <v>87</v>
      </c>
      <c r="AF29" s="42" t="str">
        <f t="shared" si="0"/>
        <v>P007</v>
      </c>
    </row>
    <row r="30" spans="1:32" hidden="1" x14ac:dyDescent="0.3">
      <c r="A30" s="12" t="e" cm="1">
        <f t="array" aca="1" ref="A30" ca="1">IF(STAT[[#This Row],[retranca]]="","",       RegxFunc(STAT[[#This Row],[retranca]],  "\w\d{4}\w*_\d")     )</f>
        <v>#NAME?</v>
      </c>
      <c r="B30" s="32" t="s">
        <v>128</v>
      </c>
      <c r="C30" s="14" t="s">
        <v>122</v>
      </c>
      <c r="D30" s="14" t="s">
        <v>9</v>
      </c>
      <c r="E30" s="14" t="s">
        <v>10</v>
      </c>
      <c r="F30" s="14">
        <v>20</v>
      </c>
      <c r="G30" s="14">
        <v>2</v>
      </c>
      <c r="H30" s="14">
        <v>2</v>
      </c>
      <c r="I30" s="14">
        <v>2</v>
      </c>
      <c r="J30" s="28" t="s">
        <v>55</v>
      </c>
      <c r="K30" s="36"/>
      <c r="L30" s="14"/>
      <c r="M30" s="14"/>
      <c r="N30" s="14"/>
      <c r="O30" s="14"/>
      <c r="P30" s="25" t="s">
        <v>129</v>
      </c>
      <c r="Q30" s="22"/>
      <c r="R30" s="22" t="s">
        <v>124</v>
      </c>
      <c r="S30" s="14">
        <v>3</v>
      </c>
      <c r="T30" s="27">
        <v>45790</v>
      </c>
      <c r="U30" s="27">
        <v>45791</v>
      </c>
      <c r="V30" s="27">
        <v>45796</v>
      </c>
      <c r="W30" s="27">
        <v>45800</v>
      </c>
      <c r="X30" s="27">
        <v>45808</v>
      </c>
      <c r="Y30" s="14" t="s">
        <v>109</v>
      </c>
      <c r="Z30" s="40" t="str">
        <f>IF(STAT[[#This Row],[sigla]]="","",VLOOKUP(STAT[[#This Row],[sigla]],CRÉDITOS_GERAIS[[sigla]:[credito]],2,))</f>
        <v>Clarice Baracho</v>
      </c>
      <c r="AA30" s="14"/>
      <c r="AB30" s="14" t="str">
        <f>STAT[[#This Row],[ilustrador]]</f>
        <v>Clarice Baracho</v>
      </c>
      <c r="AC30" s="14">
        <v>8</v>
      </c>
      <c r="AD30" s="22" t="s">
        <v>125</v>
      </c>
      <c r="AE30" s="14" t="s">
        <v>87</v>
      </c>
      <c r="AF30" s="42" t="str">
        <f t="shared" si="0"/>
        <v>P007</v>
      </c>
    </row>
    <row r="31" spans="1:32" hidden="1" x14ac:dyDescent="0.3">
      <c r="A31" s="12" t="e" cm="1">
        <f t="array" aca="1" ref="A31" ca="1">IF(STAT[[#This Row],[retranca]]="","",       RegxFunc(STAT[[#This Row],[retranca]],  "\w\d{4}\w*_\d")     )</f>
        <v>#NAME?</v>
      </c>
      <c r="B31" s="32" t="s">
        <v>130</v>
      </c>
      <c r="C31" s="14" t="s">
        <v>122</v>
      </c>
      <c r="D31" s="14" t="s">
        <v>9</v>
      </c>
      <c r="E31" s="14" t="s">
        <v>10</v>
      </c>
      <c r="F31" s="14">
        <v>20</v>
      </c>
      <c r="G31" s="14">
        <v>2</v>
      </c>
      <c r="H31" s="14">
        <v>2</v>
      </c>
      <c r="I31" s="14">
        <v>2</v>
      </c>
      <c r="J31" s="28" t="s">
        <v>55</v>
      </c>
      <c r="K31" s="36"/>
      <c r="L31" s="14"/>
      <c r="M31" s="14"/>
      <c r="N31" s="14"/>
      <c r="O31" s="14"/>
      <c r="P31" s="25" t="s">
        <v>131</v>
      </c>
      <c r="Q31" s="22"/>
      <c r="R31" s="22" t="s">
        <v>124</v>
      </c>
      <c r="S31" s="14">
        <v>3</v>
      </c>
      <c r="T31" s="27">
        <v>45790</v>
      </c>
      <c r="U31" s="27">
        <v>45791</v>
      </c>
      <c r="V31" s="27">
        <v>45796</v>
      </c>
      <c r="W31" s="27">
        <v>45800</v>
      </c>
      <c r="X31" s="27">
        <v>45808</v>
      </c>
      <c r="Y31" s="14" t="s">
        <v>109</v>
      </c>
      <c r="Z31" s="40" t="str">
        <f>IF(STAT[[#This Row],[sigla]]="","",VLOOKUP(STAT[[#This Row],[sigla]],CRÉDITOS_GERAIS[[sigla]:[credito]],2,))</f>
        <v>Clarice Baracho</v>
      </c>
      <c r="AA31" s="14"/>
      <c r="AB31" s="14" t="str">
        <f>STAT[[#This Row],[ilustrador]]</f>
        <v>Clarice Baracho</v>
      </c>
      <c r="AC31" s="14">
        <v>8</v>
      </c>
      <c r="AD31" s="22" t="s">
        <v>125</v>
      </c>
      <c r="AE31" s="14" t="s">
        <v>87</v>
      </c>
      <c r="AF31" s="42" t="str">
        <f t="shared" si="0"/>
        <v>P007</v>
      </c>
    </row>
    <row r="32" spans="1:32" hidden="1" x14ac:dyDescent="0.3">
      <c r="A32" s="12" t="e" cm="1">
        <f t="array" aca="1" ref="A32" ca="1">IF(STAT[[#This Row],[retranca]]="","",       RegxFunc(STAT[[#This Row],[retranca]],  "\w\d{4}\w*_\d")     )</f>
        <v>#NAME?</v>
      </c>
      <c r="B32" s="32" t="s">
        <v>132</v>
      </c>
      <c r="C32" s="14" t="s">
        <v>122</v>
      </c>
      <c r="D32" s="14" t="s">
        <v>9</v>
      </c>
      <c r="E32" s="14" t="s">
        <v>10</v>
      </c>
      <c r="F32" s="14">
        <v>20</v>
      </c>
      <c r="G32" s="14">
        <v>2</v>
      </c>
      <c r="H32" s="14">
        <v>2</v>
      </c>
      <c r="I32" s="14">
        <v>2</v>
      </c>
      <c r="J32" s="28" t="s">
        <v>55</v>
      </c>
      <c r="K32" s="36"/>
      <c r="L32" s="14"/>
      <c r="M32" s="14"/>
      <c r="N32" s="14"/>
      <c r="O32" s="14"/>
      <c r="P32" s="25" t="s">
        <v>133</v>
      </c>
      <c r="Q32" s="22"/>
      <c r="R32" s="22" t="s">
        <v>124</v>
      </c>
      <c r="S32" s="14">
        <v>3</v>
      </c>
      <c r="T32" s="27">
        <v>45790</v>
      </c>
      <c r="U32" s="27">
        <v>45791</v>
      </c>
      <c r="V32" s="27">
        <v>45796</v>
      </c>
      <c r="W32" s="27">
        <v>45800</v>
      </c>
      <c r="X32" s="27">
        <v>45808</v>
      </c>
      <c r="Y32" s="14" t="s">
        <v>109</v>
      </c>
      <c r="Z32" s="40" t="str">
        <f>IF(STAT[[#This Row],[sigla]]="","",VLOOKUP(STAT[[#This Row],[sigla]],CRÉDITOS_GERAIS[[sigla]:[credito]],2,))</f>
        <v>Clarice Baracho</v>
      </c>
      <c r="AA32" s="14"/>
      <c r="AB32" s="14" t="str">
        <f>STAT[[#This Row],[ilustrador]]</f>
        <v>Clarice Baracho</v>
      </c>
      <c r="AC32" s="14">
        <v>8</v>
      </c>
      <c r="AD32" s="22" t="s">
        <v>125</v>
      </c>
      <c r="AE32" s="14" t="s">
        <v>87</v>
      </c>
      <c r="AF32" s="42" t="str">
        <f t="shared" si="0"/>
        <v>P007</v>
      </c>
    </row>
    <row r="33" spans="1:32" hidden="1" x14ac:dyDescent="0.3">
      <c r="A33" s="12" t="e" cm="1">
        <f t="array" aca="1" ref="A33" ca="1">IF(STAT[[#This Row],[retranca]]="","",       RegxFunc(STAT[[#This Row],[retranca]],  "\w\d{4}\w*_\d")     )</f>
        <v>#NAME?</v>
      </c>
      <c r="B33" s="32" t="s">
        <v>134</v>
      </c>
      <c r="C33" s="14" t="s">
        <v>122</v>
      </c>
      <c r="D33" s="14" t="s">
        <v>9</v>
      </c>
      <c r="E33" s="14" t="s">
        <v>10</v>
      </c>
      <c r="F33" s="14">
        <v>20</v>
      </c>
      <c r="G33" s="14">
        <v>2</v>
      </c>
      <c r="H33" s="14">
        <v>2</v>
      </c>
      <c r="I33" s="14">
        <v>2</v>
      </c>
      <c r="J33" s="28" t="s">
        <v>55</v>
      </c>
      <c r="K33" s="36"/>
      <c r="L33" s="14"/>
      <c r="M33" s="14"/>
      <c r="N33" s="14"/>
      <c r="O33" s="14"/>
      <c r="P33" s="25" t="s">
        <v>135</v>
      </c>
      <c r="Q33" s="22"/>
      <c r="R33" s="22" t="s">
        <v>124</v>
      </c>
      <c r="S33" s="14">
        <v>3</v>
      </c>
      <c r="T33" s="27">
        <v>45790</v>
      </c>
      <c r="U33" s="27">
        <v>45791</v>
      </c>
      <c r="V33" s="27">
        <v>45796</v>
      </c>
      <c r="W33" s="27">
        <v>45800</v>
      </c>
      <c r="X33" s="27">
        <v>45808</v>
      </c>
      <c r="Y33" s="14" t="s">
        <v>109</v>
      </c>
      <c r="Z33" s="40" t="str">
        <f>IF(STAT[[#This Row],[sigla]]="","",VLOOKUP(STAT[[#This Row],[sigla]],CRÉDITOS_GERAIS[[sigla]:[credito]],2,))</f>
        <v>Clarice Baracho</v>
      </c>
      <c r="AA33" s="14"/>
      <c r="AB33" s="14" t="str">
        <f>STAT[[#This Row],[ilustrador]]</f>
        <v>Clarice Baracho</v>
      </c>
      <c r="AC33" s="14">
        <v>8</v>
      </c>
      <c r="AD33" s="22" t="s">
        <v>125</v>
      </c>
      <c r="AE33" s="14" t="s">
        <v>87</v>
      </c>
      <c r="AF33" s="42" t="str">
        <f t="shared" si="0"/>
        <v>P007</v>
      </c>
    </row>
    <row r="34" spans="1:32" ht="72" hidden="1" x14ac:dyDescent="0.3">
      <c r="A34" s="12" t="e" cm="1">
        <f t="array" aca="1" ref="A34" ca="1">IF(STAT[[#This Row],[retranca]]="","",       RegxFunc(STAT[[#This Row],[retranca]],  "\w\d{4}\w*_\d")     )</f>
        <v>#NAME?</v>
      </c>
      <c r="B34" s="32" t="s">
        <v>136</v>
      </c>
      <c r="C34" s="14" t="s">
        <v>72</v>
      </c>
      <c r="D34" s="14" t="s">
        <v>9</v>
      </c>
      <c r="E34" s="14" t="s">
        <v>10</v>
      </c>
      <c r="F34" s="14">
        <v>21</v>
      </c>
      <c r="G34" s="14">
        <v>2</v>
      </c>
      <c r="H34" s="14">
        <v>2</v>
      </c>
      <c r="I34" s="14">
        <v>2</v>
      </c>
      <c r="J34" s="28" t="s">
        <v>55</v>
      </c>
      <c r="K34" s="36"/>
      <c r="L34" s="14"/>
      <c r="M34" s="14"/>
      <c r="N34" s="14"/>
      <c r="O34" s="14"/>
      <c r="P34" s="25" t="s">
        <v>137</v>
      </c>
      <c r="Q34" s="22"/>
      <c r="R34" s="22"/>
      <c r="S34" s="14">
        <v>3</v>
      </c>
      <c r="T34" s="27">
        <v>45790</v>
      </c>
      <c r="U34" s="27">
        <v>45791</v>
      </c>
      <c r="V34" s="27">
        <v>45796</v>
      </c>
      <c r="W34" s="27">
        <v>45803</v>
      </c>
      <c r="X34" s="27">
        <v>45811</v>
      </c>
      <c r="Y34" s="14" t="s">
        <v>94</v>
      </c>
      <c r="Z34" s="40" t="str">
        <f>IF(STAT[[#This Row],[sigla]]="","",VLOOKUP(STAT[[#This Row],[sigla]],CRÉDITOS_GERAIS[[sigla]:[credito]],2,))</f>
        <v>Thais Castro</v>
      </c>
      <c r="AA34" s="14"/>
      <c r="AB34" s="14" t="str">
        <f>STAT[[#This Row],[ilustrador]]</f>
        <v>Thais Castro</v>
      </c>
      <c r="AC34" s="14">
        <v>3</v>
      </c>
      <c r="AD34" s="22" t="s">
        <v>125</v>
      </c>
      <c r="AE34" s="14" t="s">
        <v>87</v>
      </c>
      <c r="AF34" s="42" t="str">
        <f t="shared" si="0"/>
        <v>P007</v>
      </c>
    </row>
    <row r="35" spans="1:32" ht="43.2" hidden="1" x14ac:dyDescent="0.3">
      <c r="A35" s="12" t="e" cm="1">
        <f t="array" aca="1" ref="A35" ca="1">IF(STAT[[#This Row],[retranca]]="","",       RegxFunc(STAT[[#This Row],[retranca]],  "\w\d{4}\w*_\d")     )</f>
        <v>#NAME?</v>
      </c>
      <c r="B35" s="32" t="s">
        <v>138</v>
      </c>
      <c r="C35" s="14" t="s">
        <v>72</v>
      </c>
      <c r="D35" s="14" t="s">
        <v>9</v>
      </c>
      <c r="E35" s="14" t="s">
        <v>10</v>
      </c>
      <c r="F35" s="14">
        <v>21</v>
      </c>
      <c r="G35" s="14">
        <v>2</v>
      </c>
      <c r="H35" s="14">
        <v>2</v>
      </c>
      <c r="I35" s="14">
        <v>2</v>
      </c>
      <c r="J35" s="28" t="s">
        <v>55</v>
      </c>
      <c r="K35" s="36"/>
      <c r="L35" s="14"/>
      <c r="M35" s="14"/>
      <c r="N35" s="14"/>
      <c r="O35" s="14"/>
      <c r="P35" s="25" t="s">
        <v>139</v>
      </c>
      <c r="Q35" s="22"/>
      <c r="R35" s="22"/>
      <c r="S35" s="14">
        <v>3</v>
      </c>
      <c r="T35" s="27">
        <v>45790</v>
      </c>
      <c r="U35" s="27">
        <v>45791</v>
      </c>
      <c r="V35" s="27">
        <v>45796</v>
      </c>
      <c r="W35" s="27">
        <v>45803</v>
      </c>
      <c r="X35" s="27">
        <v>45811</v>
      </c>
      <c r="Y35" s="14" t="s">
        <v>94</v>
      </c>
      <c r="Z35" s="40" t="str">
        <f>IF(STAT[[#This Row],[sigla]]="","",VLOOKUP(STAT[[#This Row],[sigla]],CRÉDITOS_GERAIS[[sigla]:[credito]],2,))</f>
        <v>Thais Castro</v>
      </c>
      <c r="AA35" s="14"/>
      <c r="AB35" s="14" t="str">
        <f>STAT[[#This Row],[ilustrador]]</f>
        <v>Thais Castro</v>
      </c>
      <c r="AC35" s="14">
        <v>13</v>
      </c>
      <c r="AD35" s="22" t="s">
        <v>125</v>
      </c>
      <c r="AE35" s="14" t="s">
        <v>87</v>
      </c>
      <c r="AF35" s="42" t="str">
        <f t="shared" si="0"/>
        <v>P007</v>
      </c>
    </row>
    <row r="36" spans="1:32" ht="28.8" hidden="1" x14ac:dyDescent="0.3">
      <c r="A36" s="12" t="e" cm="1">
        <f t="array" aca="1" ref="A36" ca="1">IF(STAT[[#This Row],[retranca]]="","",       RegxFunc(STAT[[#This Row],[retranca]],  "\w\d{4}\w*_\d")     )</f>
        <v>#NAME?</v>
      </c>
      <c r="B36" s="32" t="s">
        <v>140</v>
      </c>
      <c r="C36" s="14" t="s">
        <v>72</v>
      </c>
      <c r="D36" s="14" t="s">
        <v>9</v>
      </c>
      <c r="E36" s="14" t="s">
        <v>10</v>
      </c>
      <c r="F36" s="14">
        <v>21</v>
      </c>
      <c r="G36" s="14">
        <v>2</v>
      </c>
      <c r="H36" s="14">
        <v>2</v>
      </c>
      <c r="I36" s="14">
        <v>2</v>
      </c>
      <c r="J36" s="28" t="s">
        <v>55</v>
      </c>
      <c r="K36" s="36"/>
      <c r="L36" s="14"/>
      <c r="M36" s="14"/>
      <c r="N36" s="14"/>
      <c r="O36" s="14"/>
      <c r="P36" s="25" t="s">
        <v>141</v>
      </c>
      <c r="Q36" s="22"/>
      <c r="R36" s="22"/>
      <c r="S36" s="14">
        <v>3</v>
      </c>
      <c r="T36" s="27">
        <v>45790</v>
      </c>
      <c r="U36" s="27">
        <v>45791</v>
      </c>
      <c r="V36" s="27">
        <v>45796</v>
      </c>
      <c r="W36" s="27">
        <v>45803</v>
      </c>
      <c r="X36" s="27">
        <v>45811</v>
      </c>
      <c r="Y36" s="14" t="s">
        <v>94</v>
      </c>
      <c r="Z36" s="40" t="str">
        <f>IF(STAT[[#This Row],[sigla]]="","",VLOOKUP(STAT[[#This Row],[sigla]],CRÉDITOS_GERAIS[[sigla]:[credito]],2,))</f>
        <v>Thais Castro</v>
      </c>
      <c r="AA36" s="14"/>
      <c r="AB36" s="14" t="str">
        <f>STAT[[#This Row],[ilustrador]]</f>
        <v>Thais Castro</v>
      </c>
      <c r="AC36" s="14">
        <v>13</v>
      </c>
      <c r="AD36" s="22" t="s">
        <v>125</v>
      </c>
      <c r="AE36" s="14" t="s">
        <v>87</v>
      </c>
      <c r="AF36" s="42" t="str">
        <f t="shared" si="0"/>
        <v>P007</v>
      </c>
    </row>
    <row r="37" spans="1:32" ht="28.8" hidden="1" x14ac:dyDescent="0.3">
      <c r="A37" s="12" t="e" cm="1">
        <f t="array" aca="1" ref="A37" ca="1">IF(STAT[[#This Row],[retranca]]="","",       RegxFunc(STAT[[#This Row],[retranca]],  "\w\d{4}\w*_\d")     )</f>
        <v>#NAME?</v>
      </c>
      <c r="B37" s="32" t="s">
        <v>142</v>
      </c>
      <c r="C37" s="14" t="s">
        <v>72</v>
      </c>
      <c r="D37" s="14" t="s">
        <v>143</v>
      </c>
      <c r="E37" s="14" t="s">
        <v>10</v>
      </c>
      <c r="F37" s="14">
        <v>22</v>
      </c>
      <c r="G37" s="14">
        <v>2</v>
      </c>
      <c r="H37" s="14">
        <v>2</v>
      </c>
      <c r="I37" s="14">
        <v>2</v>
      </c>
      <c r="J37" s="28" t="s">
        <v>55</v>
      </c>
      <c r="K37" s="36"/>
      <c r="L37" s="14"/>
      <c r="M37" s="14"/>
      <c r="N37" s="14"/>
      <c r="O37" s="14"/>
      <c r="P37" s="25" t="s">
        <v>144</v>
      </c>
      <c r="Q37" s="22"/>
      <c r="R37" s="22"/>
      <c r="S37" s="14">
        <v>3</v>
      </c>
      <c r="T37" s="27">
        <v>45790</v>
      </c>
      <c r="U37" s="27">
        <v>45790</v>
      </c>
      <c r="V37" s="27"/>
      <c r="W37" s="27"/>
      <c r="X37" s="27">
        <v>45792</v>
      </c>
      <c r="Y37" s="14" t="s">
        <v>145</v>
      </c>
      <c r="Z37" s="40" t="str">
        <f>IF(STAT[[#This Row],[sigla]]="","",VLOOKUP(STAT[[#This Row],[sigla]],CRÉDITOS_GERAIS[[sigla]:[credito]],2,))</f>
        <v>Rafaela Panissa</v>
      </c>
      <c r="AA37" s="14"/>
      <c r="AB37" s="14" t="str">
        <f>STAT[[#This Row],[ilustrador]]</f>
        <v>Rafaela Panissa</v>
      </c>
      <c r="AC37" s="14">
        <v>8</v>
      </c>
      <c r="AD37" s="22" t="s">
        <v>146</v>
      </c>
      <c r="AE37" s="14" t="s">
        <v>46</v>
      </c>
      <c r="AF37" s="42" t="str">
        <f t="shared" si="0"/>
        <v>P007</v>
      </c>
    </row>
    <row r="38" spans="1:32" ht="28.8" hidden="1" x14ac:dyDescent="0.3">
      <c r="A38" s="12" t="e" cm="1">
        <f t="array" aca="1" ref="A38" ca="1">IF(STAT[[#This Row],[retranca]]="","",       RegxFunc(STAT[[#This Row],[retranca]],  "\w\d{4}\w*_\d")     )</f>
        <v>#NAME?</v>
      </c>
      <c r="B38" s="32" t="s">
        <v>147</v>
      </c>
      <c r="C38" s="14" t="s">
        <v>72</v>
      </c>
      <c r="D38" s="14" t="s">
        <v>143</v>
      </c>
      <c r="E38" s="14" t="s">
        <v>10</v>
      </c>
      <c r="F38" s="14">
        <v>22</v>
      </c>
      <c r="G38" s="14">
        <v>2</v>
      </c>
      <c r="H38" s="14">
        <v>2</v>
      </c>
      <c r="I38" s="14">
        <v>2</v>
      </c>
      <c r="J38" s="28" t="s">
        <v>55</v>
      </c>
      <c r="K38" s="36"/>
      <c r="L38" s="14"/>
      <c r="M38" s="14"/>
      <c r="N38" s="14"/>
      <c r="O38" s="14"/>
      <c r="P38" s="25" t="s">
        <v>144</v>
      </c>
      <c r="Q38" s="22"/>
      <c r="R38" s="22"/>
      <c r="S38" s="14">
        <v>3</v>
      </c>
      <c r="T38" s="27">
        <v>45790</v>
      </c>
      <c r="U38" s="27">
        <v>45790</v>
      </c>
      <c r="V38" s="27"/>
      <c r="W38" s="27"/>
      <c r="X38" s="27">
        <v>45792</v>
      </c>
      <c r="Y38" s="14" t="s">
        <v>145</v>
      </c>
      <c r="Z38" s="40" t="str">
        <f>IF(STAT[[#This Row],[sigla]]="","",VLOOKUP(STAT[[#This Row],[sigla]],CRÉDITOS_GERAIS[[sigla]:[credito]],2,))</f>
        <v>Rafaela Panissa</v>
      </c>
      <c r="AA38" s="14"/>
      <c r="AB38" s="14" t="str">
        <f>STAT[[#This Row],[ilustrador]]</f>
        <v>Rafaela Panissa</v>
      </c>
      <c r="AC38" s="14">
        <v>8</v>
      </c>
      <c r="AD38" s="22" t="s">
        <v>146</v>
      </c>
      <c r="AE38" s="14" t="s">
        <v>46</v>
      </c>
      <c r="AF38" s="42" t="str">
        <f t="shared" si="0"/>
        <v>P007</v>
      </c>
    </row>
    <row r="39" spans="1:32" ht="86.4" hidden="1" x14ac:dyDescent="0.3">
      <c r="A39" s="12" t="e" cm="1">
        <f t="array" aca="1" ref="A39" ca="1">IF(STAT[[#This Row],[retranca]]="","",       RegxFunc(STAT[[#This Row],[retranca]],  "\w\d{4}\w*_\d")     )</f>
        <v>#NAME?</v>
      </c>
      <c r="B39" s="32" t="s">
        <v>148</v>
      </c>
      <c r="C39" s="14" t="s">
        <v>122</v>
      </c>
      <c r="D39" s="14" t="s">
        <v>9</v>
      </c>
      <c r="E39" s="14" t="s">
        <v>10</v>
      </c>
      <c r="F39" s="14">
        <v>23</v>
      </c>
      <c r="G39" s="14">
        <v>2</v>
      </c>
      <c r="H39" s="14">
        <v>2</v>
      </c>
      <c r="I39" s="14">
        <v>2</v>
      </c>
      <c r="J39" s="28" t="s">
        <v>55</v>
      </c>
      <c r="K39" s="36"/>
      <c r="L39" s="14"/>
      <c r="M39" s="14"/>
      <c r="N39" s="14"/>
      <c r="O39" s="14"/>
      <c r="P39" s="25" t="s">
        <v>149</v>
      </c>
      <c r="Q39" s="22"/>
      <c r="R39" s="22" t="s">
        <v>150</v>
      </c>
      <c r="S39" s="14">
        <v>3</v>
      </c>
      <c r="T39" s="27">
        <v>45790</v>
      </c>
      <c r="U39" s="27">
        <v>45791</v>
      </c>
      <c r="V39" s="27">
        <v>45796</v>
      </c>
      <c r="W39" s="27">
        <v>45803</v>
      </c>
      <c r="X39" s="27">
        <v>45811</v>
      </c>
      <c r="Y39" s="14" t="s">
        <v>94</v>
      </c>
      <c r="Z39" s="40" t="str">
        <f>IF(STAT[[#This Row],[sigla]]="","",VLOOKUP(STAT[[#This Row],[sigla]],CRÉDITOS_GERAIS[[sigla]:[credito]],2,))</f>
        <v>Thais Castro</v>
      </c>
      <c r="AA39" s="14"/>
      <c r="AB39" s="14" t="str">
        <f>STAT[[#This Row],[ilustrador]]</f>
        <v>Thais Castro</v>
      </c>
      <c r="AC39" s="14">
        <v>2</v>
      </c>
      <c r="AD39" s="22" t="s">
        <v>125</v>
      </c>
      <c r="AE39" s="14" t="s">
        <v>87</v>
      </c>
      <c r="AF39" s="42" t="str">
        <f t="shared" si="0"/>
        <v>P007</v>
      </c>
    </row>
    <row r="40" spans="1:32" ht="86.4" hidden="1" x14ac:dyDescent="0.3">
      <c r="A40" s="12" t="e" cm="1">
        <f t="array" aca="1" ref="A40" ca="1">IF(STAT[[#This Row],[retranca]]="","",       RegxFunc(STAT[[#This Row],[retranca]],  "\w\d{4}\w*_\d")     )</f>
        <v>#NAME?</v>
      </c>
      <c r="B40" s="32" t="s">
        <v>151</v>
      </c>
      <c r="C40" s="14" t="s">
        <v>72</v>
      </c>
      <c r="D40" s="14" t="s">
        <v>9</v>
      </c>
      <c r="E40" s="14" t="s">
        <v>10</v>
      </c>
      <c r="F40" s="14">
        <v>23</v>
      </c>
      <c r="G40" s="14">
        <v>2</v>
      </c>
      <c r="H40" s="14">
        <v>2</v>
      </c>
      <c r="I40" s="14">
        <v>2</v>
      </c>
      <c r="J40" s="28" t="s">
        <v>55</v>
      </c>
      <c r="K40" s="36"/>
      <c r="L40" s="14"/>
      <c r="M40" s="14"/>
      <c r="N40" s="14"/>
      <c r="O40" s="14"/>
      <c r="P40" s="25" t="s">
        <v>152</v>
      </c>
      <c r="Q40" s="22"/>
      <c r="R40" s="22"/>
      <c r="S40" s="14">
        <v>3</v>
      </c>
      <c r="T40" s="27">
        <v>45790</v>
      </c>
      <c r="U40" s="27">
        <v>45791</v>
      </c>
      <c r="V40" s="27">
        <v>45796</v>
      </c>
      <c r="W40" s="27">
        <v>45803</v>
      </c>
      <c r="X40" s="27">
        <v>45811</v>
      </c>
      <c r="Y40" s="14" t="s">
        <v>94</v>
      </c>
      <c r="Z40" s="40" t="str">
        <f>IF(STAT[[#This Row],[sigla]]="","",VLOOKUP(STAT[[#This Row],[sigla]],CRÉDITOS_GERAIS[[sigla]:[credito]],2,))</f>
        <v>Thais Castro</v>
      </c>
      <c r="AA40" s="14"/>
      <c r="AB40" s="14" t="str">
        <f>STAT[[#This Row],[ilustrador]]</f>
        <v>Thais Castro</v>
      </c>
      <c r="AC40" s="14">
        <v>2</v>
      </c>
      <c r="AD40" s="22" t="s">
        <v>125</v>
      </c>
      <c r="AE40" s="14" t="s">
        <v>87</v>
      </c>
      <c r="AF40" s="42" t="str">
        <f t="shared" si="0"/>
        <v>P007</v>
      </c>
    </row>
    <row r="41" spans="1:32" hidden="1" x14ac:dyDescent="0.3">
      <c r="A41" s="12" t="e" cm="1">
        <f t="array" aca="1" ref="A41" ca="1">IF(STAT[[#This Row],[retranca]]="","",       RegxFunc(STAT[[#This Row],[retranca]],  "\w\d{4}\w*_\d")     )</f>
        <v>#NAME?</v>
      </c>
      <c r="B41" s="32" t="s">
        <v>153</v>
      </c>
      <c r="C41" s="14" t="s">
        <v>72</v>
      </c>
      <c r="D41" s="14" t="s">
        <v>9</v>
      </c>
      <c r="E41" s="14" t="s">
        <v>10</v>
      </c>
      <c r="F41" s="14">
        <v>25</v>
      </c>
      <c r="G41" s="14">
        <v>2</v>
      </c>
      <c r="H41" s="14">
        <v>2</v>
      </c>
      <c r="I41" s="14">
        <v>2</v>
      </c>
      <c r="J41" s="28" t="s">
        <v>55</v>
      </c>
      <c r="K41" s="36"/>
      <c r="L41" s="14"/>
      <c r="M41" s="14"/>
      <c r="N41" s="14"/>
      <c r="O41" s="14"/>
      <c r="P41" s="25" t="s">
        <v>154</v>
      </c>
      <c r="Q41" s="22"/>
      <c r="R41" s="22"/>
      <c r="S41" s="14">
        <v>3</v>
      </c>
      <c r="T41" s="27">
        <v>45790</v>
      </c>
      <c r="U41" s="27">
        <v>45791</v>
      </c>
      <c r="V41" s="27">
        <v>45796</v>
      </c>
      <c r="W41" s="27">
        <v>45800</v>
      </c>
      <c r="X41" s="27">
        <v>45808</v>
      </c>
      <c r="Y41" s="14" t="s">
        <v>109</v>
      </c>
      <c r="Z41" s="40" t="str">
        <f>IF(STAT[[#This Row],[sigla]]="","",VLOOKUP(STAT[[#This Row],[sigla]],CRÉDITOS_GERAIS[[sigla]:[credito]],2,))</f>
        <v>Clarice Baracho</v>
      </c>
      <c r="AA41" s="14"/>
      <c r="AB41" s="14" t="str">
        <f>STAT[[#This Row],[ilustrador]]</f>
        <v>Clarice Baracho</v>
      </c>
      <c r="AC41" s="14">
        <v>8</v>
      </c>
      <c r="AD41" s="22" t="s">
        <v>125</v>
      </c>
      <c r="AE41" s="14" t="s">
        <v>87</v>
      </c>
      <c r="AF41" s="42" t="str">
        <f t="shared" si="0"/>
        <v>P007</v>
      </c>
    </row>
    <row r="42" spans="1:32" hidden="1" x14ac:dyDescent="0.3">
      <c r="A42" s="12" t="e" cm="1">
        <f t="array" aca="1" ref="A42" ca="1">IF(STAT[[#This Row],[retranca]]="","",       RegxFunc(STAT[[#This Row],[retranca]],  "\w\d{4}\w*_\d")     )</f>
        <v>#NAME?</v>
      </c>
      <c r="B42" s="32" t="s">
        <v>155</v>
      </c>
      <c r="C42" s="14" t="s">
        <v>72</v>
      </c>
      <c r="D42" s="14" t="s">
        <v>9</v>
      </c>
      <c r="E42" s="14" t="s">
        <v>10</v>
      </c>
      <c r="F42" s="14">
        <v>25</v>
      </c>
      <c r="G42" s="14">
        <v>2</v>
      </c>
      <c r="H42" s="14">
        <v>2</v>
      </c>
      <c r="I42" s="14">
        <v>2</v>
      </c>
      <c r="J42" s="28" t="s">
        <v>55</v>
      </c>
      <c r="K42" s="36"/>
      <c r="L42" s="14"/>
      <c r="M42" s="14"/>
      <c r="N42" s="14"/>
      <c r="O42" s="14"/>
      <c r="P42" s="25" t="s">
        <v>156</v>
      </c>
      <c r="Q42" s="22"/>
      <c r="R42" s="22"/>
      <c r="S42" s="14">
        <v>3</v>
      </c>
      <c r="T42" s="27">
        <v>45790</v>
      </c>
      <c r="U42" s="27">
        <v>45791</v>
      </c>
      <c r="V42" s="27">
        <v>45796</v>
      </c>
      <c r="W42" s="27">
        <v>45800</v>
      </c>
      <c r="X42" s="27">
        <v>45808</v>
      </c>
      <c r="Y42" s="14" t="s">
        <v>109</v>
      </c>
      <c r="Z42" s="40" t="str">
        <f>IF(STAT[[#This Row],[sigla]]="","",VLOOKUP(STAT[[#This Row],[sigla]],CRÉDITOS_GERAIS[[sigla]:[credito]],2,))</f>
        <v>Clarice Baracho</v>
      </c>
      <c r="AA42" s="14"/>
      <c r="AB42" s="14" t="str">
        <f>STAT[[#This Row],[ilustrador]]</f>
        <v>Clarice Baracho</v>
      </c>
      <c r="AC42" s="14">
        <v>8</v>
      </c>
      <c r="AD42" s="22" t="s">
        <v>125</v>
      </c>
      <c r="AE42" s="14" t="s">
        <v>87</v>
      </c>
      <c r="AF42" s="42" t="str">
        <f t="shared" si="0"/>
        <v>P007</v>
      </c>
    </row>
    <row r="43" spans="1:32" hidden="1" x14ac:dyDescent="0.3">
      <c r="A43" s="12" t="e" cm="1">
        <f t="array" aca="1" ref="A43" ca="1">IF(STAT[[#This Row],[retranca]]="","",       RegxFunc(STAT[[#This Row],[retranca]],  "\w\d{4}\w*_\d")     )</f>
        <v>#NAME?</v>
      </c>
      <c r="B43" s="32" t="s">
        <v>157</v>
      </c>
      <c r="C43" s="14" t="s">
        <v>72</v>
      </c>
      <c r="D43" s="14" t="s">
        <v>9</v>
      </c>
      <c r="E43" s="14" t="s">
        <v>10</v>
      </c>
      <c r="F43" s="14">
        <v>25</v>
      </c>
      <c r="G43" s="14">
        <v>2</v>
      </c>
      <c r="H43" s="14">
        <v>2</v>
      </c>
      <c r="I43" s="14">
        <v>2</v>
      </c>
      <c r="J43" s="28" t="s">
        <v>55</v>
      </c>
      <c r="K43" s="36"/>
      <c r="L43" s="14"/>
      <c r="M43" s="14"/>
      <c r="N43" s="14"/>
      <c r="O43" s="14"/>
      <c r="P43" s="25" t="s">
        <v>158</v>
      </c>
      <c r="Q43" s="22"/>
      <c r="R43" s="22"/>
      <c r="S43" s="14">
        <v>3</v>
      </c>
      <c r="T43" s="27">
        <v>45790</v>
      </c>
      <c r="U43" s="27">
        <v>45791</v>
      </c>
      <c r="V43" s="27">
        <v>45796</v>
      </c>
      <c r="W43" s="27">
        <v>45800</v>
      </c>
      <c r="X43" s="27">
        <v>45808</v>
      </c>
      <c r="Y43" s="14" t="s">
        <v>109</v>
      </c>
      <c r="Z43" s="40" t="str">
        <f>IF(STAT[[#This Row],[sigla]]="","",VLOOKUP(STAT[[#This Row],[sigla]],CRÉDITOS_GERAIS[[sigla]:[credito]],2,))</f>
        <v>Clarice Baracho</v>
      </c>
      <c r="AA43" s="14"/>
      <c r="AB43" s="14" t="str">
        <f>STAT[[#This Row],[ilustrador]]</f>
        <v>Clarice Baracho</v>
      </c>
      <c r="AC43" s="14">
        <v>8</v>
      </c>
      <c r="AD43" s="22" t="s">
        <v>125</v>
      </c>
      <c r="AE43" s="14" t="s">
        <v>87</v>
      </c>
      <c r="AF43" s="42" t="str">
        <f t="shared" si="0"/>
        <v>P007</v>
      </c>
    </row>
    <row r="44" spans="1:32" hidden="1" x14ac:dyDescent="0.3">
      <c r="A44" s="12" t="e" cm="1">
        <f t="array" aca="1" ref="A44" ca="1">IF(STAT[[#This Row],[retranca]]="","",       RegxFunc(STAT[[#This Row],[retranca]],  "\w\d{4}\w*_\d")     )</f>
        <v>#NAME?</v>
      </c>
      <c r="B44" s="32" t="s">
        <v>159</v>
      </c>
      <c r="C44" s="14" t="s">
        <v>72</v>
      </c>
      <c r="D44" s="14" t="s">
        <v>9</v>
      </c>
      <c r="E44" s="14" t="s">
        <v>10</v>
      </c>
      <c r="F44" s="14">
        <v>25</v>
      </c>
      <c r="G44" s="14">
        <v>2</v>
      </c>
      <c r="H44" s="14">
        <v>2</v>
      </c>
      <c r="I44" s="14">
        <v>2</v>
      </c>
      <c r="J44" s="28" t="s">
        <v>55</v>
      </c>
      <c r="K44" s="36"/>
      <c r="L44" s="14"/>
      <c r="M44" s="14"/>
      <c r="N44" s="14"/>
      <c r="O44" s="14"/>
      <c r="P44" s="25" t="s">
        <v>160</v>
      </c>
      <c r="Q44" s="22"/>
      <c r="R44" s="22"/>
      <c r="S44" s="14">
        <v>3</v>
      </c>
      <c r="T44" s="27">
        <v>45790</v>
      </c>
      <c r="U44" s="27">
        <v>45791</v>
      </c>
      <c r="V44" s="27">
        <v>45796</v>
      </c>
      <c r="W44" s="27">
        <v>45800</v>
      </c>
      <c r="X44" s="27">
        <v>45808</v>
      </c>
      <c r="Y44" s="14" t="s">
        <v>109</v>
      </c>
      <c r="Z44" s="40" t="str">
        <f>IF(STAT[[#This Row],[sigla]]="","",VLOOKUP(STAT[[#This Row],[sigla]],CRÉDITOS_GERAIS[[sigla]:[credito]],2,))</f>
        <v>Clarice Baracho</v>
      </c>
      <c r="AA44" s="14"/>
      <c r="AB44" s="14" t="str">
        <f>STAT[[#This Row],[ilustrador]]</f>
        <v>Clarice Baracho</v>
      </c>
      <c r="AC44" s="14">
        <v>8</v>
      </c>
      <c r="AD44" s="22" t="s">
        <v>125</v>
      </c>
      <c r="AE44" s="14" t="s">
        <v>87</v>
      </c>
      <c r="AF44" s="42" t="str">
        <f t="shared" si="0"/>
        <v>P007</v>
      </c>
    </row>
    <row r="45" spans="1:32" hidden="1" x14ac:dyDescent="0.3">
      <c r="A45" s="12" t="e" cm="1">
        <f t="array" aca="1" ref="A45" ca="1">IF(STAT[[#This Row],[retranca]]="","",       RegxFunc(STAT[[#This Row],[retranca]],  "\w\d{4}\w*_\d")     )</f>
        <v>#NAME?</v>
      </c>
      <c r="B45" s="32" t="s">
        <v>161</v>
      </c>
      <c r="C45" s="14" t="s">
        <v>72</v>
      </c>
      <c r="D45" s="14" t="s">
        <v>9</v>
      </c>
      <c r="E45" s="14" t="s">
        <v>10</v>
      </c>
      <c r="F45" s="14">
        <v>25</v>
      </c>
      <c r="G45" s="14">
        <v>2</v>
      </c>
      <c r="H45" s="14">
        <v>2</v>
      </c>
      <c r="I45" s="14">
        <v>2</v>
      </c>
      <c r="J45" s="28" t="s">
        <v>55</v>
      </c>
      <c r="K45" s="36"/>
      <c r="L45" s="14"/>
      <c r="M45" s="14"/>
      <c r="N45" s="14"/>
      <c r="O45" s="14"/>
      <c r="P45" s="25" t="s">
        <v>162</v>
      </c>
      <c r="Q45" s="22"/>
      <c r="R45" s="22"/>
      <c r="S45" s="14">
        <v>3</v>
      </c>
      <c r="T45" s="27">
        <v>45790</v>
      </c>
      <c r="U45" s="27">
        <v>45791</v>
      </c>
      <c r="V45" s="27">
        <v>45796</v>
      </c>
      <c r="W45" s="27">
        <v>45800</v>
      </c>
      <c r="X45" s="27">
        <v>45808</v>
      </c>
      <c r="Y45" s="14" t="s">
        <v>109</v>
      </c>
      <c r="Z45" s="40" t="str">
        <f>IF(STAT[[#This Row],[sigla]]="","",VLOOKUP(STAT[[#This Row],[sigla]],CRÉDITOS_GERAIS[[sigla]:[credito]],2,))</f>
        <v>Clarice Baracho</v>
      </c>
      <c r="AA45" s="14"/>
      <c r="AB45" s="14" t="str">
        <f>STAT[[#This Row],[ilustrador]]</f>
        <v>Clarice Baracho</v>
      </c>
      <c r="AC45" s="14">
        <v>8</v>
      </c>
      <c r="AD45" s="22" t="s">
        <v>125</v>
      </c>
      <c r="AE45" s="14" t="s">
        <v>87</v>
      </c>
      <c r="AF45" s="42" t="str">
        <f t="shared" si="0"/>
        <v>P007</v>
      </c>
    </row>
    <row r="46" spans="1:32" hidden="1" x14ac:dyDescent="0.3">
      <c r="A46" s="12" t="e" cm="1">
        <f t="array" aca="1" ref="A46" ca="1">IF(STAT[[#This Row],[retranca]]="","",       RegxFunc(STAT[[#This Row],[retranca]],  "\w\d{4}\w*_\d")     )</f>
        <v>#NAME?</v>
      </c>
      <c r="B46" s="32" t="s">
        <v>163</v>
      </c>
      <c r="C46" s="14" t="s">
        <v>72</v>
      </c>
      <c r="D46" s="14" t="s">
        <v>9</v>
      </c>
      <c r="E46" s="14" t="s">
        <v>10</v>
      </c>
      <c r="F46" s="14">
        <v>25</v>
      </c>
      <c r="G46" s="14">
        <v>2</v>
      </c>
      <c r="H46" s="14">
        <v>2</v>
      </c>
      <c r="I46" s="14">
        <v>2</v>
      </c>
      <c r="J46" s="28" t="s">
        <v>55</v>
      </c>
      <c r="K46" s="36"/>
      <c r="L46" s="14"/>
      <c r="M46" s="14"/>
      <c r="N46" s="14"/>
      <c r="O46" s="14"/>
      <c r="P46" s="25" t="s">
        <v>164</v>
      </c>
      <c r="Q46" s="22"/>
      <c r="R46" s="22"/>
      <c r="S46" s="14">
        <v>3</v>
      </c>
      <c r="T46" s="27">
        <v>45790</v>
      </c>
      <c r="U46" s="27">
        <v>45791</v>
      </c>
      <c r="V46" s="27">
        <v>45796</v>
      </c>
      <c r="W46" s="27">
        <v>45800</v>
      </c>
      <c r="X46" s="27">
        <v>45808</v>
      </c>
      <c r="Y46" s="14" t="s">
        <v>109</v>
      </c>
      <c r="Z46" s="40" t="str">
        <f>IF(STAT[[#This Row],[sigla]]="","",VLOOKUP(STAT[[#This Row],[sigla]],CRÉDITOS_GERAIS[[sigla]:[credito]],2,))</f>
        <v>Clarice Baracho</v>
      </c>
      <c r="AA46" s="14"/>
      <c r="AB46" s="14" t="str">
        <f>STAT[[#This Row],[ilustrador]]</f>
        <v>Clarice Baracho</v>
      </c>
      <c r="AC46" s="14">
        <v>5</v>
      </c>
      <c r="AD46" s="22" t="s">
        <v>125</v>
      </c>
      <c r="AE46" s="14" t="s">
        <v>87</v>
      </c>
      <c r="AF46" s="42" t="str">
        <f t="shared" si="0"/>
        <v>P007</v>
      </c>
    </row>
    <row r="47" spans="1:32" ht="43.2" hidden="1" x14ac:dyDescent="0.3">
      <c r="A47" s="12" t="e" cm="1">
        <f t="array" aca="1" ref="A47" ca="1">IF(STAT[[#This Row],[retranca]]="","",       RegxFunc(STAT[[#This Row],[retranca]],  "\w\d{4}\w*_\d")     )</f>
        <v>#NAME?</v>
      </c>
      <c r="B47" s="32" t="s">
        <v>165</v>
      </c>
      <c r="C47" s="14" t="s">
        <v>72</v>
      </c>
      <c r="D47" s="14" t="s">
        <v>9</v>
      </c>
      <c r="E47" s="14" t="s">
        <v>10</v>
      </c>
      <c r="F47" s="14">
        <v>25</v>
      </c>
      <c r="G47" s="14">
        <v>2</v>
      </c>
      <c r="H47" s="14">
        <v>2</v>
      </c>
      <c r="I47" s="14">
        <v>2</v>
      </c>
      <c r="J47" s="28" t="s">
        <v>55</v>
      </c>
      <c r="K47" s="36"/>
      <c r="L47" s="14"/>
      <c r="M47" s="14"/>
      <c r="N47" s="14"/>
      <c r="O47" s="14"/>
      <c r="P47" s="25" t="s">
        <v>166</v>
      </c>
      <c r="Q47" s="22"/>
      <c r="R47" s="22"/>
      <c r="S47" s="14">
        <v>3</v>
      </c>
      <c r="T47" s="27">
        <v>45790</v>
      </c>
      <c r="U47" s="27">
        <v>45791</v>
      </c>
      <c r="V47" s="27">
        <v>45796</v>
      </c>
      <c r="W47" s="27">
        <v>45800</v>
      </c>
      <c r="X47" s="27">
        <v>45808</v>
      </c>
      <c r="Y47" s="14" t="s">
        <v>109</v>
      </c>
      <c r="Z47" s="40" t="str">
        <f>IF(STAT[[#This Row],[sigla]]="","",VLOOKUP(STAT[[#This Row],[sigla]],CRÉDITOS_GERAIS[[sigla]:[credito]],2,))</f>
        <v>Clarice Baracho</v>
      </c>
      <c r="AA47" s="14"/>
      <c r="AB47" s="14" t="str">
        <f>STAT[[#This Row],[ilustrador]]</f>
        <v>Clarice Baracho</v>
      </c>
      <c r="AC47" s="14">
        <v>5</v>
      </c>
      <c r="AD47" s="22" t="s">
        <v>125</v>
      </c>
      <c r="AE47" s="14" t="s">
        <v>87</v>
      </c>
      <c r="AF47" s="42" t="str">
        <f t="shared" si="0"/>
        <v>P007</v>
      </c>
    </row>
    <row r="48" spans="1:32" ht="28.8" hidden="1" x14ac:dyDescent="0.3">
      <c r="A48" s="12" t="e" cm="1">
        <f t="array" aca="1" ref="A48" ca="1">IF(STAT[[#This Row],[retranca]]="","",       RegxFunc(STAT[[#This Row],[retranca]],  "\w\d{4}\w*_\d")     )</f>
        <v>#NAME?</v>
      </c>
      <c r="B48" s="32" t="s">
        <v>167</v>
      </c>
      <c r="C48" s="14" t="s">
        <v>72</v>
      </c>
      <c r="D48" s="14" t="s">
        <v>9</v>
      </c>
      <c r="E48" s="14" t="s">
        <v>10</v>
      </c>
      <c r="F48" s="14">
        <v>25</v>
      </c>
      <c r="G48" s="14">
        <v>2</v>
      </c>
      <c r="H48" s="14">
        <v>2</v>
      </c>
      <c r="I48" s="14">
        <v>2</v>
      </c>
      <c r="J48" s="28" t="s">
        <v>55</v>
      </c>
      <c r="K48" s="36"/>
      <c r="L48" s="14"/>
      <c r="M48" s="14"/>
      <c r="N48" s="14"/>
      <c r="O48" s="14"/>
      <c r="P48" s="25" t="s">
        <v>168</v>
      </c>
      <c r="Q48" s="22"/>
      <c r="R48" s="22"/>
      <c r="S48" s="14">
        <v>3</v>
      </c>
      <c r="T48" s="27">
        <v>45790</v>
      </c>
      <c r="U48" s="27">
        <v>45791</v>
      </c>
      <c r="V48" s="27">
        <v>45796</v>
      </c>
      <c r="W48" s="27">
        <v>45800</v>
      </c>
      <c r="X48" s="27">
        <v>45808</v>
      </c>
      <c r="Y48" s="14" t="s">
        <v>109</v>
      </c>
      <c r="Z48" s="40" t="str">
        <f>IF(STAT[[#This Row],[sigla]]="","",VLOOKUP(STAT[[#This Row],[sigla]],CRÉDITOS_GERAIS[[sigla]:[credito]],2,))</f>
        <v>Clarice Baracho</v>
      </c>
      <c r="AA48" s="14"/>
      <c r="AB48" s="14" t="str">
        <f>STAT[[#This Row],[ilustrador]]</f>
        <v>Clarice Baracho</v>
      </c>
      <c r="AC48" s="14">
        <v>5</v>
      </c>
      <c r="AD48" s="22" t="s">
        <v>125</v>
      </c>
      <c r="AE48" s="14" t="s">
        <v>87</v>
      </c>
      <c r="AF48" s="42" t="str">
        <f t="shared" si="0"/>
        <v>P007</v>
      </c>
    </row>
    <row r="49" spans="1:32" hidden="1" x14ac:dyDescent="0.3">
      <c r="A49" s="12" t="e" cm="1">
        <f t="array" aca="1" ref="A49" ca="1">IF(STAT[[#This Row],[retranca]]="","",       RegxFunc(STAT[[#This Row],[retranca]],  "\w\d{4}\w*_\d")     )</f>
        <v>#NAME?</v>
      </c>
      <c r="B49" s="32" t="s">
        <v>169</v>
      </c>
      <c r="C49" s="14" t="s">
        <v>72</v>
      </c>
      <c r="D49" s="14" t="s">
        <v>9</v>
      </c>
      <c r="E49" s="14" t="s">
        <v>10</v>
      </c>
      <c r="F49" s="14">
        <v>25</v>
      </c>
      <c r="G49" s="14">
        <v>2</v>
      </c>
      <c r="H49" s="14">
        <v>2</v>
      </c>
      <c r="I49" s="14">
        <v>2</v>
      </c>
      <c r="J49" s="28" t="s">
        <v>55</v>
      </c>
      <c r="K49" s="36"/>
      <c r="L49" s="14"/>
      <c r="M49" s="14"/>
      <c r="N49" s="14"/>
      <c r="O49" s="14"/>
      <c r="P49" s="25" t="s">
        <v>170</v>
      </c>
      <c r="Q49" s="22"/>
      <c r="R49" s="22"/>
      <c r="S49" s="14">
        <v>3</v>
      </c>
      <c r="T49" s="27">
        <v>45790</v>
      </c>
      <c r="U49" s="27">
        <v>45791</v>
      </c>
      <c r="V49" s="27">
        <v>45796</v>
      </c>
      <c r="W49" s="27">
        <v>45800</v>
      </c>
      <c r="X49" s="27">
        <v>45808</v>
      </c>
      <c r="Y49" s="14" t="s">
        <v>109</v>
      </c>
      <c r="Z49" s="40" t="str">
        <f>IF(STAT[[#This Row],[sigla]]="","",VLOOKUP(STAT[[#This Row],[sigla]],CRÉDITOS_GERAIS[[sigla]:[credito]],2,))</f>
        <v>Clarice Baracho</v>
      </c>
      <c r="AA49" s="14"/>
      <c r="AB49" s="14" t="str">
        <f>STAT[[#This Row],[ilustrador]]</f>
        <v>Clarice Baracho</v>
      </c>
      <c r="AC49" s="14">
        <v>5</v>
      </c>
      <c r="AD49" s="22" t="s">
        <v>125</v>
      </c>
      <c r="AE49" s="14" t="s">
        <v>87</v>
      </c>
      <c r="AF49" s="42" t="str">
        <f t="shared" si="0"/>
        <v>P007</v>
      </c>
    </row>
    <row r="50" spans="1:32" ht="28.8" hidden="1" x14ac:dyDescent="0.3">
      <c r="A50" s="12" t="e" cm="1">
        <f t="array" aca="1" ref="A50" ca="1">IF(STAT[[#This Row],[retranca]]="","",       RegxFunc(STAT[[#This Row],[retranca]],  "\w\d{4}\w*_\d")     )</f>
        <v>#NAME?</v>
      </c>
      <c r="B50" s="32" t="s">
        <v>171</v>
      </c>
      <c r="C50" s="14" t="s">
        <v>72</v>
      </c>
      <c r="D50" s="14" t="s">
        <v>9</v>
      </c>
      <c r="E50" s="14" t="s">
        <v>10</v>
      </c>
      <c r="F50" s="14">
        <v>25</v>
      </c>
      <c r="G50" s="14">
        <v>2</v>
      </c>
      <c r="H50" s="14">
        <v>2</v>
      </c>
      <c r="I50" s="14">
        <v>2</v>
      </c>
      <c r="J50" s="28" t="s">
        <v>55</v>
      </c>
      <c r="K50" s="36"/>
      <c r="L50" s="14"/>
      <c r="M50" s="14"/>
      <c r="N50" s="14"/>
      <c r="O50" s="14"/>
      <c r="P50" s="25" t="s">
        <v>172</v>
      </c>
      <c r="Q50" s="22"/>
      <c r="R50" s="22"/>
      <c r="S50" s="14">
        <v>3</v>
      </c>
      <c r="T50" s="27">
        <v>45790</v>
      </c>
      <c r="U50" s="27">
        <v>45791</v>
      </c>
      <c r="V50" s="27">
        <v>45796</v>
      </c>
      <c r="W50" s="27">
        <v>45800</v>
      </c>
      <c r="X50" s="27">
        <v>45808</v>
      </c>
      <c r="Y50" s="14" t="s">
        <v>109</v>
      </c>
      <c r="Z50" s="40" t="str">
        <f>IF(STAT[[#This Row],[sigla]]="","",VLOOKUP(STAT[[#This Row],[sigla]],CRÉDITOS_GERAIS[[sigla]:[credito]],2,))</f>
        <v>Clarice Baracho</v>
      </c>
      <c r="AA50" s="14"/>
      <c r="AB50" s="14" t="str">
        <f>STAT[[#This Row],[ilustrador]]</f>
        <v>Clarice Baracho</v>
      </c>
      <c r="AC50" s="14">
        <v>7</v>
      </c>
      <c r="AD50" s="22" t="s">
        <v>125</v>
      </c>
      <c r="AE50" s="14" t="s">
        <v>87</v>
      </c>
      <c r="AF50" s="42" t="str">
        <f t="shared" si="0"/>
        <v>P007</v>
      </c>
    </row>
    <row r="51" spans="1:32" ht="172.8" hidden="1" x14ac:dyDescent="0.3">
      <c r="A51" s="12" t="e" cm="1">
        <f t="array" aca="1" ref="A51" ca="1">IF(STAT[[#This Row],[retranca]]="","",       RegxFunc(STAT[[#This Row],[retranca]],  "\w\d{4}\w*_\d")     )</f>
        <v>#NAME?</v>
      </c>
      <c r="B51" s="32" t="s">
        <v>173</v>
      </c>
      <c r="C51" s="14" t="s">
        <v>72</v>
      </c>
      <c r="D51" s="14" t="s">
        <v>9</v>
      </c>
      <c r="E51" s="14" t="s">
        <v>10</v>
      </c>
      <c r="F51" s="14">
        <v>27</v>
      </c>
      <c r="G51" s="14">
        <v>2</v>
      </c>
      <c r="H51" s="14">
        <v>2</v>
      </c>
      <c r="I51" s="14">
        <v>2</v>
      </c>
      <c r="J51" s="28" t="s">
        <v>55</v>
      </c>
      <c r="K51" s="36"/>
      <c r="L51" s="14"/>
      <c r="M51" s="14"/>
      <c r="N51" s="14"/>
      <c r="O51" s="14"/>
      <c r="P51" s="25" t="s">
        <v>174</v>
      </c>
      <c r="Q51" s="22"/>
      <c r="R51" s="22"/>
      <c r="S51" s="14">
        <v>3</v>
      </c>
      <c r="T51" s="27">
        <v>45790</v>
      </c>
      <c r="U51" s="27">
        <v>45791</v>
      </c>
      <c r="V51" s="27">
        <v>45796</v>
      </c>
      <c r="W51" s="27">
        <v>45803</v>
      </c>
      <c r="X51" s="27">
        <v>45811</v>
      </c>
      <c r="Y51" s="14" t="s">
        <v>94</v>
      </c>
      <c r="Z51" s="40" t="str">
        <f>IF(STAT[[#This Row],[sigla]]="","",VLOOKUP(STAT[[#This Row],[sigla]],CRÉDITOS_GERAIS[[sigla]:[credito]],2,))</f>
        <v>Thais Castro</v>
      </c>
      <c r="AA51" s="14"/>
      <c r="AB51" s="14" t="str">
        <f>STAT[[#This Row],[ilustrador]]</f>
        <v>Thais Castro</v>
      </c>
      <c r="AC51" s="14">
        <v>2</v>
      </c>
      <c r="AD51" s="22" t="s">
        <v>125</v>
      </c>
      <c r="AE51" s="14" t="s">
        <v>87</v>
      </c>
      <c r="AF51" s="42" t="str">
        <f t="shared" si="0"/>
        <v>P007</v>
      </c>
    </row>
    <row r="52" spans="1:32" ht="100.8" hidden="1" x14ac:dyDescent="0.3">
      <c r="A52" s="12" t="e" cm="1">
        <f t="array" aca="1" ref="A52" ca="1">IF(STAT[[#This Row],[retranca]]="","",       RegxFunc(STAT[[#This Row],[retranca]],  "\w\d{4}\w*_\d")     )</f>
        <v>#NAME?</v>
      </c>
      <c r="B52" s="32" t="s">
        <v>175</v>
      </c>
      <c r="C52" s="14" t="s">
        <v>72</v>
      </c>
      <c r="D52" s="14" t="s">
        <v>9</v>
      </c>
      <c r="E52" s="14" t="s">
        <v>10</v>
      </c>
      <c r="F52" s="14">
        <v>30</v>
      </c>
      <c r="G52" s="14">
        <v>2</v>
      </c>
      <c r="H52" s="14">
        <v>2</v>
      </c>
      <c r="I52" s="14">
        <v>2</v>
      </c>
      <c r="J52" s="28" t="s">
        <v>55</v>
      </c>
      <c r="K52" s="36"/>
      <c r="L52" s="14"/>
      <c r="M52" s="14"/>
      <c r="N52" s="14"/>
      <c r="O52" s="14"/>
      <c r="P52" s="25" t="s">
        <v>176</v>
      </c>
      <c r="Q52" s="22"/>
      <c r="R52" s="22"/>
      <c r="S52" s="14">
        <v>3</v>
      </c>
      <c r="T52" s="27">
        <v>45790</v>
      </c>
      <c r="U52" s="27">
        <v>45791</v>
      </c>
      <c r="V52" s="27">
        <v>45796</v>
      </c>
      <c r="W52" s="27">
        <v>45803</v>
      </c>
      <c r="X52" s="27">
        <v>45811</v>
      </c>
      <c r="Y52" s="14" t="s">
        <v>94</v>
      </c>
      <c r="Z52" s="40" t="str">
        <f>IF(STAT[[#This Row],[sigla]]="","",VLOOKUP(STAT[[#This Row],[sigla]],CRÉDITOS_GERAIS[[sigla]:[credito]],2,))</f>
        <v>Thais Castro</v>
      </c>
      <c r="AA52" s="14"/>
      <c r="AB52" s="14" t="str">
        <f>STAT[[#This Row],[ilustrador]]</f>
        <v>Thais Castro</v>
      </c>
      <c r="AC52" s="14">
        <v>2</v>
      </c>
      <c r="AD52" s="22" t="s">
        <v>125</v>
      </c>
      <c r="AE52" s="14" t="s">
        <v>87</v>
      </c>
      <c r="AF52" s="42" t="str">
        <f t="shared" si="0"/>
        <v>P007</v>
      </c>
    </row>
    <row r="53" spans="1:32" ht="57.6" hidden="1" x14ac:dyDescent="0.3">
      <c r="A53" s="12" t="e" cm="1">
        <f t="array" aca="1" ref="A53" ca="1">IF(STAT[[#This Row],[retranca]]="","",       RegxFunc(STAT[[#This Row],[retranca]],  "\w\d{4}\w*_\d")     )</f>
        <v>#NAME?</v>
      </c>
      <c r="B53" s="32" t="s">
        <v>177</v>
      </c>
      <c r="C53" s="14" t="s">
        <v>72</v>
      </c>
      <c r="D53" s="14" t="s">
        <v>9</v>
      </c>
      <c r="E53" s="14" t="s">
        <v>10</v>
      </c>
      <c r="F53" s="14">
        <v>30</v>
      </c>
      <c r="G53" s="14">
        <v>2</v>
      </c>
      <c r="H53" s="14">
        <v>2</v>
      </c>
      <c r="I53" s="14">
        <v>2</v>
      </c>
      <c r="J53" s="28" t="s">
        <v>55</v>
      </c>
      <c r="K53" s="36"/>
      <c r="L53" s="14"/>
      <c r="M53" s="14"/>
      <c r="N53" s="14"/>
      <c r="O53" s="14"/>
      <c r="P53" s="25" t="s">
        <v>178</v>
      </c>
      <c r="Q53" s="22"/>
      <c r="R53" s="22"/>
      <c r="S53" s="14">
        <v>3</v>
      </c>
      <c r="T53" s="27">
        <v>45790</v>
      </c>
      <c r="U53" s="27">
        <v>45791</v>
      </c>
      <c r="V53" s="27">
        <v>45796</v>
      </c>
      <c r="W53" s="27">
        <v>45803</v>
      </c>
      <c r="X53" s="27">
        <v>45811</v>
      </c>
      <c r="Y53" s="14" t="s">
        <v>94</v>
      </c>
      <c r="Z53" s="40" t="str">
        <f>IF(STAT[[#This Row],[sigla]]="","",VLOOKUP(STAT[[#This Row],[sigla]],CRÉDITOS_GERAIS[[sigla]:[credito]],2,))</f>
        <v>Thais Castro</v>
      </c>
      <c r="AA53" s="14"/>
      <c r="AB53" s="14" t="str">
        <f>STAT[[#This Row],[ilustrador]]</f>
        <v>Thais Castro</v>
      </c>
      <c r="AC53" s="14">
        <v>2</v>
      </c>
      <c r="AD53" s="22" t="s">
        <v>125</v>
      </c>
      <c r="AE53" s="14" t="s">
        <v>87</v>
      </c>
      <c r="AF53" s="42" t="str">
        <f t="shared" si="0"/>
        <v>P007</v>
      </c>
    </row>
    <row r="54" spans="1:32" ht="43.2" hidden="1" x14ac:dyDescent="0.3">
      <c r="A54" s="12" t="e" cm="1">
        <f t="array" aca="1" ref="A54" ca="1">IF(STAT[[#This Row],[retranca]]="","",       RegxFunc(STAT[[#This Row],[retranca]],  "\w\d{4}\w*_\d")     )</f>
        <v>#NAME?</v>
      </c>
      <c r="B54" s="32" t="s">
        <v>179</v>
      </c>
      <c r="C54" s="14" t="s">
        <v>72</v>
      </c>
      <c r="D54" s="14" t="s">
        <v>9</v>
      </c>
      <c r="E54" s="14" t="s">
        <v>10</v>
      </c>
      <c r="F54" s="14">
        <v>32</v>
      </c>
      <c r="G54" s="14">
        <v>2</v>
      </c>
      <c r="H54" s="14">
        <v>2</v>
      </c>
      <c r="I54" s="14">
        <v>2</v>
      </c>
      <c r="J54" s="28" t="s">
        <v>55</v>
      </c>
      <c r="K54" s="36"/>
      <c r="L54" s="14"/>
      <c r="M54" s="14"/>
      <c r="N54" s="14"/>
      <c r="O54" s="14"/>
      <c r="P54" s="25" t="s">
        <v>180</v>
      </c>
      <c r="Q54" s="22"/>
      <c r="R54" s="22"/>
      <c r="S54" s="14">
        <v>3</v>
      </c>
      <c r="T54" s="27">
        <v>45790</v>
      </c>
      <c r="U54" s="27">
        <v>45791</v>
      </c>
      <c r="V54" s="27">
        <v>45796</v>
      </c>
      <c r="W54" s="27">
        <v>45800</v>
      </c>
      <c r="X54" s="27">
        <v>45808</v>
      </c>
      <c r="Y54" s="14" t="s">
        <v>109</v>
      </c>
      <c r="Z54" s="40" t="str">
        <f>IF(STAT[[#This Row],[sigla]]="","",VLOOKUP(STAT[[#This Row],[sigla]],CRÉDITOS_GERAIS[[sigla]:[credito]],2,))</f>
        <v>Clarice Baracho</v>
      </c>
      <c r="AA54" s="14"/>
      <c r="AB54" s="14" t="str">
        <f>STAT[[#This Row],[ilustrador]]</f>
        <v>Clarice Baracho</v>
      </c>
      <c r="AC54" s="14">
        <v>6</v>
      </c>
      <c r="AD54" s="22" t="s">
        <v>125</v>
      </c>
      <c r="AE54" s="14" t="s">
        <v>87</v>
      </c>
      <c r="AF54" s="42" t="str">
        <f t="shared" si="0"/>
        <v>P007</v>
      </c>
    </row>
    <row r="55" spans="1:32" ht="57.6" hidden="1" x14ac:dyDescent="0.3">
      <c r="A55" s="12" t="e" cm="1">
        <f t="array" aca="1" ref="A55" ca="1">IF(STAT[[#This Row],[retranca]]="","",       RegxFunc(STAT[[#This Row],[retranca]],  "\w\d{4}\w*_\d")     )</f>
        <v>#NAME?</v>
      </c>
      <c r="B55" s="32" t="s">
        <v>181</v>
      </c>
      <c r="C55" s="14" t="s">
        <v>8</v>
      </c>
      <c r="D55" s="14" t="s">
        <v>9</v>
      </c>
      <c r="E55" s="14" t="s">
        <v>10</v>
      </c>
      <c r="F55" s="14">
        <v>32</v>
      </c>
      <c r="G55" s="14">
        <v>2</v>
      </c>
      <c r="H55" s="14">
        <v>2</v>
      </c>
      <c r="I55" s="14">
        <v>2</v>
      </c>
      <c r="J55" s="28" t="s">
        <v>55</v>
      </c>
      <c r="K55" s="36"/>
      <c r="L55" s="14"/>
      <c r="M55" s="14"/>
      <c r="N55" s="14"/>
      <c r="O55" s="14"/>
      <c r="P55" s="25" t="s">
        <v>182</v>
      </c>
      <c r="Q55" s="22"/>
      <c r="R55" s="22"/>
      <c r="S55" s="14">
        <v>3</v>
      </c>
      <c r="T55" s="27">
        <v>45790</v>
      </c>
      <c r="U55" s="27">
        <v>45791</v>
      </c>
      <c r="V55" s="27">
        <v>45796</v>
      </c>
      <c r="W55" s="27">
        <v>45800</v>
      </c>
      <c r="X55" s="27">
        <v>45808</v>
      </c>
      <c r="Y55" s="14" t="s">
        <v>109</v>
      </c>
      <c r="Z55" s="40" t="str">
        <f>IF(STAT[[#This Row],[sigla]]="","",VLOOKUP(STAT[[#This Row],[sigla]],CRÉDITOS_GERAIS[[sigla]:[credito]],2,))</f>
        <v>Clarice Baracho</v>
      </c>
      <c r="AA55" s="14"/>
      <c r="AB55" s="14" t="str">
        <f>STAT[[#This Row],[ilustrador]]</f>
        <v>Clarice Baracho</v>
      </c>
      <c r="AC55" s="14">
        <v>5</v>
      </c>
      <c r="AD55" s="22" t="s">
        <v>125</v>
      </c>
      <c r="AE55" s="14" t="s">
        <v>87</v>
      </c>
      <c r="AF55" s="42" t="str">
        <f t="shared" si="0"/>
        <v>P007</v>
      </c>
    </row>
    <row r="56" spans="1:32" ht="43.2" hidden="1" x14ac:dyDescent="0.3">
      <c r="A56" s="12" t="e" cm="1">
        <f t="array" aca="1" ref="A56" ca="1">IF(STAT[[#This Row],[retranca]]="","",       RegxFunc(STAT[[#This Row],[retranca]],  "\w\d{4}\w*_\d")     )</f>
        <v>#NAME?</v>
      </c>
      <c r="B56" s="32" t="s">
        <v>183</v>
      </c>
      <c r="C56" s="14" t="s">
        <v>72</v>
      </c>
      <c r="D56" s="14" t="s">
        <v>9</v>
      </c>
      <c r="E56" s="14" t="s">
        <v>10</v>
      </c>
      <c r="F56" s="14">
        <v>36</v>
      </c>
      <c r="G56" s="14">
        <v>2</v>
      </c>
      <c r="H56" s="14">
        <v>3</v>
      </c>
      <c r="I56" s="14">
        <v>3</v>
      </c>
      <c r="J56" s="28" t="s">
        <v>55</v>
      </c>
      <c r="K56" s="36"/>
      <c r="L56" s="14"/>
      <c r="M56" s="14"/>
      <c r="N56" s="14"/>
      <c r="O56" s="14"/>
      <c r="P56" s="25" t="s">
        <v>184</v>
      </c>
      <c r="Q56" s="22"/>
      <c r="R56" s="22"/>
      <c r="S56" s="14">
        <v>4</v>
      </c>
      <c r="T56" s="27">
        <v>45792</v>
      </c>
      <c r="U56" s="27">
        <v>45792</v>
      </c>
      <c r="V56" s="27">
        <v>45798</v>
      </c>
      <c r="W56" s="27">
        <v>45800</v>
      </c>
      <c r="X56" s="27">
        <v>45805</v>
      </c>
      <c r="Y56" s="14" t="s">
        <v>84</v>
      </c>
      <c r="Z56" s="40" t="str">
        <f>IF(STAT[[#This Row],[sigla]]="","",VLOOKUP(STAT[[#This Row],[sigla]],CRÉDITOS_GERAIS[[sigla]:[credito]],2,))</f>
        <v>Gabriel Brum</v>
      </c>
      <c r="AA56" s="14"/>
      <c r="AB56" s="14" t="str">
        <f>STAT[[#This Row],[ilustrador]]</f>
        <v>Gabriel Brum</v>
      </c>
      <c r="AC56" s="14">
        <v>4</v>
      </c>
      <c r="AD56" s="22" t="s">
        <v>185</v>
      </c>
      <c r="AE56" s="14" t="s">
        <v>87</v>
      </c>
      <c r="AF56" s="42" t="str">
        <f t="shared" si="0"/>
        <v>P007</v>
      </c>
    </row>
    <row r="57" spans="1:32" ht="57.6" hidden="1" x14ac:dyDescent="0.3">
      <c r="A57" s="12" t="e" cm="1">
        <f t="array" aca="1" ref="A57" ca="1">IF(STAT[[#This Row],[retranca]]="","",       RegxFunc(STAT[[#This Row],[retranca]],  "\w\d{4}\w*_\d")     )</f>
        <v>#NAME?</v>
      </c>
      <c r="B57" s="32" t="s">
        <v>186</v>
      </c>
      <c r="C57" s="14" t="s">
        <v>72</v>
      </c>
      <c r="D57" s="14" t="s">
        <v>9</v>
      </c>
      <c r="E57" s="14" t="s">
        <v>10</v>
      </c>
      <c r="F57" s="14">
        <v>38</v>
      </c>
      <c r="G57" s="14">
        <v>2</v>
      </c>
      <c r="H57" s="14">
        <v>3</v>
      </c>
      <c r="I57" s="14">
        <v>3</v>
      </c>
      <c r="J57" s="28" t="s">
        <v>55</v>
      </c>
      <c r="K57" s="36"/>
      <c r="L57" s="14"/>
      <c r="M57" s="14"/>
      <c r="N57" s="14"/>
      <c r="O57" s="14"/>
      <c r="P57" s="25" t="s">
        <v>187</v>
      </c>
      <c r="Q57" s="22"/>
      <c r="R57" s="22"/>
      <c r="S57" s="14">
        <v>4</v>
      </c>
      <c r="T57" s="27">
        <v>45792</v>
      </c>
      <c r="U57" s="27">
        <v>45792</v>
      </c>
      <c r="V57" s="27">
        <v>45793</v>
      </c>
      <c r="W57" s="27">
        <v>45796</v>
      </c>
      <c r="X57" s="27">
        <v>45798</v>
      </c>
      <c r="Y57" s="14" t="s">
        <v>119</v>
      </c>
      <c r="Z57" s="40" t="str">
        <f>IF(STAT[[#This Row],[sigla]]="","",VLOOKUP(STAT[[#This Row],[sigla]],CRÉDITOS_GERAIS[[sigla]:[credito]],2,))</f>
        <v>Bianca Tavares</v>
      </c>
      <c r="AA57" s="14"/>
      <c r="AB57" s="14" t="str">
        <f>STAT[[#This Row],[ilustrador]]</f>
        <v>Bianca Tavares</v>
      </c>
      <c r="AC57" s="14">
        <v>5</v>
      </c>
      <c r="AD57" s="22" t="s">
        <v>188</v>
      </c>
      <c r="AE57" s="14" t="s">
        <v>87</v>
      </c>
      <c r="AF57" s="42" t="str">
        <f t="shared" si="0"/>
        <v>P007</v>
      </c>
    </row>
    <row r="58" spans="1:32" ht="172.8" hidden="1" x14ac:dyDescent="0.3">
      <c r="A58" s="12" t="e" cm="1">
        <f t="array" aca="1" ref="A58" ca="1">IF(STAT[[#This Row],[retranca]]="","",       RegxFunc(STAT[[#This Row],[retranca]],  "\w\d{4}\w*_\d")     )</f>
        <v>#NAME?</v>
      </c>
      <c r="B58" s="32" t="s">
        <v>189</v>
      </c>
      <c r="C58" s="14" t="s">
        <v>72</v>
      </c>
      <c r="D58" s="14" t="s">
        <v>9</v>
      </c>
      <c r="E58" s="14" t="s">
        <v>10</v>
      </c>
      <c r="F58" s="14">
        <v>43</v>
      </c>
      <c r="G58" s="14">
        <v>2</v>
      </c>
      <c r="H58" s="14">
        <v>3</v>
      </c>
      <c r="I58" s="14">
        <v>3</v>
      </c>
      <c r="J58" s="28" t="s">
        <v>55</v>
      </c>
      <c r="K58" s="36"/>
      <c r="L58" s="14"/>
      <c r="M58" s="14"/>
      <c r="N58" s="14"/>
      <c r="O58" s="14"/>
      <c r="P58" s="25" t="s">
        <v>190</v>
      </c>
      <c r="Q58" s="22"/>
      <c r="R58" s="22"/>
      <c r="S58" s="14">
        <v>4</v>
      </c>
      <c r="T58" s="27">
        <v>45792</v>
      </c>
      <c r="U58" s="27">
        <v>45793</v>
      </c>
      <c r="V58" s="27">
        <v>45797</v>
      </c>
      <c r="W58" s="27">
        <v>45800</v>
      </c>
      <c r="X58" s="27">
        <v>45804</v>
      </c>
      <c r="Y58" s="14" t="s">
        <v>94</v>
      </c>
      <c r="Z58" s="40" t="str">
        <f>IF(STAT[[#This Row],[sigla]]="","",VLOOKUP(STAT[[#This Row],[sigla]],CRÉDITOS_GERAIS[[sigla]:[credito]],2,))</f>
        <v>Thais Castro</v>
      </c>
      <c r="AA58" s="14"/>
      <c r="AB58" s="14" t="str">
        <f>STAT[[#This Row],[ilustrador]]</f>
        <v>Thais Castro</v>
      </c>
      <c r="AC58" s="14">
        <v>3</v>
      </c>
      <c r="AD58" s="22" t="s">
        <v>191</v>
      </c>
      <c r="AE58" s="14" t="s">
        <v>87</v>
      </c>
      <c r="AF58" s="42" t="str">
        <f t="shared" si="0"/>
        <v>P007</v>
      </c>
    </row>
    <row r="59" spans="1:32" hidden="1" x14ac:dyDescent="0.3">
      <c r="A59" s="12" t="e" cm="1">
        <f t="array" aca="1" ref="A59" ca="1">IF(STAT[[#This Row],[retranca]]="","",       RegxFunc(STAT[[#This Row],[retranca]],  "\w\d{4}\w*_\d")     )</f>
        <v>#NAME?</v>
      </c>
      <c r="B59" s="32" t="s">
        <v>192</v>
      </c>
      <c r="C59" s="14" t="s">
        <v>8</v>
      </c>
      <c r="D59" s="14" t="s">
        <v>9</v>
      </c>
      <c r="E59" s="14" t="s">
        <v>10</v>
      </c>
      <c r="F59" s="14">
        <v>44</v>
      </c>
      <c r="G59" s="14">
        <v>2</v>
      </c>
      <c r="H59" s="14">
        <v>3</v>
      </c>
      <c r="I59" s="14">
        <v>3</v>
      </c>
      <c r="J59" s="28" t="s">
        <v>55</v>
      </c>
      <c r="K59" s="36"/>
      <c r="L59" s="14"/>
      <c r="M59" s="14"/>
      <c r="N59" s="14"/>
      <c r="O59" s="14"/>
      <c r="P59" s="25" t="s">
        <v>193</v>
      </c>
      <c r="Q59" s="22"/>
      <c r="R59" s="22"/>
      <c r="S59" s="14">
        <v>4</v>
      </c>
      <c r="T59" s="27">
        <v>45792</v>
      </c>
      <c r="U59" s="27">
        <v>45792</v>
      </c>
      <c r="V59" s="27">
        <v>45798</v>
      </c>
      <c r="W59" s="27">
        <v>45800</v>
      </c>
      <c r="X59" s="27">
        <v>45805</v>
      </c>
      <c r="Y59" s="14" t="s">
        <v>84</v>
      </c>
      <c r="Z59" s="40" t="str">
        <f>IF(STAT[[#This Row],[sigla]]="","",VLOOKUP(STAT[[#This Row],[sigla]],CRÉDITOS_GERAIS[[sigla]:[credito]],2,))</f>
        <v>Gabriel Brum</v>
      </c>
      <c r="AA59" s="14"/>
      <c r="AB59" s="14" t="str">
        <f>STAT[[#This Row],[ilustrador]]</f>
        <v>Gabriel Brum</v>
      </c>
      <c r="AC59" s="14">
        <v>6</v>
      </c>
      <c r="AD59" s="22" t="s">
        <v>185</v>
      </c>
      <c r="AE59" s="14" t="s">
        <v>87</v>
      </c>
      <c r="AF59" s="42" t="str">
        <f t="shared" si="0"/>
        <v>P007</v>
      </c>
    </row>
    <row r="60" spans="1:32" hidden="1" x14ac:dyDescent="0.3">
      <c r="A60" s="12" t="e" cm="1">
        <f t="array" aca="1" ref="A60" ca="1">IF(STAT[[#This Row],[retranca]]="","",       RegxFunc(STAT[[#This Row],[retranca]],  "\w\d{4}\w*_\d")     )</f>
        <v>#NAME?</v>
      </c>
      <c r="B60" s="32" t="s">
        <v>194</v>
      </c>
      <c r="C60" s="14" t="s">
        <v>8</v>
      </c>
      <c r="D60" s="14" t="s">
        <v>143</v>
      </c>
      <c r="E60" s="14" t="s">
        <v>10</v>
      </c>
      <c r="F60" s="14">
        <v>44</v>
      </c>
      <c r="G60" s="14">
        <v>2</v>
      </c>
      <c r="H60" s="14">
        <v>3</v>
      </c>
      <c r="I60" s="14">
        <v>3</v>
      </c>
      <c r="J60" s="28" t="s">
        <v>55</v>
      </c>
      <c r="K60" s="36"/>
      <c r="L60" s="14"/>
      <c r="M60" s="14"/>
      <c r="N60" s="14"/>
      <c r="O60" s="14"/>
      <c r="P60" s="25" t="s">
        <v>195</v>
      </c>
      <c r="Q60" s="22"/>
      <c r="R60" s="22"/>
      <c r="S60" s="14">
        <v>4</v>
      </c>
      <c r="T60" s="27">
        <v>45792</v>
      </c>
      <c r="U60" s="27">
        <v>45792</v>
      </c>
      <c r="V60" s="27"/>
      <c r="W60" s="27"/>
      <c r="X60" s="27">
        <v>45792</v>
      </c>
      <c r="Y60" s="14" t="s">
        <v>145</v>
      </c>
      <c r="Z60" s="40" t="str">
        <f>IF(STAT[[#This Row],[sigla]]="","",VLOOKUP(STAT[[#This Row],[sigla]],CRÉDITOS_GERAIS[[sigla]:[credito]],2,))</f>
        <v>Rafaela Panissa</v>
      </c>
      <c r="AA60" s="14"/>
      <c r="AB60" s="14" t="str">
        <f>STAT[[#This Row],[ilustrador]]</f>
        <v>Rafaela Panissa</v>
      </c>
      <c r="AC60" s="14">
        <v>8</v>
      </c>
      <c r="AD60" s="22" t="s">
        <v>196</v>
      </c>
      <c r="AE60" s="14" t="s">
        <v>46</v>
      </c>
      <c r="AF60" s="42" t="str">
        <f t="shared" si="0"/>
        <v>P007</v>
      </c>
    </row>
    <row r="61" spans="1:32" ht="28.8" hidden="1" x14ac:dyDescent="0.3">
      <c r="A61" s="12" t="e" cm="1">
        <f t="array" aca="1" ref="A61" ca="1">IF(STAT[[#This Row],[retranca]]="","",       RegxFunc(STAT[[#This Row],[retranca]],  "\w\d{4}\w*_\d")     )</f>
        <v>#NAME?</v>
      </c>
      <c r="B61" s="32" t="s">
        <v>197</v>
      </c>
      <c r="C61" s="14" t="s">
        <v>8</v>
      </c>
      <c r="D61" s="14" t="s">
        <v>9</v>
      </c>
      <c r="E61" s="14" t="s">
        <v>10</v>
      </c>
      <c r="F61" s="14">
        <v>44</v>
      </c>
      <c r="G61" s="14">
        <v>2</v>
      </c>
      <c r="H61" s="14">
        <v>3</v>
      </c>
      <c r="I61" s="14">
        <v>3</v>
      </c>
      <c r="J61" s="28" t="s">
        <v>55</v>
      </c>
      <c r="K61" s="36"/>
      <c r="L61" s="14"/>
      <c r="M61" s="14"/>
      <c r="N61" s="14"/>
      <c r="O61" s="14"/>
      <c r="P61" s="25" t="s">
        <v>198</v>
      </c>
      <c r="Q61" s="22"/>
      <c r="R61" s="22"/>
      <c r="S61" s="14">
        <v>4</v>
      </c>
      <c r="T61" s="27">
        <v>45792</v>
      </c>
      <c r="U61" s="27">
        <v>45792</v>
      </c>
      <c r="V61" s="27">
        <v>45798</v>
      </c>
      <c r="W61" s="27">
        <v>45800</v>
      </c>
      <c r="X61" s="27">
        <v>45805</v>
      </c>
      <c r="Y61" s="14" t="s">
        <v>84</v>
      </c>
      <c r="Z61" s="40" t="str">
        <f>IF(STAT[[#This Row],[sigla]]="","",VLOOKUP(STAT[[#This Row],[sigla]],CRÉDITOS_GERAIS[[sigla]:[credito]],2,))</f>
        <v>Gabriel Brum</v>
      </c>
      <c r="AA61" s="14"/>
      <c r="AB61" s="14" t="str">
        <f>STAT[[#This Row],[ilustrador]]</f>
        <v>Gabriel Brum</v>
      </c>
      <c r="AC61" s="14">
        <v>5</v>
      </c>
      <c r="AD61" s="22" t="s">
        <v>185</v>
      </c>
      <c r="AE61" s="14" t="s">
        <v>87</v>
      </c>
      <c r="AF61" s="42" t="str">
        <f t="shared" si="0"/>
        <v>P007</v>
      </c>
    </row>
    <row r="62" spans="1:32" hidden="1" x14ac:dyDescent="0.3">
      <c r="A62" s="12" t="e" cm="1">
        <f t="array" aca="1" ref="A62" ca="1">IF(STAT[[#This Row],[retranca]]="","",       RegxFunc(STAT[[#This Row],[retranca]],  "\w\d{4}\w*_\d")     )</f>
        <v>#NAME?</v>
      </c>
      <c r="B62" s="32" t="s">
        <v>199</v>
      </c>
      <c r="C62" s="14" t="s">
        <v>8</v>
      </c>
      <c r="D62" s="14" t="s">
        <v>9</v>
      </c>
      <c r="E62" s="14" t="s">
        <v>10</v>
      </c>
      <c r="F62" s="14">
        <v>44</v>
      </c>
      <c r="G62" s="14">
        <v>2</v>
      </c>
      <c r="H62" s="14">
        <v>3</v>
      </c>
      <c r="I62" s="14">
        <v>3</v>
      </c>
      <c r="J62" s="28" t="s">
        <v>55</v>
      </c>
      <c r="K62" s="36"/>
      <c r="L62" s="14"/>
      <c r="M62" s="14"/>
      <c r="N62" s="14"/>
      <c r="O62" s="14"/>
      <c r="P62" s="25" t="s">
        <v>200</v>
      </c>
      <c r="Q62" s="22"/>
      <c r="R62" s="22"/>
      <c r="S62" s="14">
        <v>4</v>
      </c>
      <c r="T62" s="27">
        <v>45792</v>
      </c>
      <c r="U62" s="27">
        <v>45792</v>
      </c>
      <c r="V62" s="27">
        <v>45798</v>
      </c>
      <c r="W62" s="27">
        <v>45800</v>
      </c>
      <c r="X62" s="27">
        <v>45805</v>
      </c>
      <c r="Y62" s="14" t="s">
        <v>84</v>
      </c>
      <c r="Z62" s="40" t="str">
        <f>IF(STAT[[#This Row],[sigla]]="","",VLOOKUP(STAT[[#This Row],[sigla]],CRÉDITOS_GERAIS[[sigla]:[credito]],2,))</f>
        <v>Gabriel Brum</v>
      </c>
      <c r="AA62" s="14"/>
      <c r="AB62" s="14" t="str">
        <f>STAT[[#This Row],[ilustrador]]</f>
        <v>Gabriel Brum</v>
      </c>
      <c r="AC62" s="14">
        <v>6</v>
      </c>
      <c r="AD62" s="22" t="s">
        <v>185</v>
      </c>
      <c r="AE62" s="14" t="s">
        <v>87</v>
      </c>
      <c r="AF62" s="42" t="str">
        <f t="shared" si="0"/>
        <v>P007</v>
      </c>
    </row>
    <row r="63" spans="1:32" hidden="1" x14ac:dyDescent="0.3">
      <c r="A63" s="12" t="e" cm="1">
        <f t="array" aca="1" ref="A63" ca="1">IF(STAT[[#This Row],[retranca]]="","",       RegxFunc(STAT[[#This Row],[retranca]],  "\w\d{4}\w*_\d")     )</f>
        <v>#NAME?</v>
      </c>
      <c r="B63" s="32" t="s">
        <v>201</v>
      </c>
      <c r="C63" s="14" t="s">
        <v>8</v>
      </c>
      <c r="D63" s="14" t="s">
        <v>143</v>
      </c>
      <c r="E63" s="14" t="s">
        <v>10</v>
      </c>
      <c r="F63" s="14">
        <v>44</v>
      </c>
      <c r="G63" s="14">
        <v>2</v>
      </c>
      <c r="H63" s="14">
        <v>3</v>
      </c>
      <c r="I63" s="14">
        <v>3</v>
      </c>
      <c r="J63" s="28" t="s">
        <v>55</v>
      </c>
      <c r="K63" s="36"/>
      <c r="L63" s="14"/>
      <c r="M63" s="14"/>
      <c r="N63" s="14"/>
      <c r="O63" s="14"/>
      <c r="P63" s="25" t="s">
        <v>202</v>
      </c>
      <c r="Q63" s="22"/>
      <c r="R63" s="22"/>
      <c r="S63" s="14">
        <v>4</v>
      </c>
      <c r="T63" s="27">
        <v>45792</v>
      </c>
      <c r="U63" s="27">
        <v>45792</v>
      </c>
      <c r="V63" s="27"/>
      <c r="W63" s="27"/>
      <c r="X63" s="27">
        <v>45792</v>
      </c>
      <c r="Y63" s="14" t="s">
        <v>145</v>
      </c>
      <c r="Z63" s="40" t="str">
        <f>IF(STAT[[#This Row],[sigla]]="","",VLOOKUP(STAT[[#This Row],[sigla]],CRÉDITOS_GERAIS[[sigla]:[credito]],2,))</f>
        <v>Rafaela Panissa</v>
      </c>
      <c r="AA63" s="14"/>
      <c r="AB63" s="14" t="str">
        <f>STAT[[#This Row],[ilustrador]]</f>
        <v>Rafaela Panissa</v>
      </c>
      <c r="AC63" s="14">
        <v>8</v>
      </c>
      <c r="AD63" s="22" t="s">
        <v>196</v>
      </c>
      <c r="AE63" s="14" t="s">
        <v>46</v>
      </c>
      <c r="AF63" s="42" t="str">
        <f t="shared" si="0"/>
        <v>P007</v>
      </c>
    </row>
    <row r="64" spans="1:32" hidden="1" x14ac:dyDescent="0.3">
      <c r="A64" s="12" t="e" cm="1">
        <f t="array" aca="1" ref="A64" ca="1">IF(STAT[[#This Row],[retranca]]="","",       RegxFunc(STAT[[#This Row],[retranca]],  "\w\d{4}\w*_\d")     )</f>
        <v>#NAME?</v>
      </c>
      <c r="B64" s="32" t="s">
        <v>203</v>
      </c>
      <c r="C64" s="14" t="s">
        <v>8</v>
      </c>
      <c r="D64" s="14" t="s">
        <v>9</v>
      </c>
      <c r="E64" s="14" t="s">
        <v>10</v>
      </c>
      <c r="F64" s="14">
        <v>44</v>
      </c>
      <c r="G64" s="14">
        <v>2</v>
      </c>
      <c r="H64" s="14">
        <v>3</v>
      </c>
      <c r="I64" s="14">
        <v>3</v>
      </c>
      <c r="J64" s="28" t="s">
        <v>55</v>
      </c>
      <c r="K64" s="36"/>
      <c r="L64" s="14"/>
      <c r="M64" s="14"/>
      <c r="N64" s="14"/>
      <c r="O64" s="14"/>
      <c r="P64" s="25" t="s">
        <v>204</v>
      </c>
      <c r="Q64" s="22"/>
      <c r="R64" s="22"/>
      <c r="S64" s="14">
        <v>4</v>
      </c>
      <c r="T64" s="27">
        <v>45792</v>
      </c>
      <c r="U64" s="27">
        <v>45792</v>
      </c>
      <c r="V64" s="27">
        <v>45798</v>
      </c>
      <c r="W64" s="27">
        <v>45800</v>
      </c>
      <c r="X64" s="27">
        <v>45805</v>
      </c>
      <c r="Y64" s="14" t="s">
        <v>84</v>
      </c>
      <c r="Z64" s="40" t="str">
        <f>IF(STAT[[#This Row],[sigla]]="","",VLOOKUP(STAT[[#This Row],[sigla]],CRÉDITOS_GERAIS[[sigla]:[credito]],2,))</f>
        <v>Gabriel Brum</v>
      </c>
      <c r="AA64" s="14"/>
      <c r="AB64" s="14" t="str">
        <f>STAT[[#This Row],[ilustrador]]</f>
        <v>Gabriel Brum</v>
      </c>
      <c r="AC64" s="14">
        <v>8</v>
      </c>
      <c r="AD64" s="22" t="s">
        <v>185</v>
      </c>
      <c r="AE64" s="14" t="s">
        <v>87</v>
      </c>
      <c r="AF64" s="42" t="str">
        <f t="shared" si="0"/>
        <v>P007</v>
      </c>
    </row>
    <row r="65" spans="1:32" hidden="1" x14ac:dyDescent="0.3">
      <c r="A65" s="12" t="e" cm="1">
        <f t="array" aca="1" ref="A65" ca="1">IF(STAT[[#This Row],[retranca]]="","",       RegxFunc(STAT[[#This Row],[retranca]],  "\w\d{4}\w*_\d")     )</f>
        <v>#NAME?</v>
      </c>
      <c r="B65" s="32" t="s">
        <v>205</v>
      </c>
      <c r="C65" s="14" t="s">
        <v>72</v>
      </c>
      <c r="D65" s="14" t="s">
        <v>9</v>
      </c>
      <c r="E65" s="14" t="s">
        <v>10</v>
      </c>
      <c r="F65" s="14">
        <v>47</v>
      </c>
      <c r="G65" s="14">
        <v>2</v>
      </c>
      <c r="H65" s="14">
        <v>3</v>
      </c>
      <c r="I65" s="14">
        <v>3</v>
      </c>
      <c r="J65" s="28" t="s">
        <v>55</v>
      </c>
      <c r="K65" s="36"/>
      <c r="L65" s="14"/>
      <c r="M65" s="14"/>
      <c r="N65" s="14"/>
      <c r="O65" s="14"/>
      <c r="P65" s="25" t="s">
        <v>206</v>
      </c>
      <c r="Q65" s="22"/>
      <c r="R65" s="22"/>
      <c r="S65" s="14">
        <v>4</v>
      </c>
      <c r="T65" s="27">
        <v>45792</v>
      </c>
      <c r="U65" s="27">
        <v>45792</v>
      </c>
      <c r="V65" s="27"/>
      <c r="W65" s="27"/>
      <c r="X65" s="27">
        <v>45792</v>
      </c>
      <c r="Y65" s="14" t="s">
        <v>207</v>
      </c>
      <c r="Z65" s="40" t="str">
        <f>IF(STAT[[#This Row],[sigla]]="","",VLOOKUP(STAT[[#This Row],[sigla]],CRÉDITOS_GERAIS[[sigla]:[credito]],2,))</f>
        <v>Vinícius Costa</v>
      </c>
      <c r="AA65" s="14"/>
      <c r="AB65" s="14" t="str">
        <f>STAT[[#This Row],[ilustrador]]</f>
        <v>Vinícius Costa</v>
      </c>
      <c r="AC65" s="14">
        <v>8</v>
      </c>
      <c r="AD65" s="22" t="s">
        <v>196</v>
      </c>
      <c r="AE65" s="14" t="s">
        <v>46</v>
      </c>
      <c r="AF65" s="42" t="str">
        <f t="shared" si="0"/>
        <v>P007</v>
      </c>
    </row>
    <row r="66" spans="1:32" hidden="1" x14ac:dyDescent="0.3">
      <c r="A66" s="12" t="e" cm="1">
        <f t="array" aca="1" ref="A66" ca="1">IF(STAT[[#This Row],[retranca]]="","",       RegxFunc(STAT[[#This Row],[retranca]],  "\w\d{4}\w*_\d")     )</f>
        <v>#NAME?</v>
      </c>
      <c r="B66" s="32" t="s">
        <v>208</v>
      </c>
      <c r="C66" s="14" t="s">
        <v>72</v>
      </c>
      <c r="D66" s="14" t="s">
        <v>9</v>
      </c>
      <c r="E66" s="14" t="s">
        <v>10</v>
      </c>
      <c r="F66" s="14">
        <v>47</v>
      </c>
      <c r="G66" s="14">
        <v>2</v>
      </c>
      <c r="H66" s="14">
        <v>3</v>
      </c>
      <c r="I66" s="14">
        <v>3</v>
      </c>
      <c r="J66" s="28" t="s">
        <v>55</v>
      </c>
      <c r="K66" s="36"/>
      <c r="L66" s="14"/>
      <c r="M66" s="14"/>
      <c r="N66" s="14"/>
      <c r="O66" s="14"/>
      <c r="P66" s="25" t="s">
        <v>206</v>
      </c>
      <c r="Q66" s="22"/>
      <c r="R66" s="22"/>
      <c r="S66" s="14">
        <v>4</v>
      </c>
      <c r="T66" s="27">
        <v>45792</v>
      </c>
      <c r="U66" s="27">
        <v>45792</v>
      </c>
      <c r="V66" s="27"/>
      <c r="W66" s="27"/>
      <c r="X66" s="27">
        <v>45792</v>
      </c>
      <c r="Y66" s="14" t="s">
        <v>207</v>
      </c>
      <c r="Z66" s="40" t="str">
        <f>IF(STAT[[#This Row],[sigla]]="","",VLOOKUP(STAT[[#This Row],[sigla]],CRÉDITOS_GERAIS[[sigla]:[credito]],2,))</f>
        <v>Vinícius Costa</v>
      </c>
      <c r="AA66" s="14"/>
      <c r="AB66" s="14" t="str">
        <f>STAT[[#This Row],[ilustrador]]</f>
        <v>Vinícius Costa</v>
      </c>
      <c r="AC66" s="14">
        <v>8</v>
      </c>
      <c r="AD66" s="22" t="s">
        <v>196</v>
      </c>
      <c r="AE66" s="14" t="s">
        <v>46</v>
      </c>
      <c r="AF66" s="42" t="str">
        <f t="shared" ref="AF66:AF129" si="1">"P007"</f>
        <v>P007</v>
      </c>
    </row>
    <row r="67" spans="1:32" hidden="1" x14ac:dyDescent="0.3">
      <c r="A67" s="12" t="e" cm="1">
        <f t="array" aca="1" ref="A67" ca="1">IF(STAT[[#This Row],[retranca]]="","",       RegxFunc(STAT[[#This Row],[retranca]],  "\w\d{4}\w*_\d")     )</f>
        <v>#NAME?</v>
      </c>
      <c r="B67" s="32" t="s">
        <v>209</v>
      </c>
      <c r="C67" s="14" t="s">
        <v>72</v>
      </c>
      <c r="D67" s="14" t="s">
        <v>9</v>
      </c>
      <c r="E67" s="14" t="s">
        <v>10</v>
      </c>
      <c r="F67" s="14">
        <v>47</v>
      </c>
      <c r="G67" s="14">
        <v>2</v>
      </c>
      <c r="H67" s="14">
        <v>3</v>
      </c>
      <c r="I67" s="14">
        <v>3</v>
      </c>
      <c r="J67" s="28" t="s">
        <v>55</v>
      </c>
      <c r="K67" s="36"/>
      <c r="L67" s="14"/>
      <c r="M67" s="14"/>
      <c r="N67" s="14"/>
      <c r="O67" s="14"/>
      <c r="P67" s="25" t="s">
        <v>206</v>
      </c>
      <c r="Q67" s="22"/>
      <c r="R67" s="22"/>
      <c r="S67" s="14">
        <v>4</v>
      </c>
      <c r="T67" s="27">
        <v>45792</v>
      </c>
      <c r="U67" s="27">
        <v>45792</v>
      </c>
      <c r="V67" s="27"/>
      <c r="W67" s="27"/>
      <c r="X67" s="27">
        <v>45792</v>
      </c>
      <c r="Y67" s="14" t="s">
        <v>207</v>
      </c>
      <c r="Z67" s="40" t="str">
        <f>IF(STAT[[#This Row],[sigla]]="","",VLOOKUP(STAT[[#This Row],[sigla]],CRÉDITOS_GERAIS[[sigla]:[credito]],2,))</f>
        <v>Vinícius Costa</v>
      </c>
      <c r="AA67" s="14"/>
      <c r="AB67" s="14" t="str">
        <f>STAT[[#This Row],[ilustrador]]</f>
        <v>Vinícius Costa</v>
      </c>
      <c r="AC67" s="14">
        <v>8</v>
      </c>
      <c r="AD67" s="22" t="s">
        <v>196</v>
      </c>
      <c r="AE67" s="14" t="s">
        <v>46</v>
      </c>
      <c r="AF67" s="42" t="str">
        <f t="shared" si="1"/>
        <v>P007</v>
      </c>
    </row>
    <row r="68" spans="1:32" hidden="1" x14ac:dyDescent="0.3">
      <c r="A68" s="12" t="e" cm="1">
        <f t="array" aca="1" ref="A68" ca="1">IF(STAT[[#This Row],[retranca]]="","",       RegxFunc(STAT[[#This Row],[retranca]],  "\w\d{4}\w*_\d")     )</f>
        <v>#NAME?</v>
      </c>
      <c r="B68" s="32" t="s">
        <v>210</v>
      </c>
      <c r="C68" s="14" t="s">
        <v>72</v>
      </c>
      <c r="D68" s="14" t="s">
        <v>9</v>
      </c>
      <c r="E68" s="14" t="s">
        <v>10</v>
      </c>
      <c r="F68" s="14">
        <v>47</v>
      </c>
      <c r="G68" s="14">
        <v>2</v>
      </c>
      <c r="H68" s="14">
        <v>3</v>
      </c>
      <c r="I68" s="14">
        <v>3</v>
      </c>
      <c r="J68" s="28" t="s">
        <v>55</v>
      </c>
      <c r="K68" s="36"/>
      <c r="L68" s="14"/>
      <c r="M68" s="14"/>
      <c r="N68" s="14"/>
      <c r="O68" s="14"/>
      <c r="P68" s="25" t="s">
        <v>206</v>
      </c>
      <c r="Q68" s="22"/>
      <c r="R68" s="22"/>
      <c r="S68" s="14">
        <v>4</v>
      </c>
      <c r="T68" s="27">
        <v>45792</v>
      </c>
      <c r="U68" s="27">
        <v>45792</v>
      </c>
      <c r="V68" s="27"/>
      <c r="W68" s="27"/>
      <c r="X68" s="27">
        <v>45792</v>
      </c>
      <c r="Y68" s="14" t="s">
        <v>207</v>
      </c>
      <c r="Z68" s="40" t="str">
        <f>IF(STAT[[#This Row],[sigla]]="","",VLOOKUP(STAT[[#This Row],[sigla]],CRÉDITOS_GERAIS[[sigla]:[credito]],2,))</f>
        <v>Vinícius Costa</v>
      </c>
      <c r="AA68" s="14"/>
      <c r="AB68" s="14" t="str">
        <f>STAT[[#This Row],[ilustrador]]</f>
        <v>Vinícius Costa</v>
      </c>
      <c r="AC68" s="14">
        <v>8</v>
      </c>
      <c r="AD68" s="22" t="s">
        <v>196</v>
      </c>
      <c r="AE68" s="14" t="s">
        <v>46</v>
      </c>
      <c r="AF68" s="42" t="str">
        <f t="shared" si="1"/>
        <v>P007</v>
      </c>
    </row>
    <row r="69" spans="1:32" hidden="1" x14ac:dyDescent="0.3">
      <c r="A69" s="12" t="e" cm="1">
        <f t="array" aca="1" ref="A69" ca="1">IF(STAT[[#This Row],[retranca]]="","",       RegxFunc(STAT[[#This Row],[retranca]],  "\w\d{4}\w*_\d")     )</f>
        <v>#NAME?</v>
      </c>
      <c r="B69" s="32" t="s">
        <v>211</v>
      </c>
      <c r="C69" s="14" t="s">
        <v>72</v>
      </c>
      <c r="D69" s="14" t="s">
        <v>9</v>
      </c>
      <c r="E69" s="14" t="s">
        <v>10</v>
      </c>
      <c r="F69" s="14">
        <v>47</v>
      </c>
      <c r="G69" s="14">
        <v>2</v>
      </c>
      <c r="H69" s="14">
        <v>3</v>
      </c>
      <c r="I69" s="14">
        <v>3</v>
      </c>
      <c r="J69" s="28" t="s">
        <v>55</v>
      </c>
      <c r="K69" s="36"/>
      <c r="L69" s="14"/>
      <c r="M69" s="14"/>
      <c r="N69" s="14"/>
      <c r="O69" s="14"/>
      <c r="P69" s="25" t="s">
        <v>206</v>
      </c>
      <c r="Q69" s="22"/>
      <c r="R69" s="22"/>
      <c r="S69" s="14">
        <v>4</v>
      </c>
      <c r="T69" s="27">
        <v>45792</v>
      </c>
      <c r="U69" s="27">
        <v>45792</v>
      </c>
      <c r="V69" s="27"/>
      <c r="W69" s="27"/>
      <c r="X69" s="27">
        <v>45792</v>
      </c>
      <c r="Y69" s="14" t="s">
        <v>207</v>
      </c>
      <c r="Z69" s="40" t="str">
        <f>IF(STAT[[#This Row],[sigla]]="","",VLOOKUP(STAT[[#This Row],[sigla]],CRÉDITOS_GERAIS[[sigla]:[credito]],2,))</f>
        <v>Vinícius Costa</v>
      </c>
      <c r="AA69" s="14"/>
      <c r="AB69" s="14" t="str">
        <f>STAT[[#This Row],[ilustrador]]</f>
        <v>Vinícius Costa</v>
      </c>
      <c r="AC69" s="14">
        <v>8</v>
      </c>
      <c r="AD69" s="22" t="s">
        <v>196</v>
      </c>
      <c r="AE69" s="14" t="s">
        <v>46</v>
      </c>
      <c r="AF69" s="42" t="str">
        <f t="shared" si="1"/>
        <v>P007</v>
      </c>
    </row>
    <row r="70" spans="1:32" ht="57.6" hidden="1" x14ac:dyDescent="0.3">
      <c r="A70" s="12" t="e" cm="1">
        <f t="array" aca="1" ref="A70" ca="1">IF(STAT[[#This Row],[retranca]]="","",       RegxFunc(STAT[[#This Row],[retranca]],  "\w\d{4}\w*_\d")     )</f>
        <v>#NAME?</v>
      </c>
      <c r="B70" s="32" t="s">
        <v>212</v>
      </c>
      <c r="C70" s="14" t="s">
        <v>8</v>
      </c>
      <c r="D70" s="14" t="s">
        <v>9</v>
      </c>
      <c r="E70" s="14" t="s">
        <v>10</v>
      </c>
      <c r="F70" s="14">
        <v>47</v>
      </c>
      <c r="G70" s="14">
        <v>2</v>
      </c>
      <c r="H70" s="14">
        <v>3</v>
      </c>
      <c r="I70" s="14">
        <v>3</v>
      </c>
      <c r="J70" s="28" t="s">
        <v>55</v>
      </c>
      <c r="K70" s="36"/>
      <c r="L70" s="14"/>
      <c r="M70" s="14"/>
      <c r="N70" s="14"/>
      <c r="O70" s="14"/>
      <c r="P70" s="25" t="s">
        <v>213</v>
      </c>
      <c r="Q70" s="22"/>
      <c r="R70" s="22"/>
      <c r="S70" s="14">
        <v>4</v>
      </c>
      <c r="T70" s="27">
        <v>45792</v>
      </c>
      <c r="U70" s="27">
        <v>45793</v>
      </c>
      <c r="V70" s="27">
        <v>45797</v>
      </c>
      <c r="W70" s="27">
        <v>45800</v>
      </c>
      <c r="X70" s="27">
        <v>45804</v>
      </c>
      <c r="Y70" s="14" t="s">
        <v>94</v>
      </c>
      <c r="Z70" s="40" t="str">
        <f>IF(STAT[[#This Row],[sigla]]="","",VLOOKUP(STAT[[#This Row],[sigla]],CRÉDITOS_GERAIS[[sigla]:[credito]],2,))</f>
        <v>Thais Castro</v>
      </c>
      <c r="AA70" s="14"/>
      <c r="AB70" s="14" t="str">
        <f>STAT[[#This Row],[ilustrador]]</f>
        <v>Thais Castro</v>
      </c>
      <c r="AC70" s="14">
        <v>4</v>
      </c>
      <c r="AD70" s="22" t="s">
        <v>191</v>
      </c>
      <c r="AE70" s="14" t="s">
        <v>87</v>
      </c>
      <c r="AF70" s="42" t="str">
        <f t="shared" si="1"/>
        <v>P007</v>
      </c>
    </row>
    <row r="71" spans="1:32" ht="43.2" hidden="1" x14ac:dyDescent="0.3">
      <c r="A71" s="12" t="e" cm="1">
        <f t="array" aca="1" ref="A71" ca="1">IF(STAT[[#This Row],[retranca]]="","",       RegxFunc(STAT[[#This Row],[retranca]],  "\w\d{4}\w*_\d")     )</f>
        <v>#NAME?</v>
      </c>
      <c r="B71" s="32" t="s">
        <v>214</v>
      </c>
      <c r="C71" s="14" t="s">
        <v>72</v>
      </c>
      <c r="D71" s="14" t="s">
        <v>9</v>
      </c>
      <c r="E71" s="14" t="s">
        <v>10</v>
      </c>
      <c r="F71" s="14">
        <v>6</v>
      </c>
      <c r="G71" s="14">
        <v>4</v>
      </c>
      <c r="H71" s="14">
        <v>1</v>
      </c>
      <c r="I71" s="14">
        <v>1</v>
      </c>
      <c r="J71" s="28" t="s">
        <v>55</v>
      </c>
      <c r="K71" s="36"/>
      <c r="L71" s="14"/>
      <c r="M71" s="14"/>
      <c r="N71" s="14"/>
      <c r="O71" s="14"/>
      <c r="P71" s="25" t="s">
        <v>215</v>
      </c>
      <c r="Q71" s="22"/>
      <c r="R71" s="22"/>
      <c r="S71" s="14">
        <v>5</v>
      </c>
      <c r="T71" s="27">
        <v>45792</v>
      </c>
      <c r="U71" s="27">
        <v>45800</v>
      </c>
      <c r="V71" s="27">
        <v>45807</v>
      </c>
      <c r="W71" s="27">
        <v>45810</v>
      </c>
      <c r="X71" s="27">
        <v>45813</v>
      </c>
      <c r="Y71" s="14" t="s">
        <v>99</v>
      </c>
      <c r="Z71" s="40" t="str">
        <f>IF(STAT[[#This Row],[sigla]]="","",VLOOKUP(STAT[[#This Row],[sigla]],CRÉDITOS_GERAIS[[sigla]:[credito]],2,))</f>
        <v>Débora Mini</v>
      </c>
      <c r="AA71" s="14"/>
      <c r="AB71" s="14" t="str">
        <f>STAT[[#This Row],[ilustrador]]</f>
        <v>Débora Mini</v>
      </c>
      <c r="AC71" s="14">
        <v>6</v>
      </c>
      <c r="AD71" s="22" t="s">
        <v>216</v>
      </c>
      <c r="AE71" s="14" t="s">
        <v>87</v>
      </c>
      <c r="AF71" s="42" t="str">
        <f t="shared" si="1"/>
        <v>P007</v>
      </c>
    </row>
    <row r="72" spans="1:32" hidden="1" x14ac:dyDescent="0.3">
      <c r="A72" s="12" t="e" cm="1">
        <f t="array" aca="1" ref="A72" ca="1">IF(STAT[[#This Row],[retranca]]="","",       RegxFunc(STAT[[#This Row],[retranca]],  "\w\d{4}\w*_\d")     )</f>
        <v>#NAME?</v>
      </c>
      <c r="B72" s="32" t="s">
        <v>217</v>
      </c>
      <c r="C72" s="14" t="s">
        <v>72</v>
      </c>
      <c r="D72" s="14" t="s">
        <v>9</v>
      </c>
      <c r="E72" s="14" t="s">
        <v>10</v>
      </c>
      <c r="F72" s="14">
        <v>6</v>
      </c>
      <c r="G72" s="14">
        <v>4</v>
      </c>
      <c r="H72" s="14">
        <v>1</v>
      </c>
      <c r="I72" s="14">
        <v>1</v>
      </c>
      <c r="J72" s="28" t="s">
        <v>55</v>
      </c>
      <c r="K72" s="36"/>
      <c r="L72" s="14"/>
      <c r="M72" s="14"/>
      <c r="N72" s="14"/>
      <c r="O72" s="14"/>
      <c r="P72" s="25" t="s">
        <v>218</v>
      </c>
      <c r="Q72" s="22"/>
      <c r="R72" s="22"/>
      <c r="S72" s="14">
        <v>5</v>
      </c>
      <c r="T72" s="27">
        <v>45792</v>
      </c>
      <c r="U72" s="27">
        <v>45800</v>
      </c>
      <c r="V72" s="27">
        <v>45807</v>
      </c>
      <c r="W72" s="27">
        <v>45810</v>
      </c>
      <c r="X72" s="27">
        <v>45813</v>
      </c>
      <c r="Y72" s="14" t="s">
        <v>99</v>
      </c>
      <c r="Z72" s="40" t="str">
        <f>IF(STAT[[#This Row],[sigla]]="","",VLOOKUP(STAT[[#This Row],[sigla]],CRÉDITOS_GERAIS[[sigla]:[credito]],2,))</f>
        <v>Débora Mini</v>
      </c>
      <c r="AA72" s="14"/>
      <c r="AB72" s="14" t="str">
        <f>STAT[[#This Row],[ilustrador]]</f>
        <v>Débora Mini</v>
      </c>
      <c r="AC72" s="14">
        <v>7</v>
      </c>
      <c r="AD72" s="22" t="s">
        <v>216</v>
      </c>
      <c r="AE72" s="14" t="s">
        <v>87</v>
      </c>
      <c r="AF72" s="42" t="str">
        <f t="shared" si="1"/>
        <v>P007</v>
      </c>
    </row>
    <row r="73" spans="1:32" hidden="1" x14ac:dyDescent="0.3">
      <c r="A73" s="12" t="e" cm="1">
        <f t="array" aca="1" ref="A73" ca="1">IF(STAT[[#This Row],[retranca]]="","",       RegxFunc(STAT[[#This Row],[retranca]],  "\w\d{4}\w*_\d")     )</f>
        <v>#NAME?</v>
      </c>
      <c r="B73" s="32" t="s">
        <v>219</v>
      </c>
      <c r="C73" s="14" t="s">
        <v>72</v>
      </c>
      <c r="D73" s="14" t="s">
        <v>9</v>
      </c>
      <c r="E73" s="14" t="s">
        <v>10</v>
      </c>
      <c r="F73" s="14">
        <v>6</v>
      </c>
      <c r="G73" s="14">
        <v>4</v>
      </c>
      <c r="H73" s="14">
        <v>1</v>
      </c>
      <c r="I73" s="14">
        <v>1</v>
      </c>
      <c r="J73" s="28" t="s">
        <v>55</v>
      </c>
      <c r="K73" s="36"/>
      <c r="L73" s="14"/>
      <c r="M73" s="14"/>
      <c r="N73" s="14"/>
      <c r="O73" s="14"/>
      <c r="P73" s="25" t="s">
        <v>220</v>
      </c>
      <c r="Q73" s="22"/>
      <c r="R73" s="22"/>
      <c r="S73" s="14">
        <v>5</v>
      </c>
      <c r="T73" s="27">
        <v>45792</v>
      </c>
      <c r="U73" s="27">
        <v>45800</v>
      </c>
      <c r="V73" s="27">
        <v>45807</v>
      </c>
      <c r="W73" s="27">
        <v>45810</v>
      </c>
      <c r="X73" s="27">
        <v>45813</v>
      </c>
      <c r="Y73" s="14" t="s">
        <v>99</v>
      </c>
      <c r="Z73" s="40" t="str">
        <f>IF(STAT[[#This Row],[sigla]]="","",VLOOKUP(STAT[[#This Row],[sigla]],CRÉDITOS_GERAIS[[sigla]:[credito]],2,))</f>
        <v>Débora Mini</v>
      </c>
      <c r="AA73" s="14"/>
      <c r="AB73" s="14" t="str">
        <f>STAT[[#This Row],[ilustrador]]</f>
        <v>Débora Mini</v>
      </c>
      <c r="AC73" s="14">
        <v>7</v>
      </c>
      <c r="AD73" s="22" t="s">
        <v>216</v>
      </c>
      <c r="AE73" s="14" t="s">
        <v>87</v>
      </c>
      <c r="AF73" s="42" t="str">
        <f t="shared" si="1"/>
        <v>P007</v>
      </c>
    </row>
    <row r="74" spans="1:32" hidden="1" x14ac:dyDescent="0.3">
      <c r="A74" s="12" t="e" cm="1">
        <f t="array" aca="1" ref="A74" ca="1">IF(STAT[[#This Row],[retranca]]="","",       RegxFunc(STAT[[#This Row],[retranca]],  "\w\d{4}\w*_\d")     )</f>
        <v>#NAME?</v>
      </c>
      <c r="B74" s="32" t="s">
        <v>221</v>
      </c>
      <c r="C74" s="14" t="s">
        <v>72</v>
      </c>
      <c r="D74" s="14" t="s">
        <v>9</v>
      </c>
      <c r="E74" s="14" t="s">
        <v>10</v>
      </c>
      <c r="F74" s="14">
        <v>6</v>
      </c>
      <c r="G74" s="14">
        <v>4</v>
      </c>
      <c r="H74" s="14">
        <v>1</v>
      </c>
      <c r="I74" s="14">
        <v>1</v>
      </c>
      <c r="J74" s="28" t="s">
        <v>55</v>
      </c>
      <c r="K74" s="36"/>
      <c r="L74" s="14"/>
      <c r="M74" s="14"/>
      <c r="N74" s="14"/>
      <c r="O74" s="14"/>
      <c r="P74" s="25" t="s">
        <v>222</v>
      </c>
      <c r="Q74" s="22"/>
      <c r="R74" s="22"/>
      <c r="S74" s="14">
        <v>5</v>
      </c>
      <c r="T74" s="27">
        <v>45792</v>
      </c>
      <c r="U74" s="27">
        <v>45800</v>
      </c>
      <c r="V74" s="27">
        <v>45807</v>
      </c>
      <c r="W74" s="27">
        <v>45810</v>
      </c>
      <c r="X74" s="27">
        <v>45813</v>
      </c>
      <c r="Y74" s="14" t="s">
        <v>99</v>
      </c>
      <c r="Z74" s="40" t="str">
        <f>IF(STAT[[#This Row],[sigla]]="","",VLOOKUP(STAT[[#This Row],[sigla]],CRÉDITOS_GERAIS[[sigla]:[credito]],2,))</f>
        <v>Débora Mini</v>
      </c>
      <c r="AA74" s="14"/>
      <c r="AB74" s="14" t="str">
        <f>STAT[[#This Row],[ilustrador]]</f>
        <v>Débora Mini</v>
      </c>
      <c r="AC74" s="14">
        <v>7</v>
      </c>
      <c r="AD74" s="22" t="s">
        <v>216</v>
      </c>
      <c r="AE74" s="14" t="s">
        <v>87</v>
      </c>
      <c r="AF74" s="42" t="str">
        <f t="shared" si="1"/>
        <v>P007</v>
      </c>
    </row>
    <row r="75" spans="1:32" ht="57.6" hidden="1" x14ac:dyDescent="0.3">
      <c r="A75" s="12" t="e" cm="1">
        <f t="array" aca="1" ref="A75" ca="1">IF(STAT[[#This Row],[retranca]]="","",       RegxFunc(STAT[[#This Row],[retranca]],  "\w\d{4}\w*_\d")     )</f>
        <v>#NAME?</v>
      </c>
      <c r="B75" s="32" t="s">
        <v>223</v>
      </c>
      <c r="C75" s="14" t="s">
        <v>72</v>
      </c>
      <c r="D75" s="14" t="s">
        <v>9</v>
      </c>
      <c r="E75" s="14" t="s">
        <v>10</v>
      </c>
      <c r="F75" s="14">
        <v>9</v>
      </c>
      <c r="G75" s="14">
        <v>4</v>
      </c>
      <c r="H75" s="14">
        <v>1</v>
      </c>
      <c r="I75" s="14">
        <v>1</v>
      </c>
      <c r="J75" s="28" t="s">
        <v>55</v>
      </c>
      <c r="K75" s="36"/>
      <c r="L75" s="14"/>
      <c r="M75" s="14"/>
      <c r="N75" s="14"/>
      <c r="O75" s="14"/>
      <c r="P75" s="25" t="s">
        <v>224</v>
      </c>
      <c r="Q75" s="22"/>
      <c r="R75" s="22"/>
      <c r="S75" s="14">
        <v>5</v>
      </c>
      <c r="T75" s="27">
        <v>45792</v>
      </c>
      <c r="U75" s="27">
        <v>45800</v>
      </c>
      <c r="V75" s="27">
        <v>45807</v>
      </c>
      <c r="W75" s="27">
        <v>45810</v>
      </c>
      <c r="X75" s="27">
        <v>45813</v>
      </c>
      <c r="Y75" s="14" t="s">
        <v>99</v>
      </c>
      <c r="Z75" s="40" t="str">
        <f>IF(STAT[[#This Row],[sigla]]="","",VLOOKUP(STAT[[#This Row],[sigla]],CRÉDITOS_GERAIS[[sigla]:[credito]],2,))</f>
        <v>Débora Mini</v>
      </c>
      <c r="AA75" s="14"/>
      <c r="AB75" s="14" t="str">
        <f>STAT[[#This Row],[ilustrador]]</f>
        <v>Débora Mini</v>
      </c>
      <c r="AC75" s="14">
        <v>5</v>
      </c>
      <c r="AD75" s="22" t="s">
        <v>216</v>
      </c>
      <c r="AE75" s="14" t="s">
        <v>87</v>
      </c>
      <c r="AF75" s="42" t="str">
        <f t="shared" si="1"/>
        <v>P007</v>
      </c>
    </row>
    <row r="76" spans="1:32" ht="57.6" hidden="1" x14ac:dyDescent="0.3">
      <c r="A76" s="12" t="e" cm="1">
        <f t="array" aca="1" ref="A76" ca="1">IF(STAT[[#This Row],[retranca]]="","",       RegxFunc(STAT[[#This Row],[retranca]],  "\w\d{4}\w*_\d")     )</f>
        <v>#NAME?</v>
      </c>
      <c r="B76" s="32" t="s">
        <v>225</v>
      </c>
      <c r="C76" s="14" t="s">
        <v>72</v>
      </c>
      <c r="D76" s="14" t="s">
        <v>9</v>
      </c>
      <c r="E76" s="14" t="s">
        <v>10</v>
      </c>
      <c r="F76" s="14">
        <v>9</v>
      </c>
      <c r="G76" s="14">
        <v>4</v>
      </c>
      <c r="H76" s="14">
        <v>1</v>
      </c>
      <c r="I76" s="14">
        <v>1</v>
      </c>
      <c r="J76" s="28" t="s">
        <v>55</v>
      </c>
      <c r="K76" s="36"/>
      <c r="L76" s="14"/>
      <c r="M76" s="14"/>
      <c r="N76" s="14"/>
      <c r="O76" s="14"/>
      <c r="P76" s="25" t="s">
        <v>226</v>
      </c>
      <c r="Q76" s="22"/>
      <c r="R76" s="22"/>
      <c r="S76" s="14">
        <v>5</v>
      </c>
      <c r="T76" s="27">
        <v>45792</v>
      </c>
      <c r="U76" s="27">
        <v>45800</v>
      </c>
      <c r="V76" s="27">
        <v>45807</v>
      </c>
      <c r="W76" s="27">
        <v>45810</v>
      </c>
      <c r="X76" s="27">
        <v>45813</v>
      </c>
      <c r="Y76" s="14" t="s">
        <v>99</v>
      </c>
      <c r="Z76" s="40" t="str">
        <f>IF(STAT[[#This Row],[sigla]]="","",VLOOKUP(STAT[[#This Row],[sigla]],CRÉDITOS_GERAIS[[sigla]:[credito]],2,))</f>
        <v>Débora Mini</v>
      </c>
      <c r="AA76" s="14"/>
      <c r="AB76" s="14" t="str">
        <f>STAT[[#This Row],[ilustrador]]</f>
        <v>Débora Mini</v>
      </c>
      <c r="AC76" s="14">
        <v>6</v>
      </c>
      <c r="AD76" s="22" t="s">
        <v>216</v>
      </c>
      <c r="AE76" s="14" t="s">
        <v>87</v>
      </c>
      <c r="AF76" s="42" t="str">
        <f t="shared" si="1"/>
        <v>P007</v>
      </c>
    </row>
    <row r="77" spans="1:32" ht="72" hidden="1" x14ac:dyDescent="0.3">
      <c r="A77" s="12" t="e" cm="1">
        <f t="array" aca="1" ref="A77" ca="1">IF(STAT[[#This Row],[retranca]]="","",       RegxFunc(STAT[[#This Row],[retranca]],  "\w\d{4}\w*_\d")     )</f>
        <v>#NAME?</v>
      </c>
      <c r="B77" s="32" t="s">
        <v>227</v>
      </c>
      <c r="C77" s="14" t="s">
        <v>72</v>
      </c>
      <c r="D77" s="14" t="s">
        <v>9</v>
      </c>
      <c r="E77" s="14" t="s">
        <v>10</v>
      </c>
      <c r="F77" s="14">
        <v>10</v>
      </c>
      <c r="G77" s="14">
        <v>4</v>
      </c>
      <c r="H77" s="14">
        <v>1</v>
      </c>
      <c r="I77" s="14">
        <v>1</v>
      </c>
      <c r="J77" s="28" t="s">
        <v>18</v>
      </c>
      <c r="K77" s="36" t="s">
        <v>19</v>
      </c>
      <c r="L77" s="14">
        <v>22</v>
      </c>
      <c r="M77" s="14" t="s">
        <v>20</v>
      </c>
      <c r="N77" s="31" t="s">
        <v>14</v>
      </c>
      <c r="O77" s="14"/>
      <c r="P77" s="25" t="s">
        <v>228</v>
      </c>
      <c r="Q77" s="22"/>
      <c r="R77" s="22"/>
      <c r="S77" s="14">
        <v>5</v>
      </c>
      <c r="T77" s="27">
        <v>45792</v>
      </c>
      <c r="U77" s="27">
        <v>45792</v>
      </c>
      <c r="V77" s="27"/>
      <c r="W77" s="27"/>
      <c r="X77" s="27">
        <v>45800</v>
      </c>
      <c r="Y77" s="14" t="s">
        <v>74</v>
      </c>
      <c r="Z77" s="40" t="str">
        <f>IF(STAT[[#This Row],[sigla]]="","",VLOOKUP(STAT[[#This Row],[sigla]],CRÉDITOS_GERAIS[[sigla]:[credito]],2,))</f>
        <v>Jorge Zaiba</v>
      </c>
      <c r="AA77" s="14" t="s">
        <v>90</v>
      </c>
      <c r="AB77" s="14" t="str">
        <f>STAT[[#This Row],[ilustrador]]</f>
        <v>Jorge Zaiba</v>
      </c>
      <c r="AC77" s="14">
        <v>13</v>
      </c>
      <c r="AD77" s="22" t="s">
        <v>229</v>
      </c>
      <c r="AE77" s="14" t="s">
        <v>46</v>
      </c>
      <c r="AF77" s="42" t="str">
        <f t="shared" si="1"/>
        <v>P007</v>
      </c>
    </row>
    <row r="78" spans="1:32" hidden="1" x14ac:dyDescent="0.3">
      <c r="A78" s="12" t="e" cm="1">
        <f t="array" aca="1" ref="A78" ca="1">IF(STAT[[#This Row],[retranca]]="","",       RegxFunc(STAT[[#This Row],[retranca]],  "\w\d{4}\w*_\d")     )</f>
        <v>#NAME?</v>
      </c>
      <c r="B78" s="32" t="s">
        <v>230</v>
      </c>
      <c r="C78" s="14" t="s">
        <v>72</v>
      </c>
      <c r="D78" s="14" t="s">
        <v>9</v>
      </c>
      <c r="E78" s="14" t="s">
        <v>10</v>
      </c>
      <c r="F78" s="14">
        <v>13</v>
      </c>
      <c r="G78" s="14">
        <v>4</v>
      </c>
      <c r="H78" s="14">
        <v>1</v>
      </c>
      <c r="I78" s="14">
        <v>1</v>
      </c>
      <c r="J78" s="28" t="s">
        <v>55</v>
      </c>
      <c r="K78" s="36"/>
      <c r="L78" s="14"/>
      <c r="M78" s="14"/>
      <c r="N78" s="14"/>
      <c r="O78" s="14"/>
      <c r="P78" s="25" t="s">
        <v>231</v>
      </c>
      <c r="Q78" s="22"/>
      <c r="R78" s="22"/>
      <c r="S78" s="14">
        <v>5</v>
      </c>
      <c r="T78" s="27">
        <v>45792</v>
      </c>
      <c r="U78" s="27">
        <v>45800</v>
      </c>
      <c r="V78" s="27">
        <v>45806</v>
      </c>
      <c r="W78" s="27">
        <v>45806</v>
      </c>
      <c r="X78" s="27">
        <v>45807</v>
      </c>
      <c r="Y78" s="14" t="s">
        <v>109</v>
      </c>
      <c r="Z78" s="40" t="str">
        <f>IF(STAT[[#This Row],[sigla]]="","",VLOOKUP(STAT[[#This Row],[sigla]],CRÉDITOS_GERAIS[[sigla]:[credito]],2,))</f>
        <v>Clarice Baracho</v>
      </c>
      <c r="AA78" s="14"/>
      <c r="AB78" s="14" t="str">
        <f>STAT[[#This Row],[ilustrador]]</f>
        <v>Clarice Baracho</v>
      </c>
      <c r="AC78" s="14">
        <v>8</v>
      </c>
      <c r="AD78" s="22" t="s">
        <v>232</v>
      </c>
      <c r="AE78" s="14" t="s">
        <v>87</v>
      </c>
      <c r="AF78" s="42" t="str">
        <f t="shared" si="1"/>
        <v>P007</v>
      </c>
    </row>
    <row r="79" spans="1:32" hidden="1" x14ac:dyDescent="0.3">
      <c r="A79" s="12" t="e" cm="1">
        <f t="array" aca="1" ref="A79" ca="1">IF(STAT[[#This Row],[retranca]]="","",       RegxFunc(STAT[[#This Row],[retranca]],  "\w\d{4}\w*_\d")     )</f>
        <v>#NAME?</v>
      </c>
      <c r="B79" s="32" t="s">
        <v>233</v>
      </c>
      <c r="C79" s="14" t="s">
        <v>72</v>
      </c>
      <c r="D79" s="14" t="s">
        <v>9</v>
      </c>
      <c r="E79" s="14" t="s">
        <v>10</v>
      </c>
      <c r="F79" s="14">
        <v>13</v>
      </c>
      <c r="G79" s="14">
        <v>4</v>
      </c>
      <c r="H79" s="14">
        <v>1</v>
      </c>
      <c r="I79" s="14">
        <v>1</v>
      </c>
      <c r="J79" s="28" t="s">
        <v>55</v>
      </c>
      <c r="K79" s="36"/>
      <c r="L79" s="14"/>
      <c r="M79" s="14"/>
      <c r="N79" s="14"/>
      <c r="O79" s="14"/>
      <c r="P79" s="25" t="s">
        <v>234</v>
      </c>
      <c r="Q79" s="22"/>
      <c r="R79" s="22"/>
      <c r="S79" s="14">
        <v>5</v>
      </c>
      <c r="T79" s="27">
        <v>45792</v>
      </c>
      <c r="U79" s="27">
        <v>45800</v>
      </c>
      <c r="V79" s="27">
        <v>45806</v>
      </c>
      <c r="W79" s="27">
        <v>45806</v>
      </c>
      <c r="X79" s="27">
        <v>45807</v>
      </c>
      <c r="Y79" s="14" t="s">
        <v>109</v>
      </c>
      <c r="Z79" s="40" t="str">
        <f>IF(STAT[[#This Row],[sigla]]="","",VLOOKUP(STAT[[#This Row],[sigla]],CRÉDITOS_GERAIS[[sigla]:[credito]],2,))</f>
        <v>Clarice Baracho</v>
      </c>
      <c r="AA79" s="14"/>
      <c r="AB79" s="14" t="str">
        <f>STAT[[#This Row],[ilustrador]]</f>
        <v>Clarice Baracho</v>
      </c>
      <c r="AC79" s="14">
        <v>8</v>
      </c>
      <c r="AD79" s="22" t="s">
        <v>232</v>
      </c>
      <c r="AE79" s="14" t="s">
        <v>87</v>
      </c>
      <c r="AF79" s="42" t="str">
        <f t="shared" si="1"/>
        <v>P007</v>
      </c>
    </row>
    <row r="80" spans="1:32" hidden="1" x14ac:dyDescent="0.3">
      <c r="A80" s="12" t="e" cm="1">
        <f t="array" aca="1" ref="A80" ca="1">IF(STAT[[#This Row],[retranca]]="","",       RegxFunc(STAT[[#This Row],[retranca]],  "\w\d{4}\w*_\d")     )</f>
        <v>#NAME?</v>
      </c>
      <c r="B80" s="32" t="s">
        <v>235</v>
      </c>
      <c r="C80" s="14" t="s">
        <v>72</v>
      </c>
      <c r="D80" s="14" t="s">
        <v>9</v>
      </c>
      <c r="E80" s="14" t="s">
        <v>10</v>
      </c>
      <c r="F80" s="14">
        <v>13</v>
      </c>
      <c r="G80" s="14">
        <v>4</v>
      </c>
      <c r="H80" s="14">
        <v>1</v>
      </c>
      <c r="I80" s="14">
        <v>1</v>
      </c>
      <c r="J80" s="28" t="s">
        <v>55</v>
      </c>
      <c r="K80" s="36"/>
      <c r="L80" s="14"/>
      <c r="M80" s="14"/>
      <c r="N80" s="14"/>
      <c r="O80" s="14"/>
      <c r="P80" s="25" t="s">
        <v>236</v>
      </c>
      <c r="Q80" s="22"/>
      <c r="R80" s="22"/>
      <c r="S80" s="14">
        <v>5</v>
      </c>
      <c r="T80" s="27">
        <v>45792</v>
      </c>
      <c r="U80" s="27">
        <v>45800</v>
      </c>
      <c r="V80" s="27">
        <v>45806</v>
      </c>
      <c r="W80" s="27">
        <v>45806</v>
      </c>
      <c r="X80" s="27">
        <v>45807</v>
      </c>
      <c r="Y80" s="14" t="s">
        <v>109</v>
      </c>
      <c r="Z80" s="40" t="str">
        <f>IF(STAT[[#This Row],[sigla]]="","",VLOOKUP(STAT[[#This Row],[sigla]],CRÉDITOS_GERAIS[[sigla]:[credito]],2,))</f>
        <v>Clarice Baracho</v>
      </c>
      <c r="AA80" s="14"/>
      <c r="AB80" s="14" t="str">
        <f>STAT[[#This Row],[ilustrador]]</f>
        <v>Clarice Baracho</v>
      </c>
      <c r="AC80" s="14">
        <v>8</v>
      </c>
      <c r="AD80" s="22" t="s">
        <v>232</v>
      </c>
      <c r="AE80" s="14" t="s">
        <v>87</v>
      </c>
      <c r="AF80" s="42" t="str">
        <f t="shared" si="1"/>
        <v>P007</v>
      </c>
    </row>
    <row r="81" spans="1:32" hidden="1" x14ac:dyDescent="0.3">
      <c r="A81" s="12" t="e" cm="1">
        <f t="array" aca="1" ref="A81" ca="1">IF(STAT[[#This Row],[retranca]]="","",       RegxFunc(STAT[[#This Row],[retranca]],  "\w\d{4}\w*_\d")     )</f>
        <v>#NAME?</v>
      </c>
      <c r="B81" s="32" t="s">
        <v>237</v>
      </c>
      <c r="C81" s="14" t="s">
        <v>72</v>
      </c>
      <c r="D81" s="14" t="s">
        <v>9</v>
      </c>
      <c r="E81" s="14" t="s">
        <v>10</v>
      </c>
      <c r="F81" s="14">
        <v>13</v>
      </c>
      <c r="G81" s="14">
        <v>4</v>
      </c>
      <c r="H81" s="14">
        <v>1</v>
      </c>
      <c r="I81" s="14">
        <v>1</v>
      </c>
      <c r="J81" s="28" t="s">
        <v>55</v>
      </c>
      <c r="K81" s="36"/>
      <c r="L81" s="14"/>
      <c r="M81" s="14"/>
      <c r="N81" s="14"/>
      <c r="O81" s="14"/>
      <c r="P81" s="25" t="s">
        <v>238</v>
      </c>
      <c r="Q81" s="22"/>
      <c r="R81" s="22"/>
      <c r="S81" s="14">
        <v>5</v>
      </c>
      <c r="T81" s="27">
        <v>45792</v>
      </c>
      <c r="U81" s="27">
        <v>45800</v>
      </c>
      <c r="V81" s="27">
        <v>45806</v>
      </c>
      <c r="W81" s="27">
        <v>45806</v>
      </c>
      <c r="X81" s="27">
        <v>45807</v>
      </c>
      <c r="Y81" s="14" t="s">
        <v>109</v>
      </c>
      <c r="Z81" s="40" t="str">
        <f>IF(STAT[[#This Row],[sigla]]="","",VLOOKUP(STAT[[#This Row],[sigla]],CRÉDITOS_GERAIS[[sigla]:[credito]],2,))</f>
        <v>Clarice Baracho</v>
      </c>
      <c r="AA81" s="14"/>
      <c r="AB81" s="14" t="str">
        <f>STAT[[#This Row],[ilustrador]]</f>
        <v>Clarice Baracho</v>
      </c>
      <c r="AC81" s="14">
        <v>8</v>
      </c>
      <c r="AD81" s="22" t="s">
        <v>232</v>
      </c>
      <c r="AE81" s="14" t="s">
        <v>87</v>
      </c>
      <c r="AF81" s="42" t="str">
        <f t="shared" si="1"/>
        <v>P007</v>
      </c>
    </row>
    <row r="82" spans="1:32" hidden="1" x14ac:dyDescent="0.3">
      <c r="A82" s="12" t="e" cm="1">
        <f t="array" aca="1" ref="A82" ca="1">IF(STAT[[#This Row],[retranca]]="","",       RegxFunc(STAT[[#This Row],[retranca]],  "\w\d{4}\w*_\d")     )</f>
        <v>#NAME?</v>
      </c>
      <c r="B82" s="32" t="s">
        <v>239</v>
      </c>
      <c r="C82" s="14" t="s">
        <v>72</v>
      </c>
      <c r="D82" s="14" t="s">
        <v>9</v>
      </c>
      <c r="E82" s="14" t="s">
        <v>10</v>
      </c>
      <c r="F82" s="14">
        <v>13</v>
      </c>
      <c r="G82" s="14">
        <v>4</v>
      </c>
      <c r="H82" s="14">
        <v>1</v>
      </c>
      <c r="I82" s="14">
        <v>1</v>
      </c>
      <c r="J82" s="28" t="s">
        <v>55</v>
      </c>
      <c r="K82" s="36"/>
      <c r="L82" s="14"/>
      <c r="M82" s="14"/>
      <c r="N82" s="14"/>
      <c r="O82" s="14"/>
      <c r="P82" s="25" t="s">
        <v>240</v>
      </c>
      <c r="Q82" s="22"/>
      <c r="R82" s="22"/>
      <c r="S82" s="14">
        <v>5</v>
      </c>
      <c r="T82" s="27">
        <v>45792</v>
      </c>
      <c r="U82" s="27">
        <v>45800</v>
      </c>
      <c r="V82" s="27">
        <v>45806</v>
      </c>
      <c r="W82" s="27">
        <v>45806</v>
      </c>
      <c r="X82" s="27">
        <v>45807</v>
      </c>
      <c r="Y82" s="14" t="s">
        <v>109</v>
      </c>
      <c r="Z82" s="40" t="str">
        <f>IF(STAT[[#This Row],[sigla]]="","",VLOOKUP(STAT[[#This Row],[sigla]],CRÉDITOS_GERAIS[[sigla]:[credito]],2,))</f>
        <v>Clarice Baracho</v>
      </c>
      <c r="AA82" s="14"/>
      <c r="AB82" s="14" t="str">
        <f>STAT[[#This Row],[ilustrador]]</f>
        <v>Clarice Baracho</v>
      </c>
      <c r="AC82" s="14">
        <v>8</v>
      </c>
      <c r="AD82" s="22" t="s">
        <v>232</v>
      </c>
      <c r="AE82" s="14" t="s">
        <v>87</v>
      </c>
      <c r="AF82" s="42" t="str">
        <f t="shared" si="1"/>
        <v>P007</v>
      </c>
    </row>
    <row r="83" spans="1:32" hidden="1" x14ac:dyDescent="0.3">
      <c r="A83" s="12" t="e" cm="1">
        <f t="array" aca="1" ref="A83" ca="1">IF(STAT[[#This Row],[retranca]]="","",       RegxFunc(STAT[[#This Row],[retranca]],  "\w\d{4}\w*_\d")     )</f>
        <v>#NAME?</v>
      </c>
      <c r="B83" s="32" t="s">
        <v>241</v>
      </c>
      <c r="C83" s="14" t="s">
        <v>72</v>
      </c>
      <c r="D83" s="14" t="s">
        <v>9</v>
      </c>
      <c r="E83" s="14" t="s">
        <v>10</v>
      </c>
      <c r="F83" s="14">
        <v>13</v>
      </c>
      <c r="G83" s="14">
        <v>4</v>
      </c>
      <c r="H83" s="14">
        <v>1</v>
      </c>
      <c r="I83" s="14">
        <v>1</v>
      </c>
      <c r="J83" s="28" t="s">
        <v>55</v>
      </c>
      <c r="K83" s="36"/>
      <c r="L83" s="14"/>
      <c r="M83" s="14"/>
      <c r="N83" s="14"/>
      <c r="O83" s="14"/>
      <c r="P83" s="25" t="s">
        <v>242</v>
      </c>
      <c r="Q83" s="22"/>
      <c r="R83" s="22"/>
      <c r="S83" s="14">
        <v>5</v>
      </c>
      <c r="T83" s="27">
        <v>45792</v>
      </c>
      <c r="U83" s="27">
        <v>45800</v>
      </c>
      <c r="V83" s="27">
        <v>45806</v>
      </c>
      <c r="W83" s="27">
        <v>45806</v>
      </c>
      <c r="X83" s="27">
        <v>45807</v>
      </c>
      <c r="Y83" s="14" t="s">
        <v>109</v>
      </c>
      <c r="Z83" s="40" t="str">
        <f>IF(STAT[[#This Row],[sigla]]="","",VLOOKUP(STAT[[#This Row],[sigla]],CRÉDITOS_GERAIS[[sigla]:[credito]],2,))</f>
        <v>Clarice Baracho</v>
      </c>
      <c r="AA83" s="14"/>
      <c r="AB83" s="14" t="str">
        <f>STAT[[#This Row],[ilustrador]]</f>
        <v>Clarice Baracho</v>
      </c>
      <c r="AC83" s="14">
        <v>8</v>
      </c>
      <c r="AD83" s="22" t="s">
        <v>232</v>
      </c>
      <c r="AE83" s="14" t="s">
        <v>87</v>
      </c>
      <c r="AF83" s="42" t="str">
        <f t="shared" si="1"/>
        <v>P007</v>
      </c>
    </row>
    <row r="84" spans="1:32" hidden="1" x14ac:dyDescent="0.3">
      <c r="A84" s="12" t="e" cm="1">
        <f t="array" aca="1" ref="A84" ca="1">IF(STAT[[#This Row],[retranca]]="","",       RegxFunc(STAT[[#This Row],[retranca]],  "\w\d{4}\w*_\d")     )</f>
        <v>#NAME?</v>
      </c>
      <c r="B84" s="32" t="s">
        <v>243</v>
      </c>
      <c r="C84" s="14" t="s">
        <v>72</v>
      </c>
      <c r="D84" s="14" t="s">
        <v>9</v>
      </c>
      <c r="E84" s="14" t="s">
        <v>10</v>
      </c>
      <c r="F84" s="14">
        <v>13</v>
      </c>
      <c r="G84" s="14">
        <v>4</v>
      </c>
      <c r="H84" s="14">
        <v>1</v>
      </c>
      <c r="I84" s="14">
        <v>1</v>
      </c>
      <c r="J84" s="28" t="s">
        <v>55</v>
      </c>
      <c r="K84" s="36"/>
      <c r="L84" s="14"/>
      <c r="M84" s="14"/>
      <c r="N84" s="14"/>
      <c r="O84" s="14"/>
      <c r="P84" s="25" t="s">
        <v>244</v>
      </c>
      <c r="Q84" s="22"/>
      <c r="R84" s="22"/>
      <c r="S84" s="14">
        <v>5</v>
      </c>
      <c r="T84" s="27">
        <v>45792</v>
      </c>
      <c r="U84" s="27">
        <v>45800</v>
      </c>
      <c r="V84" s="27">
        <v>45806</v>
      </c>
      <c r="W84" s="27">
        <v>45806</v>
      </c>
      <c r="X84" s="27">
        <v>45807</v>
      </c>
      <c r="Y84" s="14" t="s">
        <v>109</v>
      </c>
      <c r="Z84" s="40" t="str">
        <f>IF(STAT[[#This Row],[sigla]]="","",VLOOKUP(STAT[[#This Row],[sigla]],CRÉDITOS_GERAIS[[sigla]:[credito]],2,))</f>
        <v>Clarice Baracho</v>
      </c>
      <c r="AA84" s="14"/>
      <c r="AB84" s="14" t="str">
        <f>STAT[[#This Row],[ilustrador]]</f>
        <v>Clarice Baracho</v>
      </c>
      <c r="AC84" s="14">
        <v>8</v>
      </c>
      <c r="AD84" s="22" t="s">
        <v>232</v>
      </c>
      <c r="AE84" s="14" t="s">
        <v>87</v>
      </c>
      <c r="AF84" s="42" t="str">
        <f t="shared" si="1"/>
        <v>P007</v>
      </c>
    </row>
    <row r="85" spans="1:32" hidden="1" x14ac:dyDescent="0.3">
      <c r="A85" s="12" t="e" cm="1">
        <f t="array" aca="1" ref="A85" ca="1">IF(STAT[[#This Row],[retranca]]="","",       RegxFunc(STAT[[#This Row],[retranca]],  "\w\d{4}\w*_\d")     )</f>
        <v>#NAME?</v>
      </c>
      <c r="B85" s="32" t="s">
        <v>245</v>
      </c>
      <c r="C85" s="14" t="s">
        <v>72</v>
      </c>
      <c r="D85" s="14" t="s">
        <v>9</v>
      </c>
      <c r="E85" s="14" t="s">
        <v>10</v>
      </c>
      <c r="F85" s="14">
        <v>13</v>
      </c>
      <c r="G85" s="14">
        <v>4</v>
      </c>
      <c r="H85" s="14">
        <v>1</v>
      </c>
      <c r="I85" s="14">
        <v>1</v>
      </c>
      <c r="J85" s="28" t="s">
        <v>55</v>
      </c>
      <c r="K85" s="36"/>
      <c r="L85" s="14"/>
      <c r="M85" s="14"/>
      <c r="N85" s="14"/>
      <c r="O85" s="14"/>
      <c r="P85" s="25" t="s">
        <v>246</v>
      </c>
      <c r="Q85" s="22"/>
      <c r="R85" s="22"/>
      <c r="S85" s="14">
        <v>5</v>
      </c>
      <c r="T85" s="27">
        <v>45792</v>
      </c>
      <c r="U85" s="27">
        <v>45800</v>
      </c>
      <c r="V85" s="27">
        <v>45806</v>
      </c>
      <c r="W85" s="27">
        <v>45806</v>
      </c>
      <c r="X85" s="27">
        <v>45807</v>
      </c>
      <c r="Y85" s="14" t="s">
        <v>109</v>
      </c>
      <c r="Z85" s="40" t="str">
        <f>IF(STAT[[#This Row],[sigla]]="","",VLOOKUP(STAT[[#This Row],[sigla]],CRÉDITOS_GERAIS[[sigla]:[credito]],2,))</f>
        <v>Clarice Baracho</v>
      </c>
      <c r="AA85" s="14"/>
      <c r="AB85" s="14" t="str">
        <f>STAT[[#This Row],[ilustrador]]</f>
        <v>Clarice Baracho</v>
      </c>
      <c r="AC85" s="14">
        <v>8</v>
      </c>
      <c r="AD85" s="22" t="s">
        <v>232</v>
      </c>
      <c r="AE85" s="14" t="s">
        <v>87</v>
      </c>
      <c r="AF85" s="42" t="str">
        <f t="shared" si="1"/>
        <v>P007</v>
      </c>
    </row>
    <row r="86" spans="1:32" hidden="1" x14ac:dyDescent="0.3">
      <c r="A86" s="12" t="e" cm="1">
        <f t="array" aca="1" ref="A86" ca="1">IF(STAT[[#This Row],[retranca]]="","",       RegxFunc(STAT[[#This Row],[retranca]],  "\w\d{4}\w*_\d")     )</f>
        <v>#NAME?</v>
      </c>
      <c r="B86" s="32" t="s">
        <v>247</v>
      </c>
      <c r="C86" s="14" t="s">
        <v>72</v>
      </c>
      <c r="D86" s="14" t="s">
        <v>9</v>
      </c>
      <c r="E86" s="14" t="s">
        <v>10</v>
      </c>
      <c r="F86" s="14">
        <v>13</v>
      </c>
      <c r="G86" s="14">
        <v>4</v>
      </c>
      <c r="H86" s="14">
        <v>1</v>
      </c>
      <c r="I86" s="14">
        <v>1</v>
      </c>
      <c r="J86" s="28" t="s">
        <v>55</v>
      </c>
      <c r="K86" s="36"/>
      <c r="L86" s="14"/>
      <c r="M86" s="14"/>
      <c r="N86" s="14"/>
      <c r="O86" s="14"/>
      <c r="P86" s="25" t="s">
        <v>248</v>
      </c>
      <c r="Q86" s="22"/>
      <c r="R86" s="22"/>
      <c r="S86" s="14">
        <v>5</v>
      </c>
      <c r="T86" s="27">
        <v>45792</v>
      </c>
      <c r="U86" s="27">
        <v>45800</v>
      </c>
      <c r="V86" s="27">
        <v>45806</v>
      </c>
      <c r="W86" s="27">
        <v>45806</v>
      </c>
      <c r="X86" s="27">
        <v>45807</v>
      </c>
      <c r="Y86" s="14" t="s">
        <v>109</v>
      </c>
      <c r="Z86" s="40" t="str">
        <f>IF(STAT[[#This Row],[sigla]]="","",VLOOKUP(STAT[[#This Row],[sigla]],CRÉDITOS_GERAIS[[sigla]:[credito]],2,))</f>
        <v>Clarice Baracho</v>
      </c>
      <c r="AA86" s="14"/>
      <c r="AB86" s="14" t="str">
        <f>STAT[[#This Row],[ilustrador]]</f>
        <v>Clarice Baracho</v>
      </c>
      <c r="AC86" s="14">
        <v>8</v>
      </c>
      <c r="AD86" s="22" t="s">
        <v>232</v>
      </c>
      <c r="AE86" s="14" t="s">
        <v>87</v>
      </c>
      <c r="AF86" s="42" t="str">
        <f t="shared" si="1"/>
        <v>P007</v>
      </c>
    </row>
    <row r="87" spans="1:32" hidden="1" x14ac:dyDescent="0.3">
      <c r="A87" s="12" t="e" cm="1">
        <f t="array" aca="1" ref="A87" ca="1">IF(STAT[[#This Row],[retranca]]="","",       RegxFunc(STAT[[#This Row],[retranca]],  "\w\d{4}\w*_\d")     )</f>
        <v>#NAME?</v>
      </c>
      <c r="B87" s="32" t="s">
        <v>249</v>
      </c>
      <c r="C87" s="14" t="s">
        <v>72</v>
      </c>
      <c r="D87" s="14" t="s">
        <v>9</v>
      </c>
      <c r="E87" s="14" t="s">
        <v>10</v>
      </c>
      <c r="F87" s="14">
        <v>13</v>
      </c>
      <c r="G87" s="14">
        <v>4</v>
      </c>
      <c r="H87" s="14">
        <v>1</v>
      </c>
      <c r="I87" s="14">
        <v>1</v>
      </c>
      <c r="J87" s="28" t="s">
        <v>55</v>
      </c>
      <c r="K87" s="36"/>
      <c r="L87" s="14"/>
      <c r="M87" s="14"/>
      <c r="N87" s="14"/>
      <c r="O87" s="14"/>
      <c r="P87" s="25" t="s">
        <v>250</v>
      </c>
      <c r="Q87" s="22"/>
      <c r="R87" s="22"/>
      <c r="S87" s="14">
        <v>5</v>
      </c>
      <c r="T87" s="27">
        <v>45792</v>
      </c>
      <c r="U87" s="27">
        <v>45800</v>
      </c>
      <c r="V87" s="27">
        <v>45806</v>
      </c>
      <c r="W87" s="27">
        <v>45806</v>
      </c>
      <c r="X87" s="27">
        <v>45807</v>
      </c>
      <c r="Y87" s="14" t="s">
        <v>109</v>
      </c>
      <c r="Z87" s="40" t="str">
        <f>IF(STAT[[#This Row],[sigla]]="","",VLOOKUP(STAT[[#This Row],[sigla]],CRÉDITOS_GERAIS[[sigla]:[credito]],2,))</f>
        <v>Clarice Baracho</v>
      </c>
      <c r="AA87" s="14"/>
      <c r="AB87" s="14" t="str">
        <f>STAT[[#This Row],[ilustrador]]</f>
        <v>Clarice Baracho</v>
      </c>
      <c r="AC87" s="14">
        <v>8</v>
      </c>
      <c r="AD87" s="62" t="s">
        <v>232</v>
      </c>
      <c r="AE87" s="14" t="s">
        <v>87</v>
      </c>
      <c r="AF87" s="42" t="str">
        <f t="shared" si="1"/>
        <v>P007</v>
      </c>
    </row>
    <row r="88" spans="1:32" ht="28.8" hidden="1" x14ac:dyDescent="0.3">
      <c r="A88" s="12" t="e" cm="1">
        <f t="array" aca="1" ref="A88" ca="1">IF(STAT[[#This Row],[retranca]]="","",       RegxFunc(STAT[[#This Row],[retranca]],  "\w\d{4}\w*_\d")     )</f>
        <v>#NAME?</v>
      </c>
      <c r="B88" s="32" t="s">
        <v>251</v>
      </c>
      <c r="C88" s="14" t="s">
        <v>72</v>
      </c>
      <c r="D88" s="14" t="s">
        <v>9</v>
      </c>
      <c r="E88" s="14" t="s">
        <v>10</v>
      </c>
      <c r="F88" s="14">
        <v>14</v>
      </c>
      <c r="G88" s="14">
        <v>4</v>
      </c>
      <c r="H88" s="14">
        <v>1</v>
      </c>
      <c r="I88" s="14">
        <v>1</v>
      </c>
      <c r="J88" s="28" t="s">
        <v>55</v>
      </c>
      <c r="K88" s="36"/>
      <c r="L88" s="14"/>
      <c r="M88" s="14"/>
      <c r="N88" s="14"/>
      <c r="O88" s="14"/>
      <c r="P88" s="25" t="s">
        <v>252</v>
      </c>
      <c r="Q88" s="22"/>
      <c r="R88" s="22"/>
      <c r="S88" s="14">
        <v>5</v>
      </c>
      <c r="T88" s="27">
        <v>45792</v>
      </c>
      <c r="U88" s="27">
        <v>45800</v>
      </c>
      <c r="V88" s="27">
        <v>45806</v>
      </c>
      <c r="W88" s="27">
        <v>45806</v>
      </c>
      <c r="X88" s="27">
        <v>45807</v>
      </c>
      <c r="Y88" s="14" t="s">
        <v>109</v>
      </c>
      <c r="Z88" s="40" t="str">
        <f>IF(STAT[[#This Row],[sigla]]="","",VLOOKUP(STAT[[#This Row],[sigla]],CRÉDITOS_GERAIS[[sigla]:[credito]],2,))</f>
        <v>Clarice Baracho</v>
      </c>
      <c r="AA88" s="14"/>
      <c r="AB88" s="14" t="str">
        <f>STAT[[#This Row],[ilustrador]]</f>
        <v>Clarice Baracho</v>
      </c>
      <c r="AC88" s="14">
        <v>6</v>
      </c>
      <c r="AD88" s="22" t="s">
        <v>232</v>
      </c>
      <c r="AE88" s="14" t="s">
        <v>87</v>
      </c>
      <c r="AF88" s="42" t="str">
        <f t="shared" si="1"/>
        <v>P007</v>
      </c>
    </row>
    <row r="89" spans="1:32" ht="28.8" hidden="1" x14ac:dyDescent="0.3">
      <c r="A89" s="12" t="e" cm="1">
        <f t="array" aca="1" ref="A89" ca="1">IF(STAT[[#This Row],[retranca]]="","",       RegxFunc(STAT[[#This Row],[retranca]],  "\w\d{4}\w*_\d")     )</f>
        <v>#NAME?</v>
      </c>
      <c r="B89" s="32" t="s">
        <v>253</v>
      </c>
      <c r="C89" s="14" t="s">
        <v>72</v>
      </c>
      <c r="D89" s="14" t="s">
        <v>9</v>
      </c>
      <c r="E89" s="14" t="s">
        <v>10</v>
      </c>
      <c r="F89" s="14">
        <v>14</v>
      </c>
      <c r="G89" s="14">
        <v>4</v>
      </c>
      <c r="H89" s="14">
        <v>1</v>
      </c>
      <c r="I89" s="14">
        <v>1</v>
      </c>
      <c r="J89" s="28" t="s">
        <v>55</v>
      </c>
      <c r="K89" s="36"/>
      <c r="L89" s="14"/>
      <c r="M89" s="14"/>
      <c r="N89" s="14"/>
      <c r="O89" s="14"/>
      <c r="P89" s="25" t="s">
        <v>254</v>
      </c>
      <c r="Q89" s="22"/>
      <c r="R89" s="22"/>
      <c r="S89" s="14">
        <v>5</v>
      </c>
      <c r="T89" s="27">
        <v>45792</v>
      </c>
      <c r="U89" s="27">
        <v>45800</v>
      </c>
      <c r="V89" s="27">
        <v>45806</v>
      </c>
      <c r="W89" s="27">
        <v>45806</v>
      </c>
      <c r="X89" s="27">
        <v>45807</v>
      </c>
      <c r="Y89" s="14" t="s">
        <v>109</v>
      </c>
      <c r="Z89" s="40" t="str">
        <f>IF(STAT[[#This Row],[sigla]]="","",VLOOKUP(STAT[[#This Row],[sigla]],CRÉDITOS_GERAIS[[sigla]:[credito]],2,))</f>
        <v>Clarice Baracho</v>
      </c>
      <c r="AA89" s="14"/>
      <c r="AB89" s="14" t="str">
        <f>STAT[[#This Row],[ilustrador]]</f>
        <v>Clarice Baracho</v>
      </c>
      <c r="AC89" s="14">
        <v>6</v>
      </c>
      <c r="AD89" s="22" t="s">
        <v>232</v>
      </c>
      <c r="AE89" s="14" t="s">
        <v>87</v>
      </c>
      <c r="AF89" s="42" t="str">
        <f t="shared" si="1"/>
        <v>P007</v>
      </c>
    </row>
    <row r="90" spans="1:32" ht="28.8" hidden="1" x14ac:dyDescent="0.3">
      <c r="A90" s="12" t="e" cm="1">
        <f t="array" aca="1" ref="A90" ca="1">IF(STAT[[#This Row],[retranca]]="","",       RegxFunc(STAT[[#This Row],[retranca]],  "\w\d{4}\w*_\d")     )</f>
        <v>#NAME?</v>
      </c>
      <c r="B90" s="32" t="s">
        <v>255</v>
      </c>
      <c r="C90" s="14" t="s">
        <v>72</v>
      </c>
      <c r="D90" s="14" t="s">
        <v>9</v>
      </c>
      <c r="E90" s="14" t="s">
        <v>10</v>
      </c>
      <c r="F90" s="14">
        <v>14</v>
      </c>
      <c r="G90" s="14">
        <v>4</v>
      </c>
      <c r="H90" s="14">
        <v>1</v>
      </c>
      <c r="I90" s="14">
        <v>1</v>
      </c>
      <c r="J90" s="28" t="s">
        <v>55</v>
      </c>
      <c r="K90" s="36"/>
      <c r="L90" s="14"/>
      <c r="M90" s="14"/>
      <c r="N90" s="14"/>
      <c r="O90" s="14"/>
      <c r="P90" s="25" t="s">
        <v>256</v>
      </c>
      <c r="Q90" s="22"/>
      <c r="R90" s="22"/>
      <c r="S90" s="14">
        <v>5</v>
      </c>
      <c r="T90" s="27">
        <v>45792</v>
      </c>
      <c r="U90" s="27">
        <v>45800</v>
      </c>
      <c r="V90" s="27">
        <v>45806</v>
      </c>
      <c r="W90" s="27">
        <v>45806</v>
      </c>
      <c r="X90" s="27">
        <v>45807</v>
      </c>
      <c r="Y90" s="14" t="s">
        <v>109</v>
      </c>
      <c r="Z90" s="40" t="str">
        <f>IF(STAT[[#This Row],[sigla]]="","",VLOOKUP(STAT[[#This Row],[sigla]],CRÉDITOS_GERAIS[[sigla]:[credito]],2,))</f>
        <v>Clarice Baracho</v>
      </c>
      <c r="AA90" s="14"/>
      <c r="AB90" s="14" t="str">
        <f>STAT[[#This Row],[ilustrador]]</f>
        <v>Clarice Baracho</v>
      </c>
      <c r="AC90" s="14">
        <v>6</v>
      </c>
      <c r="AD90" s="22" t="s">
        <v>232</v>
      </c>
      <c r="AE90" s="14" t="s">
        <v>87</v>
      </c>
      <c r="AF90" s="42" t="str">
        <f t="shared" si="1"/>
        <v>P007</v>
      </c>
    </row>
    <row r="91" spans="1:32" ht="28.8" hidden="1" x14ac:dyDescent="0.3">
      <c r="A91" s="12" t="e" cm="1">
        <f t="array" aca="1" ref="A91" ca="1">IF(STAT[[#This Row],[retranca]]="","",       RegxFunc(STAT[[#This Row],[retranca]],  "\w\d{4}\w*_\d")     )</f>
        <v>#NAME?</v>
      </c>
      <c r="B91" s="32" t="s">
        <v>257</v>
      </c>
      <c r="C91" s="14" t="s">
        <v>72</v>
      </c>
      <c r="D91" s="14" t="s">
        <v>9</v>
      </c>
      <c r="E91" s="14" t="s">
        <v>10</v>
      </c>
      <c r="F91" s="14">
        <v>14</v>
      </c>
      <c r="G91" s="14">
        <v>4</v>
      </c>
      <c r="H91" s="14">
        <v>1</v>
      </c>
      <c r="I91" s="14">
        <v>1</v>
      </c>
      <c r="J91" s="28" t="s">
        <v>55</v>
      </c>
      <c r="K91" s="36"/>
      <c r="L91" s="14"/>
      <c r="M91" s="14"/>
      <c r="N91" s="14"/>
      <c r="O91" s="14"/>
      <c r="P91" s="25" t="s">
        <v>258</v>
      </c>
      <c r="Q91" s="22"/>
      <c r="R91" s="22"/>
      <c r="S91" s="14">
        <v>5</v>
      </c>
      <c r="T91" s="27">
        <v>45792</v>
      </c>
      <c r="U91" s="27">
        <v>45800</v>
      </c>
      <c r="V91" s="27">
        <v>45806</v>
      </c>
      <c r="W91" s="27">
        <v>45806</v>
      </c>
      <c r="X91" s="27">
        <v>45807</v>
      </c>
      <c r="Y91" s="14" t="s">
        <v>109</v>
      </c>
      <c r="Z91" s="40" t="str">
        <f>IF(STAT[[#This Row],[sigla]]="","",VLOOKUP(STAT[[#This Row],[sigla]],CRÉDITOS_GERAIS[[sigla]:[credito]],2,))</f>
        <v>Clarice Baracho</v>
      </c>
      <c r="AA91" s="14"/>
      <c r="AB91" s="14" t="str">
        <f>STAT[[#This Row],[ilustrador]]</f>
        <v>Clarice Baracho</v>
      </c>
      <c r="AC91" s="14">
        <v>6</v>
      </c>
      <c r="AD91" s="22" t="s">
        <v>232</v>
      </c>
      <c r="AE91" s="14" t="s">
        <v>87</v>
      </c>
      <c r="AF91" s="42" t="str">
        <f t="shared" si="1"/>
        <v>P007</v>
      </c>
    </row>
    <row r="92" spans="1:32" ht="28.8" hidden="1" x14ac:dyDescent="0.3">
      <c r="A92" s="12" t="e" cm="1">
        <f t="array" aca="1" ref="A92" ca="1">IF(STAT[[#This Row],[retranca]]="","",       RegxFunc(STAT[[#This Row],[retranca]],  "\w\d{4}\w*_\d")     )</f>
        <v>#NAME?</v>
      </c>
      <c r="B92" s="32" t="s">
        <v>259</v>
      </c>
      <c r="C92" s="14" t="s">
        <v>72</v>
      </c>
      <c r="D92" s="14" t="s">
        <v>9</v>
      </c>
      <c r="E92" s="14" t="s">
        <v>10</v>
      </c>
      <c r="F92" s="14">
        <v>14</v>
      </c>
      <c r="G92" s="14">
        <v>4</v>
      </c>
      <c r="H92" s="14">
        <v>1</v>
      </c>
      <c r="I92" s="14">
        <v>1</v>
      </c>
      <c r="J92" s="28" t="s">
        <v>55</v>
      </c>
      <c r="K92" s="36"/>
      <c r="L92" s="14"/>
      <c r="M92" s="14"/>
      <c r="N92" s="14"/>
      <c r="O92" s="14"/>
      <c r="P92" s="25" t="s">
        <v>260</v>
      </c>
      <c r="Q92" s="22"/>
      <c r="R92" s="22"/>
      <c r="S92" s="14">
        <v>5</v>
      </c>
      <c r="T92" s="27">
        <v>45792</v>
      </c>
      <c r="U92" s="27">
        <v>45800</v>
      </c>
      <c r="V92" s="27">
        <v>45806</v>
      </c>
      <c r="W92" s="27">
        <v>45806</v>
      </c>
      <c r="X92" s="27">
        <v>45807</v>
      </c>
      <c r="Y92" s="14" t="s">
        <v>109</v>
      </c>
      <c r="Z92" s="40" t="str">
        <f>IF(STAT[[#This Row],[sigla]]="","",VLOOKUP(STAT[[#This Row],[sigla]],CRÉDITOS_GERAIS[[sigla]:[credito]],2,))</f>
        <v>Clarice Baracho</v>
      </c>
      <c r="AA92" s="14"/>
      <c r="AB92" s="14" t="str">
        <f>STAT[[#This Row],[ilustrador]]</f>
        <v>Clarice Baracho</v>
      </c>
      <c r="AC92" s="14">
        <v>8</v>
      </c>
      <c r="AD92" s="22" t="s">
        <v>232</v>
      </c>
      <c r="AE92" s="14" t="s">
        <v>87</v>
      </c>
      <c r="AF92" s="42" t="str">
        <f t="shared" si="1"/>
        <v>P007</v>
      </c>
    </row>
    <row r="93" spans="1:32" ht="28.8" hidden="1" x14ac:dyDescent="0.3">
      <c r="A93" s="12" t="e" cm="1">
        <f t="array" aca="1" ref="A93" ca="1">IF(STAT[[#This Row],[retranca]]="","",       RegxFunc(STAT[[#This Row],[retranca]],  "\w\d{4}\w*_\d")     )</f>
        <v>#NAME?</v>
      </c>
      <c r="B93" s="32" t="s">
        <v>261</v>
      </c>
      <c r="C93" s="14" t="s">
        <v>72</v>
      </c>
      <c r="D93" s="14" t="s">
        <v>9</v>
      </c>
      <c r="E93" s="14" t="s">
        <v>10</v>
      </c>
      <c r="F93" s="14">
        <v>14</v>
      </c>
      <c r="G93" s="14">
        <v>4</v>
      </c>
      <c r="H93" s="14">
        <v>1</v>
      </c>
      <c r="I93" s="14">
        <v>1</v>
      </c>
      <c r="J93" s="28" t="s">
        <v>55</v>
      </c>
      <c r="K93" s="36"/>
      <c r="L93" s="14"/>
      <c r="M93" s="14"/>
      <c r="N93" s="14"/>
      <c r="O93" s="14"/>
      <c r="P93" s="25" t="s">
        <v>262</v>
      </c>
      <c r="Q93" s="22"/>
      <c r="R93" s="22"/>
      <c r="S93" s="14">
        <v>5</v>
      </c>
      <c r="T93" s="27">
        <v>45792</v>
      </c>
      <c r="U93" s="27">
        <v>45800</v>
      </c>
      <c r="V93" s="27">
        <v>45806</v>
      </c>
      <c r="W93" s="27">
        <v>45806</v>
      </c>
      <c r="X93" s="27">
        <v>45807</v>
      </c>
      <c r="Y93" s="14" t="s">
        <v>109</v>
      </c>
      <c r="Z93" s="40" t="str">
        <f>IF(STAT[[#This Row],[sigla]]="","",VLOOKUP(STAT[[#This Row],[sigla]],CRÉDITOS_GERAIS[[sigla]:[credito]],2,))</f>
        <v>Clarice Baracho</v>
      </c>
      <c r="AA93" s="14"/>
      <c r="AB93" s="14" t="str">
        <f>STAT[[#This Row],[ilustrador]]</f>
        <v>Clarice Baracho</v>
      </c>
      <c r="AC93" s="14">
        <v>8</v>
      </c>
      <c r="AD93" s="22" t="s">
        <v>232</v>
      </c>
      <c r="AE93" s="14" t="s">
        <v>87</v>
      </c>
      <c r="AF93" s="42" t="str">
        <f t="shared" si="1"/>
        <v>P007</v>
      </c>
    </row>
    <row r="94" spans="1:32" ht="28.8" hidden="1" x14ac:dyDescent="0.3">
      <c r="A94" s="12" t="e" cm="1">
        <f t="array" aca="1" ref="A94" ca="1">IF(STAT[[#This Row],[retranca]]="","",       RegxFunc(STAT[[#This Row],[retranca]],  "\w\d{4}\w*_\d")     )</f>
        <v>#NAME?</v>
      </c>
      <c r="B94" s="32" t="s">
        <v>263</v>
      </c>
      <c r="C94" s="14" t="s">
        <v>72</v>
      </c>
      <c r="D94" s="14" t="s">
        <v>9</v>
      </c>
      <c r="E94" s="14" t="s">
        <v>10</v>
      </c>
      <c r="F94" s="14">
        <v>14</v>
      </c>
      <c r="G94" s="14">
        <v>4</v>
      </c>
      <c r="H94" s="14">
        <v>1</v>
      </c>
      <c r="I94" s="14">
        <v>1</v>
      </c>
      <c r="J94" s="28" t="s">
        <v>55</v>
      </c>
      <c r="K94" s="36"/>
      <c r="L94" s="14"/>
      <c r="M94" s="14"/>
      <c r="N94" s="14"/>
      <c r="O94" s="14"/>
      <c r="P94" s="25" t="s">
        <v>264</v>
      </c>
      <c r="Q94" s="22"/>
      <c r="R94" s="22"/>
      <c r="S94" s="14">
        <v>5</v>
      </c>
      <c r="T94" s="27">
        <v>45792</v>
      </c>
      <c r="U94" s="27">
        <v>45800</v>
      </c>
      <c r="V94" s="27">
        <v>45806</v>
      </c>
      <c r="W94" s="27">
        <v>45806</v>
      </c>
      <c r="X94" s="27">
        <v>45807</v>
      </c>
      <c r="Y94" s="14" t="s">
        <v>109</v>
      </c>
      <c r="Z94" s="40" t="str">
        <f>IF(STAT[[#This Row],[sigla]]="","",VLOOKUP(STAT[[#This Row],[sigla]],CRÉDITOS_GERAIS[[sigla]:[credito]],2,))</f>
        <v>Clarice Baracho</v>
      </c>
      <c r="AA94" s="14"/>
      <c r="AB94" s="14" t="str">
        <f>STAT[[#This Row],[ilustrador]]</f>
        <v>Clarice Baracho</v>
      </c>
      <c r="AC94" s="14">
        <v>8</v>
      </c>
      <c r="AD94" s="22" t="s">
        <v>232</v>
      </c>
      <c r="AE94" s="14" t="s">
        <v>87</v>
      </c>
      <c r="AF94" s="42" t="str">
        <f t="shared" si="1"/>
        <v>P007</v>
      </c>
    </row>
    <row r="95" spans="1:32" ht="28.8" hidden="1" x14ac:dyDescent="0.3">
      <c r="A95" s="12" t="e" cm="1">
        <f t="array" aca="1" ref="A95" ca="1">IF(STAT[[#This Row],[retranca]]="","",       RegxFunc(STAT[[#This Row],[retranca]],  "\w\d{4}\w*_\d")     )</f>
        <v>#NAME?</v>
      </c>
      <c r="B95" s="32" t="s">
        <v>265</v>
      </c>
      <c r="C95" s="14" t="s">
        <v>72</v>
      </c>
      <c r="D95" s="14" t="s">
        <v>9</v>
      </c>
      <c r="E95" s="14" t="s">
        <v>10</v>
      </c>
      <c r="F95" s="14">
        <v>14</v>
      </c>
      <c r="G95" s="14">
        <v>4</v>
      </c>
      <c r="H95" s="14">
        <v>1</v>
      </c>
      <c r="I95" s="14">
        <v>1</v>
      </c>
      <c r="J95" s="28" t="s">
        <v>55</v>
      </c>
      <c r="K95" s="36"/>
      <c r="L95" s="14"/>
      <c r="M95" s="14"/>
      <c r="N95" s="14"/>
      <c r="O95" s="14"/>
      <c r="P95" s="25" t="s">
        <v>266</v>
      </c>
      <c r="Q95" s="22"/>
      <c r="R95" s="22"/>
      <c r="S95" s="14">
        <v>5</v>
      </c>
      <c r="T95" s="27">
        <v>45792</v>
      </c>
      <c r="U95" s="27">
        <v>45800</v>
      </c>
      <c r="V95" s="27">
        <v>45806</v>
      </c>
      <c r="W95" s="27">
        <v>45806</v>
      </c>
      <c r="X95" s="27">
        <v>45807</v>
      </c>
      <c r="Y95" s="14" t="s">
        <v>109</v>
      </c>
      <c r="Z95" s="40" t="str">
        <f>IF(STAT[[#This Row],[sigla]]="","",VLOOKUP(STAT[[#This Row],[sigla]],CRÉDITOS_GERAIS[[sigla]:[credito]],2,))</f>
        <v>Clarice Baracho</v>
      </c>
      <c r="AA95" s="14"/>
      <c r="AB95" s="14" t="str">
        <f>STAT[[#This Row],[ilustrador]]</f>
        <v>Clarice Baracho</v>
      </c>
      <c r="AC95" s="14">
        <v>8</v>
      </c>
      <c r="AD95" s="22" t="s">
        <v>232</v>
      </c>
      <c r="AE95" s="14" t="s">
        <v>87</v>
      </c>
      <c r="AF95" s="42" t="str">
        <f t="shared" si="1"/>
        <v>P007</v>
      </c>
    </row>
    <row r="96" spans="1:32" ht="72" hidden="1" x14ac:dyDescent="0.3">
      <c r="A96" s="12" t="e" cm="1">
        <f t="array" aca="1" ref="A96" ca="1">IF(STAT[[#This Row],[retranca]]="","",       RegxFunc(STAT[[#This Row],[retranca]],  "\w\d{4}\w*_\d")     )</f>
        <v>#NAME?</v>
      </c>
      <c r="B96" s="32" t="s">
        <v>267</v>
      </c>
      <c r="C96" s="14" t="s">
        <v>72</v>
      </c>
      <c r="D96" s="14" t="s">
        <v>9</v>
      </c>
      <c r="E96" s="14" t="s">
        <v>10</v>
      </c>
      <c r="F96" s="14">
        <v>15</v>
      </c>
      <c r="G96" s="14">
        <v>4</v>
      </c>
      <c r="H96" s="14">
        <v>1</v>
      </c>
      <c r="I96" s="14">
        <v>1</v>
      </c>
      <c r="J96" s="28" t="s">
        <v>55</v>
      </c>
      <c r="K96" s="36"/>
      <c r="L96" s="14"/>
      <c r="M96" s="14"/>
      <c r="N96" s="14"/>
      <c r="O96" s="14"/>
      <c r="P96" s="25" t="s">
        <v>268</v>
      </c>
      <c r="Q96" s="22"/>
      <c r="R96" s="22"/>
      <c r="S96" s="14">
        <v>5</v>
      </c>
      <c r="T96" s="27">
        <v>45792</v>
      </c>
      <c r="U96" s="27">
        <v>45792</v>
      </c>
      <c r="V96" s="27"/>
      <c r="W96" s="27"/>
      <c r="X96" s="27">
        <v>45800</v>
      </c>
      <c r="Y96" s="14" t="s">
        <v>43</v>
      </c>
      <c r="Z96" s="40" t="e">
        <f>IF(STAT[[#This Row],[sigla]]="","",VLOOKUP(STAT[[#This Row],[sigla]],CRÉDITOS_GERAIS[[sigla]:[credito]],2,))</f>
        <v>#N/A</v>
      </c>
      <c r="AA96" s="14" t="s">
        <v>90</v>
      </c>
      <c r="AB96" s="14" t="e">
        <f>STAT[[#This Row],[ilustrador]]</f>
        <v>#N/A</v>
      </c>
      <c r="AC96" s="14">
        <v>13</v>
      </c>
      <c r="AD96" s="22" t="s">
        <v>196</v>
      </c>
      <c r="AE96" s="14" t="s">
        <v>46</v>
      </c>
      <c r="AF96" s="42" t="str">
        <f t="shared" si="1"/>
        <v>P007</v>
      </c>
    </row>
    <row r="97" spans="1:32" ht="57.6" hidden="1" x14ac:dyDescent="0.3">
      <c r="A97" s="12" t="e" cm="1">
        <f t="array" aca="1" ref="A97" ca="1">IF(STAT[[#This Row],[retranca]]="","",       RegxFunc(STAT[[#This Row],[retranca]],  "\w\d{4}\w*_\d")     )</f>
        <v>#NAME?</v>
      </c>
      <c r="B97" s="32" t="s">
        <v>269</v>
      </c>
      <c r="C97" s="14" t="s">
        <v>72</v>
      </c>
      <c r="D97" s="14" t="s">
        <v>9</v>
      </c>
      <c r="E97" s="14" t="s">
        <v>10</v>
      </c>
      <c r="F97" s="14">
        <v>15</v>
      </c>
      <c r="G97" s="14">
        <v>4</v>
      </c>
      <c r="H97" s="14">
        <v>1</v>
      </c>
      <c r="I97" s="14">
        <v>1</v>
      </c>
      <c r="J97" s="28" t="s">
        <v>55</v>
      </c>
      <c r="K97" s="36"/>
      <c r="L97" s="14"/>
      <c r="M97" s="14"/>
      <c r="N97" s="14"/>
      <c r="O97" s="14"/>
      <c r="P97" s="25" t="s">
        <v>270</v>
      </c>
      <c r="Q97" s="22"/>
      <c r="R97" s="22"/>
      <c r="S97" s="14">
        <v>5</v>
      </c>
      <c r="T97" s="27">
        <v>45792</v>
      </c>
      <c r="U97" s="27">
        <v>45792</v>
      </c>
      <c r="V97" s="27"/>
      <c r="W97" s="27"/>
      <c r="X97" s="27">
        <v>45800</v>
      </c>
      <c r="Y97" s="14" t="s">
        <v>43</v>
      </c>
      <c r="Z97" s="40" t="e">
        <f>IF(STAT[[#This Row],[sigla]]="","",VLOOKUP(STAT[[#This Row],[sigla]],CRÉDITOS_GERAIS[[sigla]:[credito]],2,))</f>
        <v>#N/A</v>
      </c>
      <c r="AA97" s="14" t="s">
        <v>90</v>
      </c>
      <c r="AB97" s="14" t="e">
        <f>STAT[[#This Row],[ilustrador]]</f>
        <v>#N/A</v>
      </c>
      <c r="AC97" s="14">
        <v>13</v>
      </c>
      <c r="AD97" s="22" t="s">
        <v>196</v>
      </c>
      <c r="AE97" s="14" t="s">
        <v>46</v>
      </c>
      <c r="AF97" s="42" t="str">
        <f t="shared" si="1"/>
        <v>P007</v>
      </c>
    </row>
    <row r="98" spans="1:32" hidden="1" x14ac:dyDescent="0.3">
      <c r="A98" s="12" t="e" cm="1">
        <f t="array" aca="1" ref="A98" ca="1">IF(STAT[[#This Row],[retranca]]="","",       RegxFunc(STAT[[#This Row],[retranca]],  "\w\d{4}\w*_\d")     )</f>
        <v>#NAME?</v>
      </c>
      <c r="B98" s="32" t="s">
        <v>271</v>
      </c>
      <c r="C98" s="14" t="s">
        <v>72</v>
      </c>
      <c r="D98" s="14" t="s">
        <v>9</v>
      </c>
      <c r="E98" s="14" t="s">
        <v>10</v>
      </c>
      <c r="F98" s="14">
        <v>17</v>
      </c>
      <c r="G98" s="14">
        <v>4</v>
      </c>
      <c r="H98" s="14">
        <v>1</v>
      </c>
      <c r="I98" s="14">
        <v>1</v>
      </c>
      <c r="J98" s="28" t="s">
        <v>55</v>
      </c>
      <c r="K98" s="36"/>
      <c r="L98" s="14"/>
      <c r="M98" s="14"/>
      <c r="N98" s="14"/>
      <c r="O98" s="14"/>
      <c r="P98" s="25" t="s">
        <v>272</v>
      </c>
      <c r="Q98" s="22"/>
      <c r="R98" s="22"/>
      <c r="S98" s="14">
        <v>5</v>
      </c>
      <c r="T98" s="27">
        <v>45792</v>
      </c>
      <c r="U98" s="27">
        <v>45800</v>
      </c>
      <c r="V98" s="27">
        <v>45807</v>
      </c>
      <c r="W98" s="27">
        <v>45810</v>
      </c>
      <c r="X98" s="27">
        <v>45813</v>
      </c>
      <c r="Y98" s="14" t="s">
        <v>99</v>
      </c>
      <c r="Z98" s="40" t="str">
        <f>IF(STAT[[#This Row],[sigla]]="","",VLOOKUP(STAT[[#This Row],[sigla]],CRÉDITOS_GERAIS[[sigla]:[credito]],2,))</f>
        <v>Débora Mini</v>
      </c>
      <c r="AA98" s="14"/>
      <c r="AB98" s="14" t="str">
        <f>STAT[[#This Row],[ilustrador]]</f>
        <v>Débora Mini</v>
      </c>
      <c r="AC98" s="14">
        <v>5</v>
      </c>
      <c r="AD98" s="22" t="s">
        <v>216</v>
      </c>
      <c r="AE98" s="14" t="s">
        <v>87</v>
      </c>
      <c r="AF98" s="42" t="str">
        <f t="shared" si="1"/>
        <v>P007</v>
      </c>
    </row>
    <row r="99" spans="1:32" ht="28.8" hidden="1" x14ac:dyDescent="0.3">
      <c r="A99" s="12" t="e" cm="1">
        <f t="array" aca="1" ref="A99" ca="1">IF(STAT[[#This Row],[retranca]]="","",       RegxFunc(STAT[[#This Row],[retranca]],  "\w\d{4}\w*_\d")     )</f>
        <v>#NAME?</v>
      </c>
      <c r="B99" s="32" t="s">
        <v>273</v>
      </c>
      <c r="C99" s="14" t="s">
        <v>72</v>
      </c>
      <c r="D99" s="14" t="s">
        <v>9</v>
      </c>
      <c r="E99" s="14" t="s">
        <v>10</v>
      </c>
      <c r="F99" s="14">
        <v>17</v>
      </c>
      <c r="G99" s="14">
        <v>4</v>
      </c>
      <c r="H99" s="14">
        <v>1</v>
      </c>
      <c r="I99" s="14">
        <v>1</v>
      </c>
      <c r="J99" s="28" t="s">
        <v>55</v>
      </c>
      <c r="K99" s="36"/>
      <c r="L99" s="14"/>
      <c r="M99" s="14"/>
      <c r="N99" s="14"/>
      <c r="O99" s="14"/>
      <c r="P99" s="25" t="s">
        <v>274</v>
      </c>
      <c r="Q99" s="22"/>
      <c r="R99" s="22"/>
      <c r="S99" s="14">
        <v>5</v>
      </c>
      <c r="T99" s="27">
        <v>45792</v>
      </c>
      <c r="U99" s="27">
        <v>45800</v>
      </c>
      <c r="V99" s="27">
        <v>45807</v>
      </c>
      <c r="W99" s="27">
        <v>45810</v>
      </c>
      <c r="X99" s="27">
        <v>45813</v>
      </c>
      <c r="Y99" s="14" t="s">
        <v>99</v>
      </c>
      <c r="Z99" s="40" t="str">
        <f>IF(STAT[[#This Row],[sigla]]="","",VLOOKUP(STAT[[#This Row],[sigla]],CRÉDITOS_GERAIS[[sigla]:[credito]],2,))</f>
        <v>Débora Mini</v>
      </c>
      <c r="AA99" s="14"/>
      <c r="AB99" s="14" t="str">
        <f>STAT[[#This Row],[ilustrador]]</f>
        <v>Débora Mini</v>
      </c>
      <c r="AC99" s="14">
        <v>5</v>
      </c>
      <c r="AD99" s="22" t="s">
        <v>216</v>
      </c>
      <c r="AE99" s="14" t="s">
        <v>87</v>
      </c>
      <c r="AF99" s="42" t="str">
        <f t="shared" si="1"/>
        <v>P007</v>
      </c>
    </row>
    <row r="100" spans="1:32" ht="28.8" hidden="1" x14ac:dyDescent="0.3">
      <c r="A100" s="12" t="e" cm="1">
        <f t="array" aca="1" ref="A100" ca="1">IF(STAT[[#This Row],[retranca]]="","",       RegxFunc(STAT[[#This Row],[retranca]],  "\w\d{4}\w*_\d")     )</f>
        <v>#NAME?</v>
      </c>
      <c r="B100" s="32" t="s">
        <v>275</v>
      </c>
      <c r="C100" s="14" t="s">
        <v>72</v>
      </c>
      <c r="D100" s="14" t="s">
        <v>9</v>
      </c>
      <c r="E100" s="14" t="s">
        <v>10</v>
      </c>
      <c r="F100" s="14">
        <v>17</v>
      </c>
      <c r="G100" s="14">
        <v>4</v>
      </c>
      <c r="H100" s="14">
        <v>1</v>
      </c>
      <c r="I100" s="14">
        <v>1</v>
      </c>
      <c r="J100" s="28" t="s">
        <v>55</v>
      </c>
      <c r="K100" s="36"/>
      <c r="L100" s="14"/>
      <c r="M100" s="14"/>
      <c r="N100" s="14"/>
      <c r="O100" s="14"/>
      <c r="P100" s="25" t="s">
        <v>276</v>
      </c>
      <c r="Q100" s="22"/>
      <c r="R100" s="22"/>
      <c r="S100" s="14">
        <v>5</v>
      </c>
      <c r="T100" s="27">
        <v>45792</v>
      </c>
      <c r="U100" s="27">
        <v>45800</v>
      </c>
      <c r="V100" s="27">
        <v>45807</v>
      </c>
      <c r="W100" s="27">
        <v>45810</v>
      </c>
      <c r="X100" s="27">
        <v>45813</v>
      </c>
      <c r="Y100" s="14" t="s">
        <v>99</v>
      </c>
      <c r="Z100" s="40" t="str">
        <f>IF(STAT[[#This Row],[sigla]]="","",VLOOKUP(STAT[[#This Row],[sigla]],CRÉDITOS_GERAIS[[sigla]:[credito]],2,))</f>
        <v>Débora Mini</v>
      </c>
      <c r="AA100" s="14"/>
      <c r="AB100" s="14" t="str">
        <f>STAT[[#This Row],[ilustrador]]</f>
        <v>Débora Mini</v>
      </c>
      <c r="AC100" s="14">
        <v>3</v>
      </c>
      <c r="AD100" s="22" t="s">
        <v>216</v>
      </c>
      <c r="AE100" s="14" t="s">
        <v>87</v>
      </c>
      <c r="AF100" s="42" t="str">
        <f t="shared" si="1"/>
        <v>P007</v>
      </c>
    </row>
    <row r="101" spans="1:32" ht="43.2" hidden="1" x14ac:dyDescent="0.3">
      <c r="A101" s="12" t="e" cm="1">
        <f t="array" aca="1" ref="A101" ca="1">IF(STAT[[#This Row],[retranca]]="","",       RegxFunc(STAT[[#This Row],[retranca]],  "\w\d{4}\w*_\d")     )</f>
        <v>#NAME?</v>
      </c>
      <c r="B101" s="32" t="s">
        <v>277</v>
      </c>
      <c r="C101" s="14" t="s">
        <v>72</v>
      </c>
      <c r="D101" s="14" t="s">
        <v>9</v>
      </c>
      <c r="E101" s="14" t="s">
        <v>10</v>
      </c>
      <c r="F101" s="14">
        <v>21</v>
      </c>
      <c r="G101" s="14">
        <v>4</v>
      </c>
      <c r="H101" s="14">
        <v>1</v>
      </c>
      <c r="I101" s="14">
        <v>1</v>
      </c>
      <c r="J101" s="28" t="s">
        <v>55</v>
      </c>
      <c r="K101" s="36"/>
      <c r="L101" s="14"/>
      <c r="M101" s="14"/>
      <c r="N101" s="14"/>
      <c r="O101" s="14"/>
      <c r="P101" s="25" t="s">
        <v>278</v>
      </c>
      <c r="Q101" s="22"/>
      <c r="R101" s="22"/>
      <c r="S101" s="14">
        <v>5</v>
      </c>
      <c r="T101" s="27">
        <v>45792</v>
      </c>
      <c r="U101" s="27">
        <v>45800</v>
      </c>
      <c r="V101" s="27">
        <v>45806</v>
      </c>
      <c r="W101" s="27">
        <v>45806</v>
      </c>
      <c r="X101" s="27">
        <v>45807</v>
      </c>
      <c r="Y101" s="14" t="s">
        <v>109</v>
      </c>
      <c r="Z101" s="40" t="str">
        <f>IF(STAT[[#This Row],[sigla]]="","",VLOOKUP(STAT[[#This Row],[sigla]],CRÉDITOS_GERAIS[[sigla]:[credito]],2,))</f>
        <v>Clarice Baracho</v>
      </c>
      <c r="AA101" s="14"/>
      <c r="AB101" s="14" t="str">
        <f>STAT[[#This Row],[ilustrador]]</f>
        <v>Clarice Baracho</v>
      </c>
      <c r="AC101" s="14">
        <v>6</v>
      </c>
      <c r="AD101" s="22" t="s">
        <v>232</v>
      </c>
      <c r="AE101" s="14" t="s">
        <v>87</v>
      </c>
      <c r="AF101" s="42" t="str">
        <f t="shared" si="1"/>
        <v>P007</v>
      </c>
    </row>
    <row r="102" spans="1:32" ht="43.2" hidden="1" x14ac:dyDescent="0.3">
      <c r="A102" s="12" t="e" cm="1">
        <f t="array" aca="1" ref="A102" ca="1">IF(STAT[[#This Row],[retranca]]="","",       RegxFunc(STAT[[#This Row],[retranca]],  "\w\d{4}\w*_\d")     )</f>
        <v>#NAME?</v>
      </c>
      <c r="B102" s="32" t="s">
        <v>279</v>
      </c>
      <c r="C102" s="14" t="s">
        <v>72</v>
      </c>
      <c r="D102" s="14" t="s">
        <v>9</v>
      </c>
      <c r="E102" s="14" t="s">
        <v>10</v>
      </c>
      <c r="F102" s="14">
        <v>21</v>
      </c>
      <c r="G102" s="14">
        <v>4</v>
      </c>
      <c r="H102" s="14">
        <v>1</v>
      </c>
      <c r="I102" s="14">
        <v>1</v>
      </c>
      <c r="J102" s="28" t="s">
        <v>55</v>
      </c>
      <c r="K102" s="36"/>
      <c r="L102" s="14"/>
      <c r="M102" s="14"/>
      <c r="N102" s="14"/>
      <c r="O102" s="14"/>
      <c r="P102" s="25" t="s">
        <v>280</v>
      </c>
      <c r="Q102" s="22"/>
      <c r="R102" s="22"/>
      <c r="S102" s="14">
        <v>5</v>
      </c>
      <c r="T102" s="27">
        <v>45792</v>
      </c>
      <c r="U102" s="27">
        <v>45800</v>
      </c>
      <c r="V102" s="27">
        <v>45806</v>
      </c>
      <c r="W102" s="27">
        <v>45806</v>
      </c>
      <c r="X102" s="27">
        <v>45807</v>
      </c>
      <c r="Y102" s="14" t="s">
        <v>109</v>
      </c>
      <c r="Z102" s="40" t="str">
        <f>IF(STAT[[#This Row],[sigla]]="","",VLOOKUP(STAT[[#This Row],[sigla]],CRÉDITOS_GERAIS[[sigla]:[credito]],2,))</f>
        <v>Clarice Baracho</v>
      </c>
      <c r="AA102" s="14"/>
      <c r="AB102" s="14" t="str">
        <f>STAT[[#This Row],[ilustrador]]</f>
        <v>Clarice Baracho</v>
      </c>
      <c r="AC102" s="14">
        <v>7</v>
      </c>
      <c r="AD102" s="22" t="s">
        <v>232</v>
      </c>
      <c r="AE102" s="14" t="s">
        <v>87</v>
      </c>
      <c r="AF102" s="42" t="str">
        <f t="shared" si="1"/>
        <v>P007</v>
      </c>
    </row>
    <row r="103" spans="1:32" ht="43.2" hidden="1" x14ac:dyDescent="0.3">
      <c r="A103" s="12" t="e" cm="1">
        <f t="array" aca="1" ref="A103" ca="1">IF(STAT[[#This Row],[retranca]]="","",       RegxFunc(STAT[[#This Row],[retranca]],  "\w\d{4}\w*_\d")     )</f>
        <v>#NAME?</v>
      </c>
      <c r="B103" s="32" t="s">
        <v>281</v>
      </c>
      <c r="C103" s="14" t="s">
        <v>72</v>
      </c>
      <c r="D103" s="14" t="s">
        <v>9</v>
      </c>
      <c r="E103" s="14" t="s">
        <v>10</v>
      </c>
      <c r="F103" s="14">
        <v>21</v>
      </c>
      <c r="G103" s="14">
        <v>4</v>
      </c>
      <c r="H103" s="14">
        <v>1</v>
      </c>
      <c r="I103" s="14">
        <v>1</v>
      </c>
      <c r="J103" s="28" t="s">
        <v>55</v>
      </c>
      <c r="K103" s="36"/>
      <c r="L103" s="14"/>
      <c r="M103" s="14"/>
      <c r="N103" s="14"/>
      <c r="O103" s="14"/>
      <c r="P103" s="25" t="s">
        <v>282</v>
      </c>
      <c r="Q103" s="22"/>
      <c r="R103" s="22"/>
      <c r="S103" s="14">
        <v>5</v>
      </c>
      <c r="T103" s="27">
        <v>45792</v>
      </c>
      <c r="U103" s="27">
        <v>45800</v>
      </c>
      <c r="V103" s="27">
        <v>45806</v>
      </c>
      <c r="W103" s="27">
        <v>45806</v>
      </c>
      <c r="X103" s="27">
        <v>45807</v>
      </c>
      <c r="Y103" s="14" t="s">
        <v>109</v>
      </c>
      <c r="Z103" s="40" t="str">
        <f>IF(STAT[[#This Row],[sigla]]="","",VLOOKUP(STAT[[#This Row],[sigla]],CRÉDITOS_GERAIS[[sigla]:[credito]],2,))</f>
        <v>Clarice Baracho</v>
      </c>
      <c r="AA103" s="14"/>
      <c r="AB103" s="14" t="str">
        <f>STAT[[#This Row],[ilustrador]]</f>
        <v>Clarice Baracho</v>
      </c>
      <c r="AC103" s="14">
        <v>5</v>
      </c>
      <c r="AD103" s="22" t="s">
        <v>232</v>
      </c>
      <c r="AE103" s="14" t="s">
        <v>87</v>
      </c>
      <c r="AF103" s="42" t="str">
        <f t="shared" si="1"/>
        <v>P007</v>
      </c>
    </row>
    <row r="104" spans="1:32" ht="43.2" hidden="1" x14ac:dyDescent="0.3">
      <c r="A104" s="12" t="e" cm="1">
        <f t="array" aca="1" ref="A104" ca="1">IF(STAT[[#This Row],[retranca]]="","",       RegxFunc(STAT[[#This Row],[retranca]],  "\w\d{4}\w*_\d")     )</f>
        <v>#NAME?</v>
      </c>
      <c r="B104" s="32" t="s">
        <v>283</v>
      </c>
      <c r="C104" s="14" t="s">
        <v>72</v>
      </c>
      <c r="D104" s="14" t="s">
        <v>9</v>
      </c>
      <c r="E104" s="14" t="s">
        <v>10</v>
      </c>
      <c r="F104" s="14">
        <v>21</v>
      </c>
      <c r="G104" s="14">
        <v>4</v>
      </c>
      <c r="H104" s="14">
        <v>1</v>
      </c>
      <c r="I104" s="14">
        <v>1</v>
      </c>
      <c r="J104" s="28" t="s">
        <v>55</v>
      </c>
      <c r="K104" s="36"/>
      <c r="L104" s="14"/>
      <c r="M104" s="14"/>
      <c r="N104" s="14"/>
      <c r="O104" s="14"/>
      <c r="P104" s="25" t="s">
        <v>284</v>
      </c>
      <c r="Q104" s="22"/>
      <c r="R104" s="22"/>
      <c r="S104" s="14">
        <v>5</v>
      </c>
      <c r="T104" s="27">
        <v>45792</v>
      </c>
      <c r="U104" s="27">
        <v>45800</v>
      </c>
      <c r="V104" s="27">
        <v>45806</v>
      </c>
      <c r="W104" s="27">
        <v>45806</v>
      </c>
      <c r="X104" s="27">
        <v>45807</v>
      </c>
      <c r="Y104" s="14" t="s">
        <v>109</v>
      </c>
      <c r="Z104" s="40" t="str">
        <f>IF(STAT[[#This Row],[sigla]]="","",VLOOKUP(STAT[[#This Row],[sigla]],CRÉDITOS_GERAIS[[sigla]:[credito]],2,))</f>
        <v>Clarice Baracho</v>
      </c>
      <c r="AA104" s="14"/>
      <c r="AB104" s="14" t="str">
        <f>STAT[[#This Row],[ilustrador]]</f>
        <v>Clarice Baracho</v>
      </c>
      <c r="AC104" s="14">
        <v>5</v>
      </c>
      <c r="AD104" s="22" t="s">
        <v>232</v>
      </c>
      <c r="AE104" s="14" t="s">
        <v>87</v>
      </c>
      <c r="AF104" s="42" t="str">
        <f t="shared" si="1"/>
        <v>P007</v>
      </c>
    </row>
    <row r="105" spans="1:32" ht="28.8" hidden="1" x14ac:dyDescent="0.3">
      <c r="A105" s="12" t="e" cm="1">
        <f t="array" aca="1" ref="A105" ca="1">IF(STAT[[#This Row],[retranca]]="","",       RegxFunc(STAT[[#This Row],[retranca]],  "\w\d{4}\w*_\d")     )</f>
        <v>#NAME?</v>
      </c>
      <c r="B105" s="32" t="s">
        <v>285</v>
      </c>
      <c r="C105" s="14" t="s">
        <v>72</v>
      </c>
      <c r="D105" s="14" t="s">
        <v>9</v>
      </c>
      <c r="E105" s="14" t="s">
        <v>10</v>
      </c>
      <c r="F105" s="14">
        <v>23</v>
      </c>
      <c r="G105" s="14">
        <v>4</v>
      </c>
      <c r="H105" s="14">
        <v>1</v>
      </c>
      <c r="I105" s="14">
        <v>1</v>
      </c>
      <c r="J105" s="28" t="s">
        <v>55</v>
      </c>
      <c r="K105" s="36"/>
      <c r="L105" s="14"/>
      <c r="M105" s="14"/>
      <c r="N105" s="14"/>
      <c r="O105" s="14"/>
      <c r="P105" s="25" t="s">
        <v>286</v>
      </c>
      <c r="Q105" s="22"/>
      <c r="R105" s="22"/>
      <c r="S105" s="14"/>
      <c r="T105" s="27"/>
      <c r="U105" s="27"/>
      <c r="V105" s="27"/>
      <c r="W105" s="27"/>
      <c r="X105" s="27"/>
      <c r="Y105" s="14" t="s">
        <v>43</v>
      </c>
      <c r="Z105" s="40" t="e">
        <f>IF(STAT[[#This Row],[sigla]]="","",VLOOKUP(STAT[[#This Row],[sigla]],CRÉDITOS_GERAIS[[sigla]:[credito]],2,))</f>
        <v>#N/A</v>
      </c>
      <c r="AA105" s="14"/>
      <c r="AB105" s="14" t="e">
        <f>STAT[[#This Row],[ilustrador]]</f>
        <v>#N/A</v>
      </c>
      <c r="AC105" s="14"/>
      <c r="AD105" s="22"/>
      <c r="AE105" s="14"/>
      <c r="AF105" s="42" t="str">
        <f t="shared" si="1"/>
        <v>P007</v>
      </c>
    </row>
    <row r="106" spans="1:32" ht="57.6" hidden="1" x14ac:dyDescent="0.3">
      <c r="A106" s="12" t="e" cm="1">
        <f t="array" aca="1" ref="A106" ca="1">IF(STAT[[#This Row],[retranca]]="","",       RegxFunc(STAT[[#This Row],[retranca]],  "\w\d{4}\w*_\d")     )</f>
        <v>#NAME?</v>
      </c>
      <c r="B106" s="32" t="s">
        <v>287</v>
      </c>
      <c r="C106" s="14" t="s">
        <v>72</v>
      </c>
      <c r="D106" s="14" t="s">
        <v>288</v>
      </c>
      <c r="E106" s="14" t="s">
        <v>10</v>
      </c>
      <c r="F106" s="14">
        <v>23</v>
      </c>
      <c r="G106" s="14">
        <v>4</v>
      </c>
      <c r="H106" s="14">
        <v>1</v>
      </c>
      <c r="I106" s="14">
        <v>1</v>
      </c>
      <c r="J106" s="28" t="s">
        <v>55</v>
      </c>
      <c r="K106" s="36"/>
      <c r="L106" s="14"/>
      <c r="M106" s="14"/>
      <c r="N106" s="14"/>
      <c r="O106" s="14"/>
      <c r="P106" s="25" t="s">
        <v>289</v>
      </c>
      <c r="Q106" s="22"/>
      <c r="R106" s="22"/>
      <c r="S106" s="14">
        <v>5</v>
      </c>
      <c r="T106" s="27">
        <v>45792</v>
      </c>
      <c r="U106" s="27">
        <v>45792</v>
      </c>
      <c r="V106" s="27"/>
      <c r="W106" s="27"/>
      <c r="X106" s="27">
        <v>45800</v>
      </c>
      <c r="Y106" s="14" t="s">
        <v>290</v>
      </c>
      <c r="Z106" s="40" t="str">
        <f>IF(STAT[[#This Row],[sigla]]="","",VLOOKUP(STAT[[#This Row],[sigla]],CRÉDITOS_GERAIS[[sigla]:[credito]],2,))</f>
        <v>Bruna Campos</v>
      </c>
      <c r="AA106" s="14"/>
      <c r="AB106" s="14" t="str">
        <f>STAT[[#This Row],[ilustrador]]</f>
        <v>Bruna Campos</v>
      </c>
      <c r="AC106" s="14">
        <v>8</v>
      </c>
      <c r="AD106" s="22" t="s">
        <v>196</v>
      </c>
      <c r="AE106" s="14" t="s">
        <v>46</v>
      </c>
      <c r="AF106" s="42" t="str">
        <f t="shared" si="1"/>
        <v>P007</v>
      </c>
    </row>
    <row r="107" spans="1:32" ht="57.6" hidden="1" x14ac:dyDescent="0.3">
      <c r="A107" s="12" t="e" cm="1">
        <f t="array" aca="1" ref="A107" ca="1">IF(STAT[[#This Row],[retranca]]="","",       RegxFunc(STAT[[#This Row],[retranca]],  "\w\d{4}\w*_\d")     )</f>
        <v>#NAME?</v>
      </c>
      <c r="B107" s="32" t="s">
        <v>291</v>
      </c>
      <c r="C107" s="14" t="s">
        <v>72</v>
      </c>
      <c r="D107" s="14" t="s">
        <v>288</v>
      </c>
      <c r="E107" s="14" t="s">
        <v>10</v>
      </c>
      <c r="F107" s="14">
        <v>23</v>
      </c>
      <c r="G107" s="14">
        <v>4</v>
      </c>
      <c r="H107" s="14">
        <v>1</v>
      </c>
      <c r="I107" s="14">
        <v>1</v>
      </c>
      <c r="J107" s="28" t="s">
        <v>55</v>
      </c>
      <c r="K107" s="36"/>
      <c r="L107" s="14"/>
      <c r="M107" s="14"/>
      <c r="N107" s="14"/>
      <c r="O107" s="14"/>
      <c r="P107" s="25" t="s">
        <v>292</v>
      </c>
      <c r="Q107" s="22"/>
      <c r="R107" s="22"/>
      <c r="S107" s="14">
        <v>5</v>
      </c>
      <c r="T107" s="27">
        <v>45792</v>
      </c>
      <c r="U107" s="27">
        <v>45792</v>
      </c>
      <c r="V107" s="27"/>
      <c r="W107" s="27"/>
      <c r="X107" s="27">
        <v>45800</v>
      </c>
      <c r="Y107" s="14" t="s">
        <v>290</v>
      </c>
      <c r="Z107" s="40" t="str">
        <f>IF(STAT[[#This Row],[sigla]]="","",VLOOKUP(STAT[[#This Row],[sigla]],CRÉDITOS_GERAIS[[sigla]:[credito]],2,))</f>
        <v>Bruna Campos</v>
      </c>
      <c r="AA107" s="14"/>
      <c r="AB107" s="14" t="str">
        <f>STAT[[#This Row],[ilustrador]]</f>
        <v>Bruna Campos</v>
      </c>
      <c r="AC107" s="14">
        <v>8</v>
      </c>
      <c r="AD107" s="22" t="s">
        <v>196</v>
      </c>
      <c r="AE107" s="14" t="s">
        <v>46</v>
      </c>
      <c r="AF107" s="42" t="str">
        <f t="shared" si="1"/>
        <v>P007</v>
      </c>
    </row>
    <row r="108" spans="1:32" ht="57.6" hidden="1" x14ac:dyDescent="0.3">
      <c r="A108" s="12" t="e" cm="1">
        <f t="array" aca="1" ref="A108" ca="1">IF(STAT[[#This Row],[retranca]]="","",       RegxFunc(STAT[[#This Row],[retranca]],  "\w\d{4}\w*_\d")     )</f>
        <v>#NAME?</v>
      </c>
      <c r="B108" s="32" t="s">
        <v>293</v>
      </c>
      <c r="C108" s="14" t="s">
        <v>72</v>
      </c>
      <c r="D108" s="14" t="s">
        <v>288</v>
      </c>
      <c r="E108" s="14" t="s">
        <v>10</v>
      </c>
      <c r="F108" s="14">
        <v>23</v>
      </c>
      <c r="G108" s="14">
        <v>4</v>
      </c>
      <c r="H108" s="14">
        <v>1</v>
      </c>
      <c r="I108" s="14">
        <v>1</v>
      </c>
      <c r="J108" s="28" t="s">
        <v>55</v>
      </c>
      <c r="K108" s="36"/>
      <c r="L108" s="14"/>
      <c r="M108" s="14"/>
      <c r="N108" s="14"/>
      <c r="O108" s="14"/>
      <c r="P108" s="25" t="s">
        <v>294</v>
      </c>
      <c r="Q108" s="22"/>
      <c r="R108" s="22"/>
      <c r="S108" s="14">
        <v>5</v>
      </c>
      <c r="T108" s="27">
        <v>45792</v>
      </c>
      <c r="U108" s="27">
        <v>45792</v>
      </c>
      <c r="V108" s="27"/>
      <c r="W108" s="27"/>
      <c r="X108" s="27">
        <v>45800</v>
      </c>
      <c r="Y108" s="14" t="s">
        <v>290</v>
      </c>
      <c r="Z108" s="40" t="str">
        <f>IF(STAT[[#This Row],[sigla]]="","",VLOOKUP(STAT[[#This Row],[sigla]],CRÉDITOS_GERAIS[[sigla]:[credito]],2,))</f>
        <v>Bruna Campos</v>
      </c>
      <c r="AA108" s="14"/>
      <c r="AB108" s="14" t="str">
        <f>STAT[[#This Row],[ilustrador]]</f>
        <v>Bruna Campos</v>
      </c>
      <c r="AC108" s="14">
        <v>8</v>
      </c>
      <c r="AD108" s="22" t="s">
        <v>196</v>
      </c>
      <c r="AE108" s="14" t="s">
        <v>46</v>
      </c>
      <c r="AF108" s="42" t="str">
        <f t="shared" si="1"/>
        <v>P007</v>
      </c>
    </row>
    <row r="109" spans="1:32" ht="72" hidden="1" x14ac:dyDescent="0.3">
      <c r="A109" s="12" t="e" cm="1">
        <f t="array" aca="1" ref="A109" ca="1">IF(STAT[[#This Row],[retranca]]="","",       RegxFunc(STAT[[#This Row],[retranca]],  "\w\d{4}\w*_\d")     )</f>
        <v>#NAME?</v>
      </c>
      <c r="B109" s="32" t="s">
        <v>295</v>
      </c>
      <c r="C109" s="14" t="s">
        <v>72</v>
      </c>
      <c r="D109" s="14" t="s">
        <v>9</v>
      </c>
      <c r="E109" s="14" t="s">
        <v>10</v>
      </c>
      <c r="F109" s="14">
        <v>1</v>
      </c>
      <c r="G109" s="14">
        <v>4</v>
      </c>
      <c r="H109" s="14">
        <v>0</v>
      </c>
      <c r="I109" s="14" t="s">
        <v>296</v>
      </c>
      <c r="J109" s="28" t="s">
        <v>55</v>
      </c>
      <c r="K109" s="36"/>
      <c r="L109" s="14"/>
      <c r="M109" s="14"/>
      <c r="N109" s="14"/>
      <c r="O109" s="14"/>
      <c r="P109" s="25" t="s">
        <v>297</v>
      </c>
      <c r="Q109" s="22"/>
      <c r="R109" s="22"/>
      <c r="S109" s="14">
        <v>5</v>
      </c>
      <c r="T109" s="27">
        <v>45792</v>
      </c>
      <c r="U109" s="27">
        <v>45792</v>
      </c>
      <c r="V109" s="27"/>
      <c r="W109" s="27"/>
      <c r="X109" s="27">
        <v>45813</v>
      </c>
      <c r="Y109" s="14" t="s">
        <v>99</v>
      </c>
      <c r="Z109" s="40" t="str">
        <f>IF(STAT[[#This Row],[sigla]]="","",VLOOKUP(STAT[[#This Row],[sigla]],CRÉDITOS_GERAIS[[sigla]:[credito]],2,))</f>
        <v>Débora Mini</v>
      </c>
      <c r="AA109" s="14" t="s">
        <v>90</v>
      </c>
      <c r="AB109" s="14" t="str">
        <f>STAT[[#This Row],[ilustrador]]</f>
        <v>Débora Mini</v>
      </c>
      <c r="AC109" s="14">
        <v>14</v>
      </c>
      <c r="AD109" s="22" t="s">
        <v>298</v>
      </c>
      <c r="AE109" s="14" t="s">
        <v>46</v>
      </c>
      <c r="AF109" s="42" t="str">
        <f t="shared" si="1"/>
        <v>P007</v>
      </c>
    </row>
    <row r="110" spans="1:32" ht="72" hidden="1" x14ac:dyDescent="0.3">
      <c r="A110" s="12" t="e" cm="1">
        <f t="array" aca="1" ref="A110" ca="1">IF(STAT[[#This Row],[retranca]]="","",       RegxFunc(STAT[[#This Row],[retranca]],  "\w\d{4}\w*_\d")     )</f>
        <v>#NAME?</v>
      </c>
      <c r="B110" s="32" t="s">
        <v>299</v>
      </c>
      <c r="C110" s="14" t="s">
        <v>72</v>
      </c>
      <c r="D110" s="14" t="s">
        <v>9</v>
      </c>
      <c r="E110" s="14" t="s">
        <v>10</v>
      </c>
      <c r="F110" s="14">
        <v>1</v>
      </c>
      <c r="G110" s="14">
        <v>4</v>
      </c>
      <c r="H110" s="14">
        <v>0</v>
      </c>
      <c r="I110" s="14" t="s">
        <v>296</v>
      </c>
      <c r="J110" s="28" t="s">
        <v>55</v>
      </c>
      <c r="K110" s="36"/>
      <c r="L110" s="14"/>
      <c r="M110" s="14"/>
      <c r="N110" s="14"/>
      <c r="O110" s="14"/>
      <c r="P110" s="25" t="s">
        <v>300</v>
      </c>
      <c r="Q110" s="22"/>
      <c r="R110" s="22"/>
      <c r="S110" s="14">
        <v>5</v>
      </c>
      <c r="T110" s="27">
        <v>45792</v>
      </c>
      <c r="U110" s="27">
        <v>45792</v>
      </c>
      <c r="V110" s="27"/>
      <c r="W110" s="27"/>
      <c r="X110" s="27">
        <v>45813</v>
      </c>
      <c r="Y110" s="14" t="s">
        <v>99</v>
      </c>
      <c r="Z110" s="40" t="str">
        <f>IF(STAT[[#This Row],[sigla]]="","",VLOOKUP(STAT[[#This Row],[sigla]],CRÉDITOS_GERAIS[[sigla]:[credito]],2,))</f>
        <v>Débora Mini</v>
      </c>
      <c r="AA110" s="14" t="s">
        <v>90</v>
      </c>
      <c r="AB110" s="14" t="str">
        <f>STAT[[#This Row],[ilustrador]]</f>
        <v>Débora Mini</v>
      </c>
      <c r="AC110" s="14">
        <v>14</v>
      </c>
      <c r="AD110" s="22" t="s">
        <v>298</v>
      </c>
      <c r="AE110" s="14" t="s">
        <v>46</v>
      </c>
      <c r="AF110" s="42" t="str">
        <f t="shared" si="1"/>
        <v>P007</v>
      </c>
    </row>
    <row r="111" spans="1:32" ht="72" hidden="1" x14ac:dyDescent="0.3">
      <c r="A111" s="12" t="e" cm="1">
        <f t="array" aca="1" ref="A111" ca="1">IF(STAT[[#This Row],[retranca]]="","",       RegxFunc(STAT[[#This Row],[retranca]],  "\w\d{4}\w*_\d")     )</f>
        <v>#NAME?</v>
      </c>
      <c r="B111" s="32" t="s">
        <v>301</v>
      </c>
      <c r="C111" s="14" t="s">
        <v>72</v>
      </c>
      <c r="D111" s="14" t="s">
        <v>9</v>
      </c>
      <c r="E111" s="14" t="s">
        <v>10</v>
      </c>
      <c r="F111" s="14">
        <v>1</v>
      </c>
      <c r="G111" s="14">
        <v>4</v>
      </c>
      <c r="H111" s="14">
        <v>0</v>
      </c>
      <c r="I111" s="14" t="s">
        <v>296</v>
      </c>
      <c r="J111" s="28" t="s">
        <v>55</v>
      </c>
      <c r="K111" s="36"/>
      <c r="L111" s="14"/>
      <c r="M111" s="14"/>
      <c r="N111" s="14"/>
      <c r="O111" s="14"/>
      <c r="P111" s="25" t="s">
        <v>302</v>
      </c>
      <c r="Q111" s="22"/>
      <c r="R111" s="22"/>
      <c r="S111" s="14">
        <v>5</v>
      </c>
      <c r="T111" s="27">
        <v>45792</v>
      </c>
      <c r="U111" s="27">
        <v>45792</v>
      </c>
      <c r="V111" s="27"/>
      <c r="W111" s="27"/>
      <c r="X111" s="27">
        <v>45807</v>
      </c>
      <c r="Y111" s="14" t="s">
        <v>109</v>
      </c>
      <c r="Z111" s="40" t="str">
        <f>IF(STAT[[#This Row],[sigla]]="","",VLOOKUP(STAT[[#This Row],[sigla]],CRÉDITOS_GERAIS[[sigla]:[credito]],2,))</f>
        <v>Clarice Baracho</v>
      </c>
      <c r="AA111" s="14" t="s">
        <v>44</v>
      </c>
      <c r="AB111" s="14" t="str">
        <f>STAT[[#This Row],[ilustrador]]</f>
        <v>Clarice Baracho</v>
      </c>
      <c r="AC111" s="14">
        <v>14</v>
      </c>
      <c r="AD111" s="22" t="s">
        <v>303</v>
      </c>
      <c r="AE111" s="14" t="s">
        <v>46</v>
      </c>
      <c r="AF111" s="42" t="str">
        <f t="shared" si="1"/>
        <v>P007</v>
      </c>
    </row>
    <row r="112" spans="1:32" ht="72" hidden="1" x14ac:dyDescent="0.3">
      <c r="A112" s="12" t="e" cm="1">
        <f t="array" aca="1" ref="A112" ca="1">IF(STAT[[#This Row],[retranca]]="","",       RegxFunc(STAT[[#This Row],[retranca]],  "\w\d{4}\w*_\d")     )</f>
        <v>#NAME?</v>
      </c>
      <c r="B112" s="32" t="s">
        <v>304</v>
      </c>
      <c r="C112" s="14" t="s">
        <v>72</v>
      </c>
      <c r="D112" s="14" t="s">
        <v>9</v>
      </c>
      <c r="E112" s="14" t="s">
        <v>10</v>
      </c>
      <c r="F112" s="14">
        <v>1</v>
      </c>
      <c r="G112" s="14">
        <v>4</v>
      </c>
      <c r="H112" s="14">
        <v>0</v>
      </c>
      <c r="I112" s="14" t="s">
        <v>296</v>
      </c>
      <c r="J112" s="28" t="s">
        <v>55</v>
      </c>
      <c r="K112" s="36"/>
      <c r="L112" s="14"/>
      <c r="M112" s="14"/>
      <c r="N112" s="14"/>
      <c r="O112" s="14"/>
      <c r="P112" s="25" t="s">
        <v>305</v>
      </c>
      <c r="Q112" s="22"/>
      <c r="R112" s="22"/>
      <c r="S112" s="14">
        <v>5</v>
      </c>
      <c r="T112" s="27">
        <v>45792</v>
      </c>
      <c r="U112" s="27">
        <v>45792</v>
      </c>
      <c r="V112" s="27"/>
      <c r="W112" s="27"/>
      <c r="X112" s="27">
        <v>45807</v>
      </c>
      <c r="Y112" s="14" t="s">
        <v>109</v>
      </c>
      <c r="Z112" s="40" t="str">
        <f>IF(STAT[[#This Row],[sigla]]="","",VLOOKUP(STAT[[#This Row],[sigla]],CRÉDITOS_GERAIS[[sigla]:[credito]],2,))</f>
        <v>Clarice Baracho</v>
      </c>
      <c r="AA112" s="14" t="s">
        <v>44</v>
      </c>
      <c r="AB112" s="14" t="str">
        <f>STAT[[#This Row],[ilustrador]]</f>
        <v>Clarice Baracho</v>
      </c>
      <c r="AC112" s="14">
        <v>14</v>
      </c>
      <c r="AD112" s="22" t="s">
        <v>303</v>
      </c>
      <c r="AE112" s="14" t="s">
        <v>46</v>
      </c>
      <c r="AF112" s="42" t="str">
        <f t="shared" si="1"/>
        <v>P007</v>
      </c>
    </row>
    <row r="113" spans="1:32" ht="72" hidden="1" x14ac:dyDescent="0.3">
      <c r="A113" s="12" t="e" cm="1">
        <f t="array" aca="1" ref="A113" ca="1">IF(STAT[[#This Row],[retranca]]="","",       RegxFunc(STAT[[#This Row],[retranca]],  "\w\d{4}\w*_\d")     )</f>
        <v>#NAME?</v>
      </c>
      <c r="B113" s="32" t="s">
        <v>306</v>
      </c>
      <c r="C113" s="14" t="s">
        <v>72</v>
      </c>
      <c r="D113" s="14" t="s">
        <v>9</v>
      </c>
      <c r="E113" s="14" t="s">
        <v>10</v>
      </c>
      <c r="F113" s="14">
        <v>1</v>
      </c>
      <c r="G113" s="14">
        <v>4</v>
      </c>
      <c r="H113" s="14">
        <v>0</v>
      </c>
      <c r="I113" s="14" t="s">
        <v>296</v>
      </c>
      <c r="J113" s="28" t="s">
        <v>55</v>
      </c>
      <c r="K113" s="36"/>
      <c r="L113" s="14"/>
      <c r="M113" s="14"/>
      <c r="N113" s="14"/>
      <c r="O113" s="14"/>
      <c r="P113" s="25" t="s">
        <v>307</v>
      </c>
      <c r="Q113" s="22"/>
      <c r="R113" s="22"/>
      <c r="S113" s="14">
        <v>5</v>
      </c>
      <c r="T113" s="27">
        <v>45792</v>
      </c>
      <c r="U113" s="27">
        <v>45792</v>
      </c>
      <c r="V113" s="27"/>
      <c r="W113" s="27"/>
      <c r="X113" s="27">
        <v>45807</v>
      </c>
      <c r="Y113" s="14" t="s">
        <v>109</v>
      </c>
      <c r="Z113" s="40" t="str">
        <f>IF(STAT[[#This Row],[sigla]]="","",VLOOKUP(STAT[[#This Row],[sigla]],CRÉDITOS_GERAIS[[sigla]:[credito]],2,))</f>
        <v>Clarice Baracho</v>
      </c>
      <c r="AA113" s="14" t="s">
        <v>44</v>
      </c>
      <c r="AB113" s="14" t="str">
        <f>STAT[[#This Row],[ilustrador]]</f>
        <v>Clarice Baracho</v>
      </c>
      <c r="AC113" s="14">
        <v>14</v>
      </c>
      <c r="AD113" s="22" t="s">
        <v>303</v>
      </c>
      <c r="AE113" s="14" t="s">
        <v>46</v>
      </c>
      <c r="AF113" s="42" t="str">
        <f t="shared" si="1"/>
        <v>P007</v>
      </c>
    </row>
    <row r="114" spans="1:32" ht="72" hidden="1" x14ac:dyDescent="0.3">
      <c r="A114" s="12" t="e" cm="1">
        <f t="array" aca="1" ref="A114" ca="1">IF(STAT[[#This Row],[retranca]]="","",       RegxFunc(STAT[[#This Row],[retranca]],  "\w\d{4}\w*_\d")     )</f>
        <v>#NAME?</v>
      </c>
      <c r="B114" s="32" t="s">
        <v>308</v>
      </c>
      <c r="C114" s="14" t="s">
        <v>72</v>
      </c>
      <c r="D114" s="14" t="s">
        <v>9</v>
      </c>
      <c r="E114" s="14" t="s">
        <v>10</v>
      </c>
      <c r="F114" s="14">
        <v>1</v>
      </c>
      <c r="G114" s="14">
        <v>4</v>
      </c>
      <c r="H114" s="14">
        <v>0</v>
      </c>
      <c r="I114" s="14" t="s">
        <v>296</v>
      </c>
      <c r="J114" s="28" t="s">
        <v>55</v>
      </c>
      <c r="K114" s="36"/>
      <c r="L114" s="14"/>
      <c r="M114" s="14"/>
      <c r="N114" s="14"/>
      <c r="O114" s="14"/>
      <c r="P114" s="25" t="s">
        <v>309</v>
      </c>
      <c r="Q114" s="22"/>
      <c r="R114" s="22"/>
      <c r="S114" s="14">
        <v>5</v>
      </c>
      <c r="T114" s="27">
        <v>45792</v>
      </c>
      <c r="U114" s="27">
        <v>45792</v>
      </c>
      <c r="V114" s="27"/>
      <c r="W114" s="27"/>
      <c r="X114" s="27">
        <v>45807</v>
      </c>
      <c r="Y114" s="14" t="s">
        <v>109</v>
      </c>
      <c r="Z114" s="40" t="str">
        <f>IF(STAT[[#This Row],[sigla]]="","",VLOOKUP(STAT[[#This Row],[sigla]],CRÉDITOS_GERAIS[[sigla]:[credito]],2,))</f>
        <v>Clarice Baracho</v>
      </c>
      <c r="AA114" s="14" t="s">
        <v>44</v>
      </c>
      <c r="AB114" s="14" t="str">
        <f>STAT[[#This Row],[ilustrador]]</f>
        <v>Clarice Baracho</v>
      </c>
      <c r="AC114" s="14">
        <v>14</v>
      </c>
      <c r="AD114" s="22" t="s">
        <v>303</v>
      </c>
      <c r="AE114" s="14" t="s">
        <v>46</v>
      </c>
      <c r="AF114" s="42" t="str">
        <f t="shared" si="1"/>
        <v>P007</v>
      </c>
    </row>
    <row r="115" spans="1:32" ht="57.6" hidden="1" x14ac:dyDescent="0.3">
      <c r="A115" s="12" t="e" cm="1">
        <f t="array" aca="1" ref="A115" ca="1">IF(STAT[[#This Row],[retranca]]="","",       RegxFunc(STAT[[#This Row],[retranca]],  "\w\d{4}\w*_\d")     )</f>
        <v>#NAME?</v>
      </c>
      <c r="B115" s="32" t="s">
        <v>310</v>
      </c>
      <c r="C115" s="14" t="s">
        <v>72</v>
      </c>
      <c r="D115" s="14" t="s">
        <v>9</v>
      </c>
      <c r="E115" s="14" t="s">
        <v>10</v>
      </c>
      <c r="F115" s="14">
        <v>1</v>
      </c>
      <c r="G115" s="14">
        <v>4</v>
      </c>
      <c r="H115" s="14">
        <v>0</v>
      </c>
      <c r="I115" s="14" t="s">
        <v>296</v>
      </c>
      <c r="J115" s="28" t="s">
        <v>55</v>
      </c>
      <c r="K115" s="36"/>
      <c r="L115" s="14"/>
      <c r="M115" s="14"/>
      <c r="N115" s="14"/>
      <c r="O115" s="14"/>
      <c r="P115" s="25" t="s">
        <v>311</v>
      </c>
      <c r="Q115" s="22"/>
      <c r="R115" s="22"/>
      <c r="S115" s="14">
        <v>5</v>
      </c>
      <c r="T115" s="27">
        <v>45792</v>
      </c>
      <c r="U115" s="27">
        <v>45800</v>
      </c>
      <c r="V115" s="27">
        <v>45807</v>
      </c>
      <c r="W115" s="27">
        <v>45810</v>
      </c>
      <c r="X115" s="27">
        <v>45813</v>
      </c>
      <c r="Y115" s="14" t="s">
        <v>99</v>
      </c>
      <c r="Z115" s="40" t="str">
        <f>IF(STAT[[#This Row],[sigla]]="","",VLOOKUP(STAT[[#This Row],[sigla]],CRÉDITOS_GERAIS[[sigla]:[credito]],2,))</f>
        <v>Débora Mini</v>
      </c>
      <c r="AA115" s="14"/>
      <c r="AB115" s="14" t="str">
        <f>STAT[[#This Row],[ilustrador]]</f>
        <v>Débora Mini</v>
      </c>
      <c r="AC115" s="14">
        <v>5</v>
      </c>
      <c r="AD115" s="22" t="s">
        <v>216</v>
      </c>
      <c r="AE115" s="14" t="s">
        <v>87</v>
      </c>
      <c r="AF115" s="42" t="str">
        <f t="shared" si="1"/>
        <v>P007</v>
      </c>
    </row>
    <row r="116" spans="1:32" ht="43.2" hidden="1" x14ac:dyDescent="0.3">
      <c r="A116" s="12" t="e" cm="1">
        <f t="array" aca="1" ref="A116" ca="1">IF(STAT[[#This Row],[retranca]]="","",       RegxFunc(STAT[[#This Row],[retranca]],  "\w\d{4}\w*_\d")     )</f>
        <v>#NAME?</v>
      </c>
      <c r="B116" s="32" t="s">
        <v>312</v>
      </c>
      <c r="C116" s="14" t="s">
        <v>72</v>
      </c>
      <c r="D116" s="14" t="s">
        <v>9</v>
      </c>
      <c r="E116" s="14" t="s">
        <v>10</v>
      </c>
      <c r="F116" s="14">
        <v>1</v>
      </c>
      <c r="G116" s="14">
        <v>4</v>
      </c>
      <c r="H116" s="14">
        <v>0</v>
      </c>
      <c r="I116" s="14" t="s">
        <v>296</v>
      </c>
      <c r="J116" s="28" t="s">
        <v>55</v>
      </c>
      <c r="K116" s="36"/>
      <c r="L116" s="14"/>
      <c r="M116" s="14"/>
      <c r="N116" s="14"/>
      <c r="O116" s="14"/>
      <c r="P116" s="25" t="s">
        <v>313</v>
      </c>
      <c r="Q116" s="22"/>
      <c r="R116" s="22"/>
      <c r="S116" s="14">
        <v>5</v>
      </c>
      <c r="T116" s="27">
        <v>45792</v>
      </c>
      <c r="U116" s="27">
        <v>45800</v>
      </c>
      <c r="V116" s="27">
        <v>45807</v>
      </c>
      <c r="W116" s="27">
        <v>45810</v>
      </c>
      <c r="X116" s="27">
        <v>45813</v>
      </c>
      <c r="Y116" s="14" t="s">
        <v>99</v>
      </c>
      <c r="Z116" s="40" t="str">
        <f>IF(STAT[[#This Row],[sigla]]="","",VLOOKUP(STAT[[#This Row],[sigla]],CRÉDITOS_GERAIS[[sigla]:[credito]],2,))</f>
        <v>Débora Mini</v>
      </c>
      <c r="AA116" s="14"/>
      <c r="AB116" s="14" t="str">
        <f>STAT[[#This Row],[ilustrador]]</f>
        <v>Débora Mini</v>
      </c>
      <c r="AC116" s="14">
        <v>5</v>
      </c>
      <c r="AD116" s="22" t="s">
        <v>216</v>
      </c>
      <c r="AE116" s="14" t="s">
        <v>87</v>
      </c>
      <c r="AF116" s="42" t="str">
        <f t="shared" si="1"/>
        <v>P007</v>
      </c>
    </row>
    <row r="117" spans="1:32" ht="43.2" hidden="1" x14ac:dyDescent="0.3">
      <c r="A117" s="12" t="e" cm="1">
        <f t="array" aca="1" ref="A117" ca="1">IF(STAT[[#This Row],[retranca]]="","",       RegxFunc(STAT[[#This Row],[retranca]],  "\w\d{4}\w*_\d")     )</f>
        <v>#NAME?</v>
      </c>
      <c r="B117" s="32" t="s">
        <v>314</v>
      </c>
      <c r="C117" s="14" t="s">
        <v>72</v>
      </c>
      <c r="D117" s="14" t="s">
        <v>9</v>
      </c>
      <c r="E117" s="14" t="s">
        <v>10</v>
      </c>
      <c r="F117" s="14">
        <v>1</v>
      </c>
      <c r="G117" s="14">
        <v>4</v>
      </c>
      <c r="H117" s="14">
        <v>0</v>
      </c>
      <c r="I117" s="14" t="s">
        <v>296</v>
      </c>
      <c r="J117" s="28" t="s">
        <v>55</v>
      </c>
      <c r="K117" s="36"/>
      <c r="L117" s="14"/>
      <c r="M117" s="14"/>
      <c r="N117" s="14"/>
      <c r="O117" s="14"/>
      <c r="P117" s="25" t="s">
        <v>315</v>
      </c>
      <c r="Q117" s="22"/>
      <c r="R117" s="22"/>
      <c r="S117" s="14">
        <v>5</v>
      </c>
      <c r="T117" s="27">
        <v>45792</v>
      </c>
      <c r="U117" s="27">
        <v>45800</v>
      </c>
      <c r="V117" s="27">
        <v>45807</v>
      </c>
      <c r="W117" s="27">
        <v>45810</v>
      </c>
      <c r="X117" s="27">
        <v>45813</v>
      </c>
      <c r="Y117" s="14" t="s">
        <v>99</v>
      </c>
      <c r="Z117" s="40" t="str">
        <f>IF(STAT[[#This Row],[sigla]]="","",VLOOKUP(STAT[[#This Row],[sigla]],CRÉDITOS_GERAIS[[sigla]:[credito]],2,))</f>
        <v>Débora Mini</v>
      </c>
      <c r="AA117" s="14"/>
      <c r="AB117" s="14" t="str">
        <f>STAT[[#This Row],[ilustrador]]</f>
        <v>Débora Mini</v>
      </c>
      <c r="AC117" s="14">
        <v>5</v>
      </c>
      <c r="AD117" s="22" t="s">
        <v>216</v>
      </c>
      <c r="AE117" s="14" t="s">
        <v>87</v>
      </c>
      <c r="AF117" s="42" t="str">
        <f t="shared" si="1"/>
        <v>P007</v>
      </c>
    </row>
    <row r="118" spans="1:32" hidden="1" x14ac:dyDescent="0.3">
      <c r="A118" s="12" t="e" cm="1">
        <f t="array" aca="1" ref="A118" ca="1">IF(STAT[[#This Row],[retranca]]="","",       RegxFunc(STAT[[#This Row],[retranca]],  "\w\d{4}\w*_\d")     )</f>
        <v>#NAME?</v>
      </c>
      <c r="B118" s="32" t="s">
        <v>316</v>
      </c>
      <c r="C118" s="14" t="s">
        <v>72</v>
      </c>
      <c r="D118" s="14" t="s">
        <v>9</v>
      </c>
      <c r="E118" s="14" t="s">
        <v>10</v>
      </c>
      <c r="F118" s="14">
        <v>51</v>
      </c>
      <c r="G118" s="14">
        <v>2</v>
      </c>
      <c r="H118" s="14">
        <v>4</v>
      </c>
      <c r="I118" s="14">
        <v>4</v>
      </c>
      <c r="J118" s="28" t="s">
        <v>55</v>
      </c>
      <c r="K118" s="36"/>
      <c r="L118" s="14"/>
      <c r="M118" s="14"/>
      <c r="N118" s="14"/>
      <c r="O118" s="14"/>
      <c r="P118" s="25" t="s">
        <v>317</v>
      </c>
      <c r="Q118" s="22"/>
      <c r="R118" s="22"/>
      <c r="S118" s="14">
        <v>6</v>
      </c>
      <c r="T118" s="27">
        <v>45797</v>
      </c>
      <c r="U118" s="27">
        <v>45799</v>
      </c>
      <c r="V118" s="27">
        <v>45805</v>
      </c>
      <c r="W118" s="27">
        <v>45807</v>
      </c>
      <c r="X118" s="27">
        <v>45807</v>
      </c>
      <c r="Y118" s="14" t="s">
        <v>119</v>
      </c>
      <c r="Z118" s="40" t="str">
        <f>IF(STAT[[#This Row],[sigla]]="","",VLOOKUP(STAT[[#This Row],[sigla]],CRÉDITOS_GERAIS[[sigla]:[credito]],2,))</f>
        <v>Bianca Tavares</v>
      </c>
      <c r="AA118" s="14"/>
      <c r="AB118" s="14" t="str">
        <f>STAT[[#This Row],[ilustrador]]</f>
        <v>Bianca Tavares</v>
      </c>
      <c r="AC118" s="14">
        <v>8</v>
      </c>
      <c r="AD118" s="22" t="s">
        <v>232</v>
      </c>
      <c r="AE118" s="14" t="s">
        <v>87</v>
      </c>
      <c r="AF118" s="42" t="str">
        <f t="shared" si="1"/>
        <v>P007</v>
      </c>
    </row>
    <row r="119" spans="1:32" hidden="1" x14ac:dyDescent="0.3">
      <c r="A119" s="12" t="e" cm="1">
        <f t="array" aca="1" ref="A119" ca="1">IF(STAT[[#This Row],[retranca]]="","",       RegxFunc(STAT[[#This Row],[retranca]],  "\w\d{4}\w*_\d")     )</f>
        <v>#NAME?</v>
      </c>
      <c r="B119" s="32" t="s">
        <v>318</v>
      </c>
      <c r="C119" s="14" t="s">
        <v>72</v>
      </c>
      <c r="D119" s="14" t="s">
        <v>9</v>
      </c>
      <c r="E119" s="14" t="s">
        <v>10</v>
      </c>
      <c r="F119" s="14">
        <v>51</v>
      </c>
      <c r="G119" s="14">
        <v>2</v>
      </c>
      <c r="H119" s="14">
        <v>4</v>
      </c>
      <c r="I119" s="14">
        <v>4</v>
      </c>
      <c r="J119" s="28" t="s">
        <v>55</v>
      </c>
      <c r="K119" s="36"/>
      <c r="L119" s="14"/>
      <c r="M119" s="14"/>
      <c r="N119" s="14"/>
      <c r="O119" s="14"/>
      <c r="P119" s="25" t="s">
        <v>317</v>
      </c>
      <c r="Q119" s="22"/>
      <c r="R119" s="22"/>
      <c r="S119" s="14">
        <v>6</v>
      </c>
      <c r="T119" s="27">
        <v>45797</v>
      </c>
      <c r="U119" s="27">
        <v>45799</v>
      </c>
      <c r="V119" s="27">
        <v>45805</v>
      </c>
      <c r="W119" s="27">
        <v>45807</v>
      </c>
      <c r="X119" s="27">
        <v>45807</v>
      </c>
      <c r="Y119" s="14" t="s">
        <v>119</v>
      </c>
      <c r="Z119" s="40" t="str">
        <f>IF(STAT[[#This Row],[sigla]]="","",VLOOKUP(STAT[[#This Row],[sigla]],CRÉDITOS_GERAIS[[sigla]:[credito]],2,))</f>
        <v>Bianca Tavares</v>
      </c>
      <c r="AA119" s="14"/>
      <c r="AB119" s="14" t="str">
        <f>STAT[[#This Row],[ilustrador]]</f>
        <v>Bianca Tavares</v>
      </c>
      <c r="AC119" s="14">
        <v>8</v>
      </c>
      <c r="AD119" s="22" t="s">
        <v>232</v>
      </c>
      <c r="AE119" s="14" t="s">
        <v>87</v>
      </c>
      <c r="AF119" s="42" t="str">
        <f t="shared" si="1"/>
        <v>P007</v>
      </c>
    </row>
    <row r="120" spans="1:32" hidden="1" x14ac:dyDescent="0.3">
      <c r="A120" s="12" t="e" cm="1">
        <f t="array" aca="1" ref="A120" ca="1">IF(STAT[[#This Row],[retranca]]="","",       RegxFunc(STAT[[#This Row],[retranca]],  "\w\d{4}\w*_\d")     )</f>
        <v>#NAME?</v>
      </c>
      <c r="B120" s="32" t="s">
        <v>319</v>
      </c>
      <c r="C120" s="14" t="s">
        <v>72</v>
      </c>
      <c r="D120" s="14" t="s">
        <v>9</v>
      </c>
      <c r="E120" s="14" t="s">
        <v>10</v>
      </c>
      <c r="F120" s="14">
        <v>51</v>
      </c>
      <c r="G120" s="14">
        <v>2</v>
      </c>
      <c r="H120" s="14">
        <v>4</v>
      </c>
      <c r="I120" s="14">
        <v>4</v>
      </c>
      <c r="J120" s="28" t="s">
        <v>55</v>
      </c>
      <c r="K120" s="36"/>
      <c r="L120" s="14"/>
      <c r="M120" s="14"/>
      <c r="N120" s="14"/>
      <c r="O120" s="14"/>
      <c r="P120" s="25" t="s">
        <v>317</v>
      </c>
      <c r="Q120" s="22"/>
      <c r="R120" s="22"/>
      <c r="S120" s="14">
        <v>6</v>
      </c>
      <c r="T120" s="27">
        <v>45797</v>
      </c>
      <c r="U120" s="27">
        <v>45799</v>
      </c>
      <c r="V120" s="27">
        <v>45805</v>
      </c>
      <c r="W120" s="27">
        <v>45807</v>
      </c>
      <c r="X120" s="27">
        <v>45807</v>
      </c>
      <c r="Y120" s="14" t="s">
        <v>119</v>
      </c>
      <c r="Z120" s="40" t="str">
        <f>IF(STAT[[#This Row],[sigla]]="","",VLOOKUP(STAT[[#This Row],[sigla]],CRÉDITOS_GERAIS[[sigla]:[credito]],2,))</f>
        <v>Bianca Tavares</v>
      </c>
      <c r="AA120" s="14"/>
      <c r="AB120" s="14" t="str">
        <f>STAT[[#This Row],[ilustrador]]</f>
        <v>Bianca Tavares</v>
      </c>
      <c r="AC120" s="14">
        <v>8</v>
      </c>
      <c r="AD120" s="22" t="s">
        <v>232</v>
      </c>
      <c r="AE120" s="14" t="s">
        <v>87</v>
      </c>
      <c r="AF120" s="42" t="str">
        <f t="shared" si="1"/>
        <v>P007</v>
      </c>
    </row>
    <row r="121" spans="1:32" hidden="1" x14ac:dyDescent="0.3">
      <c r="A121" s="12" t="e" cm="1">
        <f t="array" aca="1" ref="A121" ca="1">IF(STAT[[#This Row],[retranca]]="","",       RegxFunc(STAT[[#This Row],[retranca]],  "\w\d{4}\w*_\d")     )</f>
        <v>#NAME?</v>
      </c>
      <c r="B121" s="32" t="s">
        <v>320</v>
      </c>
      <c r="C121" s="14" t="s">
        <v>72</v>
      </c>
      <c r="D121" s="14" t="s">
        <v>9</v>
      </c>
      <c r="E121" s="14" t="s">
        <v>10</v>
      </c>
      <c r="F121" s="14">
        <v>51</v>
      </c>
      <c r="G121" s="14">
        <v>2</v>
      </c>
      <c r="H121" s="14">
        <v>4</v>
      </c>
      <c r="I121" s="14">
        <v>4</v>
      </c>
      <c r="J121" s="28" t="s">
        <v>55</v>
      </c>
      <c r="K121" s="36"/>
      <c r="L121" s="14"/>
      <c r="M121" s="14"/>
      <c r="N121" s="14"/>
      <c r="O121" s="14"/>
      <c r="P121" s="25" t="s">
        <v>317</v>
      </c>
      <c r="Q121" s="22"/>
      <c r="R121" s="22"/>
      <c r="S121" s="14">
        <v>6</v>
      </c>
      <c r="T121" s="27">
        <v>45797</v>
      </c>
      <c r="U121" s="27">
        <v>45799</v>
      </c>
      <c r="V121" s="27">
        <v>45805</v>
      </c>
      <c r="W121" s="27">
        <v>45807</v>
      </c>
      <c r="X121" s="27">
        <v>45807</v>
      </c>
      <c r="Y121" s="14" t="s">
        <v>119</v>
      </c>
      <c r="Z121" s="40" t="str">
        <f>IF(STAT[[#This Row],[sigla]]="","",VLOOKUP(STAT[[#This Row],[sigla]],CRÉDITOS_GERAIS[[sigla]:[credito]],2,))</f>
        <v>Bianca Tavares</v>
      </c>
      <c r="AA121" s="14"/>
      <c r="AB121" s="14" t="str">
        <f>STAT[[#This Row],[ilustrador]]</f>
        <v>Bianca Tavares</v>
      </c>
      <c r="AC121" s="14">
        <v>8</v>
      </c>
      <c r="AD121" s="22" t="s">
        <v>232</v>
      </c>
      <c r="AE121" s="14" t="s">
        <v>87</v>
      </c>
      <c r="AF121" s="42" t="str">
        <f t="shared" si="1"/>
        <v>P007</v>
      </c>
    </row>
    <row r="122" spans="1:32" hidden="1" x14ac:dyDescent="0.3">
      <c r="A122" s="12" t="e" cm="1">
        <f t="array" aca="1" ref="A122" ca="1">IF(STAT[[#This Row],[retranca]]="","",       RegxFunc(STAT[[#This Row],[retranca]],  "\w\d{4}\w*_\d")     )</f>
        <v>#NAME?</v>
      </c>
      <c r="B122" s="32" t="s">
        <v>321</v>
      </c>
      <c r="C122" s="14" t="s">
        <v>72</v>
      </c>
      <c r="D122" s="14" t="s">
        <v>9</v>
      </c>
      <c r="E122" s="14" t="s">
        <v>10</v>
      </c>
      <c r="F122" s="14">
        <v>51</v>
      </c>
      <c r="G122" s="14">
        <v>2</v>
      </c>
      <c r="H122" s="14">
        <v>4</v>
      </c>
      <c r="I122" s="14">
        <v>4</v>
      </c>
      <c r="J122" s="28" t="s">
        <v>55</v>
      </c>
      <c r="K122" s="36"/>
      <c r="L122" s="14"/>
      <c r="M122" s="14"/>
      <c r="N122" s="14"/>
      <c r="O122" s="14"/>
      <c r="P122" s="25" t="s">
        <v>322</v>
      </c>
      <c r="Q122" s="22"/>
      <c r="R122" s="22"/>
      <c r="S122" s="14">
        <v>6</v>
      </c>
      <c r="T122" s="27">
        <v>45797</v>
      </c>
      <c r="U122" s="27">
        <v>45799</v>
      </c>
      <c r="V122" s="27">
        <v>45805</v>
      </c>
      <c r="W122" s="27">
        <v>45807</v>
      </c>
      <c r="X122" s="27">
        <v>45807</v>
      </c>
      <c r="Y122" s="14" t="s">
        <v>119</v>
      </c>
      <c r="Z122" s="40" t="str">
        <f>IF(STAT[[#This Row],[sigla]]="","",VLOOKUP(STAT[[#This Row],[sigla]],CRÉDITOS_GERAIS[[sigla]:[credito]],2,))</f>
        <v>Bianca Tavares</v>
      </c>
      <c r="AA122" s="14"/>
      <c r="AB122" s="14" t="str">
        <f>STAT[[#This Row],[ilustrador]]</f>
        <v>Bianca Tavares</v>
      </c>
      <c r="AC122" s="14">
        <v>8</v>
      </c>
      <c r="AD122" s="22" t="s">
        <v>232</v>
      </c>
      <c r="AE122" s="14" t="s">
        <v>87</v>
      </c>
      <c r="AF122" s="42" t="str">
        <f t="shared" si="1"/>
        <v>P007</v>
      </c>
    </row>
    <row r="123" spans="1:32" ht="172.8" hidden="1" x14ac:dyDescent="0.3">
      <c r="A123" s="12" t="e" cm="1">
        <f t="array" aca="1" ref="A123" ca="1">IF(STAT[[#This Row],[retranca]]="","",       RegxFunc(STAT[[#This Row],[retranca]],  "\w\d{4}\w*_\d")     )</f>
        <v>#NAME?</v>
      </c>
      <c r="B123" s="32" t="s">
        <v>323</v>
      </c>
      <c r="C123" s="14" t="s">
        <v>72</v>
      </c>
      <c r="D123" s="14" t="s">
        <v>9</v>
      </c>
      <c r="E123" s="14" t="s">
        <v>10</v>
      </c>
      <c r="F123" s="14">
        <v>52</v>
      </c>
      <c r="G123" s="14">
        <v>2</v>
      </c>
      <c r="H123" s="14">
        <v>4</v>
      </c>
      <c r="I123" s="14">
        <v>4</v>
      </c>
      <c r="J123" s="28" t="s">
        <v>55</v>
      </c>
      <c r="K123" s="36"/>
      <c r="L123" s="14"/>
      <c r="M123" s="14"/>
      <c r="N123" s="14"/>
      <c r="O123" s="14"/>
      <c r="P123" s="25" t="s">
        <v>324</v>
      </c>
      <c r="Q123" s="22"/>
      <c r="R123" s="22"/>
      <c r="S123" s="14">
        <v>6</v>
      </c>
      <c r="T123" s="27">
        <v>45797</v>
      </c>
      <c r="U123" s="27">
        <v>45799</v>
      </c>
      <c r="V123" s="27">
        <v>45807</v>
      </c>
      <c r="W123" s="27">
        <v>45811</v>
      </c>
      <c r="X123" s="27">
        <v>45813</v>
      </c>
      <c r="Y123" s="14" t="s">
        <v>84</v>
      </c>
      <c r="Z123" s="40" t="str">
        <f>IF(STAT[[#This Row],[sigla]]="","",VLOOKUP(STAT[[#This Row],[sigla]],CRÉDITOS_GERAIS[[sigla]:[credito]],2,))</f>
        <v>Gabriel Brum</v>
      </c>
      <c r="AA123" s="14"/>
      <c r="AB123" s="14" t="str">
        <f>STAT[[#This Row],[ilustrador]]</f>
        <v>Gabriel Brum</v>
      </c>
      <c r="AC123" s="14">
        <v>3</v>
      </c>
      <c r="AD123" s="22" t="s">
        <v>216</v>
      </c>
      <c r="AE123" s="14" t="s">
        <v>87</v>
      </c>
      <c r="AF123" s="42" t="str">
        <f t="shared" si="1"/>
        <v>P007</v>
      </c>
    </row>
    <row r="124" spans="1:32" ht="28.8" hidden="1" x14ac:dyDescent="0.3">
      <c r="A124" s="12" t="e" cm="1">
        <f t="array" aca="1" ref="A124" ca="1">IF(STAT[[#This Row],[retranca]]="","",       RegxFunc(STAT[[#This Row],[retranca]],  "\w\d{4}\w*_\d")     )</f>
        <v>#NAME?</v>
      </c>
      <c r="B124" s="32" t="s">
        <v>325</v>
      </c>
      <c r="C124" s="14" t="s">
        <v>72</v>
      </c>
      <c r="D124" s="14" t="s">
        <v>143</v>
      </c>
      <c r="E124" s="14" t="s">
        <v>10</v>
      </c>
      <c r="F124" s="14">
        <v>52</v>
      </c>
      <c r="G124" s="14">
        <v>2</v>
      </c>
      <c r="H124" s="14">
        <v>4</v>
      </c>
      <c r="I124" s="14">
        <v>4</v>
      </c>
      <c r="J124" s="28" t="s">
        <v>55</v>
      </c>
      <c r="K124" s="36"/>
      <c r="L124" s="14"/>
      <c r="M124" s="14"/>
      <c r="N124" s="14"/>
      <c r="O124" s="14"/>
      <c r="P124" s="25" t="s">
        <v>326</v>
      </c>
      <c r="Q124" s="22"/>
      <c r="R124" s="22"/>
      <c r="S124" s="14">
        <v>6</v>
      </c>
      <c r="T124" s="27">
        <v>45797</v>
      </c>
      <c r="U124" s="27">
        <v>45799</v>
      </c>
      <c r="V124" s="27">
        <v>45807</v>
      </c>
      <c r="W124" s="27">
        <v>45811</v>
      </c>
      <c r="X124" s="27">
        <v>45813</v>
      </c>
      <c r="Y124" s="14" t="s">
        <v>84</v>
      </c>
      <c r="Z124" s="40" t="str">
        <f>IF(STAT[[#This Row],[sigla]]="","",VLOOKUP(STAT[[#This Row],[sigla]],CRÉDITOS_GERAIS[[sigla]:[credito]],2,))</f>
        <v>Gabriel Brum</v>
      </c>
      <c r="AA124" s="14"/>
      <c r="AB124" s="14" t="str">
        <f>STAT[[#This Row],[ilustrador]]</f>
        <v>Gabriel Brum</v>
      </c>
      <c r="AC124" s="14">
        <v>8</v>
      </c>
      <c r="AD124" s="22" t="s">
        <v>216</v>
      </c>
      <c r="AE124" s="14" t="s">
        <v>87</v>
      </c>
      <c r="AF124" s="42" t="str">
        <f t="shared" si="1"/>
        <v>P007</v>
      </c>
    </row>
    <row r="125" spans="1:32" ht="28.8" hidden="1" x14ac:dyDescent="0.3">
      <c r="A125" s="12" t="e" cm="1">
        <f t="array" aca="1" ref="A125" ca="1">IF(STAT[[#This Row],[retranca]]="","",       RegxFunc(STAT[[#This Row],[retranca]],  "\w\d{4}\w*_\d")     )</f>
        <v>#NAME?</v>
      </c>
      <c r="B125" s="32" t="s">
        <v>327</v>
      </c>
      <c r="C125" s="14" t="s">
        <v>72</v>
      </c>
      <c r="D125" s="14" t="s">
        <v>9</v>
      </c>
      <c r="E125" s="14" t="s">
        <v>10</v>
      </c>
      <c r="F125" s="14">
        <v>54</v>
      </c>
      <c r="G125" s="14">
        <v>2</v>
      </c>
      <c r="H125" s="14">
        <v>4</v>
      </c>
      <c r="I125" s="14">
        <v>4</v>
      </c>
      <c r="J125" s="28" t="s">
        <v>55</v>
      </c>
      <c r="K125" s="36"/>
      <c r="L125" s="14"/>
      <c r="M125" s="14"/>
      <c r="N125" s="14"/>
      <c r="O125" s="14"/>
      <c r="P125" s="25" t="s">
        <v>328</v>
      </c>
      <c r="Q125" s="22"/>
      <c r="R125" s="22"/>
      <c r="S125" s="14">
        <v>6</v>
      </c>
      <c r="T125" s="27">
        <v>45797</v>
      </c>
      <c r="U125" s="27">
        <v>45799</v>
      </c>
      <c r="V125" s="27">
        <v>45807</v>
      </c>
      <c r="W125" s="27">
        <v>45811</v>
      </c>
      <c r="X125" s="27">
        <v>45813</v>
      </c>
      <c r="Y125" s="14" t="s">
        <v>84</v>
      </c>
      <c r="Z125" s="40" t="str">
        <f>IF(STAT[[#This Row],[sigla]]="","",VLOOKUP(STAT[[#This Row],[sigla]],CRÉDITOS_GERAIS[[sigla]:[credito]],2,))</f>
        <v>Gabriel Brum</v>
      </c>
      <c r="AA125" s="14"/>
      <c r="AB125" s="14" t="str">
        <f>STAT[[#This Row],[ilustrador]]</f>
        <v>Gabriel Brum</v>
      </c>
      <c r="AC125" s="14">
        <v>6</v>
      </c>
      <c r="AD125" s="22" t="s">
        <v>216</v>
      </c>
      <c r="AE125" s="14" t="s">
        <v>87</v>
      </c>
      <c r="AF125" s="42" t="str">
        <f t="shared" si="1"/>
        <v>P007</v>
      </c>
    </row>
    <row r="126" spans="1:32" ht="28.8" hidden="1" x14ac:dyDescent="0.3">
      <c r="A126" s="12" t="e" cm="1">
        <f t="array" aca="1" ref="A126" ca="1">IF(STAT[[#This Row],[retranca]]="","",       RegxFunc(STAT[[#This Row],[retranca]],  "\w\d{4}\w*_\d")     )</f>
        <v>#NAME?</v>
      </c>
      <c r="B126" s="32" t="s">
        <v>329</v>
      </c>
      <c r="C126" s="14" t="s">
        <v>72</v>
      </c>
      <c r="D126" s="14" t="s">
        <v>9</v>
      </c>
      <c r="E126" s="14" t="s">
        <v>10</v>
      </c>
      <c r="F126" s="14">
        <v>54</v>
      </c>
      <c r="G126" s="14">
        <v>2</v>
      </c>
      <c r="H126" s="14">
        <v>4</v>
      </c>
      <c r="I126" s="14">
        <v>4</v>
      </c>
      <c r="J126" s="28" t="s">
        <v>55</v>
      </c>
      <c r="K126" s="36"/>
      <c r="L126" s="14"/>
      <c r="M126" s="14"/>
      <c r="N126" s="14"/>
      <c r="O126" s="14"/>
      <c r="P126" s="25" t="s">
        <v>330</v>
      </c>
      <c r="Q126" s="22"/>
      <c r="R126" s="22"/>
      <c r="S126" s="14">
        <v>6</v>
      </c>
      <c r="T126" s="27">
        <v>45797</v>
      </c>
      <c r="U126" s="27">
        <v>45799</v>
      </c>
      <c r="V126" s="27">
        <v>45807</v>
      </c>
      <c r="W126" s="27">
        <v>45811</v>
      </c>
      <c r="X126" s="27">
        <v>45813</v>
      </c>
      <c r="Y126" s="14" t="s">
        <v>84</v>
      </c>
      <c r="Z126" s="40" t="str">
        <f>IF(STAT[[#This Row],[sigla]]="","",VLOOKUP(STAT[[#This Row],[sigla]],CRÉDITOS_GERAIS[[sigla]:[credito]],2,))</f>
        <v>Gabriel Brum</v>
      </c>
      <c r="AA126" s="14"/>
      <c r="AB126" s="14" t="str">
        <f>STAT[[#This Row],[ilustrador]]</f>
        <v>Gabriel Brum</v>
      </c>
      <c r="AC126" s="14">
        <v>6</v>
      </c>
      <c r="AD126" s="22" t="s">
        <v>216</v>
      </c>
      <c r="AE126" s="14" t="s">
        <v>87</v>
      </c>
      <c r="AF126" s="42" t="str">
        <f t="shared" si="1"/>
        <v>P007</v>
      </c>
    </row>
    <row r="127" spans="1:32" ht="43.2" hidden="1" x14ac:dyDescent="0.3">
      <c r="A127" s="12" t="e" cm="1">
        <f t="array" aca="1" ref="A127" ca="1">IF(STAT[[#This Row],[retranca]]="","",       RegxFunc(STAT[[#This Row],[retranca]],  "\w\d{4}\w*_\d")     )</f>
        <v>#NAME?</v>
      </c>
      <c r="B127" s="32" t="s">
        <v>331</v>
      </c>
      <c r="C127" s="14" t="s">
        <v>72</v>
      </c>
      <c r="D127" s="14" t="s">
        <v>9</v>
      </c>
      <c r="E127" s="14" t="s">
        <v>10</v>
      </c>
      <c r="F127" s="14">
        <v>54</v>
      </c>
      <c r="G127" s="14">
        <v>2</v>
      </c>
      <c r="H127" s="14">
        <v>4</v>
      </c>
      <c r="I127" s="14">
        <v>4</v>
      </c>
      <c r="J127" s="28" t="s">
        <v>55</v>
      </c>
      <c r="K127" s="36"/>
      <c r="L127" s="14"/>
      <c r="M127" s="14"/>
      <c r="N127" s="14"/>
      <c r="O127" s="14"/>
      <c r="P127" s="25" t="s">
        <v>332</v>
      </c>
      <c r="Q127" s="22"/>
      <c r="R127" s="22"/>
      <c r="S127" s="14">
        <v>6</v>
      </c>
      <c r="T127" s="27">
        <v>45797</v>
      </c>
      <c r="U127" s="27">
        <v>45799</v>
      </c>
      <c r="V127" s="27">
        <v>45807</v>
      </c>
      <c r="W127" s="27">
        <v>45811</v>
      </c>
      <c r="X127" s="27">
        <v>45813</v>
      </c>
      <c r="Y127" s="14" t="s">
        <v>84</v>
      </c>
      <c r="Z127" s="40" t="str">
        <f>IF(STAT[[#This Row],[sigla]]="","",VLOOKUP(STAT[[#This Row],[sigla]],CRÉDITOS_GERAIS[[sigla]:[credito]],2,))</f>
        <v>Gabriel Brum</v>
      </c>
      <c r="AA127" s="14"/>
      <c r="AB127" s="14" t="str">
        <f>STAT[[#This Row],[ilustrador]]</f>
        <v>Gabriel Brum</v>
      </c>
      <c r="AC127" s="14">
        <v>6</v>
      </c>
      <c r="AD127" s="22" t="s">
        <v>216</v>
      </c>
      <c r="AE127" s="14" t="s">
        <v>87</v>
      </c>
      <c r="AF127" s="42" t="str">
        <f t="shared" si="1"/>
        <v>P007</v>
      </c>
    </row>
    <row r="128" spans="1:32" ht="43.2" hidden="1" x14ac:dyDescent="0.3">
      <c r="A128" s="12" t="e" cm="1">
        <f t="array" aca="1" ref="A128" ca="1">IF(STAT[[#This Row],[retranca]]="","",       RegxFunc(STAT[[#This Row],[retranca]],  "\w\d{4}\w*_\d")     )</f>
        <v>#NAME?</v>
      </c>
      <c r="B128" s="32" t="s">
        <v>333</v>
      </c>
      <c r="C128" s="14" t="s">
        <v>72</v>
      </c>
      <c r="D128" s="14" t="s">
        <v>9</v>
      </c>
      <c r="E128" s="14" t="s">
        <v>10</v>
      </c>
      <c r="F128" s="14">
        <v>54</v>
      </c>
      <c r="G128" s="14">
        <v>2</v>
      </c>
      <c r="H128" s="14">
        <v>4</v>
      </c>
      <c r="I128" s="14">
        <v>4</v>
      </c>
      <c r="J128" s="28" t="s">
        <v>55</v>
      </c>
      <c r="K128" s="36"/>
      <c r="L128" s="14"/>
      <c r="M128" s="14"/>
      <c r="N128" s="14"/>
      <c r="O128" s="14"/>
      <c r="P128" s="25" t="s">
        <v>334</v>
      </c>
      <c r="Q128" s="22"/>
      <c r="R128" s="22"/>
      <c r="S128" s="14">
        <v>6</v>
      </c>
      <c r="T128" s="27">
        <v>45797</v>
      </c>
      <c r="U128" s="27">
        <v>45799</v>
      </c>
      <c r="V128" s="27">
        <v>45807</v>
      </c>
      <c r="W128" s="27">
        <v>45811</v>
      </c>
      <c r="X128" s="27">
        <v>45813</v>
      </c>
      <c r="Y128" s="14" t="s">
        <v>84</v>
      </c>
      <c r="Z128" s="40" t="str">
        <f>IF(STAT[[#This Row],[sigla]]="","",VLOOKUP(STAT[[#This Row],[sigla]],CRÉDITOS_GERAIS[[sigla]:[credito]],2,))</f>
        <v>Gabriel Brum</v>
      </c>
      <c r="AA128" s="14"/>
      <c r="AB128" s="14" t="str">
        <f>STAT[[#This Row],[ilustrador]]</f>
        <v>Gabriel Brum</v>
      </c>
      <c r="AC128" s="14">
        <v>6</v>
      </c>
      <c r="AD128" s="22" t="s">
        <v>216</v>
      </c>
      <c r="AE128" s="14" t="s">
        <v>87</v>
      </c>
      <c r="AF128" s="42" t="str">
        <f t="shared" si="1"/>
        <v>P007</v>
      </c>
    </row>
    <row r="129" spans="1:32" ht="28.8" hidden="1" x14ac:dyDescent="0.3">
      <c r="A129" s="12" t="e" cm="1">
        <f t="array" aca="1" ref="A129" ca="1">IF(STAT[[#This Row],[retranca]]="","",       RegxFunc(STAT[[#This Row],[retranca]],  "\w\d{4}\w*_\d")     )</f>
        <v>#NAME?</v>
      </c>
      <c r="B129" s="32" t="s">
        <v>335</v>
      </c>
      <c r="C129" s="14" t="s">
        <v>72</v>
      </c>
      <c r="D129" s="14" t="s">
        <v>9</v>
      </c>
      <c r="E129" s="14" t="s">
        <v>10</v>
      </c>
      <c r="F129" s="14">
        <v>54</v>
      </c>
      <c r="G129" s="14">
        <v>2</v>
      </c>
      <c r="H129" s="14">
        <v>4</v>
      </c>
      <c r="I129" s="14">
        <v>4</v>
      </c>
      <c r="J129" s="28" t="s">
        <v>55</v>
      </c>
      <c r="K129" s="36"/>
      <c r="L129" s="14"/>
      <c r="M129" s="14"/>
      <c r="N129" s="14"/>
      <c r="O129" s="14"/>
      <c r="P129" s="25" t="s">
        <v>336</v>
      </c>
      <c r="Q129" s="22"/>
      <c r="R129" s="22"/>
      <c r="S129" s="14">
        <v>6</v>
      </c>
      <c r="T129" s="27">
        <v>45797</v>
      </c>
      <c r="U129" s="27">
        <v>45799</v>
      </c>
      <c r="V129" s="27">
        <v>45807</v>
      </c>
      <c r="W129" s="27">
        <v>45811</v>
      </c>
      <c r="X129" s="27">
        <v>45813</v>
      </c>
      <c r="Y129" s="14" t="s">
        <v>84</v>
      </c>
      <c r="Z129" s="40" t="str">
        <f>IF(STAT[[#This Row],[sigla]]="","",VLOOKUP(STAT[[#This Row],[sigla]],CRÉDITOS_GERAIS[[sigla]:[credito]],2,))</f>
        <v>Gabriel Brum</v>
      </c>
      <c r="AA129" s="14"/>
      <c r="AB129" s="14" t="str">
        <f>STAT[[#This Row],[ilustrador]]</f>
        <v>Gabriel Brum</v>
      </c>
      <c r="AC129" s="14">
        <v>6</v>
      </c>
      <c r="AD129" s="22" t="s">
        <v>216</v>
      </c>
      <c r="AE129" s="14" t="s">
        <v>87</v>
      </c>
      <c r="AF129" s="42" t="str">
        <f t="shared" si="1"/>
        <v>P007</v>
      </c>
    </row>
    <row r="130" spans="1:32" ht="86.4" hidden="1" x14ac:dyDescent="0.3">
      <c r="A130" s="12" t="e" cm="1">
        <f t="array" aca="1" ref="A130" ca="1">IF(STAT[[#This Row],[retranca]]="","",       RegxFunc(STAT[[#This Row],[retranca]],  "\w\d{4}\w*_\d")     )</f>
        <v>#NAME?</v>
      </c>
      <c r="B130" s="32" t="s">
        <v>337</v>
      </c>
      <c r="C130" s="14" t="s">
        <v>72</v>
      </c>
      <c r="D130" s="14" t="s">
        <v>9</v>
      </c>
      <c r="E130" s="14" t="s">
        <v>10</v>
      </c>
      <c r="F130" s="14">
        <v>55</v>
      </c>
      <c r="G130" s="14">
        <v>2</v>
      </c>
      <c r="H130" s="14">
        <v>4</v>
      </c>
      <c r="I130" s="14">
        <v>4</v>
      </c>
      <c r="J130" s="28" t="s">
        <v>55</v>
      </c>
      <c r="K130" s="36"/>
      <c r="L130" s="14"/>
      <c r="M130" s="14"/>
      <c r="N130" s="14"/>
      <c r="O130" s="14"/>
      <c r="P130" s="25" t="s">
        <v>338</v>
      </c>
      <c r="Q130" s="22"/>
      <c r="R130" s="22"/>
      <c r="S130" s="14">
        <v>6</v>
      </c>
      <c r="T130" s="27">
        <v>45797</v>
      </c>
      <c r="U130" s="27">
        <v>45799</v>
      </c>
      <c r="V130" s="27">
        <v>45807</v>
      </c>
      <c r="W130" s="27">
        <v>45811</v>
      </c>
      <c r="X130" s="27">
        <v>45813</v>
      </c>
      <c r="Y130" s="14" t="s">
        <v>84</v>
      </c>
      <c r="Z130" s="40" t="str">
        <f>IF(STAT[[#This Row],[sigla]]="","",VLOOKUP(STAT[[#This Row],[sigla]],CRÉDITOS_GERAIS[[sigla]:[credito]],2,))</f>
        <v>Gabriel Brum</v>
      </c>
      <c r="AA130" s="14"/>
      <c r="AB130" s="14" t="str">
        <f>STAT[[#This Row],[ilustrador]]</f>
        <v>Gabriel Brum</v>
      </c>
      <c r="AC130" s="14">
        <v>1</v>
      </c>
      <c r="AD130" s="22" t="s">
        <v>216</v>
      </c>
      <c r="AE130" s="14" t="s">
        <v>87</v>
      </c>
      <c r="AF130" s="42" t="str">
        <f t="shared" ref="AF130:AF193" si="2">"P007"</f>
        <v>P007</v>
      </c>
    </row>
    <row r="131" spans="1:32" ht="28.8" hidden="1" x14ac:dyDescent="0.3">
      <c r="A131" s="12" t="e" cm="1">
        <f t="array" aca="1" ref="A131" ca="1">IF(STAT[[#This Row],[retranca]]="","",       RegxFunc(STAT[[#This Row],[retranca]],  "\w\d{4}\w*_\d")     )</f>
        <v>#NAME?</v>
      </c>
      <c r="B131" s="32" t="s">
        <v>339</v>
      </c>
      <c r="C131" s="14" t="s">
        <v>72</v>
      </c>
      <c r="D131" s="14" t="s">
        <v>9</v>
      </c>
      <c r="E131" s="14" t="s">
        <v>10</v>
      </c>
      <c r="F131" s="14">
        <v>59</v>
      </c>
      <c r="G131" s="14">
        <v>2</v>
      </c>
      <c r="H131" s="14">
        <v>4</v>
      </c>
      <c r="I131" s="14">
        <v>4</v>
      </c>
      <c r="J131" s="28" t="s">
        <v>55</v>
      </c>
      <c r="K131" s="36"/>
      <c r="L131" s="14"/>
      <c r="M131" s="14"/>
      <c r="N131" s="14"/>
      <c r="O131" s="14"/>
      <c r="P131" s="25" t="s">
        <v>340</v>
      </c>
      <c r="Q131" s="22"/>
      <c r="R131" s="22"/>
      <c r="S131" s="14">
        <v>6</v>
      </c>
      <c r="T131" s="27">
        <v>45797</v>
      </c>
      <c r="U131" s="27">
        <v>45799</v>
      </c>
      <c r="V131" s="27">
        <v>45807</v>
      </c>
      <c r="W131" s="27">
        <v>45811</v>
      </c>
      <c r="X131" s="27">
        <v>45813</v>
      </c>
      <c r="Y131" s="14" t="s">
        <v>84</v>
      </c>
      <c r="Z131" s="40" t="str">
        <f>IF(STAT[[#This Row],[sigla]]="","",VLOOKUP(STAT[[#This Row],[sigla]],CRÉDITOS_GERAIS[[sigla]:[credito]],2,))</f>
        <v>Gabriel Brum</v>
      </c>
      <c r="AA131" s="14"/>
      <c r="AB131" s="14" t="str">
        <f>STAT[[#This Row],[ilustrador]]</f>
        <v>Gabriel Brum</v>
      </c>
      <c r="AC131" s="14">
        <v>6</v>
      </c>
      <c r="AD131" s="22" t="s">
        <v>216</v>
      </c>
      <c r="AE131" s="14" t="s">
        <v>87</v>
      </c>
      <c r="AF131" s="42" t="str">
        <f t="shared" si="2"/>
        <v>P007</v>
      </c>
    </row>
    <row r="132" spans="1:32" ht="43.2" hidden="1" x14ac:dyDescent="0.3">
      <c r="A132" s="12" t="e" cm="1">
        <f t="array" aca="1" ref="A132" ca="1">IF(STAT[[#This Row],[retranca]]="","",       RegxFunc(STAT[[#This Row],[retranca]],  "\w\d{4}\w*_\d")     )</f>
        <v>#NAME?</v>
      </c>
      <c r="B132" s="32" t="s">
        <v>341</v>
      </c>
      <c r="C132" s="14" t="s">
        <v>72</v>
      </c>
      <c r="D132" s="14" t="s">
        <v>9</v>
      </c>
      <c r="E132" s="14" t="s">
        <v>10</v>
      </c>
      <c r="F132" s="14">
        <v>59</v>
      </c>
      <c r="G132" s="14">
        <v>2</v>
      </c>
      <c r="H132" s="14">
        <v>4</v>
      </c>
      <c r="I132" s="14">
        <v>4</v>
      </c>
      <c r="J132" s="28" t="s">
        <v>55</v>
      </c>
      <c r="K132" s="36"/>
      <c r="L132" s="14"/>
      <c r="M132" s="14"/>
      <c r="N132" s="14"/>
      <c r="O132" s="14"/>
      <c r="P132" s="25" t="s">
        <v>342</v>
      </c>
      <c r="Q132" s="22"/>
      <c r="R132" s="22"/>
      <c r="S132" s="14">
        <v>6</v>
      </c>
      <c r="T132" s="27">
        <v>45797</v>
      </c>
      <c r="U132" s="27">
        <v>45799</v>
      </c>
      <c r="V132" s="27">
        <v>45807</v>
      </c>
      <c r="W132" s="27">
        <v>45811</v>
      </c>
      <c r="X132" s="27">
        <v>45813</v>
      </c>
      <c r="Y132" s="14" t="s">
        <v>84</v>
      </c>
      <c r="Z132" s="40" t="str">
        <f>IF(STAT[[#This Row],[sigla]]="","",VLOOKUP(STAT[[#This Row],[sigla]],CRÉDITOS_GERAIS[[sigla]:[credito]],2,))</f>
        <v>Gabriel Brum</v>
      </c>
      <c r="AA132" s="14"/>
      <c r="AB132" s="14" t="str">
        <f>STAT[[#This Row],[ilustrador]]</f>
        <v>Gabriel Brum</v>
      </c>
      <c r="AC132" s="14">
        <v>6</v>
      </c>
      <c r="AD132" s="22" t="s">
        <v>216</v>
      </c>
      <c r="AE132" s="14" t="s">
        <v>87</v>
      </c>
      <c r="AF132" s="42" t="str">
        <f t="shared" si="2"/>
        <v>P007</v>
      </c>
    </row>
    <row r="133" spans="1:32" ht="43.2" hidden="1" x14ac:dyDescent="0.3">
      <c r="A133" s="12" t="e" cm="1">
        <f t="array" aca="1" ref="A133" ca="1">IF(STAT[[#This Row],[retranca]]="","",       RegxFunc(STAT[[#This Row],[retranca]],  "\w\d{4}\w*_\d")     )</f>
        <v>#NAME?</v>
      </c>
      <c r="B133" s="32" t="s">
        <v>343</v>
      </c>
      <c r="C133" s="14" t="s">
        <v>72</v>
      </c>
      <c r="D133" s="14" t="s">
        <v>9</v>
      </c>
      <c r="E133" s="14" t="s">
        <v>10</v>
      </c>
      <c r="F133" s="14">
        <v>59</v>
      </c>
      <c r="G133" s="14">
        <v>2</v>
      </c>
      <c r="H133" s="14">
        <v>4</v>
      </c>
      <c r="I133" s="14">
        <v>4</v>
      </c>
      <c r="J133" s="28" t="s">
        <v>55</v>
      </c>
      <c r="K133" s="36"/>
      <c r="L133" s="14"/>
      <c r="M133" s="14"/>
      <c r="N133" s="14"/>
      <c r="O133" s="14"/>
      <c r="P133" s="25" t="s">
        <v>344</v>
      </c>
      <c r="Q133" s="22"/>
      <c r="R133" s="22"/>
      <c r="S133" s="14">
        <v>6</v>
      </c>
      <c r="T133" s="27">
        <v>45797</v>
      </c>
      <c r="U133" s="27">
        <v>45799</v>
      </c>
      <c r="V133" s="27">
        <v>45807</v>
      </c>
      <c r="W133" s="27">
        <v>45811</v>
      </c>
      <c r="X133" s="27">
        <v>45813</v>
      </c>
      <c r="Y133" s="14" t="s">
        <v>84</v>
      </c>
      <c r="Z133" s="40" t="str">
        <f>IF(STAT[[#This Row],[sigla]]="","",VLOOKUP(STAT[[#This Row],[sigla]],CRÉDITOS_GERAIS[[sigla]:[credito]],2,))</f>
        <v>Gabriel Brum</v>
      </c>
      <c r="AA133" s="14"/>
      <c r="AB133" s="14" t="str">
        <f>STAT[[#This Row],[ilustrador]]</f>
        <v>Gabriel Brum</v>
      </c>
      <c r="AC133" s="14">
        <v>6</v>
      </c>
      <c r="AD133" s="22" t="s">
        <v>216</v>
      </c>
      <c r="AE133" s="14" t="s">
        <v>87</v>
      </c>
      <c r="AF133" s="42" t="str">
        <f t="shared" si="2"/>
        <v>P007</v>
      </c>
    </row>
    <row r="134" spans="1:32" hidden="1" x14ac:dyDescent="0.3">
      <c r="A134" s="12" t="e" cm="1">
        <f t="array" aca="1" ref="A134" ca="1">IF(STAT[[#This Row],[retranca]]="","",       RegxFunc(STAT[[#This Row],[retranca]],  "\w\d{4}\w*_\d")     )</f>
        <v>#NAME?</v>
      </c>
      <c r="B134" s="32" t="s">
        <v>345</v>
      </c>
      <c r="C134" s="14" t="s">
        <v>72</v>
      </c>
      <c r="D134" s="14" t="s">
        <v>9</v>
      </c>
      <c r="E134" s="14" t="s">
        <v>10</v>
      </c>
      <c r="F134" s="14">
        <v>61</v>
      </c>
      <c r="G134" s="14">
        <v>2</v>
      </c>
      <c r="H134" s="14">
        <v>4</v>
      </c>
      <c r="I134" s="14">
        <v>4</v>
      </c>
      <c r="J134" s="28" t="s">
        <v>55</v>
      </c>
      <c r="K134" s="36"/>
      <c r="L134" s="14"/>
      <c r="M134" s="14"/>
      <c r="N134" s="14"/>
      <c r="O134" s="14"/>
      <c r="P134" s="25" t="s">
        <v>346</v>
      </c>
      <c r="Q134" s="22"/>
      <c r="R134" s="25"/>
      <c r="S134" s="14">
        <v>67</v>
      </c>
      <c r="T134" s="27">
        <v>45877</v>
      </c>
      <c r="U134" s="27">
        <v>45878</v>
      </c>
      <c r="V134" s="27">
        <v>45880</v>
      </c>
      <c r="W134" s="27">
        <v>45881</v>
      </c>
      <c r="X134" s="27">
        <v>45883</v>
      </c>
      <c r="Y134" s="14" t="s">
        <v>94</v>
      </c>
      <c r="Z134" s="40" t="str">
        <f>IF(STAT[[#This Row],[sigla]]="","",VLOOKUP(STAT[[#This Row],[sigla]],CRÉDITOS_GERAIS[[sigla]:[credito]],2,))</f>
        <v>Thais Castro</v>
      </c>
      <c r="AA134" s="14"/>
      <c r="AB134" s="14" t="str">
        <f>STAT[[#This Row],[ilustrador]]</f>
        <v>Thais Castro</v>
      </c>
      <c r="AC134" s="14">
        <v>3</v>
      </c>
      <c r="AD134" s="22" t="s">
        <v>347</v>
      </c>
      <c r="AE134" s="14" t="s">
        <v>87</v>
      </c>
      <c r="AF134" s="42" t="str">
        <f t="shared" si="2"/>
        <v>P007</v>
      </c>
    </row>
    <row r="135" spans="1:32" ht="43.2" hidden="1" x14ac:dyDescent="0.3">
      <c r="A135" s="12" t="e" cm="1">
        <f t="array" aca="1" ref="A135" ca="1">IF(STAT[[#This Row],[retranca]]="","",       RegxFunc(STAT[[#This Row],[retranca]],  "\w\d{4}\w*_\d")     )</f>
        <v>#NAME?</v>
      </c>
      <c r="B135" s="21" t="s">
        <v>348</v>
      </c>
      <c r="C135" s="14" t="s">
        <v>8</v>
      </c>
      <c r="D135" s="14" t="s">
        <v>9</v>
      </c>
      <c r="E135" s="14" t="s">
        <v>10</v>
      </c>
      <c r="F135" s="14">
        <v>61</v>
      </c>
      <c r="G135" s="14">
        <v>2</v>
      </c>
      <c r="H135" s="14">
        <v>4</v>
      </c>
      <c r="I135" s="14">
        <v>4</v>
      </c>
      <c r="J135" s="28" t="s">
        <v>55</v>
      </c>
      <c r="K135" s="36"/>
      <c r="L135" s="14"/>
      <c r="M135" s="14"/>
      <c r="N135" s="14"/>
      <c r="O135" s="14"/>
      <c r="P135" s="25" t="s">
        <v>349</v>
      </c>
      <c r="Q135" s="21"/>
      <c r="R135" s="25" t="s">
        <v>350</v>
      </c>
      <c r="S135" s="14"/>
      <c r="T135" s="27"/>
      <c r="U135" s="27"/>
      <c r="V135" s="27"/>
      <c r="W135" s="27"/>
      <c r="X135" s="27"/>
      <c r="Y135" s="14"/>
      <c r="Z135" s="40" t="str">
        <f>IF(STAT[[#This Row],[sigla]]="","",VLOOKUP(STAT[[#This Row],[sigla]],CRÉDITOS_GERAIS[[sigla]:[credito]],2,))</f>
        <v/>
      </c>
      <c r="AA135" s="14"/>
      <c r="AB135" s="14" t="str">
        <f>STAT[[#This Row],[ilustrador]]</f>
        <v/>
      </c>
      <c r="AC135" s="14"/>
      <c r="AD135" s="22"/>
      <c r="AE135" s="15"/>
      <c r="AF135" s="42" t="str">
        <f t="shared" si="2"/>
        <v>P007</v>
      </c>
    </row>
    <row r="136" spans="1:32" ht="43.2" hidden="1" x14ac:dyDescent="0.3">
      <c r="A136" s="12" t="e" cm="1">
        <f t="array" aca="1" ref="A136" ca="1">IF(STAT[[#This Row],[retranca]]="","",       RegxFunc(STAT[[#This Row],[retranca]],  "\w\d{4}\w*_\d")     )</f>
        <v>#NAME?</v>
      </c>
      <c r="B136" s="21" t="s">
        <v>351</v>
      </c>
      <c r="C136" s="14" t="s">
        <v>8</v>
      </c>
      <c r="D136" s="14" t="s">
        <v>9</v>
      </c>
      <c r="E136" s="14" t="s">
        <v>10</v>
      </c>
      <c r="F136" s="14">
        <v>61</v>
      </c>
      <c r="G136" s="14">
        <v>2</v>
      </c>
      <c r="H136" s="14">
        <v>4</v>
      </c>
      <c r="I136" s="14">
        <v>4</v>
      </c>
      <c r="J136" s="28" t="s">
        <v>55</v>
      </c>
      <c r="K136" s="36"/>
      <c r="L136" s="14"/>
      <c r="M136" s="14"/>
      <c r="N136" s="14"/>
      <c r="O136" s="14"/>
      <c r="P136" s="25" t="s">
        <v>352</v>
      </c>
      <c r="Q136" s="21"/>
      <c r="R136" s="25" t="s">
        <v>350</v>
      </c>
      <c r="S136" s="14"/>
      <c r="T136" s="27"/>
      <c r="U136" s="27"/>
      <c r="V136" s="27"/>
      <c r="W136" s="27"/>
      <c r="X136" s="27"/>
      <c r="Y136" s="14"/>
      <c r="Z136" s="40" t="str">
        <f>IF(STAT[[#This Row],[sigla]]="","",VLOOKUP(STAT[[#This Row],[sigla]],CRÉDITOS_GERAIS[[sigla]:[credito]],2,))</f>
        <v/>
      </c>
      <c r="AA136" s="14"/>
      <c r="AB136" s="14" t="str">
        <f>STAT[[#This Row],[ilustrador]]</f>
        <v/>
      </c>
      <c r="AC136" s="14"/>
      <c r="AD136" s="22"/>
      <c r="AE136" s="15"/>
      <c r="AF136" s="42" t="str">
        <f t="shared" si="2"/>
        <v>P007</v>
      </c>
    </row>
    <row r="137" spans="1:32" ht="43.2" hidden="1" x14ac:dyDescent="0.3">
      <c r="A137" s="12" t="e" cm="1">
        <f t="array" aca="1" ref="A137" ca="1">IF(STAT[[#This Row],[retranca]]="","",       RegxFunc(STAT[[#This Row],[retranca]],  "\w\d{4}\w*_\d")     )</f>
        <v>#NAME?</v>
      </c>
      <c r="B137" s="21" t="s">
        <v>353</v>
      </c>
      <c r="C137" s="14" t="s">
        <v>8</v>
      </c>
      <c r="D137" s="14" t="s">
        <v>9</v>
      </c>
      <c r="E137" s="14" t="s">
        <v>10</v>
      </c>
      <c r="F137" s="14">
        <v>61</v>
      </c>
      <c r="G137" s="14">
        <v>2</v>
      </c>
      <c r="H137" s="14">
        <v>4</v>
      </c>
      <c r="I137" s="14">
        <v>4</v>
      </c>
      <c r="J137" s="28" t="s">
        <v>55</v>
      </c>
      <c r="K137" s="36"/>
      <c r="L137" s="14"/>
      <c r="M137" s="14"/>
      <c r="N137" s="14"/>
      <c r="O137" s="14"/>
      <c r="P137" s="25" t="s">
        <v>354</v>
      </c>
      <c r="Q137" s="21"/>
      <c r="R137" s="25" t="s">
        <v>350</v>
      </c>
      <c r="S137" s="14"/>
      <c r="T137" s="27"/>
      <c r="U137" s="27"/>
      <c r="V137" s="27"/>
      <c r="W137" s="27"/>
      <c r="X137" s="27"/>
      <c r="Y137" s="14"/>
      <c r="Z137" s="40" t="str">
        <f>IF(STAT[[#This Row],[sigla]]="","",VLOOKUP(STAT[[#This Row],[sigla]],CRÉDITOS_GERAIS[[sigla]:[credito]],2,))</f>
        <v/>
      </c>
      <c r="AA137" s="14"/>
      <c r="AB137" s="14" t="str">
        <f>STAT[[#This Row],[ilustrador]]</f>
        <v/>
      </c>
      <c r="AC137" s="14"/>
      <c r="AD137" s="22"/>
      <c r="AE137" s="15"/>
      <c r="AF137" s="42" t="str">
        <f t="shared" si="2"/>
        <v>P007</v>
      </c>
    </row>
    <row r="138" spans="1:32" ht="57.6" hidden="1" x14ac:dyDescent="0.3">
      <c r="A138" s="12" t="e" cm="1">
        <f t="array" aca="1" ref="A138" ca="1">IF(STAT[[#This Row],[retranca]]="","",       RegxFunc(STAT[[#This Row],[retranca]],  "\w\d{4}\w*_\d")     )</f>
        <v>#NAME?</v>
      </c>
      <c r="B138" s="21" t="s">
        <v>355</v>
      </c>
      <c r="C138" s="14" t="s">
        <v>72</v>
      </c>
      <c r="D138" s="14" t="s">
        <v>9</v>
      </c>
      <c r="E138" s="14" t="s">
        <v>10</v>
      </c>
      <c r="F138" s="14">
        <v>63</v>
      </c>
      <c r="G138" s="14">
        <v>2</v>
      </c>
      <c r="H138" s="14">
        <v>4</v>
      </c>
      <c r="I138" s="14">
        <v>4</v>
      </c>
      <c r="J138" s="28" t="s">
        <v>55</v>
      </c>
      <c r="K138" s="36"/>
      <c r="L138" s="14"/>
      <c r="M138" s="14"/>
      <c r="N138" s="14"/>
      <c r="O138" s="14"/>
      <c r="P138" s="25" t="s">
        <v>356</v>
      </c>
      <c r="Q138" s="21"/>
      <c r="R138" s="22"/>
      <c r="S138" s="14">
        <v>6</v>
      </c>
      <c r="T138" s="27">
        <v>45797</v>
      </c>
      <c r="U138" s="27">
        <v>45799</v>
      </c>
      <c r="V138" s="27">
        <v>45805</v>
      </c>
      <c r="W138" s="27">
        <v>45807</v>
      </c>
      <c r="X138" s="27">
        <v>45807</v>
      </c>
      <c r="Y138" s="14" t="s">
        <v>119</v>
      </c>
      <c r="Z138" s="40" t="str">
        <f>IF(STAT[[#This Row],[sigla]]="","",VLOOKUP(STAT[[#This Row],[sigla]],CRÉDITOS_GERAIS[[sigla]:[credito]],2,))</f>
        <v>Bianca Tavares</v>
      </c>
      <c r="AA138" s="14"/>
      <c r="AB138" s="14" t="str">
        <f>STAT[[#This Row],[ilustrador]]</f>
        <v>Bianca Tavares</v>
      </c>
      <c r="AC138" s="14">
        <v>6</v>
      </c>
      <c r="AD138" s="22" t="s">
        <v>232</v>
      </c>
      <c r="AE138" s="14" t="s">
        <v>87</v>
      </c>
      <c r="AF138" s="42" t="str">
        <f t="shared" si="2"/>
        <v>P007</v>
      </c>
    </row>
    <row r="139" spans="1:32" ht="121.5" hidden="1" customHeight="1" x14ac:dyDescent="0.3">
      <c r="A139" s="12" t="e" cm="1">
        <f t="array" aca="1" ref="A139" ca="1">IF(STAT[[#This Row],[retranca]]="","",       RegxFunc(STAT[[#This Row],[retranca]],  "\w\d{4}\w*_\d")     )</f>
        <v>#NAME?</v>
      </c>
      <c r="B139" s="21" t="s">
        <v>357</v>
      </c>
      <c r="C139" s="14" t="s">
        <v>8</v>
      </c>
      <c r="D139" s="14" t="s">
        <v>9</v>
      </c>
      <c r="E139" s="14" t="s">
        <v>10</v>
      </c>
      <c r="F139" s="24">
        <v>15</v>
      </c>
      <c r="G139" s="14">
        <v>5</v>
      </c>
      <c r="H139" s="14">
        <v>1</v>
      </c>
      <c r="I139" s="14">
        <v>1</v>
      </c>
      <c r="J139" s="28" t="s">
        <v>55</v>
      </c>
      <c r="K139" s="36"/>
      <c r="L139" s="14"/>
      <c r="M139" s="14"/>
      <c r="N139" s="14"/>
      <c r="O139" s="14"/>
      <c r="P139" s="25" t="s">
        <v>358</v>
      </c>
      <c r="Q139" s="21"/>
      <c r="R139" s="22"/>
      <c r="S139" s="14">
        <v>7</v>
      </c>
      <c r="T139" s="27">
        <v>45798</v>
      </c>
      <c r="U139" s="27"/>
      <c r="V139" s="27"/>
      <c r="W139" s="27"/>
      <c r="X139" s="27"/>
      <c r="Y139" s="14"/>
      <c r="Z139" s="40" t="str">
        <f>IF(STAT[[#This Row],[sigla]]="","",VLOOKUP(STAT[[#This Row],[sigla]],CRÉDITOS_GERAIS[[sigla]:[credito]],2,))</f>
        <v/>
      </c>
      <c r="AA139" s="14"/>
      <c r="AB139" s="14" t="str">
        <f>STAT[[#This Row],[ilustrador]]</f>
        <v/>
      </c>
      <c r="AC139" s="14"/>
      <c r="AD139" s="22"/>
      <c r="AE139" s="15"/>
      <c r="AF139" s="42" t="str">
        <f t="shared" si="2"/>
        <v>P007</v>
      </c>
    </row>
    <row r="140" spans="1:32" ht="28.8" hidden="1" x14ac:dyDescent="0.3">
      <c r="A140" s="12" t="e" cm="1">
        <f t="array" aca="1" ref="A140" ca="1">IF(STAT[[#This Row],[retranca]]="","",       RegxFunc(STAT[[#This Row],[retranca]],  "\w\d{4}\w*_\d")     )</f>
        <v>#NAME?</v>
      </c>
      <c r="B140" s="21" t="s">
        <v>359</v>
      </c>
      <c r="C140" s="14" t="s">
        <v>72</v>
      </c>
      <c r="D140" s="15" t="s">
        <v>288</v>
      </c>
      <c r="E140" s="14" t="s">
        <v>10</v>
      </c>
      <c r="F140" s="14">
        <v>16</v>
      </c>
      <c r="G140" s="15">
        <v>5</v>
      </c>
      <c r="H140" s="14">
        <v>1</v>
      </c>
      <c r="I140" s="14">
        <v>1</v>
      </c>
      <c r="J140" s="17" t="s">
        <v>55</v>
      </c>
      <c r="K140" s="36"/>
      <c r="L140" s="14"/>
      <c r="M140" s="14"/>
      <c r="N140" s="14"/>
      <c r="O140" s="14"/>
      <c r="P140" s="25" t="s">
        <v>360</v>
      </c>
      <c r="Q140" s="21"/>
      <c r="R140" s="22"/>
      <c r="S140" s="14">
        <v>7</v>
      </c>
      <c r="T140" s="27">
        <v>45798</v>
      </c>
      <c r="U140" s="27"/>
      <c r="V140" s="27"/>
      <c r="W140" s="27"/>
      <c r="X140" s="27">
        <v>45803</v>
      </c>
      <c r="Y140" s="14" t="s">
        <v>361</v>
      </c>
      <c r="Z140" s="40" t="str">
        <f>IF(STAT[[#This Row],[sigla]]="","",VLOOKUP(STAT[[#This Row],[sigla]],CRÉDITOS_GERAIS[[sigla]:[credito]],2,))</f>
        <v>Rebecca Baniski</v>
      </c>
      <c r="AA140" s="14"/>
      <c r="AB140" s="14" t="str">
        <f>STAT[[#This Row],[ilustrador]]</f>
        <v>Rebecca Baniski</v>
      </c>
      <c r="AC140" s="14"/>
      <c r="AD140" s="22"/>
      <c r="AE140" s="14" t="s">
        <v>46</v>
      </c>
      <c r="AF140" s="42" t="str">
        <f t="shared" si="2"/>
        <v>P007</v>
      </c>
    </row>
    <row r="141" spans="1:32" ht="28.8" hidden="1" x14ac:dyDescent="0.3">
      <c r="A141" s="12" t="e" cm="1">
        <f t="array" aca="1" ref="A141" ca="1">IF(STAT[[#This Row],[retranca]]="","",       RegxFunc(STAT[[#This Row],[retranca]],  "\w\d{4}\w*_\d")     )</f>
        <v>#NAME?</v>
      </c>
      <c r="B141" s="21" t="s">
        <v>362</v>
      </c>
      <c r="C141" s="14" t="s">
        <v>72</v>
      </c>
      <c r="D141" s="15" t="s">
        <v>9</v>
      </c>
      <c r="E141" s="14" t="s">
        <v>10</v>
      </c>
      <c r="F141" s="14">
        <v>22</v>
      </c>
      <c r="G141" s="15">
        <v>2</v>
      </c>
      <c r="H141" s="14">
        <v>2</v>
      </c>
      <c r="I141" s="15">
        <v>2</v>
      </c>
      <c r="J141" s="17" t="s">
        <v>55</v>
      </c>
      <c r="K141" s="36"/>
      <c r="L141" s="14"/>
      <c r="M141" s="14"/>
      <c r="N141" s="14"/>
      <c r="O141" s="14"/>
      <c r="P141" s="25" t="s">
        <v>363</v>
      </c>
      <c r="Q141" s="21"/>
      <c r="R141" s="22"/>
      <c r="S141" s="14">
        <v>9</v>
      </c>
      <c r="T141" s="27">
        <v>45807</v>
      </c>
      <c r="U141" s="27">
        <v>45807</v>
      </c>
      <c r="V141" s="27"/>
      <c r="W141" s="27"/>
      <c r="X141" s="27">
        <v>45811</v>
      </c>
      <c r="Y141" s="14" t="s">
        <v>145</v>
      </c>
      <c r="Z141" s="40" t="str">
        <f>IF(STAT[[#This Row],[sigla]]="","",VLOOKUP(STAT[[#This Row],[sigla]],CRÉDITOS_GERAIS[[sigla]:[credito]],2,))</f>
        <v>Rafaela Panissa</v>
      </c>
      <c r="AA141" s="14" t="s">
        <v>90</v>
      </c>
      <c r="AB141" s="14" t="str">
        <f>STAT[[#This Row],[ilustrador]]</f>
        <v>Rafaela Panissa</v>
      </c>
      <c r="AC141" s="14">
        <v>14</v>
      </c>
      <c r="AD141" s="22" t="s">
        <v>196</v>
      </c>
      <c r="AE141" s="14" t="s">
        <v>46</v>
      </c>
      <c r="AF141" s="42" t="str">
        <f t="shared" si="2"/>
        <v>P007</v>
      </c>
    </row>
    <row r="142" spans="1:32" ht="43.2" hidden="1" x14ac:dyDescent="0.3">
      <c r="A142" s="12" t="e" cm="1">
        <f t="array" aca="1" ref="A142" ca="1">IF(STAT[[#This Row],[retranca]]="","",       RegxFunc(STAT[[#This Row],[retranca]],  "\w\d{4}\w*_\d")     )</f>
        <v>#NAME?</v>
      </c>
      <c r="B142" s="21" t="s">
        <v>364</v>
      </c>
      <c r="C142" s="14" t="s">
        <v>72</v>
      </c>
      <c r="D142" s="15" t="s">
        <v>9</v>
      </c>
      <c r="E142" s="15" t="s">
        <v>10</v>
      </c>
      <c r="F142" s="14">
        <v>23</v>
      </c>
      <c r="G142" s="15">
        <v>2</v>
      </c>
      <c r="H142" s="14">
        <v>2</v>
      </c>
      <c r="I142" s="15">
        <v>2</v>
      </c>
      <c r="J142" s="17" t="s">
        <v>55</v>
      </c>
      <c r="K142" s="36"/>
      <c r="L142" s="14"/>
      <c r="M142" s="14"/>
      <c r="N142" s="14"/>
      <c r="O142" s="14"/>
      <c r="P142" s="25" t="s">
        <v>365</v>
      </c>
      <c r="Q142" s="21"/>
      <c r="R142" s="22"/>
      <c r="S142" s="14">
        <v>9</v>
      </c>
      <c r="T142" s="27">
        <v>45807</v>
      </c>
      <c r="U142" s="27">
        <v>45810</v>
      </c>
      <c r="V142" s="27">
        <v>45812</v>
      </c>
      <c r="W142" s="27">
        <v>45812</v>
      </c>
      <c r="X142" s="27">
        <v>45814</v>
      </c>
      <c r="Y142" s="14" t="s">
        <v>94</v>
      </c>
      <c r="Z142" s="40" t="str">
        <f>IF(STAT[[#This Row],[sigla]]="","",VLOOKUP(STAT[[#This Row],[sigla]],CRÉDITOS_GERAIS[[sigla]:[credito]],2,))</f>
        <v>Thais Castro</v>
      </c>
      <c r="AA142" s="14"/>
      <c r="AB142" s="14" t="str">
        <f>STAT[[#This Row],[ilustrador]]</f>
        <v>Thais Castro</v>
      </c>
      <c r="AC142" s="14">
        <v>5</v>
      </c>
      <c r="AD142" s="22" t="s">
        <v>366</v>
      </c>
      <c r="AE142" s="14" t="s">
        <v>87</v>
      </c>
      <c r="AF142" s="42" t="str">
        <f t="shared" si="2"/>
        <v>P007</v>
      </c>
    </row>
    <row r="143" spans="1:32" ht="57.6" hidden="1" x14ac:dyDescent="0.3">
      <c r="A143" s="12" t="e" cm="1">
        <f t="array" aca="1" ref="A143" ca="1">IF(STAT[[#This Row],[retranca]]="","",       RegxFunc(STAT[[#This Row],[retranca]],  "\w\d{4}\w*_\d")     )</f>
        <v>#NAME?</v>
      </c>
      <c r="B143" s="21" t="s">
        <v>367</v>
      </c>
      <c r="C143" s="14" t="s">
        <v>72</v>
      </c>
      <c r="D143" s="15" t="s">
        <v>9</v>
      </c>
      <c r="E143" s="15" t="s">
        <v>10</v>
      </c>
      <c r="F143" s="14">
        <v>24</v>
      </c>
      <c r="G143" s="15">
        <v>2</v>
      </c>
      <c r="H143" s="14">
        <v>2</v>
      </c>
      <c r="I143" s="15">
        <v>2</v>
      </c>
      <c r="J143" s="17" t="s">
        <v>55</v>
      </c>
      <c r="K143" s="36"/>
      <c r="L143" s="14"/>
      <c r="M143" s="14"/>
      <c r="N143" s="14"/>
      <c r="O143" s="14"/>
      <c r="P143" s="25" t="s">
        <v>368</v>
      </c>
      <c r="Q143" s="21"/>
      <c r="R143" s="22"/>
      <c r="S143" s="14">
        <v>9</v>
      </c>
      <c r="T143" s="27">
        <v>45807</v>
      </c>
      <c r="U143" s="27">
        <v>45807</v>
      </c>
      <c r="V143" s="27"/>
      <c r="W143" s="27"/>
      <c r="X143" s="27">
        <v>45811</v>
      </c>
      <c r="Y143" s="14" t="s">
        <v>43</v>
      </c>
      <c r="Z143" s="40" t="e">
        <f>IF(STAT[[#This Row],[sigla]]="","",VLOOKUP(STAT[[#This Row],[sigla]],CRÉDITOS_GERAIS[[sigla]:[credito]],2,))</f>
        <v>#N/A</v>
      </c>
      <c r="AA143" s="14" t="s">
        <v>90</v>
      </c>
      <c r="AB143" s="14" t="e">
        <f>STAT[[#This Row],[ilustrador]]</f>
        <v>#N/A</v>
      </c>
      <c r="AC143" s="14">
        <v>13</v>
      </c>
      <c r="AD143" s="22" t="s">
        <v>196</v>
      </c>
      <c r="AE143" s="14" t="s">
        <v>46</v>
      </c>
      <c r="AF143" s="42" t="str">
        <f t="shared" si="2"/>
        <v>P007</v>
      </c>
    </row>
    <row r="144" spans="1:32" ht="72" hidden="1" x14ac:dyDescent="0.3">
      <c r="A144" s="12" t="e" cm="1">
        <f t="array" aca="1" ref="A144" ca="1">IF(STAT[[#This Row],[retranca]]="","",       RegxFunc(STAT[[#This Row],[retranca]],  "\w\d{4}\w*_\d")     )</f>
        <v>#NAME?</v>
      </c>
      <c r="B144" s="21" t="s">
        <v>369</v>
      </c>
      <c r="C144" s="14" t="s">
        <v>8</v>
      </c>
      <c r="D144" s="15" t="s">
        <v>9</v>
      </c>
      <c r="E144" s="15" t="s">
        <v>10</v>
      </c>
      <c r="F144" s="14">
        <v>24</v>
      </c>
      <c r="G144" s="15">
        <v>2</v>
      </c>
      <c r="H144" s="14">
        <v>2</v>
      </c>
      <c r="I144" s="15">
        <v>2</v>
      </c>
      <c r="J144" s="17" t="s">
        <v>55</v>
      </c>
      <c r="K144" s="36"/>
      <c r="L144" s="14"/>
      <c r="M144" s="14"/>
      <c r="N144" s="14"/>
      <c r="O144" s="14"/>
      <c r="P144" s="25" t="s">
        <v>370</v>
      </c>
      <c r="Q144" s="21"/>
      <c r="R144" s="22"/>
      <c r="S144" s="14">
        <v>9</v>
      </c>
      <c r="T144" s="27">
        <v>45807</v>
      </c>
      <c r="U144" s="27">
        <v>45807</v>
      </c>
      <c r="V144" s="27"/>
      <c r="W144" s="27"/>
      <c r="X144" s="27">
        <v>45811</v>
      </c>
      <c r="Y144" s="14" t="s">
        <v>43</v>
      </c>
      <c r="Z144" s="40" t="e">
        <f>IF(STAT[[#This Row],[sigla]]="","",VLOOKUP(STAT[[#This Row],[sigla]],CRÉDITOS_GERAIS[[sigla]:[credito]],2,))</f>
        <v>#N/A</v>
      </c>
      <c r="AA144" s="14" t="s">
        <v>90</v>
      </c>
      <c r="AB144" s="14" t="e">
        <f>STAT[[#This Row],[ilustrador]]</f>
        <v>#N/A</v>
      </c>
      <c r="AC144" s="14">
        <v>14</v>
      </c>
      <c r="AD144" s="22" t="s">
        <v>196</v>
      </c>
      <c r="AE144" s="14" t="s">
        <v>46</v>
      </c>
      <c r="AF144" s="42" t="str">
        <f t="shared" si="2"/>
        <v>P007</v>
      </c>
    </row>
    <row r="145" spans="1:32" ht="115.2" x14ac:dyDescent="0.3">
      <c r="A145" s="12" t="e" cm="1">
        <f t="array" aca="1" ref="A145" ca="1">IF(STAT[[#This Row],[retranca]]="","",       RegxFunc(STAT[[#This Row],[retranca]],  "\w\d{4}\w*_\d")     )</f>
        <v>#NAME?</v>
      </c>
      <c r="B145" s="21" t="s">
        <v>371</v>
      </c>
      <c r="C145" s="14" t="s">
        <v>72</v>
      </c>
      <c r="D145" s="15" t="s">
        <v>9</v>
      </c>
      <c r="E145" s="15" t="s">
        <v>10</v>
      </c>
      <c r="F145" s="14">
        <v>0</v>
      </c>
      <c r="G145" s="15">
        <v>2</v>
      </c>
      <c r="H145" s="14">
        <v>2</v>
      </c>
      <c r="I145" s="15">
        <v>2</v>
      </c>
      <c r="J145" s="17" t="s">
        <v>55</v>
      </c>
      <c r="K145" s="36"/>
      <c r="L145" s="14"/>
      <c r="M145" s="14"/>
      <c r="N145" s="14"/>
      <c r="O145" s="14"/>
      <c r="P145" s="25" t="s">
        <v>372</v>
      </c>
      <c r="Q145" s="21"/>
      <c r="R145" s="22"/>
      <c r="S145" s="14">
        <v>9</v>
      </c>
      <c r="T145" s="27">
        <v>45807</v>
      </c>
      <c r="U145" s="27">
        <v>45810</v>
      </c>
      <c r="V145" s="27">
        <v>45812</v>
      </c>
      <c r="W145" s="27">
        <v>45812</v>
      </c>
      <c r="X145" s="27">
        <v>45814</v>
      </c>
      <c r="Y145" s="14" t="s">
        <v>94</v>
      </c>
      <c r="Z145" s="40" t="str">
        <f>IF(STAT[[#This Row],[sigla]]="","",VLOOKUP(STAT[[#This Row],[sigla]],CRÉDITOS_GERAIS[[sigla]:[credito]],2,))</f>
        <v>Thais Castro</v>
      </c>
      <c r="AA145" s="14"/>
      <c r="AB145" s="14" t="str">
        <f>STAT[[#This Row],[ilustrador]]</f>
        <v>Thais Castro</v>
      </c>
      <c r="AC145" s="14">
        <v>6</v>
      </c>
      <c r="AD145" s="22" t="s">
        <v>366</v>
      </c>
      <c r="AE145" s="14" t="s">
        <v>87</v>
      </c>
      <c r="AF145" s="42" t="str">
        <f t="shared" si="2"/>
        <v>P007</v>
      </c>
    </row>
    <row r="146" spans="1:32" ht="57.6" hidden="1" x14ac:dyDescent="0.3">
      <c r="A146" s="12" t="e" cm="1">
        <f t="array" aca="1" ref="A146" ca="1">IF(STAT[[#This Row],[retranca]]="","",       RegxFunc(STAT[[#This Row],[retranca]],  "\w\d{4}\w*_\d")     )</f>
        <v>#NAME?</v>
      </c>
      <c r="B146" s="21" t="s">
        <v>373</v>
      </c>
      <c r="C146" s="14" t="s">
        <v>72</v>
      </c>
      <c r="D146" s="15" t="s">
        <v>9</v>
      </c>
      <c r="E146" s="15" t="s">
        <v>10</v>
      </c>
      <c r="F146" s="14">
        <v>26</v>
      </c>
      <c r="G146" s="15">
        <v>4</v>
      </c>
      <c r="H146" s="14">
        <v>2</v>
      </c>
      <c r="I146" s="15">
        <v>2</v>
      </c>
      <c r="J146" s="17" t="s">
        <v>55</v>
      </c>
      <c r="K146" s="36"/>
      <c r="L146" s="14"/>
      <c r="M146" s="14"/>
      <c r="N146" s="14"/>
      <c r="O146" s="14"/>
      <c r="P146" s="25" t="s">
        <v>374</v>
      </c>
      <c r="Q146" s="21"/>
      <c r="R146" s="22"/>
      <c r="S146" s="14">
        <v>10</v>
      </c>
      <c r="T146" s="27">
        <v>45813</v>
      </c>
      <c r="U146" s="27">
        <v>45814</v>
      </c>
      <c r="V146" s="27">
        <v>45817</v>
      </c>
      <c r="W146" s="27">
        <v>45818</v>
      </c>
      <c r="X146" s="27">
        <v>45819</v>
      </c>
      <c r="Y146" s="14" t="s">
        <v>375</v>
      </c>
      <c r="Z146" s="40" t="str">
        <f>IF(STAT[[#This Row],[sigla]]="","",VLOOKUP(STAT[[#This Row],[sigla]],CRÉDITOS_GERAIS[[sigla]:[credito]],2,))</f>
        <v>Lídia Farias</v>
      </c>
      <c r="AA146" s="14"/>
      <c r="AB146" s="14" t="str">
        <f>STAT[[#This Row],[ilustrador]]</f>
        <v>Lídia Farias</v>
      </c>
      <c r="AC146" s="14">
        <v>6</v>
      </c>
      <c r="AD146" s="22" t="s">
        <v>376</v>
      </c>
      <c r="AE146" s="14" t="s">
        <v>87</v>
      </c>
      <c r="AF146" s="42" t="str">
        <f t="shared" si="2"/>
        <v>P007</v>
      </c>
    </row>
    <row r="147" spans="1:32" ht="43.2" hidden="1" x14ac:dyDescent="0.3">
      <c r="A147" s="12" t="e" cm="1">
        <f t="array" aca="1" ref="A147" ca="1">IF(STAT[[#This Row],[retranca]]="","",       RegxFunc(STAT[[#This Row],[retranca]],  "\w\d{4}\w*_\d")     )</f>
        <v>#NAME?</v>
      </c>
      <c r="B147" s="21" t="s">
        <v>377</v>
      </c>
      <c r="C147" s="14" t="s">
        <v>72</v>
      </c>
      <c r="D147" s="15" t="s">
        <v>9</v>
      </c>
      <c r="E147" s="15" t="s">
        <v>10</v>
      </c>
      <c r="F147" s="14">
        <v>27</v>
      </c>
      <c r="G147" s="15">
        <v>4</v>
      </c>
      <c r="H147" s="14">
        <v>2</v>
      </c>
      <c r="I147" s="15">
        <v>2</v>
      </c>
      <c r="J147" s="17" t="s">
        <v>55</v>
      </c>
      <c r="K147" s="36"/>
      <c r="L147" s="14"/>
      <c r="M147" s="14"/>
      <c r="N147" s="14"/>
      <c r="O147" s="14"/>
      <c r="P147" s="25" t="s">
        <v>378</v>
      </c>
      <c r="Q147" s="21"/>
      <c r="R147" s="22"/>
      <c r="S147" s="14">
        <v>10</v>
      </c>
      <c r="T147" s="27">
        <v>45813</v>
      </c>
      <c r="U147" s="27">
        <v>45814</v>
      </c>
      <c r="V147" s="27">
        <v>45817</v>
      </c>
      <c r="W147" s="27">
        <v>45818</v>
      </c>
      <c r="X147" s="27">
        <v>45819</v>
      </c>
      <c r="Y147" s="14" t="s">
        <v>375</v>
      </c>
      <c r="Z147" s="40" t="str">
        <f>IF(STAT[[#This Row],[sigla]]="","",VLOOKUP(STAT[[#This Row],[sigla]],CRÉDITOS_GERAIS[[sigla]:[credito]],2,))</f>
        <v>Lídia Farias</v>
      </c>
      <c r="AA147" s="14"/>
      <c r="AB147" s="14" t="str">
        <f>STAT[[#This Row],[ilustrador]]</f>
        <v>Lídia Farias</v>
      </c>
      <c r="AC147" s="14">
        <v>8</v>
      </c>
      <c r="AD147" s="22" t="s">
        <v>376</v>
      </c>
      <c r="AE147" s="14" t="s">
        <v>87</v>
      </c>
      <c r="AF147" s="42" t="str">
        <f t="shared" si="2"/>
        <v>P007</v>
      </c>
    </row>
    <row r="148" spans="1:32" ht="57.6" hidden="1" x14ac:dyDescent="0.3">
      <c r="A148" s="12" t="e" cm="1">
        <f t="array" aca="1" ref="A148" ca="1">IF(STAT[[#This Row],[retranca]]="","",       RegxFunc(STAT[[#This Row],[retranca]],  "\w\d{4}\w*_\d")     )</f>
        <v>#NAME?</v>
      </c>
      <c r="B148" s="21" t="s">
        <v>379</v>
      </c>
      <c r="C148" s="14" t="s">
        <v>72</v>
      </c>
      <c r="D148" s="15" t="s">
        <v>9</v>
      </c>
      <c r="E148" s="15" t="s">
        <v>10</v>
      </c>
      <c r="F148" s="14">
        <v>32</v>
      </c>
      <c r="G148" s="15">
        <v>4</v>
      </c>
      <c r="H148" s="14">
        <v>2</v>
      </c>
      <c r="I148" s="15">
        <v>2</v>
      </c>
      <c r="J148" s="17" t="s">
        <v>55</v>
      </c>
      <c r="K148" s="36"/>
      <c r="L148" s="14"/>
      <c r="M148" s="14"/>
      <c r="N148" s="14"/>
      <c r="O148" s="14"/>
      <c r="P148" s="25" t="s">
        <v>380</v>
      </c>
      <c r="Q148" s="21"/>
      <c r="R148" s="22"/>
      <c r="S148" s="14">
        <v>10</v>
      </c>
      <c r="T148" s="27">
        <v>45813</v>
      </c>
      <c r="U148" s="27">
        <v>45814</v>
      </c>
      <c r="V148" s="27">
        <v>45817</v>
      </c>
      <c r="W148" s="27">
        <v>45817</v>
      </c>
      <c r="X148" s="27">
        <v>45819</v>
      </c>
      <c r="Y148" s="14" t="s">
        <v>94</v>
      </c>
      <c r="Z148" s="40" t="str">
        <f>IF(STAT[[#This Row],[sigla]]="","",VLOOKUP(STAT[[#This Row],[sigla]],CRÉDITOS_GERAIS[[sigla]:[credito]],2,))</f>
        <v>Thais Castro</v>
      </c>
      <c r="AA148" s="14"/>
      <c r="AB148" s="14" t="str">
        <f>STAT[[#This Row],[ilustrador]]</f>
        <v>Thais Castro</v>
      </c>
      <c r="AC148" s="14">
        <v>4</v>
      </c>
      <c r="AD148" s="22" t="s">
        <v>376</v>
      </c>
      <c r="AE148" s="14" t="s">
        <v>87</v>
      </c>
      <c r="AF148" s="42" t="str">
        <f t="shared" si="2"/>
        <v>P007</v>
      </c>
    </row>
    <row r="149" spans="1:32" ht="43.2" hidden="1" x14ac:dyDescent="0.3">
      <c r="A149" s="12" t="e" cm="1">
        <f t="array" aca="1" ref="A149" ca="1">IF(STAT[[#This Row],[retranca]]="","",       RegxFunc(STAT[[#This Row],[retranca]],  "\w\d{4}\w*_\d")     )</f>
        <v>#NAME?</v>
      </c>
      <c r="B149" s="21" t="s">
        <v>381</v>
      </c>
      <c r="C149" s="14" t="s">
        <v>8</v>
      </c>
      <c r="D149" s="15" t="s">
        <v>9</v>
      </c>
      <c r="E149" s="15" t="s">
        <v>10</v>
      </c>
      <c r="F149" s="14">
        <v>32</v>
      </c>
      <c r="G149" s="15">
        <v>4</v>
      </c>
      <c r="H149" s="14">
        <v>2</v>
      </c>
      <c r="I149" s="15">
        <v>2</v>
      </c>
      <c r="J149" s="17" t="s">
        <v>55</v>
      </c>
      <c r="K149" s="36"/>
      <c r="L149" s="14"/>
      <c r="M149" s="14"/>
      <c r="N149" s="14"/>
      <c r="O149" s="14"/>
      <c r="P149" s="25" t="s">
        <v>382</v>
      </c>
      <c r="Q149" s="21"/>
      <c r="R149" s="22"/>
      <c r="S149" s="14">
        <v>10</v>
      </c>
      <c r="T149" s="27">
        <v>45813</v>
      </c>
      <c r="U149" s="27"/>
      <c r="V149" s="27"/>
      <c r="W149" s="27"/>
      <c r="X149" s="27"/>
      <c r="Y149" s="14"/>
      <c r="Z149" s="40" t="str">
        <f>IF(STAT[[#This Row],[sigla]]="","",VLOOKUP(STAT[[#This Row],[sigla]],CRÉDITOS_GERAIS[[sigla]:[credito]],2,))</f>
        <v/>
      </c>
      <c r="AA149" s="14"/>
      <c r="AB149" s="14" t="str">
        <f>STAT[[#This Row],[ilustrador]]</f>
        <v/>
      </c>
      <c r="AC149" s="14"/>
      <c r="AD149" s="22" t="s">
        <v>383</v>
      </c>
      <c r="AE149" s="15"/>
      <c r="AF149" s="42" t="str">
        <f t="shared" si="2"/>
        <v>P007</v>
      </c>
    </row>
    <row r="150" spans="1:32" ht="43.2" hidden="1" x14ac:dyDescent="0.3">
      <c r="A150" s="12" t="e" cm="1">
        <f t="array" aca="1" ref="A150" ca="1">IF(STAT[[#This Row],[retranca]]="","",       RegxFunc(STAT[[#This Row],[retranca]],  "\w\d{4}\w*_\d")     )</f>
        <v>#NAME?</v>
      </c>
      <c r="B150" s="21" t="s">
        <v>384</v>
      </c>
      <c r="C150" s="14" t="s">
        <v>8</v>
      </c>
      <c r="D150" s="15" t="s">
        <v>9</v>
      </c>
      <c r="E150" s="15" t="s">
        <v>10</v>
      </c>
      <c r="F150" s="14">
        <v>32</v>
      </c>
      <c r="G150" s="15">
        <v>4</v>
      </c>
      <c r="H150" s="14">
        <v>2</v>
      </c>
      <c r="I150" s="15">
        <v>2</v>
      </c>
      <c r="J150" s="17" t="s">
        <v>55</v>
      </c>
      <c r="K150" s="36"/>
      <c r="L150" s="14"/>
      <c r="M150" s="14"/>
      <c r="N150" s="14"/>
      <c r="O150" s="14"/>
      <c r="P150" s="25" t="s">
        <v>385</v>
      </c>
      <c r="Q150" s="21"/>
      <c r="R150" s="22"/>
      <c r="S150" s="14">
        <v>10</v>
      </c>
      <c r="T150" s="27">
        <v>45813</v>
      </c>
      <c r="U150" s="27"/>
      <c r="V150" s="27"/>
      <c r="W150" s="27"/>
      <c r="X150" s="27"/>
      <c r="Y150" s="14"/>
      <c r="Z150" s="40" t="str">
        <f>IF(STAT[[#This Row],[sigla]]="","",VLOOKUP(STAT[[#This Row],[sigla]],CRÉDITOS_GERAIS[[sigla]:[credito]],2,))</f>
        <v/>
      </c>
      <c r="AA150" s="14"/>
      <c r="AB150" s="14" t="str">
        <f>STAT[[#This Row],[ilustrador]]</f>
        <v/>
      </c>
      <c r="AC150" s="14"/>
      <c r="AD150" s="22" t="s">
        <v>383</v>
      </c>
      <c r="AE150" s="15"/>
      <c r="AF150" s="42" t="str">
        <f t="shared" si="2"/>
        <v>P007</v>
      </c>
    </row>
    <row r="151" spans="1:32" ht="43.2" hidden="1" x14ac:dyDescent="0.3">
      <c r="A151" s="12" t="e" cm="1">
        <f t="array" aca="1" ref="A151" ca="1">IF(STAT[[#This Row],[retranca]]="","",       RegxFunc(STAT[[#This Row],[retranca]],  "\w\d{4}\w*_\d")     )</f>
        <v>#NAME?</v>
      </c>
      <c r="B151" s="21" t="s">
        <v>386</v>
      </c>
      <c r="C151" s="14" t="s">
        <v>8</v>
      </c>
      <c r="D151" s="15" t="s">
        <v>9</v>
      </c>
      <c r="E151" s="15" t="s">
        <v>10</v>
      </c>
      <c r="F151" s="14">
        <v>32</v>
      </c>
      <c r="G151" s="15">
        <v>4</v>
      </c>
      <c r="H151" s="14">
        <v>2</v>
      </c>
      <c r="I151" s="15">
        <v>2</v>
      </c>
      <c r="J151" s="17" t="s">
        <v>55</v>
      </c>
      <c r="K151" s="36"/>
      <c r="L151" s="14"/>
      <c r="M151" s="14"/>
      <c r="N151" s="14"/>
      <c r="O151" s="14"/>
      <c r="P151" s="25" t="s">
        <v>387</v>
      </c>
      <c r="Q151" s="21"/>
      <c r="R151" s="22"/>
      <c r="S151" s="14">
        <v>10</v>
      </c>
      <c r="T151" s="27">
        <v>45813</v>
      </c>
      <c r="U151" s="27"/>
      <c r="V151" s="27"/>
      <c r="W151" s="27"/>
      <c r="X151" s="27"/>
      <c r="Y151" s="14"/>
      <c r="Z151" s="40" t="str">
        <f>IF(STAT[[#This Row],[sigla]]="","",VLOOKUP(STAT[[#This Row],[sigla]],CRÉDITOS_GERAIS[[sigla]:[credito]],2,))</f>
        <v/>
      </c>
      <c r="AA151" s="14"/>
      <c r="AB151" s="14" t="str">
        <f>STAT[[#This Row],[ilustrador]]</f>
        <v/>
      </c>
      <c r="AC151" s="14"/>
      <c r="AD151" s="22" t="s">
        <v>383</v>
      </c>
      <c r="AE151" s="15"/>
      <c r="AF151" s="42" t="str">
        <f t="shared" si="2"/>
        <v>P007</v>
      </c>
    </row>
    <row r="152" spans="1:32" hidden="1" x14ac:dyDescent="0.3">
      <c r="A152" s="12" t="e" cm="1">
        <f t="array" aca="1" ref="A152" ca="1">IF(STAT[[#This Row],[retranca]]="","",       RegxFunc(STAT[[#This Row],[retranca]],  "\w\d{4}\w*_\d")     )</f>
        <v>#NAME?</v>
      </c>
      <c r="B152" s="21" t="s">
        <v>388</v>
      </c>
      <c r="C152" s="14" t="s">
        <v>72</v>
      </c>
      <c r="D152" s="15" t="s">
        <v>9</v>
      </c>
      <c r="E152" s="15" t="s">
        <v>10</v>
      </c>
      <c r="F152" s="14">
        <v>36</v>
      </c>
      <c r="G152" s="15">
        <v>4</v>
      </c>
      <c r="H152" s="14">
        <v>2</v>
      </c>
      <c r="I152" s="15">
        <v>2</v>
      </c>
      <c r="J152" s="17" t="s">
        <v>55</v>
      </c>
      <c r="K152" s="36"/>
      <c r="L152" s="14"/>
      <c r="M152" s="14"/>
      <c r="N152" s="14"/>
      <c r="O152" s="14"/>
      <c r="P152" s="25" t="s">
        <v>389</v>
      </c>
      <c r="Q152" s="21"/>
      <c r="R152" s="22"/>
      <c r="S152" s="14"/>
      <c r="T152" s="27"/>
      <c r="U152" s="27"/>
      <c r="V152" s="27"/>
      <c r="W152" s="27"/>
      <c r="X152" s="27"/>
      <c r="Y152" s="14" t="s">
        <v>43</v>
      </c>
      <c r="Z152" s="40" t="e">
        <f>IF(STAT[[#This Row],[sigla]]="","",VLOOKUP(STAT[[#This Row],[sigla]],CRÉDITOS_GERAIS[[sigla]:[credito]],2,))</f>
        <v>#N/A</v>
      </c>
      <c r="AA152" s="14"/>
      <c r="AB152" s="14" t="e">
        <f>STAT[[#This Row],[ilustrador]]</f>
        <v>#N/A</v>
      </c>
      <c r="AC152" s="14"/>
      <c r="AD152" s="22"/>
      <c r="AE152" s="15"/>
      <c r="AF152" s="42" t="str">
        <f t="shared" si="2"/>
        <v>P007</v>
      </c>
    </row>
    <row r="153" spans="1:32" ht="43.2" hidden="1" x14ac:dyDescent="0.3">
      <c r="A153" s="12" t="e" cm="1">
        <f t="array" aca="1" ref="A153" ca="1">IF(STAT[[#This Row],[retranca]]="","",       RegxFunc(STAT[[#This Row],[retranca]],  "\w\d{4}\w*_\d")     )</f>
        <v>#NAME?</v>
      </c>
      <c r="B153" s="21" t="s">
        <v>390</v>
      </c>
      <c r="C153" s="14" t="s">
        <v>122</v>
      </c>
      <c r="D153" s="15" t="s">
        <v>9</v>
      </c>
      <c r="E153" s="15" t="s">
        <v>10</v>
      </c>
      <c r="F153" s="14">
        <v>38</v>
      </c>
      <c r="G153" s="15">
        <v>4</v>
      </c>
      <c r="H153" s="14">
        <v>2</v>
      </c>
      <c r="I153" s="15">
        <v>2</v>
      </c>
      <c r="J153" s="17" t="s">
        <v>55</v>
      </c>
      <c r="K153" s="36"/>
      <c r="L153" s="14"/>
      <c r="M153" s="14"/>
      <c r="N153" s="14"/>
      <c r="O153" s="14"/>
      <c r="P153" s="25" t="s">
        <v>391</v>
      </c>
      <c r="Q153" s="21"/>
      <c r="R153" s="22"/>
      <c r="S153" s="14">
        <v>10</v>
      </c>
      <c r="T153" s="27">
        <v>45813</v>
      </c>
      <c r="U153" s="27">
        <v>45817</v>
      </c>
      <c r="V153" s="27">
        <v>45819</v>
      </c>
      <c r="W153" s="27">
        <v>45820</v>
      </c>
      <c r="X153" s="27">
        <v>45821</v>
      </c>
      <c r="Y153" s="14" t="s">
        <v>84</v>
      </c>
      <c r="Z153" s="40" t="str">
        <f>IF(STAT[[#This Row],[sigla]]="","",VLOOKUP(STAT[[#This Row],[sigla]],CRÉDITOS_GERAIS[[sigla]:[credito]],2,))</f>
        <v>Gabriel Brum</v>
      </c>
      <c r="AA153" s="14"/>
      <c r="AB153" s="14" t="str">
        <f>STAT[[#This Row],[ilustrador]]</f>
        <v>Gabriel Brum</v>
      </c>
      <c r="AC153" s="14">
        <v>4</v>
      </c>
      <c r="AD153" s="22" t="s">
        <v>392</v>
      </c>
      <c r="AE153" s="14" t="s">
        <v>87</v>
      </c>
      <c r="AF153" s="42" t="str">
        <f t="shared" si="2"/>
        <v>P007</v>
      </c>
    </row>
    <row r="154" spans="1:32" ht="28.8" hidden="1" x14ac:dyDescent="0.3">
      <c r="A154" s="12" t="e" cm="1">
        <f t="array" aca="1" ref="A154" ca="1">IF(STAT[[#This Row],[retranca]]="","",       RegxFunc(STAT[[#This Row],[retranca]],  "\w\d{4}\w*_\d")     )</f>
        <v>#NAME?</v>
      </c>
      <c r="B154" s="21" t="s">
        <v>393</v>
      </c>
      <c r="C154" s="14" t="s">
        <v>8</v>
      </c>
      <c r="D154" s="15" t="s">
        <v>9</v>
      </c>
      <c r="E154" s="15" t="s">
        <v>10</v>
      </c>
      <c r="F154" s="14">
        <v>38</v>
      </c>
      <c r="G154" s="15">
        <v>4</v>
      </c>
      <c r="H154" s="14">
        <v>2</v>
      </c>
      <c r="I154" s="15">
        <v>2</v>
      </c>
      <c r="J154" s="17" t="s">
        <v>55</v>
      </c>
      <c r="K154" s="36"/>
      <c r="L154" s="14"/>
      <c r="M154" s="14"/>
      <c r="N154" s="14"/>
      <c r="O154" s="14"/>
      <c r="P154" s="25" t="s">
        <v>394</v>
      </c>
      <c r="Q154" s="21"/>
      <c r="R154" s="22"/>
      <c r="S154" s="14">
        <v>10</v>
      </c>
      <c r="T154" s="27">
        <v>45813</v>
      </c>
      <c r="U154" s="27"/>
      <c r="V154" s="27"/>
      <c r="W154" s="27"/>
      <c r="X154" s="27"/>
      <c r="Y154" s="14"/>
      <c r="Z154" s="40" t="str">
        <f>IF(STAT[[#This Row],[sigla]]="","",VLOOKUP(STAT[[#This Row],[sigla]],CRÉDITOS_GERAIS[[sigla]:[credito]],2,))</f>
        <v/>
      </c>
      <c r="AA154" s="14"/>
      <c r="AB154" s="14" t="str">
        <f>STAT[[#This Row],[ilustrador]]</f>
        <v/>
      </c>
      <c r="AC154" s="14"/>
      <c r="AD154" s="22" t="s">
        <v>395</v>
      </c>
      <c r="AE154" s="15"/>
      <c r="AF154" s="42" t="str">
        <f t="shared" si="2"/>
        <v>P007</v>
      </c>
    </row>
    <row r="155" spans="1:32" ht="28.8" hidden="1" x14ac:dyDescent="0.3">
      <c r="A155" s="12" t="e" cm="1">
        <f t="array" aca="1" ref="A155" ca="1">IF(STAT[[#This Row],[retranca]]="","",       RegxFunc(STAT[[#This Row],[retranca]],  "\w\d{4}\w*_\d")     )</f>
        <v>#NAME?</v>
      </c>
      <c r="B155" s="21" t="s">
        <v>396</v>
      </c>
      <c r="C155" s="14" t="s">
        <v>8</v>
      </c>
      <c r="D155" s="15" t="s">
        <v>9</v>
      </c>
      <c r="E155" s="15" t="s">
        <v>10</v>
      </c>
      <c r="F155" s="14">
        <v>38</v>
      </c>
      <c r="G155" s="15">
        <v>4</v>
      </c>
      <c r="H155" s="14">
        <v>2</v>
      </c>
      <c r="I155" s="15">
        <v>2</v>
      </c>
      <c r="J155" s="17" t="s">
        <v>55</v>
      </c>
      <c r="K155" s="36"/>
      <c r="L155" s="14"/>
      <c r="M155" s="14"/>
      <c r="N155" s="14"/>
      <c r="O155" s="14"/>
      <c r="P155" s="25" t="s">
        <v>397</v>
      </c>
      <c r="Q155" s="21"/>
      <c r="R155" s="22"/>
      <c r="S155" s="14">
        <v>10</v>
      </c>
      <c r="T155" s="27">
        <v>45813</v>
      </c>
      <c r="U155" s="27"/>
      <c r="V155" s="27"/>
      <c r="W155" s="27"/>
      <c r="X155" s="27"/>
      <c r="Y155" s="14"/>
      <c r="Z155" s="40" t="str">
        <f>IF(STAT[[#This Row],[sigla]]="","",VLOOKUP(STAT[[#This Row],[sigla]],CRÉDITOS_GERAIS[[sigla]:[credito]],2,))</f>
        <v/>
      </c>
      <c r="AA155" s="14"/>
      <c r="AB155" s="14" t="str">
        <f>STAT[[#This Row],[ilustrador]]</f>
        <v/>
      </c>
      <c r="AC155" s="14"/>
      <c r="AD155" s="22" t="s">
        <v>395</v>
      </c>
      <c r="AE155" s="15"/>
      <c r="AF155" s="42" t="str">
        <f t="shared" si="2"/>
        <v>P007</v>
      </c>
    </row>
    <row r="156" spans="1:32" ht="28.8" hidden="1" x14ac:dyDescent="0.3">
      <c r="A156" s="12" t="e" cm="1">
        <f t="array" aca="1" ref="A156" ca="1">IF(STAT[[#This Row],[retranca]]="","",       RegxFunc(STAT[[#This Row],[retranca]],  "\w\d{4}\w*_\d")     )</f>
        <v>#NAME?</v>
      </c>
      <c r="B156" s="21" t="s">
        <v>398</v>
      </c>
      <c r="C156" s="14" t="s">
        <v>8</v>
      </c>
      <c r="D156" s="15" t="s">
        <v>9</v>
      </c>
      <c r="E156" s="15" t="s">
        <v>10</v>
      </c>
      <c r="F156" s="14">
        <v>38</v>
      </c>
      <c r="G156" s="15">
        <v>4</v>
      </c>
      <c r="H156" s="14">
        <v>2</v>
      </c>
      <c r="I156" s="15">
        <v>2</v>
      </c>
      <c r="J156" s="17" t="s">
        <v>55</v>
      </c>
      <c r="K156" s="36"/>
      <c r="L156" s="14"/>
      <c r="M156" s="14"/>
      <c r="N156" s="14"/>
      <c r="O156" s="14"/>
      <c r="P156" s="25" t="s">
        <v>399</v>
      </c>
      <c r="Q156" s="21"/>
      <c r="R156" s="22"/>
      <c r="S156" s="14">
        <v>10</v>
      </c>
      <c r="T156" s="27">
        <v>45813</v>
      </c>
      <c r="U156" s="27"/>
      <c r="V156" s="27"/>
      <c r="W156" s="27"/>
      <c r="X156" s="27"/>
      <c r="Y156" s="14"/>
      <c r="Z156" s="40" t="str">
        <f>IF(STAT[[#This Row],[sigla]]="","",VLOOKUP(STAT[[#This Row],[sigla]],CRÉDITOS_GERAIS[[sigla]:[credito]],2,))</f>
        <v/>
      </c>
      <c r="AA156" s="14"/>
      <c r="AB156" s="14" t="str">
        <f>STAT[[#This Row],[ilustrador]]</f>
        <v/>
      </c>
      <c r="AC156" s="14"/>
      <c r="AD156" s="22" t="s">
        <v>395</v>
      </c>
      <c r="AE156" s="15"/>
      <c r="AF156" s="42" t="str">
        <f t="shared" si="2"/>
        <v>P007</v>
      </c>
    </row>
    <row r="157" spans="1:32" ht="72" hidden="1" x14ac:dyDescent="0.3">
      <c r="A157" s="12" t="e" cm="1">
        <f t="array" aca="1" ref="A157" ca="1">IF(STAT[[#This Row],[retranca]]="","",       RegxFunc(STAT[[#This Row],[retranca]],  "\w\d{4}\w*_\d")     )</f>
        <v>#NAME?</v>
      </c>
      <c r="B157" s="21" t="s">
        <v>400</v>
      </c>
      <c r="C157" s="14" t="s">
        <v>401</v>
      </c>
      <c r="D157" s="15" t="s">
        <v>9</v>
      </c>
      <c r="E157" s="15" t="s">
        <v>10</v>
      </c>
      <c r="F157" s="14">
        <v>39</v>
      </c>
      <c r="G157" s="15">
        <v>4</v>
      </c>
      <c r="H157" s="14">
        <v>2</v>
      </c>
      <c r="I157" s="15">
        <v>2</v>
      </c>
      <c r="J157" s="17" t="s">
        <v>55</v>
      </c>
      <c r="K157" s="36"/>
      <c r="L157" s="14"/>
      <c r="M157" s="14"/>
      <c r="N157" s="14"/>
      <c r="O157" s="14"/>
      <c r="P157" s="25" t="s">
        <v>402</v>
      </c>
      <c r="Q157" s="21"/>
      <c r="R157" s="22"/>
      <c r="S157" s="14">
        <v>10</v>
      </c>
      <c r="T157" s="27">
        <v>45813</v>
      </c>
      <c r="U157" s="27">
        <v>45817</v>
      </c>
      <c r="V157" s="27">
        <v>45819</v>
      </c>
      <c r="W157" s="27">
        <v>45820</v>
      </c>
      <c r="X157" s="27">
        <v>45821</v>
      </c>
      <c r="Y157" s="14" t="s">
        <v>84</v>
      </c>
      <c r="Z157" s="40" t="str">
        <f>IF(STAT[[#This Row],[sigla]]="","",VLOOKUP(STAT[[#This Row],[sigla]],CRÉDITOS_GERAIS[[sigla]:[credito]],2,))</f>
        <v>Gabriel Brum</v>
      </c>
      <c r="AA157" s="14"/>
      <c r="AB157" s="14" t="str">
        <f>STAT[[#This Row],[ilustrador]]</f>
        <v>Gabriel Brum</v>
      </c>
      <c r="AC157" s="14">
        <v>4</v>
      </c>
      <c r="AD157" s="22" t="s">
        <v>392</v>
      </c>
      <c r="AE157" s="14" t="s">
        <v>87</v>
      </c>
      <c r="AF157" s="42" t="str">
        <f t="shared" si="2"/>
        <v>P007</v>
      </c>
    </row>
    <row r="158" spans="1:32" ht="43.2" hidden="1" x14ac:dyDescent="0.3">
      <c r="A158" s="12" t="e" cm="1">
        <f t="array" aca="1" ref="A158" ca="1">IF(STAT[[#This Row],[retranca]]="","",       RegxFunc(STAT[[#This Row],[retranca]],  "\w\d{4}\w*_\d")     )</f>
        <v>#NAME?</v>
      </c>
      <c r="B158" s="21" t="s">
        <v>403</v>
      </c>
      <c r="C158" s="14" t="s">
        <v>8</v>
      </c>
      <c r="D158" s="15" t="s">
        <v>9</v>
      </c>
      <c r="E158" s="15" t="s">
        <v>10</v>
      </c>
      <c r="F158" s="14">
        <v>39</v>
      </c>
      <c r="G158" s="15">
        <v>4</v>
      </c>
      <c r="H158" s="14">
        <v>2</v>
      </c>
      <c r="I158" s="15">
        <v>2</v>
      </c>
      <c r="J158" s="17" t="s">
        <v>55</v>
      </c>
      <c r="K158" s="36"/>
      <c r="L158" s="14"/>
      <c r="M158" s="14"/>
      <c r="N158" s="14"/>
      <c r="O158" s="14"/>
      <c r="P158" s="25" t="s">
        <v>404</v>
      </c>
      <c r="Q158" s="21"/>
      <c r="R158" s="22"/>
      <c r="S158" s="14">
        <v>10</v>
      </c>
      <c r="T158" s="27">
        <v>45813</v>
      </c>
      <c r="U158" s="27"/>
      <c r="V158" s="27"/>
      <c r="W158" s="27"/>
      <c r="X158" s="27"/>
      <c r="Y158" s="14"/>
      <c r="Z158" s="40" t="str">
        <f>IF(STAT[[#This Row],[sigla]]="","",VLOOKUP(STAT[[#This Row],[sigla]],CRÉDITOS_GERAIS[[sigla]:[credito]],2,))</f>
        <v/>
      </c>
      <c r="AA158" s="14"/>
      <c r="AB158" s="14" t="str">
        <f>STAT[[#This Row],[ilustrador]]</f>
        <v/>
      </c>
      <c r="AC158" s="14"/>
      <c r="AD158" s="22" t="s">
        <v>405</v>
      </c>
      <c r="AE158" s="15"/>
      <c r="AF158" s="42" t="str">
        <f t="shared" si="2"/>
        <v>P007</v>
      </c>
    </row>
    <row r="159" spans="1:32" ht="72" hidden="1" x14ac:dyDescent="0.3">
      <c r="A159" s="12" t="e" cm="1">
        <f t="array" aca="1" ref="A159" ca="1">IF(STAT[[#This Row],[retranca]]="","",       RegxFunc(STAT[[#This Row],[retranca]],  "\w\d{4}\w*_\d")     )</f>
        <v>#NAME?</v>
      </c>
      <c r="B159" s="21" t="s">
        <v>406</v>
      </c>
      <c r="C159" s="14" t="s">
        <v>72</v>
      </c>
      <c r="D159" s="15" t="s">
        <v>9</v>
      </c>
      <c r="E159" s="15" t="s">
        <v>10</v>
      </c>
      <c r="F159" s="14">
        <v>41</v>
      </c>
      <c r="G159" s="15">
        <v>4</v>
      </c>
      <c r="H159" s="14">
        <v>2</v>
      </c>
      <c r="I159" s="15">
        <v>2</v>
      </c>
      <c r="J159" s="17" t="s">
        <v>55</v>
      </c>
      <c r="K159" s="36"/>
      <c r="L159" s="14"/>
      <c r="M159" s="14"/>
      <c r="N159" s="14"/>
      <c r="O159" s="14"/>
      <c r="P159" s="25" t="s">
        <v>407</v>
      </c>
      <c r="Q159" s="21"/>
      <c r="R159" s="22"/>
      <c r="S159" s="14">
        <v>10</v>
      </c>
      <c r="T159" s="27">
        <v>45813</v>
      </c>
      <c r="U159" s="27">
        <v>45814</v>
      </c>
      <c r="V159" s="27">
        <v>45817</v>
      </c>
      <c r="W159" s="27">
        <v>45818</v>
      </c>
      <c r="X159" s="27">
        <v>45819</v>
      </c>
      <c r="Y159" s="14" t="s">
        <v>375</v>
      </c>
      <c r="Z159" s="40" t="str">
        <f>IF(STAT[[#This Row],[sigla]]="","",VLOOKUP(STAT[[#This Row],[sigla]],CRÉDITOS_GERAIS[[sigla]:[credito]],2,))</f>
        <v>Lídia Farias</v>
      </c>
      <c r="AA159" s="14"/>
      <c r="AB159" s="14" t="str">
        <f>STAT[[#This Row],[ilustrador]]</f>
        <v>Lídia Farias</v>
      </c>
      <c r="AC159" s="14">
        <v>6</v>
      </c>
      <c r="AD159" s="22" t="s">
        <v>376</v>
      </c>
      <c r="AE159" s="14" t="s">
        <v>87</v>
      </c>
      <c r="AF159" s="42" t="str">
        <f t="shared" si="2"/>
        <v>P007</v>
      </c>
    </row>
    <row r="160" spans="1:32" ht="28.8" hidden="1" x14ac:dyDescent="0.3">
      <c r="A160" s="12" t="e" cm="1">
        <f t="array" aca="1" ref="A160" ca="1">IF(STAT[[#This Row],[retranca]]="","",       RegxFunc(STAT[[#This Row],[retranca]],  "\w\d{4}\w*_\d")     )</f>
        <v>#NAME?</v>
      </c>
      <c r="B160" s="21" t="s">
        <v>408</v>
      </c>
      <c r="C160" s="14" t="s">
        <v>72</v>
      </c>
      <c r="D160" s="15" t="s">
        <v>9</v>
      </c>
      <c r="E160" s="15" t="s">
        <v>10</v>
      </c>
      <c r="F160" s="14">
        <v>45</v>
      </c>
      <c r="G160" s="15">
        <v>4</v>
      </c>
      <c r="H160" s="14">
        <v>3</v>
      </c>
      <c r="I160" s="15">
        <v>3</v>
      </c>
      <c r="J160" s="17" t="s">
        <v>55</v>
      </c>
      <c r="K160" s="36"/>
      <c r="L160" s="14"/>
      <c r="M160" s="14"/>
      <c r="N160" s="14"/>
      <c r="O160" s="14"/>
      <c r="P160" s="25" t="s">
        <v>409</v>
      </c>
      <c r="Q160" s="21"/>
      <c r="R160" s="22"/>
      <c r="S160" s="14">
        <v>11</v>
      </c>
      <c r="T160" s="27">
        <v>45817</v>
      </c>
      <c r="U160" s="27">
        <v>45818</v>
      </c>
      <c r="V160" s="27">
        <v>45820</v>
      </c>
      <c r="W160" s="27">
        <v>45820</v>
      </c>
      <c r="X160" s="27">
        <v>45825</v>
      </c>
      <c r="Y160" s="14" t="s">
        <v>94</v>
      </c>
      <c r="Z160" s="40" t="str">
        <f>IF(STAT[[#This Row],[sigla]]="","",VLOOKUP(STAT[[#This Row],[sigla]],CRÉDITOS_GERAIS[[sigla]:[credito]],2,))</f>
        <v>Thais Castro</v>
      </c>
      <c r="AA160" s="14"/>
      <c r="AB160" s="14" t="str">
        <f>STAT[[#This Row],[ilustrador]]</f>
        <v>Thais Castro</v>
      </c>
      <c r="AC160" s="14">
        <v>3</v>
      </c>
      <c r="AD160" s="22" t="s">
        <v>410</v>
      </c>
      <c r="AE160" s="14" t="s">
        <v>87</v>
      </c>
      <c r="AF160" s="42" t="str">
        <f t="shared" si="2"/>
        <v>P007</v>
      </c>
    </row>
    <row r="161" spans="1:32" ht="57.6" hidden="1" x14ac:dyDescent="0.3">
      <c r="A161" s="12" t="e" cm="1">
        <f t="array" aca="1" ref="A161" ca="1">IF(STAT[[#This Row],[retranca]]="","",       RegxFunc(STAT[[#This Row],[retranca]],  "\w\d{4}\w*_\d")     )</f>
        <v>#NAME?</v>
      </c>
      <c r="B161" s="21" t="s">
        <v>411</v>
      </c>
      <c r="C161" s="14" t="s">
        <v>72</v>
      </c>
      <c r="D161" s="15" t="s">
        <v>9</v>
      </c>
      <c r="E161" s="15" t="s">
        <v>10</v>
      </c>
      <c r="F161" s="14">
        <v>50</v>
      </c>
      <c r="G161" s="15">
        <v>4</v>
      </c>
      <c r="H161" s="14">
        <v>3</v>
      </c>
      <c r="I161" s="15">
        <v>3</v>
      </c>
      <c r="J161" s="17" t="s">
        <v>55</v>
      </c>
      <c r="K161" s="36"/>
      <c r="L161" s="14"/>
      <c r="M161" s="14"/>
      <c r="N161" s="14"/>
      <c r="O161" s="14"/>
      <c r="P161" s="25" t="s">
        <v>412</v>
      </c>
      <c r="Q161" s="21"/>
      <c r="R161" s="22"/>
      <c r="S161" s="14">
        <v>11</v>
      </c>
      <c r="T161" s="27">
        <v>45817</v>
      </c>
      <c r="U161" s="27">
        <v>45817</v>
      </c>
      <c r="V161" s="27"/>
      <c r="W161" s="27"/>
      <c r="X161" s="27">
        <v>45818</v>
      </c>
      <c r="Y161" s="14" t="s">
        <v>413</v>
      </c>
      <c r="Z161" s="40" t="e">
        <f>IF(STAT[[#This Row],[sigla]]="","",VLOOKUP(STAT[[#This Row],[sigla]],CRÉDITOS_GERAIS[[sigla]:[credito]],2,))</f>
        <v>#N/A</v>
      </c>
      <c r="AA161" s="14" t="s">
        <v>90</v>
      </c>
      <c r="AB161" s="14" t="s">
        <v>414</v>
      </c>
      <c r="AC161" s="14">
        <v>13</v>
      </c>
      <c r="AD161" s="22" t="s">
        <v>415</v>
      </c>
      <c r="AE161" s="14" t="s">
        <v>46</v>
      </c>
      <c r="AF161" s="42" t="str">
        <f t="shared" si="2"/>
        <v>P007</v>
      </c>
    </row>
    <row r="162" spans="1:32" ht="43.2" hidden="1" x14ac:dyDescent="0.3">
      <c r="A162" s="12" t="e" cm="1">
        <f t="array" aca="1" ref="A162" ca="1">IF(STAT[[#This Row],[retranca]]="","",       RegxFunc(STAT[[#This Row],[retranca]],  "\w\d{4}\w*_\d")     )</f>
        <v>#NAME?</v>
      </c>
      <c r="B162" s="21" t="s">
        <v>416</v>
      </c>
      <c r="C162" s="14" t="s">
        <v>72</v>
      </c>
      <c r="D162" s="15" t="s">
        <v>9</v>
      </c>
      <c r="E162" s="15" t="s">
        <v>10</v>
      </c>
      <c r="F162" s="14">
        <v>51</v>
      </c>
      <c r="G162" s="15">
        <v>4</v>
      </c>
      <c r="H162" s="14">
        <v>3</v>
      </c>
      <c r="I162" s="15">
        <v>3</v>
      </c>
      <c r="J162" s="17" t="s">
        <v>55</v>
      </c>
      <c r="K162" s="36"/>
      <c r="L162" s="14"/>
      <c r="M162" s="14"/>
      <c r="N162" s="14"/>
      <c r="O162" s="14"/>
      <c r="P162" s="25" t="s">
        <v>417</v>
      </c>
      <c r="Q162" s="21"/>
      <c r="R162" s="22"/>
      <c r="S162" s="14">
        <v>11</v>
      </c>
      <c r="T162" s="27">
        <v>45817</v>
      </c>
      <c r="U162" s="27">
        <v>45818</v>
      </c>
      <c r="V162" s="27">
        <v>45824</v>
      </c>
      <c r="W162" s="27">
        <v>45825</v>
      </c>
      <c r="X162" s="27">
        <v>45826</v>
      </c>
      <c r="Y162" s="14" t="s">
        <v>375</v>
      </c>
      <c r="Z162" s="40" t="str">
        <f>IF(STAT[[#This Row],[sigla]]="","",VLOOKUP(STAT[[#This Row],[sigla]],CRÉDITOS_GERAIS[[sigla]:[credito]],2,))</f>
        <v>Lídia Farias</v>
      </c>
      <c r="AA162" s="14"/>
      <c r="AB162" s="14" t="str">
        <f>STAT[[#This Row],[ilustrador]]</f>
        <v>Lídia Farias</v>
      </c>
      <c r="AC162" s="14">
        <v>4</v>
      </c>
      <c r="AD162" s="22" t="s">
        <v>418</v>
      </c>
      <c r="AE162" s="14" t="s">
        <v>87</v>
      </c>
      <c r="AF162" s="42" t="str">
        <f t="shared" si="2"/>
        <v>P007</v>
      </c>
    </row>
    <row r="163" spans="1:32" ht="100.8" hidden="1" x14ac:dyDescent="0.3">
      <c r="A163" s="12" t="e" cm="1">
        <f t="array" aca="1" ref="A163" ca="1">IF(STAT[[#This Row],[retranca]]="","",       RegxFunc(STAT[[#This Row],[retranca]],  "\w\d{4}\w*_\d")     )</f>
        <v>#NAME?</v>
      </c>
      <c r="B163" s="21" t="s">
        <v>419</v>
      </c>
      <c r="C163" s="14" t="s">
        <v>72</v>
      </c>
      <c r="D163" s="15" t="s">
        <v>9</v>
      </c>
      <c r="E163" s="15" t="s">
        <v>10</v>
      </c>
      <c r="F163" s="14">
        <v>57</v>
      </c>
      <c r="G163" s="15">
        <v>4</v>
      </c>
      <c r="H163" s="14">
        <v>3</v>
      </c>
      <c r="I163" s="15">
        <v>3</v>
      </c>
      <c r="J163" s="17" t="s">
        <v>55</v>
      </c>
      <c r="K163" s="36"/>
      <c r="L163" s="14"/>
      <c r="M163" s="14"/>
      <c r="N163" s="14"/>
      <c r="O163" s="14"/>
      <c r="P163" s="25" t="s">
        <v>420</v>
      </c>
      <c r="Q163" s="21"/>
      <c r="R163" s="22"/>
      <c r="S163" s="14">
        <v>11</v>
      </c>
      <c r="T163" s="27">
        <v>45817</v>
      </c>
      <c r="U163" s="27">
        <v>45818</v>
      </c>
      <c r="V163" s="27">
        <v>45820</v>
      </c>
      <c r="W163" s="27">
        <v>45820</v>
      </c>
      <c r="X163" s="27">
        <v>45825</v>
      </c>
      <c r="Y163" s="14" t="s">
        <v>94</v>
      </c>
      <c r="Z163" s="40" t="str">
        <f>IF(STAT[[#This Row],[sigla]]="","",VLOOKUP(STAT[[#This Row],[sigla]],CRÉDITOS_GERAIS[[sigla]:[credito]],2,))</f>
        <v>Thais Castro</v>
      </c>
      <c r="AA163" s="14"/>
      <c r="AB163" s="14" t="str">
        <f>STAT[[#This Row],[ilustrador]]</f>
        <v>Thais Castro</v>
      </c>
      <c r="AC163" s="14">
        <v>3</v>
      </c>
      <c r="AD163" s="22" t="s">
        <v>410</v>
      </c>
      <c r="AE163" s="14" t="s">
        <v>87</v>
      </c>
      <c r="AF163" s="42" t="str">
        <f t="shared" si="2"/>
        <v>P007</v>
      </c>
    </row>
    <row r="164" spans="1:32" ht="57.6" hidden="1" x14ac:dyDescent="0.3">
      <c r="A164" s="12" t="e" cm="1">
        <f t="array" aca="1" ref="A164" ca="1">IF(STAT[[#This Row],[retranca]]="","",       RegxFunc(STAT[[#This Row],[retranca]],  "\w\d{4}\w*_\d")     )</f>
        <v>#NAME?</v>
      </c>
      <c r="B164" s="21" t="s">
        <v>421</v>
      </c>
      <c r="C164" s="14" t="s">
        <v>72</v>
      </c>
      <c r="D164" s="15" t="s">
        <v>143</v>
      </c>
      <c r="E164" s="15" t="s">
        <v>10</v>
      </c>
      <c r="F164" s="14">
        <v>1</v>
      </c>
      <c r="G164" s="15">
        <v>4</v>
      </c>
      <c r="H164" s="14">
        <v>0</v>
      </c>
      <c r="I164" s="15" t="s">
        <v>112</v>
      </c>
      <c r="J164" s="17" t="s">
        <v>55</v>
      </c>
      <c r="K164" s="36"/>
      <c r="L164" s="14"/>
      <c r="M164" s="14"/>
      <c r="N164" s="14"/>
      <c r="O164" s="14"/>
      <c r="P164" s="25" t="s">
        <v>422</v>
      </c>
      <c r="Q164" s="21"/>
      <c r="R164" s="22"/>
      <c r="S164" s="14">
        <v>11</v>
      </c>
      <c r="T164" s="27">
        <v>45817</v>
      </c>
      <c r="U164" s="27">
        <v>45817</v>
      </c>
      <c r="V164" s="27"/>
      <c r="W164" s="27"/>
      <c r="X164" s="27">
        <v>45818</v>
      </c>
      <c r="Y164" s="14" t="s">
        <v>290</v>
      </c>
      <c r="Z164" s="40" t="str">
        <f>IF(STAT[[#This Row],[sigla]]="","",VLOOKUP(STAT[[#This Row],[sigla]],CRÉDITOS_GERAIS[[sigla]:[credito]],2,))</f>
        <v>Bruna Campos</v>
      </c>
      <c r="AA164" s="14"/>
      <c r="AB164" s="14" t="str">
        <f>STAT[[#This Row],[ilustrador]]</f>
        <v>Bruna Campos</v>
      </c>
      <c r="AC164" s="14">
        <v>13</v>
      </c>
      <c r="AD164" s="22" t="s">
        <v>196</v>
      </c>
      <c r="AE164" s="14" t="s">
        <v>46</v>
      </c>
      <c r="AF164" s="42" t="str">
        <f t="shared" si="2"/>
        <v>P007</v>
      </c>
    </row>
    <row r="165" spans="1:32" ht="43.2" hidden="1" x14ac:dyDescent="0.3">
      <c r="A165" s="12" t="e" cm="1">
        <f t="array" aca="1" ref="A165" ca="1">IF(STAT[[#This Row],[retranca]]="","",       RegxFunc(STAT[[#This Row],[retranca]],  "\w\d{4}\w*_\d")     )</f>
        <v>#NAME?</v>
      </c>
      <c r="B165" s="21" t="s">
        <v>423</v>
      </c>
      <c r="C165" s="14" t="s">
        <v>8</v>
      </c>
      <c r="D165" s="15" t="s">
        <v>9</v>
      </c>
      <c r="E165" s="15" t="s">
        <v>10</v>
      </c>
      <c r="F165" s="14">
        <v>3</v>
      </c>
      <c r="G165" s="15">
        <v>2</v>
      </c>
      <c r="H165" s="14">
        <v>0</v>
      </c>
      <c r="I165" s="15" t="s">
        <v>424</v>
      </c>
      <c r="J165" s="17" t="s">
        <v>55</v>
      </c>
      <c r="K165" s="36"/>
      <c r="L165" s="14"/>
      <c r="M165" s="14"/>
      <c r="N165" s="14"/>
      <c r="O165" s="14"/>
      <c r="P165" s="25" t="s">
        <v>425</v>
      </c>
      <c r="Q165" s="21"/>
      <c r="R165" s="22" t="s">
        <v>426</v>
      </c>
      <c r="S165" s="14"/>
      <c r="T165" s="27"/>
      <c r="U165" s="27"/>
      <c r="V165" s="27"/>
      <c r="W165" s="27"/>
      <c r="X165" s="27"/>
      <c r="Y165" s="14"/>
      <c r="Z165" s="40" t="str">
        <f>IF(STAT[[#This Row],[sigla]]="","",VLOOKUP(STAT[[#This Row],[sigla]],CRÉDITOS_GERAIS[[sigla]:[credito]],2,))</f>
        <v/>
      </c>
      <c r="AA165" s="14"/>
      <c r="AB165" s="14" t="str">
        <f>STAT[[#This Row],[ilustrador]]</f>
        <v/>
      </c>
      <c r="AC165" s="14"/>
      <c r="AD165" s="22"/>
      <c r="AE165" s="15"/>
      <c r="AF165" s="42" t="str">
        <f t="shared" si="2"/>
        <v>P007</v>
      </c>
    </row>
    <row r="166" spans="1:32" ht="28.8" hidden="1" x14ac:dyDescent="0.3">
      <c r="A166" s="12" t="e" cm="1">
        <f t="array" aca="1" ref="A166" ca="1">IF(STAT[[#This Row],[retranca]]="","",       RegxFunc(STAT[[#This Row],[retranca]],  "\w\d{4}\w*_\d")     )</f>
        <v>#NAME?</v>
      </c>
      <c r="B166" s="21" t="s">
        <v>427</v>
      </c>
      <c r="C166" s="14" t="s">
        <v>8</v>
      </c>
      <c r="D166" s="15" t="s">
        <v>9</v>
      </c>
      <c r="E166" s="15" t="s">
        <v>10</v>
      </c>
      <c r="F166" s="14">
        <v>5</v>
      </c>
      <c r="G166" s="15">
        <v>2</v>
      </c>
      <c r="H166" s="14">
        <v>0</v>
      </c>
      <c r="I166" s="15" t="s">
        <v>424</v>
      </c>
      <c r="J166" s="17" t="s">
        <v>55</v>
      </c>
      <c r="K166" s="36"/>
      <c r="L166" s="14"/>
      <c r="M166" s="14"/>
      <c r="N166" s="14"/>
      <c r="O166" s="14"/>
      <c r="P166" s="25" t="s">
        <v>428</v>
      </c>
      <c r="Q166" s="21"/>
      <c r="R166" s="22" t="s">
        <v>426</v>
      </c>
      <c r="S166" s="14"/>
      <c r="T166" s="27"/>
      <c r="U166" s="27"/>
      <c r="V166" s="27"/>
      <c r="W166" s="27"/>
      <c r="X166" s="27"/>
      <c r="Y166" s="14" t="s">
        <v>429</v>
      </c>
      <c r="Z166" s="40" t="str">
        <f>IF(STAT[[#This Row],[sigla]]="","",VLOOKUP(STAT[[#This Row],[sigla]],CRÉDITOS_GERAIS[[sigla]:[credito]],2,))</f>
        <v>Gustavo Ramos</v>
      </c>
      <c r="AA166" s="14"/>
      <c r="AB166" s="14" t="str">
        <f>STAT[[#This Row],[ilustrador]]</f>
        <v>Gustavo Ramos</v>
      </c>
      <c r="AC166" s="14">
        <v>3</v>
      </c>
      <c r="AD166" s="22" t="s">
        <v>430</v>
      </c>
      <c r="AE166" s="15"/>
      <c r="AF166" s="42" t="str">
        <f t="shared" si="2"/>
        <v>P007</v>
      </c>
    </row>
    <row r="167" spans="1:32" hidden="1" x14ac:dyDescent="0.3">
      <c r="A167" s="12" t="e" cm="1">
        <f t="array" aca="1" ref="A167" ca="1">IF(STAT[[#This Row],[retranca]]="","",       RegxFunc(STAT[[#This Row],[retranca]],  "\w\d{4}\w*_\d")     )</f>
        <v>#NAME?</v>
      </c>
      <c r="B167" s="21" t="s">
        <v>431</v>
      </c>
      <c r="C167" s="14" t="s">
        <v>8</v>
      </c>
      <c r="D167" s="15" t="s">
        <v>9</v>
      </c>
      <c r="E167" s="15" t="s">
        <v>10</v>
      </c>
      <c r="F167" s="14">
        <v>7</v>
      </c>
      <c r="G167" s="15">
        <v>2</v>
      </c>
      <c r="H167" s="14">
        <v>0</v>
      </c>
      <c r="I167" s="15" t="s">
        <v>424</v>
      </c>
      <c r="J167" s="17" t="s">
        <v>55</v>
      </c>
      <c r="K167" s="36"/>
      <c r="L167" s="14"/>
      <c r="M167" s="14"/>
      <c r="N167" s="14"/>
      <c r="O167" s="14"/>
      <c r="P167" s="25" t="s">
        <v>432</v>
      </c>
      <c r="Q167" s="21"/>
      <c r="R167" s="22" t="s">
        <v>426</v>
      </c>
      <c r="S167" s="14"/>
      <c r="T167" s="27"/>
      <c r="U167" s="27"/>
      <c r="V167" s="27"/>
      <c r="W167" s="27"/>
      <c r="X167" s="27"/>
      <c r="Y167" s="14" t="s">
        <v>429</v>
      </c>
      <c r="Z167" s="40" t="str">
        <f>IF(STAT[[#This Row],[sigla]]="","",VLOOKUP(STAT[[#This Row],[sigla]],CRÉDITOS_GERAIS[[sigla]:[credito]],2,))</f>
        <v>Gustavo Ramos</v>
      </c>
      <c r="AA167" s="14"/>
      <c r="AB167" s="14" t="str">
        <f>STAT[[#This Row],[ilustrador]]</f>
        <v>Gustavo Ramos</v>
      </c>
      <c r="AC167" s="14">
        <v>4</v>
      </c>
      <c r="AD167" s="22" t="s">
        <v>430</v>
      </c>
      <c r="AE167" s="15"/>
      <c r="AF167" s="42" t="str">
        <f t="shared" si="2"/>
        <v>P007</v>
      </c>
    </row>
    <row r="168" spans="1:32" hidden="1" x14ac:dyDescent="0.3">
      <c r="A168" s="12" t="e" cm="1">
        <f t="array" aca="1" ref="A168" ca="1">IF(STAT[[#This Row],[retranca]]="","",       RegxFunc(STAT[[#This Row],[retranca]],  "\w\d{4}\w*_\d")     )</f>
        <v>#NAME?</v>
      </c>
      <c r="B168" s="21" t="s">
        <v>433</v>
      </c>
      <c r="C168" s="14" t="s">
        <v>8</v>
      </c>
      <c r="D168" s="15" t="s">
        <v>9</v>
      </c>
      <c r="E168" s="15" t="s">
        <v>10</v>
      </c>
      <c r="F168" s="14">
        <v>9</v>
      </c>
      <c r="G168" s="15">
        <v>2</v>
      </c>
      <c r="H168" s="14">
        <v>0</v>
      </c>
      <c r="I168" s="15" t="s">
        <v>424</v>
      </c>
      <c r="J168" s="17" t="s">
        <v>55</v>
      </c>
      <c r="K168" s="36"/>
      <c r="L168" s="14"/>
      <c r="M168" s="14"/>
      <c r="N168" s="14"/>
      <c r="O168" s="14"/>
      <c r="P168" s="25" t="s">
        <v>434</v>
      </c>
      <c r="Q168" s="21"/>
      <c r="R168" s="22" t="s">
        <v>426</v>
      </c>
      <c r="S168" s="14"/>
      <c r="T168" s="27"/>
      <c r="U168" s="27"/>
      <c r="V168" s="27"/>
      <c r="W168" s="27"/>
      <c r="X168" s="27"/>
      <c r="Y168" s="14" t="s">
        <v>429</v>
      </c>
      <c r="Z168" s="40" t="str">
        <f>IF(STAT[[#This Row],[sigla]]="","",VLOOKUP(STAT[[#This Row],[sigla]],CRÉDITOS_GERAIS[[sigla]:[credito]],2,))</f>
        <v>Gustavo Ramos</v>
      </c>
      <c r="AA168" s="14"/>
      <c r="AB168" s="14" t="str">
        <f>STAT[[#This Row],[ilustrador]]</f>
        <v>Gustavo Ramos</v>
      </c>
      <c r="AC168" s="14">
        <v>3</v>
      </c>
      <c r="AD168" s="22" t="s">
        <v>430</v>
      </c>
      <c r="AE168" s="15"/>
      <c r="AF168" s="42" t="str">
        <f t="shared" si="2"/>
        <v>P007</v>
      </c>
    </row>
    <row r="169" spans="1:32" hidden="1" x14ac:dyDescent="0.3">
      <c r="A169" s="12" t="e" cm="1">
        <f t="array" aca="1" ref="A169" ca="1">IF(STAT[[#This Row],[retranca]]="","",       RegxFunc(STAT[[#This Row],[retranca]],  "\w\d{4}\w*_\d")     )</f>
        <v>#NAME?</v>
      </c>
      <c r="B169" s="21" t="s">
        <v>435</v>
      </c>
      <c r="C169" s="14" t="s">
        <v>8</v>
      </c>
      <c r="D169" s="15" t="s">
        <v>9</v>
      </c>
      <c r="E169" s="15" t="s">
        <v>10</v>
      </c>
      <c r="F169" s="14">
        <v>11</v>
      </c>
      <c r="G169" s="15">
        <v>2</v>
      </c>
      <c r="H169" s="14">
        <v>0</v>
      </c>
      <c r="I169" s="15" t="s">
        <v>424</v>
      </c>
      <c r="J169" s="17" t="s">
        <v>55</v>
      </c>
      <c r="K169" s="36"/>
      <c r="L169" s="14"/>
      <c r="M169" s="14"/>
      <c r="N169" s="14"/>
      <c r="O169" s="14"/>
      <c r="P169" s="25" t="s">
        <v>436</v>
      </c>
      <c r="Q169" s="21"/>
      <c r="R169" s="22" t="s">
        <v>426</v>
      </c>
      <c r="S169" s="14"/>
      <c r="T169" s="27"/>
      <c r="U169" s="27"/>
      <c r="V169" s="27"/>
      <c r="W169" s="27"/>
      <c r="X169" s="27"/>
      <c r="Y169" s="14" t="s">
        <v>429</v>
      </c>
      <c r="Z169" s="40" t="str">
        <f>IF(STAT[[#This Row],[sigla]]="","",VLOOKUP(STAT[[#This Row],[sigla]],CRÉDITOS_GERAIS[[sigla]:[credito]],2,))</f>
        <v>Gustavo Ramos</v>
      </c>
      <c r="AA169" s="14"/>
      <c r="AB169" s="14" t="str">
        <f>STAT[[#This Row],[ilustrador]]</f>
        <v>Gustavo Ramos</v>
      </c>
      <c r="AC169" s="14">
        <v>3</v>
      </c>
      <c r="AD169" s="22" t="s">
        <v>430</v>
      </c>
      <c r="AE169" s="15"/>
      <c r="AF169" s="42" t="str">
        <f t="shared" si="2"/>
        <v>P007</v>
      </c>
    </row>
    <row r="170" spans="1:32" hidden="1" x14ac:dyDescent="0.3">
      <c r="A170" s="12" t="e" cm="1">
        <f t="array" aca="1" ref="A170" ca="1">IF(STAT[[#This Row],[retranca]]="","",       RegxFunc(STAT[[#This Row],[retranca]],  "\w\d{4}\w*_\d")     )</f>
        <v>#NAME?</v>
      </c>
      <c r="B170" s="21" t="s">
        <v>437</v>
      </c>
      <c r="C170" s="14" t="s">
        <v>8</v>
      </c>
      <c r="D170" s="15" t="s">
        <v>9</v>
      </c>
      <c r="E170" s="15" t="s">
        <v>10</v>
      </c>
      <c r="F170" s="14">
        <v>13</v>
      </c>
      <c r="G170" s="15">
        <v>2</v>
      </c>
      <c r="H170" s="14">
        <v>0</v>
      </c>
      <c r="I170" s="15" t="s">
        <v>424</v>
      </c>
      <c r="J170" s="17" t="s">
        <v>55</v>
      </c>
      <c r="K170" s="36"/>
      <c r="L170" s="14"/>
      <c r="M170" s="14"/>
      <c r="N170" s="14"/>
      <c r="O170" s="14"/>
      <c r="P170" s="25" t="s">
        <v>438</v>
      </c>
      <c r="Q170" s="21"/>
      <c r="R170" s="22" t="s">
        <v>426</v>
      </c>
      <c r="S170" s="14"/>
      <c r="T170" s="27"/>
      <c r="U170" s="27"/>
      <c r="V170" s="27"/>
      <c r="W170" s="27"/>
      <c r="X170" s="27"/>
      <c r="Y170" s="14" t="s">
        <v>429</v>
      </c>
      <c r="Z170" s="40" t="str">
        <f>IF(STAT[[#This Row],[sigla]]="","",VLOOKUP(STAT[[#This Row],[sigla]],CRÉDITOS_GERAIS[[sigla]:[credito]],2,))</f>
        <v>Gustavo Ramos</v>
      </c>
      <c r="AA170" s="14"/>
      <c r="AB170" s="14" t="str">
        <f>STAT[[#This Row],[ilustrador]]</f>
        <v>Gustavo Ramos</v>
      </c>
      <c r="AC170" s="14">
        <v>3</v>
      </c>
      <c r="AD170" s="22" t="s">
        <v>430</v>
      </c>
      <c r="AE170" s="15"/>
      <c r="AF170" s="42" t="str">
        <f t="shared" si="2"/>
        <v>P007</v>
      </c>
    </row>
    <row r="171" spans="1:32" hidden="1" x14ac:dyDescent="0.3">
      <c r="A171" s="12" t="e" cm="1">
        <f t="array" aca="1" ref="A171" ca="1">IF(STAT[[#This Row],[retranca]]="","",       RegxFunc(STAT[[#This Row],[retranca]],  "\w\d{4}\w*_\d")     )</f>
        <v>#NAME?</v>
      </c>
      <c r="B171" s="21" t="s">
        <v>439</v>
      </c>
      <c r="C171" s="14" t="s">
        <v>8</v>
      </c>
      <c r="D171" s="15" t="s">
        <v>9</v>
      </c>
      <c r="E171" s="15" t="s">
        <v>10</v>
      </c>
      <c r="F171" s="14">
        <v>15</v>
      </c>
      <c r="G171" s="15">
        <v>2</v>
      </c>
      <c r="H171" s="14">
        <v>0</v>
      </c>
      <c r="I171" s="15" t="s">
        <v>424</v>
      </c>
      <c r="J171" s="17" t="s">
        <v>55</v>
      </c>
      <c r="K171" s="36"/>
      <c r="L171" s="14"/>
      <c r="M171" s="14"/>
      <c r="N171" s="14"/>
      <c r="O171" s="14"/>
      <c r="P171" s="25" t="s">
        <v>440</v>
      </c>
      <c r="Q171" s="21"/>
      <c r="R171" s="22" t="s">
        <v>426</v>
      </c>
      <c r="S171" s="14"/>
      <c r="T171" s="27"/>
      <c r="U171" s="27"/>
      <c r="V171" s="27"/>
      <c r="W171" s="27"/>
      <c r="X171" s="27"/>
      <c r="Y171" s="14" t="s">
        <v>429</v>
      </c>
      <c r="Z171" s="40" t="str">
        <f>IF(STAT[[#This Row],[sigla]]="","",VLOOKUP(STAT[[#This Row],[sigla]],CRÉDITOS_GERAIS[[sigla]:[credito]],2,))</f>
        <v>Gustavo Ramos</v>
      </c>
      <c r="AA171" s="14"/>
      <c r="AB171" s="14"/>
      <c r="AC171" s="14">
        <v>4</v>
      </c>
      <c r="AD171" s="22" t="s">
        <v>430</v>
      </c>
      <c r="AE171" s="15"/>
      <c r="AF171" s="42" t="str">
        <f t="shared" si="2"/>
        <v>P007</v>
      </c>
    </row>
    <row r="172" spans="1:32" hidden="1" x14ac:dyDescent="0.3">
      <c r="A172" s="12" t="e" cm="1">
        <f t="array" aca="1" ref="A172" ca="1">IF(STAT[[#This Row],[retranca]]="","",       RegxFunc(STAT[[#This Row],[retranca]],  "\w\d{4}\w*_\d")     )</f>
        <v>#NAME?</v>
      </c>
      <c r="B172" s="21" t="s">
        <v>441</v>
      </c>
      <c r="C172" s="14" t="s">
        <v>8</v>
      </c>
      <c r="D172" s="15" t="s">
        <v>9</v>
      </c>
      <c r="E172" s="15" t="s">
        <v>10</v>
      </c>
      <c r="F172" s="14">
        <v>17</v>
      </c>
      <c r="G172" s="15">
        <v>2</v>
      </c>
      <c r="H172" s="14">
        <v>0</v>
      </c>
      <c r="I172" s="15" t="s">
        <v>424</v>
      </c>
      <c r="J172" s="17" t="s">
        <v>55</v>
      </c>
      <c r="K172" s="36"/>
      <c r="L172" s="14"/>
      <c r="M172" s="14"/>
      <c r="N172" s="14"/>
      <c r="O172" s="14"/>
      <c r="P172" s="25" t="s">
        <v>442</v>
      </c>
      <c r="Q172" s="21"/>
      <c r="R172" s="22" t="s">
        <v>426</v>
      </c>
      <c r="S172" s="14"/>
      <c r="T172" s="27"/>
      <c r="U172" s="27"/>
      <c r="V172" s="27"/>
      <c r="W172" s="27"/>
      <c r="X172" s="27"/>
      <c r="Y172" s="14" t="s">
        <v>429</v>
      </c>
      <c r="Z172" s="40" t="str">
        <f>IF(STAT[[#This Row],[sigla]]="","",VLOOKUP(STAT[[#This Row],[sigla]],CRÉDITOS_GERAIS[[sigla]:[credito]],2,))</f>
        <v>Gustavo Ramos</v>
      </c>
      <c r="AA172" s="14"/>
      <c r="AB172" s="14" t="str">
        <f>STAT[[#This Row],[ilustrador]]</f>
        <v>Gustavo Ramos</v>
      </c>
      <c r="AC172" s="14">
        <v>4</v>
      </c>
      <c r="AD172" s="22" t="s">
        <v>430</v>
      </c>
      <c r="AE172" s="15"/>
      <c r="AF172" s="42" t="str">
        <f t="shared" si="2"/>
        <v>P007</v>
      </c>
    </row>
    <row r="173" spans="1:32" hidden="1" x14ac:dyDescent="0.3">
      <c r="A173" s="12" t="e" cm="1">
        <f t="array" aca="1" ref="A173" ca="1">IF(STAT[[#This Row],[retranca]]="","",       RegxFunc(STAT[[#This Row],[retranca]],  "\w\d{4}\w*_\d")     )</f>
        <v>#NAME?</v>
      </c>
      <c r="B173" s="21" t="s">
        <v>443</v>
      </c>
      <c r="C173" s="14" t="s">
        <v>8</v>
      </c>
      <c r="D173" s="15" t="s">
        <v>9</v>
      </c>
      <c r="E173" s="15" t="s">
        <v>10</v>
      </c>
      <c r="F173" s="14">
        <v>26</v>
      </c>
      <c r="G173" s="15">
        <v>2</v>
      </c>
      <c r="H173" s="14">
        <v>0</v>
      </c>
      <c r="I173" s="15" t="s">
        <v>424</v>
      </c>
      <c r="J173" s="17" t="s">
        <v>55</v>
      </c>
      <c r="K173" s="36"/>
      <c r="L173" s="14"/>
      <c r="M173" s="14"/>
      <c r="N173" s="14"/>
      <c r="O173" s="14"/>
      <c r="P173" s="25" t="s">
        <v>444</v>
      </c>
      <c r="Q173" s="21"/>
      <c r="R173" s="22" t="s">
        <v>426</v>
      </c>
      <c r="S173" s="14"/>
      <c r="T173" s="27"/>
      <c r="U173" s="27"/>
      <c r="V173" s="27"/>
      <c r="W173" s="27"/>
      <c r="X173" s="27"/>
      <c r="Y173" s="14"/>
      <c r="Z173" s="40" t="str">
        <f>IF(STAT[[#This Row],[sigla]]="","",VLOOKUP(STAT[[#This Row],[sigla]],CRÉDITOS_GERAIS[[sigla]:[credito]],2,))</f>
        <v/>
      </c>
      <c r="AA173" s="14"/>
      <c r="AB173" s="14" t="str">
        <f>STAT[[#This Row],[ilustrador]]</f>
        <v/>
      </c>
      <c r="AC173" s="14"/>
      <c r="AD173" s="22"/>
      <c r="AE173" s="15"/>
      <c r="AF173" s="42" t="str">
        <f t="shared" si="2"/>
        <v>P007</v>
      </c>
    </row>
    <row r="174" spans="1:32" hidden="1" x14ac:dyDescent="0.3">
      <c r="A174" s="12" t="e" cm="1">
        <f t="array" aca="1" ref="A174" ca="1">IF(STAT[[#This Row],[retranca]]="","",       RegxFunc(STAT[[#This Row],[retranca]],  "\w\d{4}\w*_\d")     )</f>
        <v>#NAME?</v>
      </c>
      <c r="B174" s="21" t="s">
        <v>445</v>
      </c>
      <c r="C174" s="14" t="s">
        <v>8</v>
      </c>
      <c r="D174" s="15" t="s">
        <v>9</v>
      </c>
      <c r="E174" s="15" t="s">
        <v>10</v>
      </c>
      <c r="F174" s="14">
        <v>27</v>
      </c>
      <c r="G174" s="15">
        <v>2</v>
      </c>
      <c r="H174" s="14">
        <v>0</v>
      </c>
      <c r="I174" s="15" t="s">
        <v>424</v>
      </c>
      <c r="J174" s="17" t="s">
        <v>55</v>
      </c>
      <c r="K174" s="36"/>
      <c r="L174" s="14"/>
      <c r="M174" s="14"/>
      <c r="N174" s="14"/>
      <c r="O174" s="14"/>
      <c r="P174" s="25" t="s">
        <v>446</v>
      </c>
      <c r="Q174" s="21"/>
      <c r="R174" s="22" t="s">
        <v>426</v>
      </c>
      <c r="S174" s="14"/>
      <c r="T174" s="27"/>
      <c r="U174" s="27"/>
      <c r="V174" s="27"/>
      <c r="W174" s="27"/>
      <c r="X174" s="27"/>
      <c r="Y174" s="14" t="s">
        <v>429</v>
      </c>
      <c r="Z174" s="40" t="str">
        <f>IF(STAT[[#This Row],[sigla]]="","",VLOOKUP(STAT[[#This Row],[sigla]],CRÉDITOS_GERAIS[[sigla]:[credito]],2,))</f>
        <v>Gustavo Ramos</v>
      </c>
      <c r="AA174" s="14"/>
      <c r="AB174" s="14" t="str">
        <f>STAT[[#This Row],[ilustrador]]</f>
        <v>Gustavo Ramos</v>
      </c>
      <c r="AC174" s="14">
        <v>4</v>
      </c>
      <c r="AD174" s="22" t="s">
        <v>430</v>
      </c>
      <c r="AE174" s="15"/>
      <c r="AF174" s="42" t="str">
        <f t="shared" si="2"/>
        <v>P007</v>
      </c>
    </row>
    <row r="175" spans="1:32" hidden="1" x14ac:dyDescent="0.3">
      <c r="A175" s="12" t="e" cm="1">
        <f t="array" aca="1" ref="A175" ca="1">IF(STAT[[#This Row],[retranca]]="","",       RegxFunc(STAT[[#This Row],[retranca]],  "\w\d{4}\w*_\d")     )</f>
        <v>#NAME?</v>
      </c>
      <c r="B175" s="21" t="s">
        <v>447</v>
      </c>
      <c r="C175" s="14" t="s">
        <v>8</v>
      </c>
      <c r="D175" s="15" t="s">
        <v>9</v>
      </c>
      <c r="E175" s="15" t="s">
        <v>10</v>
      </c>
      <c r="F175" s="14">
        <v>29</v>
      </c>
      <c r="G175" s="15">
        <v>2</v>
      </c>
      <c r="H175" s="14">
        <v>0</v>
      </c>
      <c r="I175" s="15" t="s">
        <v>424</v>
      </c>
      <c r="J175" s="17" t="s">
        <v>55</v>
      </c>
      <c r="K175" s="36"/>
      <c r="L175" s="14"/>
      <c r="M175" s="14"/>
      <c r="N175" s="14"/>
      <c r="O175" s="14"/>
      <c r="P175" s="25" t="s">
        <v>448</v>
      </c>
      <c r="Q175" s="21"/>
      <c r="R175" s="22" t="s">
        <v>426</v>
      </c>
      <c r="S175" s="14"/>
      <c r="T175" s="27"/>
      <c r="U175" s="27"/>
      <c r="V175" s="27"/>
      <c r="W175" s="27"/>
      <c r="X175" s="27"/>
      <c r="Y175" s="14" t="s">
        <v>429</v>
      </c>
      <c r="Z175" s="40" t="str">
        <f>IF(STAT[[#This Row],[sigla]]="","",VLOOKUP(STAT[[#This Row],[sigla]],CRÉDITOS_GERAIS[[sigla]:[credito]],2,))</f>
        <v>Gustavo Ramos</v>
      </c>
      <c r="AA175" s="14"/>
      <c r="AB175" s="14" t="str">
        <f>STAT[[#This Row],[ilustrador]]</f>
        <v>Gustavo Ramos</v>
      </c>
      <c r="AC175" s="14">
        <v>3</v>
      </c>
      <c r="AD175" s="22" t="s">
        <v>430</v>
      </c>
      <c r="AE175" s="15"/>
      <c r="AF175" s="42" t="str">
        <f t="shared" si="2"/>
        <v>P007</v>
      </c>
    </row>
    <row r="176" spans="1:32" ht="28.8" hidden="1" x14ac:dyDescent="0.3">
      <c r="A176" s="12" t="e" cm="1">
        <f t="array" aca="1" ref="A176" ca="1">IF(STAT[[#This Row],[retranca]]="","",       RegxFunc(STAT[[#This Row],[retranca]],  "\w\d{4}\w*_\d")     )</f>
        <v>#NAME?</v>
      </c>
      <c r="B176" s="21" t="s">
        <v>449</v>
      </c>
      <c r="C176" s="14" t="s">
        <v>72</v>
      </c>
      <c r="D176" s="15" t="s">
        <v>288</v>
      </c>
      <c r="E176" s="15" t="s">
        <v>10</v>
      </c>
      <c r="F176" s="14">
        <v>58</v>
      </c>
      <c r="G176" s="15">
        <v>0</v>
      </c>
      <c r="H176" s="14">
        <v>1</v>
      </c>
      <c r="I176" s="15">
        <v>1</v>
      </c>
      <c r="J176" s="17" t="s">
        <v>55</v>
      </c>
      <c r="K176" s="36"/>
      <c r="L176" s="14"/>
      <c r="M176" s="14"/>
      <c r="N176" s="14"/>
      <c r="O176" s="14"/>
      <c r="P176" s="25" t="s">
        <v>450</v>
      </c>
      <c r="Q176" s="21"/>
      <c r="R176" s="22"/>
      <c r="S176" s="14">
        <v>12</v>
      </c>
      <c r="T176" s="27">
        <v>45821</v>
      </c>
      <c r="U176" s="27">
        <v>45821</v>
      </c>
      <c r="V176" s="27"/>
      <c r="W176" s="27"/>
      <c r="X176" s="27">
        <v>45821</v>
      </c>
      <c r="Y176" s="14" t="s">
        <v>451</v>
      </c>
      <c r="Z176" s="40" t="str">
        <f>IF(STAT[[#This Row],[sigla]]="","",VLOOKUP(STAT[[#This Row],[sigla]],CRÉDITOS_GERAIS[[sigla]:[credito]],2,))</f>
        <v>Tatiane Galheiro</v>
      </c>
      <c r="AA176" s="14"/>
      <c r="AB176" s="14" t="str">
        <f>STAT[[#This Row],[ilustrador]]</f>
        <v>Tatiane Galheiro</v>
      </c>
      <c r="AC176" s="14">
        <v>8</v>
      </c>
      <c r="AD176" s="22" t="s">
        <v>196</v>
      </c>
      <c r="AE176" s="14" t="s">
        <v>46</v>
      </c>
      <c r="AF176" s="42" t="str">
        <f t="shared" si="2"/>
        <v>P007</v>
      </c>
    </row>
    <row r="177" spans="1:32" hidden="1" x14ac:dyDescent="0.3">
      <c r="A177" s="12" t="e" cm="1">
        <f t="array" aca="1" ref="A177" ca="1">IF(STAT[[#This Row],[retranca]]="","",       RegxFunc(STAT[[#This Row],[retranca]],  "\w\d{4}\w*_\d")     )</f>
        <v>#NAME?</v>
      </c>
      <c r="B177" s="21" t="s">
        <v>452</v>
      </c>
      <c r="C177" s="14" t="s">
        <v>72</v>
      </c>
      <c r="D177" s="15" t="s">
        <v>9</v>
      </c>
      <c r="E177" s="15" t="s">
        <v>10</v>
      </c>
      <c r="F177" s="14">
        <v>67</v>
      </c>
      <c r="G177" s="15">
        <v>0</v>
      </c>
      <c r="H177" s="14">
        <v>1</v>
      </c>
      <c r="I177" s="15">
        <v>1</v>
      </c>
      <c r="J177" s="17" t="s">
        <v>55</v>
      </c>
      <c r="K177" s="36"/>
      <c r="L177" s="14"/>
      <c r="M177" s="14"/>
      <c r="N177" s="14"/>
      <c r="O177" s="14"/>
      <c r="P177" s="25" t="s">
        <v>453</v>
      </c>
      <c r="Q177" s="21"/>
      <c r="R177" s="22"/>
      <c r="S177" s="14">
        <v>13</v>
      </c>
      <c r="T177" s="27">
        <v>45821</v>
      </c>
      <c r="U177" s="27">
        <v>45824</v>
      </c>
      <c r="V177" s="27">
        <v>45825</v>
      </c>
      <c r="W177" s="27">
        <v>45826</v>
      </c>
      <c r="X177" s="27">
        <v>45828</v>
      </c>
      <c r="Y177" s="14" t="s">
        <v>84</v>
      </c>
      <c r="Z177" s="40" t="str">
        <f>IF(STAT[[#This Row],[sigla]]="","",VLOOKUP(STAT[[#This Row],[sigla]],CRÉDITOS_GERAIS[[sigla]:[credito]],2,))</f>
        <v>Gabriel Brum</v>
      </c>
      <c r="AA177" s="14"/>
      <c r="AB177" s="14" t="str">
        <f>STAT[[#This Row],[ilustrador]]</f>
        <v>Gabriel Brum</v>
      </c>
      <c r="AC177" s="14">
        <v>7</v>
      </c>
      <c r="AD177" s="22" t="s">
        <v>454</v>
      </c>
      <c r="AE177" s="14" t="s">
        <v>87</v>
      </c>
      <c r="AF177" s="42" t="str">
        <f t="shared" si="2"/>
        <v>P007</v>
      </c>
    </row>
    <row r="178" spans="1:32" ht="86.4" hidden="1" x14ac:dyDescent="0.3">
      <c r="A178" s="12" t="e" cm="1">
        <f t="array" aca="1" ref="A178" ca="1">IF(STAT[[#This Row],[retranca]]="","",       RegxFunc(STAT[[#This Row],[retranca]],  "\w\d{4}\w*_\d")     )</f>
        <v>#NAME?</v>
      </c>
      <c r="B178" s="21" t="s">
        <v>455</v>
      </c>
      <c r="C178" s="14" t="s">
        <v>72</v>
      </c>
      <c r="D178" s="15" t="s">
        <v>9</v>
      </c>
      <c r="E178" s="15" t="s">
        <v>10</v>
      </c>
      <c r="F178" s="14">
        <v>62</v>
      </c>
      <c r="G178" s="15">
        <v>4</v>
      </c>
      <c r="H178" s="14">
        <v>4</v>
      </c>
      <c r="I178" s="15">
        <v>4</v>
      </c>
      <c r="J178" s="17" t="s">
        <v>55</v>
      </c>
      <c r="K178" s="36"/>
      <c r="L178" s="14"/>
      <c r="M178" s="14"/>
      <c r="N178" s="14"/>
      <c r="O178" s="14"/>
      <c r="P178" s="25" t="s">
        <v>456</v>
      </c>
      <c r="Q178" s="21"/>
      <c r="R178" s="22"/>
      <c r="S178" s="14">
        <v>14</v>
      </c>
      <c r="T178" s="27">
        <v>45824</v>
      </c>
      <c r="U178" s="27">
        <v>45825</v>
      </c>
      <c r="V178" s="27">
        <v>45828</v>
      </c>
      <c r="W178" s="27">
        <v>45828</v>
      </c>
      <c r="X178" s="27">
        <v>45831</v>
      </c>
      <c r="Y178" s="14" t="s">
        <v>375</v>
      </c>
      <c r="Z178" s="40" t="str">
        <f>IF(STAT[[#This Row],[sigla]]="","",VLOOKUP(STAT[[#This Row],[sigla]],CRÉDITOS_GERAIS[[sigla]:[credito]],2,))</f>
        <v>Lídia Farias</v>
      </c>
      <c r="AA178" s="14"/>
      <c r="AB178" s="14" t="str">
        <f>STAT[[#This Row],[ilustrador]]</f>
        <v>Lídia Farias</v>
      </c>
      <c r="AC178" s="14">
        <v>4</v>
      </c>
      <c r="AD178" s="22" t="s">
        <v>457</v>
      </c>
      <c r="AE178" s="14" t="s">
        <v>87</v>
      </c>
      <c r="AF178" s="42" t="str">
        <f t="shared" si="2"/>
        <v>P007</v>
      </c>
    </row>
    <row r="179" spans="1:32" hidden="1" x14ac:dyDescent="0.3">
      <c r="A179" s="12" t="e" cm="1">
        <f t="array" aca="1" ref="A179" ca="1">IF(STAT[[#This Row],[retranca]]="","",       RegxFunc(STAT[[#This Row],[retranca]],  "\w\d{4}\w*_\d")     )</f>
        <v>#NAME?</v>
      </c>
      <c r="B179" s="21" t="s">
        <v>458</v>
      </c>
      <c r="C179" s="14" t="s">
        <v>72</v>
      </c>
      <c r="D179" s="15" t="s">
        <v>143</v>
      </c>
      <c r="E179" s="15" t="s">
        <v>10</v>
      </c>
      <c r="F179" s="14">
        <v>74</v>
      </c>
      <c r="G179" s="15">
        <v>4</v>
      </c>
      <c r="H179" s="14">
        <v>4</v>
      </c>
      <c r="I179" s="15">
        <v>4</v>
      </c>
      <c r="J179" s="17" t="s">
        <v>55</v>
      </c>
      <c r="K179" s="36"/>
      <c r="L179" s="14"/>
      <c r="M179" s="14"/>
      <c r="N179" s="14"/>
      <c r="O179" s="14"/>
      <c r="P179" s="25" t="s">
        <v>459</v>
      </c>
      <c r="Q179" s="21"/>
      <c r="R179" s="22"/>
      <c r="S179" s="14">
        <v>14</v>
      </c>
      <c r="T179" s="27">
        <v>45824</v>
      </c>
      <c r="U179" s="27">
        <v>45825</v>
      </c>
      <c r="V179" s="27"/>
      <c r="W179" s="27"/>
      <c r="X179" s="27">
        <v>45825</v>
      </c>
      <c r="Y179" s="14" t="s">
        <v>207</v>
      </c>
      <c r="Z179" s="40" t="str">
        <f>IF(STAT[[#This Row],[sigla]]="","",VLOOKUP(STAT[[#This Row],[sigla]],CRÉDITOS_GERAIS[[sigla]:[credito]],2,))</f>
        <v>Vinícius Costa</v>
      </c>
      <c r="AA179" s="14"/>
      <c r="AB179" s="14" t="str">
        <f>STAT[[#This Row],[ilustrador]]</f>
        <v>Vinícius Costa</v>
      </c>
      <c r="AC179" s="14">
        <v>8</v>
      </c>
      <c r="AD179" s="22" t="s">
        <v>415</v>
      </c>
      <c r="AE179" s="14" t="s">
        <v>46</v>
      </c>
      <c r="AF179" s="42" t="str">
        <f t="shared" si="2"/>
        <v>P007</v>
      </c>
    </row>
    <row r="180" spans="1:32" hidden="1" x14ac:dyDescent="0.3">
      <c r="A180" s="12" t="e" cm="1">
        <f t="array" aca="1" ref="A180" ca="1">IF(STAT[[#This Row],[retranca]]="","",       RegxFunc(STAT[[#This Row],[retranca]],  "\w\d{4}\w*_\d")     )</f>
        <v>#NAME?</v>
      </c>
      <c r="B180" s="21" t="s">
        <v>460</v>
      </c>
      <c r="C180" s="14" t="s">
        <v>72</v>
      </c>
      <c r="D180" s="15" t="s">
        <v>143</v>
      </c>
      <c r="E180" s="15" t="s">
        <v>10</v>
      </c>
      <c r="F180" s="14">
        <v>74</v>
      </c>
      <c r="G180" s="15">
        <v>4</v>
      </c>
      <c r="H180" s="14">
        <v>4</v>
      </c>
      <c r="I180" s="15">
        <v>4</v>
      </c>
      <c r="J180" s="17" t="s">
        <v>55</v>
      </c>
      <c r="K180" s="36"/>
      <c r="L180" s="14"/>
      <c r="M180" s="14"/>
      <c r="N180" s="14"/>
      <c r="O180" s="14"/>
      <c r="P180" s="25" t="s">
        <v>461</v>
      </c>
      <c r="Q180" s="21"/>
      <c r="R180" s="22"/>
      <c r="S180" s="14">
        <v>14</v>
      </c>
      <c r="T180" s="27">
        <v>45824</v>
      </c>
      <c r="U180" s="27">
        <v>45825</v>
      </c>
      <c r="V180" s="27"/>
      <c r="W180" s="27"/>
      <c r="X180" s="27">
        <v>45825</v>
      </c>
      <c r="Y180" s="14" t="s">
        <v>207</v>
      </c>
      <c r="Z180" s="40" t="str">
        <f>IF(STAT[[#This Row],[sigla]]="","",VLOOKUP(STAT[[#This Row],[sigla]],CRÉDITOS_GERAIS[[sigla]:[credito]],2,))</f>
        <v>Vinícius Costa</v>
      </c>
      <c r="AA180" s="14"/>
      <c r="AB180" s="14" t="str">
        <f>STAT[[#This Row],[ilustrador]]</f>
        <v>Vinícius Costa</v>
      </c>
      <c r="AC180" s="14">
        <v>8</v>
      </c>
      <c r="AD180" s="22" t="s">
        <v>415</v>
      </c>
      <c r="AE180" s="14" t="s">
        <v>46</v>
      </c>
      <c r="AF180" s="42" t="str">
        <f t="shared" si="2"/>
        <v>P007</v>
      </c>
    </row>
    <row r="181" spans="1:32" hidden="1" x14ac:dyDescent="0.3">
      <c r="A181" s="12" t="e" cm="1">
        <f t="array" aca="1" ref="A181" ca="1">IF(STAT[[#This Row],[retranca]]="","",       RegxFunc(STAT[[#This Row],[retranca]],  "\w\d{4}\w*_\d")     )</f>
        <v>#NAME?</v>
      </c>
      <c r="B181" s="21" t="s">
        <v>462</v>
      </c>
      <c r="C181" s="14" t="s">
        <v>72</v>
      </c>
      <c r="D181" s="15" t="s">
        <v>143</v>
      </c>
      <c r="E181" s="15" t="s">
        <v>10</v>
      </c>
      <c r="F181" s="14">
        <v>74</v>
      </c>
      <c r="G181" s="15">
        <v>4</v>
      </c>
      <c r="H181" s="14">
        <v>4</v>
      </c>
      <c r="I181" s="15">
        <v>4</v>
      </c>
      <c r="J181" s="17" t="s">
        <v>55</v>
      </c>
      <c r="K181" s="36"/>
      <c r="L181" s="14"/>
      <c r="M181" s="14"/>
      <c r="N181" s="14"/>
      <c r="O181" s="14"/>
      <c r="P181" s="25" t="s">
        <v>463</v>
      </c>
      <c r="Q181" s="21"/>
      <c r="R181" s="22"/>
      <c r="S181" s="14">
        <v>14</v>
      </c>
      <c r="T181" s="27">
        <v>45824</v>
      </c>
      <c r="U181" s="27">
        <v>45825</v>
      </c>
      <c r="V181" s="27"/>
      <c r="W181" s="27"/>
      <c r="X181" s="27">
        <v>45825</v>
      </c>
      <c r="Y181" s="14" t="s">
        <v>207</v>
      </c>
      <c r="Z181" s="40" t="str">
        <f>IF(STAT[[#This Row],[sigla]]="","",VLOOKUP(STAT[[#This Row],[sigla]],CRÉDITOS_GERAIS[[sigla]:[credito]],2,))</f>
        <v>Vinícius Costa</v>
      </c>
      <c r="AA181" s="14"/>
      <c r="AB181" s="14" t="str">
        <f>STAT[[#This Row],[ilustrador]]</f>
        <v>Vinícius Costa</v>
      </c>
      <c r="AC181" s="14">
        <v>8</v>
      </c>
      <c r="AD181" s="22" t="s">
        <v>415</v>
      </c>
      <c r="AE181" s="14" t="s">
        <v>46</v>
      </c>
      <c r="AF181" s="42" t="str">
        <f t="shared" si="2"/>
        <v>P007</v>
      </c>
    </row>
    <row r="182" spans="1:32" hidden="1" x14ac:dyDescent="0.3">
      <c r="A182" s="12" t="e" cm="1">
        <f t="array" aca="1" ref="A182" ca="1">IF(STAT[[#This Row],[retranca]]="","",       RegxFunc(STAT[[#This Row],[retranca]],  "\w\d{4}\w*_\d")     )</f>
        <v>#NAME?</v>
      </c>
      <c r="B182" s="21" t="s">
        <v>464</v>
      </c>
      <c r="C182" s="14" t="s">
        <v>72</v>
      </c>
      <c r="D182" s="15" t="s">
        <v>143</v>
      </c>
      <c r="E182" s="15" t="s">
        <v>10</v>
      </c>
      <c r="F182" s="14">
        <v>74</v>
      </c>
      <c r="G182" s="15">
        <v>4</v>
      </c>
      <c r="H182" s="14">
        <v>4</v>
      </c>
      <c r="I182" s="15">
        <v>4</v>
      </c>
      <c r="J182" s="17" t="s">
        <v>55</v>
      </c>
      <c r="K182" s="36"/>
      <c r="L182" s="14"/>
      <c r="M182" s="14"/>
      <c r="N182" s="14"/>
      <c r="O182" s="14"/>
      <c r="P182" s="25" t="s">
        <v>465</v>
      </c>
      <c r="Q182" s="21"/>
      <c r="R182" s="22"/>
      <c r="S182" s="14">
        <v>14</v>
      </c>
      <c r="T182" s="27">
        <v>45824</v>
      </c>
      <c r="U182" s="27">
        <v>45825</v>
      </c>
      <c r="V182" s="27"/>
      <c r="W182" s="27"/>
      <c r="X182" s="27">
        <v>45825</v>
      </c>
      <c r="Y182" s="14" t="s">
        <v>207</v>
      </c>
      <c r="Z182" s="40" t="str">
        <f>IF(STAT[[#This Row],[sigla]]="","",VLOOKUP(STAT[[#This Row],[sigla]],CRÉDITOS_GERAIS[[sigla]:[credito]],2,))</f>
        <v>Vinícius Costa</v>
      </c>
      <c r="AA182" s="14"/>
      <c r="AB182" s="14" t="str">
        <f>STAT[[#This Row],[ilustrador]]</f>
        <v>Vinícius Costa</v>
      </c>
      <c r="AC182" s="14">
        <v>8</v>
      </c>
      <c r="AD182" s="22" t="s">
        <v>415</v>
      </c>
      <c r="AE182" s="14" t="s">
        <v>46</v>
      </c>
      <c r="AF182" s="42" t="str">
        <f t="shared" si="2"/>
        <v>P007</v>
      </c>
    </row>
    <row r="183" spans="1:32" hidden="1" x14ac:dyDescent="0.3">
      <c r="A183" s="12" t="e" cm="1">
        <f t="array" aca="1" ref="A183" ca="1">IF(STAT[[#This Row],[retranca]]="","",       RegxFunc(STAT[[#This Row],[retranca]],  "\w\d{4}\w*_\d")     )</f>
        <v>#NAME?</v>
      </c>
      <c r="B183" s="21" t="s">
        <v>466</v>
      </c>
      <c r="C183" s="14" t="s">
        <v>72</v>
      </c>
      <c r="D183" s="15" t="s">
        <v>143</v>
      </c>
      <c r="E183" s="15" t="s">
        <v>10</v>
      </c>
      <c r="F183" s="14">
        <v>74</v>
      </c>
      <c r="G183" s="15">
        <v>4</v>
      </c>
      <c r="H183" s="14">
        <v>4</v>
      </c>
      <c r="I183" s="15">
        <v>4</v>
      </c>
      <c r="J183" s="17" t="s">
        <v>55</v>
      </c>
      <c r="K183" s="36"/>
      <c r="L183" s="14"/>
      <c r="M183" s="14"/>
      <c r="N183" s="14"/>
      <c r="O183" s="14"/>
      <c r="P183" s="25" t="s">
        <v>467</v>
      </c>
      <c r="Q183" s="21"/>
      <c r="R183" s="22"/>
      <c r="S183" s="14">
        <v>14</v>
      </c>
      <c r="T183" s="27">
        <v>45824</v>
      </c>
      <c r="U183" s="27">
        <v>45825</v>
      </c>
      <c r="V183" s="27"/>
      <c r="W183" s="27"/>
      <c r="X183" s="27">
        <v>45825</v>
      </c>
      <c r="Y183" s="14" t="s">
        <v>207</v>
      </c>
      <c r="Z183" s="40" t="str">
        <f>IF(STAT[[#This Row],[sigla]]="","",VLOOKUP(STAT[[#This Row],[sigla]],CRÉDITOS_GERAIS[[sigla]:[credito]],2,))</f>
        <v>Vinícius Costa</v>
      </c>
      <c r="AA183" s="14"/>
      <c r="AB183" s="14" t="str">
        <f>STAT[[#This Row],[ilustrador]]</f>
        <v>Vinícius Costa</v>
      </c>
      <c r="AC183" s="14">
        <v>8</v>
      </c>
      <c r="AD183" s="22" t="s">
        <v>415</v>
      </c>
      <c r="AE183" s="14" t="s">
        <v>46</v>
      </c>
      <c r="AF183" s="42" t="str">
        <f t="shared" si="2"/>
        <v>P007</v>
      </c>
    </row>
    <row r="184" spans="1:32" hidden="1" x14ac:dyDescent="0.3">
      <c r="A184" s="12" t="e" cm="1">
        <f t="array" aca="1" ref="A184" ca="1">IF(STAT[[#This Row],[retranca]]="","",       RegxFunc(STAT[[#This Row],[retranca]],  "\w\d{4}\w*_\d")     )</f>
        <v>#NAME?</v>
      </c>
      <c r="B184" s="21" t="s">
        <v>468</v>
      </c>
      <c r="C184" s="14" t="s">
        <v>72</v>
      </c>
      <c r="D184" s="15" t="s">
        <v>143</v>
      </c>
      <c r="E184" s="15" t="s">
        <v>10</v>
      </c>
      <c r="F184" s="14">
        <v>74</v>
      </c>
      <c r="G184" s="15">
        <v>4</v>
      </c>
      <c r="H184" s="14">
        <v>4</v>
      </c>
      <c r="I184" s="15">
        <v>4</v>
      </c>
      <c r="J184" s="17" t="s">
        <v>55</v>
      </c>
      <c r="K184" s="36"/>
      <c r="L184" s="14"/>
      <c r="M184" s="14"/>
      <c r="N184" s="14"/>
      <c r="O184" s="14"/>
      <c r="P184" s="25" t="s">
        <v>469</v>
      </c>
      <c r="Q184" s="21"/>
      <c r="R184" s="22"/>
      <c r="S184" s="14">
        <v>14</v>
      </c>
      <c r="T184" s="27">
        <v>45824</v>
      </c>
      <c r="U184" s="27">
        <v>45825</v>
      </c>
      <c r="V184" s="27"/>
      <c r="W184" s="27"/>
      <c r="X184" s="27">
        <v>45825</v>
      </c>
      <c r="Y184" s="14" t="s">
        <v>207</v>
      </c>
      <c r="Z184" s="40" t="str">
        <f>IF(STAT[[#This Row],[sigla]]="","",VLOOKUP(STAT[[#This Row],[sigla]],CRÉDITOS_GERAIS[[sigla]:[credito]],2,))</f>
        <v>Vinícius Costa</v>
      </c>
      <c r="AA184" s="14"/>
      <c r="AB184" s="14" t="str">
        <f>STAT[[#This Row],[ilustrador]]</f>
        <v>Vinícius Costa</v>
      </c>
      <c r="AC184" s="14">
        <v>8</v>
      </c>
      <c r="AD184" s="22" t="s">
        <v>415</v>
      </c>
      <c r="AE184" s="14" t="s">
        <v>46</v>
      </c>
      <c r="AF184" s="42" t="str">
        <f t="shared" si="2"/>
        <v>P007</v>
      </c>
    </row>
    <row r="185" spans="1:32" ht="28.8" hidden="1" x14ac:dyDescent="0.3">
      <c r="A185" s="12" t="e" cm="1">
        <f t="array" aca="1" ref="A185" ca="1">IF(STAT[[#This Row],[retranca]]="","",       RegxFunc(STAT[[#This Row],[retranca]],  "\w\d{4}\w*_\d")     )</f>
        <v>#NAME?</v>
      </c>
      <c r="B185" s="21" t="s">
        <v>470</v>
      </c>
      <c r="C185" s="14" t="s">
        <v>72</v>
      </c>
      <c r="D185" s="15" t="s">
        <v>9</v>
      </c>
      <c r="E185" s="15" t="s">
        <v>471</v>
      </c>
      <c r="F185" s="14">
        <v>12</v>
      </c>
      <c r="G185" s="15">
        <v>2</v>
      </c>
      <c r="H185" s="14">
        <v>1</v>
      </c>
      <c r="I185" s="15">
        <v>1</v>
      </c>
      <c r="J185" s="17" t="s">
        <v>55</v>
      </c>
      <c r="K185" s="36"/>
      <c r="L185" s="14"/>
      <c r="M185" s="14"/>
      <c r="N185" s="14"/>
      <c r="O185" s="14"/>
      <c r="P185" s="25" t="s">
        <v>472</v>
      </c>
      <c r="Q185" s="21"/>
      <c r="R185" s="22"/>
      <c r="S185" s="14">
        <v>15</v>
      </c>
      <c r="T185" s="27">
        <v>45824</v>
      </c>
      <c r="U185" s="27">
        <v>45824</v>
      </c>
      <c r="V185" s="27">
        <v>45825</v>
      </c>
      <c r="W185" s="27">
        <v>45826</v>
      </c>
      <c r="X185" s="27">
        <v>45828</v>
      </c>
      <c r="Y185" s="14" t="s">
        <v>119</v>
      </c>
      <c r="Z185" s="40" t="str">
        <f>IF(STAT[[#This Row],[sigla]]="","",VLOOKUP(STAT[[#This Row],[sigla]],CRÉDITOS_GERAIS[[sigla]:[credito]],2,))</f>
        <v>Bianca Tavares</v>
      </c>
      <c r="AA185" s="14"/>
      <c r="AB185" s="14" t="str">
        <f>STAT[[#This Row],[ilustrador]]</f>
        <v>Bianca Tavares</v>
      </c>
      <c r="AC185" s="14">
        <v>7</v>
      </c>
      <c r="AD185" s="22" t="s">
        <v>473</v>
      </c>
      <c r="AE185" s="14" t="s">
        <v>87</v>
      </c>
      <c r="AF185" s="42" t="str">
        <f t="shared" si="2"/>
        <v>P007</v>
      </c>
    </row>
    <row r="186" spans="1:32" hidden="1" x14ac:dyDescent="0.3">
      <c r="A186" s="12" t="e" cm="1">
        <f t="array" aca="1" ref="A186" ca="1">IF(STAT[[#This Row],[retranca]]="","",       RegxFunc(STAT[[#This Row],[retranca]],  "\w\d{4}\w*_\d")     )</f>
        <v>#NAME?</v>
      </c>
      <c r="B186" s="21" t="s">
        <v>474</v>
      </c>
      <c r="C186" s="14" t="s">
        <v>72</v>
      </c>
      <c r="D186" s="15" t="s">
        <v>9</v>
      </c>
      <c r="E186" s="15" t="s">
        <v>471</v>
      </c>
      <c r="F186" s="14">
        <v>15</v>
      </c>
      <c r="G186" s="15">
        <v>2</v>
      </c>
      <c r="H186" s="14">
        <v>1</v>
      </c>
      <c r="I186" s="15">
        <v>1</v>
      </c>
      <c r="J186" s="17" t="s">
        <v>55</v>
      </c>
      <c r="K186" s="36"/>
      <c r="L186" s="14"/>
      <c r="M186" s="14"/>
      <c r="N186" s="14"/>
      <c r="O186" s="14"/>
      <c r="P186" s="25" t="s">
        <v>475</v>
      </c>
      <c r="Q186" s="21"/>
      <c r="R186" s="22"/>
      <c r="S186" s="14">
        <v>15</v>
      </c>
      <c r="T186" s="27">
        <v>45824</v>
      </c>
      <c r="U186" s="27">
        <v>45824</v>
      </c>
      <c r="V186" s="27">
        <v>45825</v>
      </c>
      <c r="W186" s="27">
        <v>45826</v>
      </c>
      <c r="X186" s="27">
        <v>45828</v>
      </c>
      <c r="Y186" s="14" t="s">
        <v>119</v>
      </c>
      <c r="Z186" s="40" t="str">
        <f>IF(STAT[[#This Row],[sigla]]="","",VLOOKUP(STAT[[#This Row],[sigla]],CRÉDITOS_GERAIS[[sigla]:[credito]],2,))</f>
        <v>Bianca Tavares</v>
      </c>
      <c r="AA186" s="14"/>
      <c r="AB186" s="14" t="str">
        <f>STAT[[#This Row],[ilustrador]]</f>
        <v>Bianca Tavares</v>
      </c>
      <c r="AC186" s="14">
        <v>7</v>
      </c>
      <c r="AD186" s="22" t="s">
        <v>473</v>
      </c>
      <c r="AE186" s="14" t="s">
        <v>87</v>
      </c>
      <c r="AF186" s="42" t="str">
        <f t="shared" si="2"/>
        <v>P007</v>
      </c>
    </row>
    <row r="187" spans="1:32" ht="43.2" hidden="1" x14ac:dyDescent="0.3">
      <c r="A187" s="12" t="e" cm="1">
        <f t="array" aca="1" ref="A187" ca="1">IF(STAT[[#This Row],[retranca]]="","",       RegxFunc(STAT[[#This Row],[retranca]],  "\w\d{4}\w*_\d")     )</f>
        <v>#NAME?</v>
      </c>
      <c r="B187" s="21" t="s">
        <v>476</v>
      </c>
      <c r="C187" s="14" t="s">
        <v>72</v>
      </c>
      <c r="D187" s="15" t="s">
        <v>288</v>
      </c>
      <c r="E187" s="15" t="s">
        <v>10</v>
      </c>
      <c r="F187" s="14">
        <v>4</v>
      </c>
      <c r="G187" s="15">
        <v>3</v>
      </c>
      <c r="H187" s="14">
        <v>1</v>
      </c>
      <c r="I187" s="15">
        <v>1</v>
      </c>
      <c r="J187" s="17" t="s">
        <v>55</v>
      </c>
      <c r="K187" s="36"/>
      <c r="L187" s="14"/>
      <c r="M187" s="14"/>
      <c r="N187" s="14"/>
      <c r="O187" s="14"/>
      <c r="P187" s="25" t="s">
        <v>477</v>
      </c>
      <c r="Q187" s="21"/>
      <c r="R187" s="22" t="s">
        <v>478</v>
      </c>
      <c r="S187" s="14">
        <v>23</v>
      </c>
      <c r="T187" s="27">
        <v>45833</v>
      </c>
      <c r="U187" s="27">
        <v>45833</v>
      </c>
      <c r="V187" s="27"/>
      <c r="W187" s="27"/>
      <c r="X187" s="27">
        <v>45834</v>
      </c>
      <c r="Y187" s="14" t="s">
        <v>114</v>
      </c>
      <c r="Z187" s="40" t="str">
        <f>IF(STAT[[#This Row],[sigla]]="","",VLOOKUP(STAT[[#This Row],[sigla]],CRÉDITOS_GERAIS[[sigla]:[credito]],2,))</f>
        <v>Heloísa Pintarelli</v>
      </c>
      <c r="AA187" s="14"/>
      <c r="AB187" s="14" t="str">
        <f>STAT[[#This Row],[ilustrador]]</f>
        <v>Heloísa Pintarelli</v>
      </c>
      <c r="AC187" s="14">
        <v>8</v>
      </c>
      <c r="AD187" s="22" t="s">
        <v>479</v>
      </c>
      <c r="AE187" s="14" t="s">
        <v>87</v>
      </c>
      <c r="AF187" s="42" t="str">
        <f t="shared" si="2"/>
        <v>P007</v>
      </c>
    </row>
    <row r="188" spans="1:32" ht="28.8" hidden="1" x14ac:dyDescent="0.3">
      <c r="A188" s="12" t="e" cm="1">
        <f t="array" aca="1" ref="A188" ca="1">IF(STAT[[#This Row],[retranca]]="","",       RegxFunc(STAT[[#This Row],[retranca]],  "\w\d{4}\w*_\d")     )</f>
        <v>#NAME?</v>
      </c>
      <c r="B188" s="21" t="s">
        <v>480</v>
      </c>
      <c r="C188" s="14" t="s">
        <v>72</v>
      </c>
      <c r="D188" s="15" t="s">
        <v>143</v>
      </c>
      <c r="E188" s="15" t="s">
        <v>10</v>
      </c>
      <c r="F188" s="14">
        <v>5</v>
      </c>
      <c r="G188" s="15">
        <v>3</v>
      </c>
      <c r="H188" s="14">
        <v>1</v>
      </c>
      <c r="I188" s="15">
        <v>1</v>
      </c>
      <c r="J188" s="17" t="s">
        <v>55</v>
      </c>
      <c r="K188" s="36"/>
      <c r="L188" s="14"/>
      <c r="M188" s="14"/>
      <c r="N188" s="14"/>
      <c r="O188" s="14"/>
      <c r="P188" s="25" t="s">
        <v>481</v>
      </c>
      <c r="Q188" s="21"/>
      <c r="R188" s="22"/>
      <c r="S188" s="14">
        <v>16</v>
      </c>
      <c r="T188" s="27">
        <v>45824</v>
      </c>
      <c r="U188" s="27">
        <v>45825</v>
      </c>
      <c r="V188" s="27">
        <v>45828</v>
      </c>
      <c r="W188" s="27">
        <v>45831</v>
      </c>
      <c r="X188" s="27">
        <v>45832</v>
      </c>
      <c r="Y188" s="14" t="s">
        <v>84</v>
      </c>
      <c r="Z188" s="40" t="str">
        <f>IF(STAT[[#This Row],[sigla]]="","",VLOOKUP(STAT[[#This Row],[sigla]],CRÉDITOS_GERAIS[[sigla]:[credito]],2,))</f>
        <v>Gabriel Brum</v>
      </c>
      <c r="AA188" s="14"/>
      <c r="AB188" s="14" t="str">
        <f>STAT[[#This Row],[ilustrador]]</f>
        <v>Gabriel Brum</v>
      </c>
      <c r="AC188" s="14">
        <v>8</v>
      </c>
      <c r="AD188" s="22" t="s">
        <v>482</v>
      </c>
      <c r="AE188" s="14" t="s">
        <v>87</v>
      </c>
      <c r="AF188" s="42" t="str">
        <f t="shared" si="2"/>
        <v>P007</v>
      </c>
    </row>
    <row r="189" spans="1:32" ht="115.2" hidden="1" x14ac:dyDescent="0.3">
      <c r="A189" s="12" t="e" cm="1">
        <f t="array" aca="1" ref="A189" ca="1">IF(STAT[[#This Row],[retranca]]="","",       RegxFunc(STAT[[#This Row],[retranca]],  "\w\d{4}\w*_\d")     )</f>
        <v>#NAME?</v>
      </c>
      <c r="B189" s="21" t="s">
        <v>483</v>
      </c>
      <c r="C189" s="14" t="s">
        <v>72</v>
      </c>
      <c r="D189" s="15" t="s">
        <v>9</v>
      </c>
      <c r="E189" s="15" t="s">
        <v>10</v>
      </c>
      <c r="F189" s="14">
        <v>8</v>
      </c>
      <c r="G189" s="15">
        <v>3</v>
      </c>
      <c r="H189" s="14">
        <v>1</v>
      </c>
      <c r="I189" s="15">
        <v>1</v>
      </c>
      <c r="J189" s="17" t="s">
        <v>55</v>
      </c>
      <c r="K189" s="36"/>
      <c r="L189" s="14"/>
      <c r="M189" s="14"/>
      <c r="N189" s="14"/>
      <c r="O189" s="14"/>
      <c r="P189" s="25" t="s">
        <v>484</v>
      </c>
      <c r="Q189" s="21"/>
      <c r="R189" s="22"/>
      <c r="S189" s="14">
        <v>16</v>
      </c>
      <c r="T189" s="27">
        <v>45824</v>
      </c>
      <c r="U189" s="27">
        <v>45825</v>
      </c>
      <c r="V189" s="27">
        <v>45831</v>
      </c>
      <c r="W189" s="27">
        <v>45832</v>
      </c>
      <c r="X189" s="27">
        <v>45834</v>
      </c>
      <c r="Y189" s="14" t="s">
        <v>99</v>
      </c>
      <c r="Z189" s="40" t="str">
        <f>IF(STAT[[#This Row],[sigla]]="","",VLOOKUP(STAT[[#This Row],[sigla]],CRÉDITOS_GERAIS[[sigla]:[credito]],2,))</f>
        <v>Débora Mini</v>
      </c>
      <c r="AA189" s="14"/>
      <c r="AB189" s="14" t="str">
        <f>STAT[[#This Row],[ilustrador]]</f>
        <v>Débora Mini</v>
      </c>
      <c r="AC189" s="14">
        <v>3</v>
      </c>
      <c r="AD189" s="22" t="s">
        <v>485</v>
      </c>
      <c r="AE189" s="14" t="s">
        <v>87</v>
      </c>
      <c r="AF189" s="42" t="str">
        <f t="shared" si="2"/>
        <v>P007</v>
      </c>
    </row>
    <row r="190" spans="1:32" hidden="1" x14ac:dyDescent="0.3">
      <c r="A190" s="12" t="e" cm="1">
        <f t="array" aca="1" ref="A190" ca="1">IF(STAT[[#This Row],[retranca]]="","",       RegxFunc(STAT[[#This Row],[retranca]],  "\w\d{4}\w*_\d")     )</f>
        <v>#NAME?</v>
      </c>
      <c r="B190" s="21" t="s">
        <v>486</v>
      </c>
      <c r="C190" s="14" t="s">
        <v>72</v>
      </c>
      <c r="D190" s="15" t="s">
        <v>9</v>
      </c>
      <c r="E190" s="15" t="s">
        <v>10</v>
      </c>
      <c r="F190" s="14">
        <v>10</v>
      </c>
      <c r="G190" s="15">
        <v>3</v>
      </c>
      <c r="H190" s="14">
        <v>1</v>
      </c>
      <c r="I190" s="15">
        <v>1</v>
      </c>
      <c r="J190" s="17" t="s">
        <v>55</v>
      </c>
      <c r="K190" s="36"/>
      <c r="L190" s="14"/>
      <c r="M190" s="14"/>
      <c r="N190" s="14"/>
      <c r="O190" s="14"/>
      <c r="P190" s="25" t="s">
        <v>487</v>
      </c>
      <c r="Q190" s="21"/>
      <c r="R190" s="22"/>
      <c r="S190" s="14">
        <v>16</v>
      </c>
      <c r="T190" s="27">
        <v>45824</v>
      </c>
      <c r="U190" s="27">
        <v>45825</v>
      </c>
      <c r="V190" s="27">
        <v>45828</v>
      </c>
      <c r="W190" s="27">
        <v>45831</v>
      </c>
      <c r="X190" s="27">
        <v>45832</v>
      </c>
      <c r="Y190" s="14" t="s">
        <v>84</v>
      </c>
      <c r="Z190" s="40" t="str">
        <f>IF(STAT[[#This Row],[sigla]]="","",VLOOKUP(STAT[[#This Row],[sigla]],CRÉDITOS_GERAIS[[sigla]:[credito]],2,))</f>
        <v>Gabriel Brum</v>
      </c>
      <c r="AA190" s="14"/>
      <c r="AB190" s="14" t="str">
        <f>STAT[[#This Row],[ilustrador]]</f>
        <v>Gabriel Brum</v>
      </c>
      <c r="AC190" s="14">
        <v>8</v>
      </c>
      <c r="AD190" s="22" t="s">
        <v>482</v>
      </c>
      <c r="AE190" s="14" t="s">
        <v>87</v>
      </c>
      <c r="AF190" s="42" t="str">
        <f t="shared" si="2"/>
        <v>P007</v>
      </c>
    </row>
    <row r="191" spans="1:32" ht="43.2" hidden="1" x14ac:dyDescent="0.3">
      <c r="A191" s="12" t="e" cm="1">
        <f t="array" aca="1" ref="A191" ca="1">IF(STAT[[#This Row],[retranca]]="","",       RegxFunc(STAT[[#This Row],[retranca]],  "\w\d{4}\w*_\d")     )</f>
        <v>#NAME?</v>
      </c>
      <c r="B191" s="21" t="s">
        <v>488</v>
      </c>
      <c r="C191" s="14" t="s">
        <v>72</v>
      </c>
      <c r="D191" s="15" t="s">
        <v>9</v>
      </c>
      <c r="E191" s="15" t="s">
        <v>10</v>
      </c>
      <c r="F191" s="14">
        <v>11</v>
      </c>
      <c r="G191" s="15">
        <v>3</v>
      </c>
      <c r="H191" s="14">
        <v>1</v>
      </c>
      <c r="I191" s="15">
        <v>1</v>
      </c>
      <c r="J191" s="17" t="s">
        <v>55</v>
      </c>
      <c r="K191" s="36"/>
      <c r="L191" s="14"/>
      <c r="M191" s="14"/>
      <c r="N191" s="14"/>
      <c r="O191" s="14"/>
      <c r="P191" s="25" t="s">
        <v>489</v>
      </c>
      <c r="Q191" s="21"/>
      <c r="R191" s="22"/>
      <c r="S191" s="14">
        <v>16</v>
      </c>
      <c r="T191" s="27">
        <v>45824</v>
      </c>
      <c r="U191" s="27">
        <v>45825</v>
      </c>
      <c r="V191" s="27">
        <v>45828</v>
      </c>
      <c r="W191" s="27">
        <v>45831</v>
      </c>
      <c r="X191" s="27">
        <v>45832</v>
      </c>
      <c r="Y191" s="14" t="s">
        <v>84</v>
      </c>
      <c r="Z191" s="40" t="str">
        <f>IF(STAT[[#This Row],[sigla]]="","",VLOOKUP(STAT[[#This Row],[sigla]],CRÉDITOS_GERAIS[[sigla]:[credito]],2,))</f>
        <v>Gabriel Brum</v>
      </c>
      <c r="AA191" s="14"/>
      <c r="AB191" s="14" t="str">
        <f>STAT[[#This Row],[ilustrador]]</f>
        <v>Gabriel Brum</v>
      </c>
      <c r="AC191" s="14">
        <v>5</v>
      </c>
      <c r="AD191" s="62" t="s">
        <v>482</v>
      </c>
      <c r="AE191" s="14" t="s">
        <v>87</v>
      </c>
      <c r="AF191" s="42" t="str">
        <f t="shared" si="2"/>
        <v>P007</v>
      </c>
    </row>
    <row r="192" spans="1:32" hidden="1" x14ac:dyDescent="0.3">
      <c r="A192" s="12" t="e" cm="1">
        <f t="array" aca="1" ref="A192" ca="1">IF(STAT[[#This Row],[retranca]]="","",       RegxFunc(STAT[[#This Row],[retranca]],  "\w\d{4}\w*_\d")     )</f>
        <v>#NAME?</v>
      </c>
      <c r="B192" s="21" t="s">
        <v>490</v>
      </c>
      <c r="C192" s="14" t="s">
        <v>72</v>
      </c>
      <c r="D192" s="15" t="s">
        <v>9</v>
      </c>
      <c r="E192" s="15" t="s">
        <v>10</v>
      </c>
      <c r="F192" s="14">
        <v>16</v>
      </c>
      <c r="G192" s="15">
        <v>3</v>
      </c>
      <c r="H192" s="14">
        <v>1</v>
      </c>
      <c r="I192" s="15">
        <v>1</v>
      </c>
      <c r="J192" s="17" t="s">
        <v>55</v>
      </c>
      <c r="K192" s="36"/>
      <c r="L192" s="14"/>
      <c r="M192" s="14"/>
      <c r="N192" s="14"/>
      <c r="O192" s="14"/>
      <c r="P192" s="25" t="s">
        <v>491</v>
      </c>
      <c r="Q192" s="21"/>
      <c r="R192" s="22"/>
      <c r="S192" s="14">
        <v>16</v>
      </c>
      <c r="T192" s="27">
        <v>45824</v>
      </c>
      <c r="U192" s="27">
        <v>45825</v>
      </c>
      <c r="V192" s="27">
        <v>45826</v>
      </c>
      <c r="W192" s="27">
        <v>45828</v>
      </c>
      <c r="X192" s="27">
        <v>45832</v>
      </c>
      <c r="Y192" s="14" t="s">
        <v>94</v>
      </c>
      <c r="Z192" s="40" t="str">
        <f>IF(STAT[[#This Row],[sigla]]="","",VLOOKUP(STAT[[#This Row],[sigla]],CRÉDITOS_GERAIS[[sigla]:[credito]],2,))</f>
        <v>Thais Castro</v>
      </c>
      <c r="AA192" s="14"/>
      <c r="AB192" s="14" t="str">
        <f>STAT[[#This Row],[ilustrador]]</f>
        <v>Thais Castro</v>
      </c>
      <c r="AC192" s="14">
        <v>3</v>
      </c>
      <c r="AD192" s="22" t="s">
        <v>482</v>
      </c>
      <c r="AE192" s="14" t="s">
        <v>87</v>
      </c>
      <c r="AF192" s="42" t="str">
        <f t="shared" si="2"/>
        <v>P007</v>
      </c>
    </row>
    <row r="193" spans="1:32" ht="72" hidden="1" x14ac:dyDescent="0.3">
      <c r="A193" s="12" t="e" cm="1">
        <f t="array" aca="1" ref="A193" ca="1">IF(STAT[[#This Row],[retranca]]="","",       RegxFunc(STAT[[#This Row],[retranca]],  "\w\d{4}\w*_\d")     )</f>
        <v>#NAME?</v>
      </c>
      <c r="B193" s="21" t="s">
        <v>492</v>
      </c>
      <c r="C193" s="14" t="s">
        <v>72</v>
      </c>
      <c r="D193" s="15" t="s">
        <v>9</v>
      </c>
      <c r="E193" s="15" t="s">
        <v>10</v>
      </c>
      <c r="F193" s="14">
        <v>80</v>
      </c>
      <c r="G193" s="15">
        <v>4</v>
      </c>
      <c r="H193" s="14">
        <v>5</v>
      </c>
      <c r="I193" s="15">
        <v>5</v>
      </c>
      <c r="J193" s="17" t="s">
        <v>55</v>
      </c>
      <c r="K193" s="36"/>
      <c r="L193" s="14"/>
      <c r="M193" s="14"/>
      <c r="N193" s="14"/>
      <c r="O193" s="14"/>
      <c r="P193" s="25" t="s">
        <v>493</v>
      </c>
      <c r="Q193" s="21"/>
      <c r="R193" s="22"/>
      <c r="S193" s="14">
        <v>17</v>
      </c>
      <c r="T193" s="27">
        <v>45825</v>
      </c>
      <c r="U193" s="27">
        <v>45832</v>
      </c>
      <c r="V193" s="27">
        <v>45833</v>
      </c>
      <c r="W193" s="27">
        <v>45834</v>
      </c>
      <c r="X193" s="27">
        <v>45835</v>
      </c>
      <c r="Y193" s="14" t="s">
        <v>94</v>
      </c>
      <c r="Z193" s="40" t="str">
        <f>IF(STAT[[#This Row],[sigla]]="","",VLOOKUP(STAT[[#This Row],[sigla]],CRÉDITOS_GERAIS[[sigla]:[credito]],2,))</f>
        <v>Thais Castro</v>
      </c>
      <c r="AA193" s="14"/>
      <c r="AB193" s="14" t="str">
        <f>STAT[[#This Row],[ilustrador]]</f>
        <v>Thais Castro</v>
      </c>
      <c r="AC193" s="14">
        <v>5</v>
      </c>
      <c r="AD193" s="22" t="s">
        <v>494</v>
      </c>
      <c r="AE193" s="14" t="s">
        <v>87</v>
      </c>
      <c r="AF193" s="42" t="str">
        <f t="shared" si="2"/>
        <v>P007</v>
      </c>
    </row>
    <row r="194" spans="1:32" hidden="1" x14ac:dyDescent="0.3">
      <c r="A194" s="12" t="e" cm="1">
        <f t="array" aca="1" ref="A194" ca="1">IF(STAT[[#This Row],[retranca]]="","",       RegxFunc(STAT[[#This Row],[retranca]],  "\w\d{4}\w*_\d")     )</f>
        <v>#NAME?</v>
      </c>
      <c r="B194" s="21" t="s">
        <v>495</v>
      </c>
      <c r="C194" s="14" t="s">
        <v>72</v>
      </c>
      <c r="D194" s="15" t="s">
        <v>9</v>
      </c>
      <c r="E194" s="15" t="s">
        <v>10</v>
      </c>
      <c r="F194" s="14">
        <v>81</v>
      </c>
      <c r="G194" s="15">
        <v>4</v>
      </c>
      <c r="H194" s="14">
        <v>5</v>
      </c>
      <c r="I194" s="15">
        <v>5</v>
      </c>
      <c r="J194" s="17" t="s">
        <v>55</v>
      </c>
      <c r="K194" s="36"/>
      <c r="L194" s="14"/>
      <c r="M194" s="14"/>
      <c r="N194" s="14"/>
      <c r="O194" s="14"/>
      <c r="P194" s="25" t="s">
        <v>496</v>
      </c>
      <c r="Q194" s="21"/>
      <c r="R194" s="22"/>
      <c r="S194" s="14">
        <v>17</v>
      </c>
      <c r="T194" s="27">
        <v>45825</v>
      </c>
      <c r="U194" s="27">
        <v>45832</v>
      </c>
      <c r="V194" s="27">
        <v>45833</v>
      </c>
      <c r="W194" s="27">
        <v>45834</v>
      </c>
      <c r="X194" s="27">
        <v>45835</v>
      </c>
      <c r="Y194" s="14" t="s">
        <v>94</v>
      </c>
      <c r="Z194" s="40" t="str">
        <f>IF(STAT[[#This Row],[sigla]]="","",VLOOKUP(STAT[[#This Row],[sigla]],CRÉDITOS_GERAIS[[sigla]:[credito]],2,))</f>
        <v>Thais Castro</v>
      </c>
      <c r="AA194" s="14"/>
      <c r="AB194" s="14" t="str">
        <f>STAT[[#This Row],[ilustrador]]</f>
        <v>Thais Castro</v>
      </c>
      <c r="AC194" s="14">
        <v>5</v>
      </c>
      <c r="AD194" s="22" t="s">
        <v>494</v>
      </c>
      <c r="AE194" s="14" t="s">
        <v>87</v>
      </c>
      <c r="AF194" s="42" t="str">
        <f t="shared" ref="AF194:AF257" si="3">"P007"</f>
        <v>P007</v>
      </c>
    </row>
    <row r="195" spans="1:32" ht="43.2" hidden="1" x14ac:dyDescent="0.3">
      <c r="A195" s="12" t="e" cm="1">
        <f t="array" aca="1" ref="A195" ca="1">IF(STAT[[#This Row],[retranca]]="","",       RegxFunc(STAT[[#This Row],[retranca]],  "\w\d{4}\w*_\d")     )</f>
        <v>#NAME?</v>
      </c>
      <c r="B195" s="21" t="s">
        <v>497</v>
      </c>
      <c r="C195" s="14" t="s">
        <v>72</v>
      </c>
      <c r="D195" s="14" t="s">
        <v>9</v>
      </c>
      <c r="E195" s="14" t="s">
        <v>10</v>
      </c>
      <c r="F195" s="14">
        <v>82</v>
      </c>
      <c r="G195" s="14">
        <v>4</v>
      </c>
      <c r="H195" s="14">
        <v>5</v>
      </c>
      <c r="I195" s="14">
        <v>5</v>
      </c>
      <c r="J195" s="28" t="s">
        <v>55</v>
      </c>
      <c r="K195" s="36"/>
      <c r="L195" s="14"/>
      <c r="M195" s="14"/>
      <c r="N195" s="14"/>
      <c r="O195" s="14"/>
      <c r="P195" s="25" t="s">
        <v>498</v>
      </c>
      <c r="Q195" s="22"/>
      <c r="R195" s="22"/>
      <c r="S195" s="14">
        <v>17</v>
      </c>
      <c r="T195" s="27">
        <v>45825</v>
      </c>
      <c r="U195" s="27">
        <v>45832</v>
      </c>
      <c r="V195" s="27"/>
      <c r="W195" s="27"/>
      <c r="X195" s="27">
        <v>45838</v>
      </c>
      <c r="Y195" s="14" t="s">
        <v>114</v>
      </c>
      <c r="Z195" s="40" t="str">
        <f>IF(STAT[[#This Row],[sigla]]="","",VLOOKUP(STAT[[#This Row],[sigla]],CRÉDITOS_GERAIS[[sigla]:[credito]],2,))</f>
        <v>Heloísa Pintarelli</v>
      </c>
      <c r="AA195" s="14"/>
      <c r="AB195" s="14" t="str">
        <f>STAT[[#This Row],[ilustrador]]</f>
        <v>Heloísa Pintarelli</v>
      </c>
      <c r="AC195" s="14">
        <v>8</v>
      </c>
      <c r="AD195" s="22" t="s">
        <v>499</v>
      </c>
      <c r="AE195" s="14" t="s">
        <v>87</v>
      </c>
      <c r="AF195" s="42" t="str">
        <f t="shared" si="3"/>
        <v>P007</v>
      </c>
    </row>
    <row r="196" spans="1:32" hidden="1" x14ac:dyDescent="0.3">
      <c r="A196" s="12" t="e" cm="1">
        <f t="array" aca="1" ref="A196" ca="1">IF(STAT[[#This Row],[retranca]]="","",       RegxFunc(STAT[[#This Row],[retranca]],  "\w\d{4}\w*_\d")     )</f>
        <v>#NAME?</v>
      </c>
      <c r="B196" s="21" t="s">
        <v>500</v>
      </c>
      <c r="C196" s="14" t="s">
        <v>72</v>
      </c>
      <c r="D196" s="14" t="s">
        <v>9</v>
      </c>
      <c r="E196" s="14" t="s">
        <v>10</v>
      </c>
      <c r="F196" s="14">
        <v>84</v>
      </c>
      <c r="G196" s="14">
        <v>4</v>
      </c>
      <c r="H196" s="14">
        <v>5</v>
      </c>
      <c r="I196" s="14">
        <v>5</v>
      </c>
      <c r="J196" s="28" t="s">
        <v>55</v>
      </c>
      <c r="K196" s="36"/>
      <c r="L196" s="14"/>
      <c r="M196" s="14"/>
      <c r="N196" s="14"/>
      <c r="O196" s="14"/>
      <c r="P196" s="25" t="s">
        <v>501</v>
      </c>
      <c r="Q196" s="22"/>
      <c r="R196" s="22"/>
      <c r="S196" s="14">
        <v>17</v>
      </c>
      <c r="T196" s="27">
        <v>45825</v>
      </c>
      <c r="U196" s="27">
        <v>45833</v>
      </c>
      <c r="V196" s="27"/>
      <c r="W196" s="27"/>
      <c r="X196" s="27">
        <v>45838</v>
      </c>
      <c r="Y196" s="14" t="s">
        <v>114</v>
      </c>
      <c r="Z196" s="40" t="str">
        <f>IF(STAT[[#This Row],[sigla]]="","",VLOOKUP(STAT[[#This Row],[sigla]],CRÉDITOS_GERAIS[[sigla]:[credito]],2,))</f>
        <v>Heloísa Pintarelli</v>
      </c>
      <c r="AA196" s="14"/>
      <c r="AB196" s="14" t="str">
        <f>STAT[[#This Row],[ilustrador]]</f>
        <v>Heloísa Pintarelli</v>
      </c>
      <c r="AC196" s="14">
        <v>4</v>
      </c>
      <c r="AD196" s="22" t="s">
        <v>499</v>
      </c>
      <c r="AE196" s="14" t="s">
        <v>87</v>
      </c>
      <c r="AF196" s="42" t="str">
        <f t="shared" si="3"/>
        <v>P007</v>
      </c>
    </row>
    <row r="197" spans="1:32" ht="72" hidden="1" x14ac:dyDescent="0.3">
      <c r="A197" s="12" t="e" cm="1">
        <f t="array" aca="1" ref="A197" ca="1">IF(STAT[[#This Row],[retranca]]="","",       RegxFunc(STAT[[#This Row],[retranca]],  "\w\d{4}\w*_\d")     )</f>
        <v>#NAME?</v>
      </c>
      <c r="B197" s="21" t="s">
        <v>502</v>
      </c>
      <c r="C197" s="14" t="s">
        <v>72</v>
      </c>
      <c r="D197" s="14" t="s">
        <v>9</v>
      </c>
      <c r="E197" s="14" t="s">
        <v>10</v>
      </c>
      <c r="F197" s="14">
        <v>85</v>
      </c>
      <c r="G197" s="14">
        <v>4</v>
      </c>
      <c r="H197" s="14">
        <v>5</v>
      </c>
      <c r="I197" s="14">
        <v>5</v>
      </c>
      <c r="J197" s="28" t="s">
        <v>55</v>
      </c>
      <c r="K197" s="36"/>
      <c r="L197" s="14"/>
      <c r="M197" s="14"/>
      <c r="N197" s="14"/>
      <c r="O197" s="14"/>
      <c r="P197" s="25" t="s">
        <v>503</v>
      </c>
      <c r="Q197" s="22"/>
      <c r="R197" s="22"/>
      <c r="S197" s="14">
        <v>17</v>
      </c>
      <c r="T197" s="27">
        <v>45825</v>
      </c>
      <c r="U197" s="27">
        <v>45833</v>
      </c>
      <c r="V197" s="27">
        <v>45834</v>
      </c>
      <c r="W197" s="27">
        <v>45838</v>
      </c>
      <c r="X197" s="27">
        <v>45839</v>
      </c>
      <c r="Y197" s="14" t="s">
        <v>109</v>
      </c>
      <c r="Z197" s="40" t="str">
        <f>IF(STAT[[#This Row],[sigla]]="","",VLOOKUP(STAT[[#This Row],[sigla]],CRÉDITOS_GERAIS[[sigla]:[credito]],2,))</f>
        <v>Clarice Baracho</v>
      </c>
      <c r="AA197" s="14"/>
      <c r="AB197" s="14" t="str">
        <f>STAT[[#This Row],[ilustrador]]</f>
        <v>Clarice Baracho</v>
      </c>
      <c r="AC197" s="14">
        <v>5</v>
      </c>
      <c r="AD197" s="22" t="s">
        <v>494</v>
      </c>
      <c r="AE197" s="15" t="s">
        <v>87</v>
      </c>
      <c r="AF197" s="42" t="str">
        <f t="shared" si="3"/>
        <v>P007</v>
      </c>
    </row>
    <row r="198" spans="1:32" hidden="1" x14ac:dyDescent="0.3">
      <c r="A198" s="12" t="e" cm="1">
        <f t="array" aca="1" ref="A198" ca="1">IF(STAT[[#This Row],[retranca]]="","",       RegxFunc(STAT[[#This Row],[retranca]],  "\w\d{4}\w*_\d")     )</f>
        <v>#NAME?</v>
      </c>
      <c r="B198" s="21" t="s">
        <v>504</v>
      </c>
      <c r="C198" s="14" t="s">
        <v>72</v>
      </c>
      <c r="D198" s="14" t="s">
        <v>9</v>
      </c>
      <c r="E198" s="14" t="s">
        <v>10</v>
      </c>
      <c r="F198" s="14">
        <v>86</v>
      </c>
      <c r="G198" s="14">
        <v>4</v>
      </c>
      <c r="H198" s="14">
        <v>5</v>
      </c>
      <c r="I198" s="14">
        <v>5</v>
      </c>
      <c r="J198" s="28" t="s">
        <v>55</v>
      </c>
      <c r="K198" s="36"/>
      <c r="L198" s="14"/>
      <c r="M198" s="14"/>
      <c r="N198" s="14"/>
      <c r="O198" s="14"/>
      <c r="P198" s="25" t="s">
        <v>505</v>
      </c>
      <c r="Q198" s="22"/>
      <c r="R198" s="22"/>
      <c r="S198" s="14">
        <v>17</v>
      </c>
      <c r="T198" s="27">
        <v>45825</v>
      </c>
      <c r="U198" s="27">
        <v>45833</v>
      </c>
      <c r="V198" s="27"/>
      <c r="W198" s="27"/>
      <c r="X198" s="27">
        <v>45838</v>
      </c>
      <c r="Y198" s="14" t="s">
        <v>114</v>
      </c>
      <c r="Z198" s="40" t="str">
        <f>IF(STAT[[#This Row],[sigla]]="","",VLOOKUP(STAT[[#This Row],[sigla]],CRÉDITOS_GERAIS[[sigla]:[credito]],2,))</f>
        <v>Heloísa Pintarelli</v>
      </c>
      <c r="AA198" s="14"/>
      <c r="AB198" s="14" t="str">
        <f>STAT[[#This Row],[ilustrador]]</f>
        <v>Heloísa Pintarelli</v>
      </c>
      <c r="AC198" s="14">
        <v>7</v>
      </c>
      <c r="AD198" s="62" t="s">
        <v>499</v>
      </c>
      <c r="AE198" s="14" t="s">
        <v>87</v>
      </c>
      <c r="AF198" s="42" t="str">
        <f t="shared" si="3"/>
        <v>P007</v>
      </c>
    </row>
    <row r="199" spans="1:32" ht="72" hidden="1" x14ac:dyDescent="0.3">
      <c r="A199" s="12" t="e" cm="1">
        <f t="array" aca="1" ref="A199" ca="1">IF(STAT[[#This Row],[retranca]]="","",       RegxFunc(STAT[[#This Row],[retranca]],  "\w\d{4}\w*_\d")     )</f>
        <v>#NAME?</v>
      </c>
      <c r="B199" s="21" t="s">
        <v>506</v>
      </c>
      <c r="C199" s="14" t="s">
        <v>72</v>
      </c>
      <c r="D199" s="15" t="s">
        <v>9</v>
      </c>
      <c r="E199" s="15" t="s">
        <v>10</v>
      </c>
      <c r="F199" s="14">
        <v>87</v>
      </c>
      <c r="G199" s="15">
        <v>4</v>
      </c>
      <c r="H199" s="14">
        <v>5</v>
      </c>
      <c r="I199" s="14">
        <v>5</v>
      </c>
      <c r="J199" s="17" t="s">
        <v>55</v>
      </c>
      <c r="K199" s="36"/>
      <c r="L199" s="14"/>
      <c r="M199" s="14"/>
      <c r="N199" s="14"/>
      <c r="O199" s="14"/>
      <c r="P199" s="25" t="s">
        <v>507</v>
      </c>
      <c r="Q199" s="21"/>
      <c r="R199" s="22"/>
      <c r="S199" s="14">
        <v>17</v>
      </c>
      <c r="T199" s="27">
        <v>45825</v>
      </c>
      <c r="U199" s="27">
        <v>45833</v>
      </c>
      <c r="V199" s="27">
        <v>45838</v>
      </c>
      <c r="W199" s="27">
        <v>45839</v>
      </c>
      <c r="X199" s="27">
        <v>45840</v>
      </c>
      <c r="Y199" s="14" t="s">
        <v>84</v>
      </c>
      <c r="Z199" s="40" t="str">
        <f>IF(STAT[[#This Row],[sigla]]="","",VLOOKUP(STAT[[#This Row],[sigla]],CRÉDITOS_GERAIS[[sigla]:[credito]],2,))</f>
        <v>Gabriel Brum</v>
      </c>
      <c r="AA199" s="14"/>
      <c r="AB199" s="14" t="str">
        <f>STAT[[#This Row],[ilustrador]]</f>
        <v>Gabriel Brum</v>
      </c>
      <c r="AC199" s="14">
        <v>4</v>
      </c>
      <c r="AD199" s="22" t="s">
        <v>508</v>
      </c>
      <c r="AE199" s="15" t="s">
        <v>87</v>
      </c>
      <c r="AF199" s="42" t="str">
        <f t="shared" si="3"/>
        <v>P007</v>
      </c>
    </row>
    <row r="200" spans="1:32" ht="129.6" hidden="1" x14ac:dyDescent="0.3">
      <c r="A200" s="12" t="e" cm="1">
        <f t="array" aca="1" ref="A200" ca="1">IF(STAT[[#This Row],[retranca]]="","",       RegxFunc(STAT[[#This Row],[retranca]],  "\w\d{4}\w*_\d")     )</f>
        <v>#NAME?</v>
      </c>
      <c r="B200" s="21" t="s">
        <v>509</v>
      </c>
      <c r="C200" s="14" t="s">
        <v>72</v>
      </c>
      <c r="D200" s="15" t="s">
        <v>9</v>
      </c>
      <c r="E200" s="15" t="s">
        <v>10</v>
      </c>
      <c r="F200" s="14">
        <v>90</v>
      </c>
      <c r="G200" s="15">
        <v>4</v>
      </c>
      <c r="H200" s="14">
        <v>5</v>
      </c>
      <c r="I200" s="14">
        <v>5</v>
      </c>
      <c r="J200" s="17" t="s">
        <v>55</v>
      </c>
      <c r="K200" s="36"/>
      <c r="L200" s="14"/>
      <c r="M200" s="14"/>
      <c r="N200" s="14"/>
      <c r="O200" s="14"/>
      <c r="P200" s="25" t="s">
        <v>510</v>
      </c>
      <c r="Q200" s="21"/>
      <c r="R200" s="22"/>
      <c r="S200" s="14">
        <v>17</v>
      </c>
      <c r="T200" s="27">
        <v>45825</v>
      </c>
      <c r="U200" s="27">
        <v>45833</v>
      </c>
      <c r="V200" s="27">
        <v>45838</v>
      </c>
      <c r="W200" s="27">
        <v>45839</v>
      </c>
      <c r="X200" s="27">
        <v>45840</v>
      </c>
      <c r="Y200" s="14" t="s">
        <v>119</v>
      </c>
      <c r="Z200" s="40" t="str">
        <f>IF(STAT[[#This Row],[sigla]]="","",VLOOKUP(STAT[[#This Row],[sigla]],CRÉDITOS_GERAIS[[sigla]:[credito]],2,))</f>
        <v>Bianca Tavares</v>
      </c>
      <c r="AA200" s="14"/>
      <c r="AB200" s="14" t="str">
        <f>STAT[[#This Row],[ilustrador]]</f>
        <v>Bianca Tavares</v>
      </c>
      <c r="AC200" s="14">
        <v>5</v>
      </c>
      <c r="AD200" s="22" t="s">
        <v>508</v>
      </c>
      <c r="AE200" s="15" t="s">
        <v>87</v>
      </c>
      <c r="AF200" s="42" t="str">
        <f t="shared" si="3"/>
        <v>P007</v>
      </c>
    </row>
    <row r="201" spans="1:32" ht="28.8" hidden="1" x14ac:dyDescent="0.3">
      <c r="A201" s="12" t="e" cm="1">
        <f t="array" aca="1" ref="A201" ca="1">IF(STAT[[#This Row],[retranca]]="","",       RegxFunc(STAT[[#This Row],[retranca]],  "\w\d{4}\w*_\d")     )</f>
        <v>#NAME?</v>
      </c>
      <c r="B201" s="21" t="s">
        <v>511</v>
      </c>
      <c r="C201" s="14" t="s">
        <v>72</v>
      </c>
      <c r="D201" s="15" t="s">
        <v>9</v>
      </c>
      <c r="E201" s="15" t="s">
        <v>10</v>
      </c>
      <c r="F201" s="14">
        <v>91</v>
      </c>
      <c r="G201" s="15">
        <v>4</v>
      </c>
      <c r="H201" s="14">
        <v>5</v>
      </c>
      <c r="I201" s="14">
        <v>5</v>
      </c>
      <c r="J201" s="17" t="s">
        <v>55</v>
      </c>
      <c r="K201" s="36"/>
      <c r="L201" s="14"/>
      <c r="M201" s="14"/>
      <c r="N201" s="14"/>
      <c r="O201" s="14"/>
      <c r="P201" s="25" t="s">
        <v>512</v>
      </c>
      <c r="Q201" s="21"/>
      <c r="R201" s="22"/>
      <c r="S201" s="14">
        <v>17</v>
      </c>
      <c r="T201" s="27">
        <v>45825</v>
      </c>
      <c r="U201" s="27">
        <v>45833</v>
      </c>
      <c r="V201" s="27">
        <v>45838</v>
      </c>
      <c r="W201" s="27">
        <v>45839</v>
      </c>
      <c r="X201" s="27">
        <v>45839</v>
      </c>
      <c r="Y201" s="14" t="s">
        <v>119</v>
      </c>
      <c r="Z201" s="40" t="str">
        <f>IF(STAT[[#This Row],[sigla]]="","",VLOOKUP(STAT[[#This Row],[sigla]],CRÉDITOS_GERAIS[[sigla]:[credito]],2,))</f>
        <v>Bianca Tavares</v>
      </c>
      <c r="AA201" s="14"/>
      <c r="AB201" s="14" t="str">
        <f>STAT[[#This Row],[ilustrador]]</f>
        <v>Bianca Tavares</v>
      </c>
      <c r="AC201" s="14">
        <v>6</v>
      </c>
      <c r="AD201" s="22" t="s">
        <v>508</v>
      </c>
      <c r="AE201" s="15" t="s">
        <v>87</v>
      </c>
      <c r="AF201" s="42" t="str">
        <f t="shared" si="3"/>
        <v>P007</v>
      </c>
    </row>
    <row r="202" spans="1:32" ht="57.6" hidden="1" x14ac:dyDescent="0.3">
      <c r="A202" s="12" t="e" cm="1">
        <f t="array" aca="1" ref="A202" ca="1">IF(STAT[[#This Row],[retranca]]="","",       RegxFunc(STAT[[#This Row],[retranca]],  "\w\d{4}\w*_\d")     )</f>
        <v>#NAME?</v>
      </c>
      <c r="B202" s="21" t="s">
        <v>513</v>
      </c>
      <c r="C202" s="14" t="s">
        <v>72</v>
      </c>
      <c r="D202" s="15" t="s">
        <v>9</v>
      </c>
      <c r="E202" s="15" t="s">
        <v>10</v>
      </c>
      <c r="F202" s="14">
        <v>94</v>
      </c>
      <c r="G202" s="15">
        <v>4</v>
      </c>
      <c r="H202" s="14">
        <v>5</v>
      </c>
      <c r="I202" s="14">
        <v>5</v>
      </c>
      <c r="J202" s="17" t="s">
        <v>55</v>
      </c>
      <c r="K202" s="36"/>
      <c r="L202" s="14"/>
      <c r="M202" s="14"/>
      <c r="N202" s="14"/>
      <c r="O202" s="14"/>
      <c r="P202" s="25" t="s">
        <v>514</v>
      </c>
      <c r="Q202" s="21"/>
      <c r="R202" s="22"/>
      <c r="S202" s="14">
        <v>17</v>
      </c>
      <c r="T202" s="27">
        <v>45825</v>
      </c>
      <c r="U202" s="27">
        <v>45833</v>
      </c>
      <c r="V202" s="27">
        <v>45834</v>
      </c>
      <c r="W202" s="27">
        <v>45838</v>
      </c>
      <c r="X202" s="27">
        <v>45839</v>
      </c>
      <c r="Y202" s="14" t="s">
        <v>109</v>
      </c>
      <c r="Z202" s="40" t="str">
        <f>IF(STAT[[#This Row],[sigla]]="","",VLOOKUP(STAT[[#This Row],[sigla]],CRÉDITOS_GERAIS[[sigla]:[credito]],2,))</f>
        <v>Clarice Baracho</v>
      </c>
      <c r="AA202" s="14"/>
      <c r="AB202" s="14" t="str">
        <f>STAT[[#This Row],[ilustrador]]</f>
        <v>Clarice Baracho</v>
      </c>
      <c r="AC202" s="14">
        <v>4</v>
      </c>
      <c r="AD202" s="22" t="s">
        <v>494</v>
      </c>
      <c r="AE202" s="15" t="s">
        <v>87</v>
      </c>
      <c r="AF202" s="42" t="str">
        <f t="shared" si="3"/>
        <v>P007</v>
      </c>
    </row>
    <row r="203" spans="1:32" ht="28.8" hidden="1" x14ac:dyDescent="0.3">
      <c r="A203" s="12" t="e" cm="1">
        <f t="array" aca="1" ref="A203" ca="1">IF(STAT[[#This Row],[retranca]]="","",       RegxFunc(STAT[[#This Row],[retranca]],  "\w\d{4}\w*_\d")     )</f>
        <v>#NAME?</v>
      </c>
      <c r="B203" s="21" t="s">
        <v>515</v>
      </c>
      <c r="C203" s="14" t="s">
        <v>8</v>
      </c>
      <c r="D203" s="15" t="s">
        <v>9</v>
      </c>
      <c r="E203" s="15" t="s">
        <v>10</v>
      </c>
      <c r="F203" s="14">
        <v>96</v>
      </c>
      <c r="G203" s="15">
        <v>4</v>
      </c>
      <c r="H203" s="14">
        <v>5</v>
      </c>
      <c r="I203" s="14">
        <v>5</v>
      </c>
      <c r="J203" s="17" t="s">
        <v>55</v>
      </c>
      <c r="K203" s="36"/>
      <c r="L203" s="14"/>
      <c r="M203" s="14"/>
      <c r="N203" s="14"/>
      <c r="O203" s="14"/>
      <c r="P203" s="25" t="s">
        <v>516</v>
      </c>
      <c r="Q203" s="21"/>
      <c r="R203" s="25" t="s">
        <v>517</v>
      </c>
      <c r="S203" s="14">
        <v>17</v>
      </c>
      <c r="T203" s="27">
        <v>45825</v>
      </c>
      <c r="U203" s="27">
        <v>45832</v>
      </c>
      <c r="V203" s="27"/>
      <c r="W203" s="27"/>
      <c r="X203" s="27">
        <v>45838</v>
      </c>
      <c r="Y203" s="14" t="s">
        <v>114</v>
      </c>
      <c r="Z203" s="40" t="str">
        <f>IF(STAT[[#This Row],[sigla]]="","",VLOOKUP(STAT[[#This Row],[sigla]],CRÉDITOS_GERAIS[[sigla]:[credito]],2,))</f>
        <v>Heloísa Pintarelli</v>
      </c>
      <c r="AA203" s="14"/>
      <c r="AB203" s="14" t="str">
        <f>STAT[[#This Row],[ilustrador]]</f>
        <v>Heloísa Pintarelli</v>
      </c>
      <c r="AC203" s="14">
        <v>8</v>
      </c>
      <c r="AD203" s="22" t="s">
        <v>499</v>
      </c>
      <c r="AE203" s="14" t="s">
        <v>87</v>
      </c>
      <c r="AF203" s="42" t="str">
        <f t="shared" si="3"/>
        <v>P007</v>
      </c>
    </row>
    <row r="204" spans="1:32" ht="129.6" hidden="1" x14ac:dyDescent="0.3">
      <c r="A204" s="12" t="e" cm="1">
        <f t="array" aca="1" ref="A204" ca="1">IF(STAT[[#This Row],[retranca]]="","",       RegxFunc(STAT[[#This Row],[retranca]],  "\w\d{4}\w*_\d")     )</f>
        <v>#NAME?</v>
      </c>
      <c r="B204" s="34" t="s">
        <v>518</v>
      </c>
      <c r="C204" s="14" t="s">
        <v>122</v>
      </c>
      <c r="D204" s="15" t="s">
        <v>9</v>
      </c>
      <c r="E204" s="15" t="s">
        <v>10</v>
      </c>
      <c r="F204" s="14">
        <v>73</v>
      </c>
      <c r="G204" s="15">
        <v>0</v>
      </c>
      <c r="H204" s="14">
        <v>1</v>
      </c>
      <c r="I204" s="14">
        <v>1</v>
      </c>
      <c r="J204" s="17" t="s">
        <v>55</v>
      </c>
      <c r="K204" s="36"/>
      <c r="L204" s="14"/>
      <c r="M204" s="14"/>
      <c r="N204" s="14"/>
      <c r="O204" s="14"/>
      <c r="P204" s="25" t="s">
        <v>519</v>
      </c>
      <c r="Q204" s="21"/>
      <c r="R204" s="22"/>
      <c r="S204" s="14">
        <v>18</v>
      </c>
      <c r="T204" s="27">
        <v>45826</v>
      </c>
      <c r="U204" s="27">
        <v>45826</v>
      </c>
      <c r="V204" s="27">
        <v>45828</v>
      </c>
      <c r="W204" s="27">
        <v>45831</v>
      </c>
      <c r="X204" s="27">
        <v>45832</v>
      </c>
      <c r="Y204" s="14" t="s">
        <v>109</v>
      </c>
      <c r="Z204" s="40" t="str">
        <f>IF(STAT[[#This Row],[sigla]]="","",VLOOKUP(STAT[[#This Row],[sigla]],CRÉDITOS_GERAIS[[sigla]:[credito]],2,))</f>
        <v>Clarice Baracho</v>
      </c>
      <c r="AA204" s="14"/>
      <c r="AB204" s="14" t="str">
        <f>STAT[[#This Row],[ilustrador]]</f>
        <v>Clarice Baracho</v>
      </c>
      <c r="AC204" s="14">
        <v>5</v>
      </c>
      <c r="AD204" s="22" t="s">
        <v>482</v>
      </c>
      <c r="AE204" s="14" t="s">
        <v>87</v>
      </c>
      <c r="AF204" s="42" t="str">
        <f t="shared" si="3"/>
        <v>P007</v>
      </c>
    </row>
    <row r="205" spans="1:32" ht="86.4" hidden="1" x14ac:dyDescent="0.3">
      <c r="A205" s="12" t="e" cm="1">
        <f t="array" aca="1" ref="A205" ca="1">IF(STAT[[#This Row],[retranca]]="","",       RegxFunc(STAT[[#This Row],[retranca]],  "\w\d{4}\w*_\d")     )</f>
        <v>#NAME?</v>
      </c>
      <c r="B205" s="34" t="s">
        <v>520</v>
      </c>
      <c r="C205" s="14" t="s">
        <v>72</v>
      </c>
      <c r="D205" s="15" t="s">
        <v>9</v>
      </c>
      <c r="E205" s="15" t="s">
        <v>10</v>
      </c>
      <c r="F205" s="14">
        <v>47</v>
      </c>
      <c r="G205" s="15">
        <v>4</v>
      </c>
      <c r="H205" s="14">
        <v>3</v>
      </c>
      <c r="I205" s="14">
        <v>3</v>
      </c>
      <c r="J205" s="17" t="s">
        <v>55</v>
      </c>
      <c r="K205" s="36"/>
      <c r="L205" s="14"/>
      <c r="M205" s="14"/>
      <c r="N205" s="14"/>
      <c r="O205" s="14"/>
      <c r="P205" s="25" t="s">
        <v>521</v>
      </c>
      <c r="Q205" s="21"/>
      <c r="R205" s="22"/>
      <c r="S205" s="14">
        <v>19</v>
      </c>
      <c r="T205" s="27">
        <v>45826</v>
      </c>
      <c r="U205" s="27">
        <v>45831</v>
      </c>
      <c r="V205" s="27">
        <v>45833</v>
      </c>
      <c r="W205" s="27">
        <v>45834</v>
      </c>
      <c r="X205" s="27">
        <v>45839</v>
      </c>
      <c r="Y205" s="14" t="s">
        <v>375</v>
      </c>
      <c r="Z205" s="40" t="str">
        <f>IF(STAT[[#This Row],[sigla]]="","",VLOOKUP(STAT[[#This Row],[sigla]],CRÉDITOS_GERAIS[[sigla]:[credito]],2,))</f>
        <v>Lídia Farias</v>
      </c>
      <c r="AA205" s="14"/>
      <c r="AB205" s="14" t="str">
        <f>STAT[[#This Row],[ilustrador]]</f>
        <v>Lídia Farias</v>
      </c>
      <c r="AC205" s="14">
        <v>3</v>
      </c>
      <c r="AD205" s="22" t="s">
        <v>522</v>
      </c>
      <c r="AE205" s="15" t="s">
        <v>87</v>
      </c>
      <c r="AF205" s="42" t="str">
        <f t="shared" si="3"/>
        <v>P007</v>
      </c>
    </row>
    <row r="206" spans="1:32" ht="57.6" hidden="1" x14ac:dyDescent="0.3">
      <c r="A206" s="12" t="e" cm="1">
        <f t="array" aca="1" ref="A206" ca="1">IF(STAT[[#This Row],[retranca]]="","",       RegxFunc(STAT[[#This Row],[retranca]],  "\w\d{4}\w*_\d")     )</f>
        <v>#NAME?</v>
      </c>
      <c r="B206" s="34" t="s">
        <v>523</v>
      </c>
      <c r="C206" s="14" t="s">
        <v>8</v>
      </c>
      <c r="D206" s="15" t="s">
        <v>9</v>
      </c>
      <c r="E206" s="15" t="s">
        <v>10</v>
      </c>
      <c r="F206" s="14">
        <v>52</v>
      </c>
      <c r="G206" s="15">
        <v>4</v>
      </c>
      <c r="H206" s="14">
        <v>3</v>
      </c>
      <c r="I206" s="14">
        <v>3</v>
      </c>
      <c r="J206" s="17" t="s">
        <v>55</v>
      </c>
      <c r="K206" s="36"/>
      <c r="L206" s="14"/>
      <c r="M206" s="14"/>
      <c r="N206" s="14"/>
      <c r="O206" s="14"/>
      <c r="P206" s="25" t="s">
        <v>524</v>
      </c>
      <c r="Q206" s="21"/>
      <c r="R206" s="22" t="s">
        <v>525</v>
      </c>
      <c r="S206" s="14">
        <v>19</v>
      </c>
      <c r="T206" s="27">
        <v>45826</v>
      </c>
      <c r="U206" s="27">
        <v>45831</v>
      </c>
      <c r="V206" s="27">
        <v>45832</v>
      </c>
      <c r="W206" s="27">
        <v>45833</v>
      </c>
      <c r="X206" s="27">
        <v>45834</v>
      </c>
      <c r="Y206" s="14" t="s">
        <v>94</v>
      </c>
      <c r="Z206" s="40" t="str">
        <f>IF(STAT[[#This Row],[sigla]]="","",VLOOKUP(STAT[[#This Row],[sigla]],CRÉDITOS_GERAIS[[sigla]:[credito]],2,))</f>
        <v>Thais Castro</v>
      </c>
      <c r="AA206" s="14"/>
      <c r="AB206" s="14" t="str">
        <f>STAT[[#This Row],[ilustrador]]</f>
        <v>Thais Castro</v>
      </c>
      <c r="AC206" s="14">
        <v>3</v>
      </c>
      <c r="AD206" s="22" t="s">
        <v>526</v>
      </c>
      <c r="AE206" s="14" t="s">
        <v>87</v>
      </c>
      <c r="AF206" s="42" t="str">
        <f t="shared" si="3"/>
        <v>P007</v>
      </c>
    </row>
    <row r="207" spans="1:32" ht="72" hidden="1" x14ac:dyDescent="0.3">
      <c r="A207" s="12" t="e" cm="1">
        <f t="array" aca="1" ref="A207" ca="1">IF(STAT[[#This Row],[retranca]]="","",       RegxFunc(STAT[[#This Row],[retranca]],  "\w\d{4}\w*_\d")     )</f>
        <v>#NAME?</v>
      </c>
      <c r="B207" s="34" t="s">
        <v>527</v>
      </c>
      <c r="C207" s="14" t="s">
        <v>72</v>
      </c>
      <c r="D207" s="15" t="s">
        <v>9</v>
      </c>
      <c r="E207" s="15" t="s">
        <v>10</v>
      </c>
      <c r="F207" s="14">
        <v>69</v>
      </c>
      <c r="G207" s="15">
        <v>4</v>
      </c>
      <c r="H207" s="14">
        <v>4</v>
      </c>
      <c r="I207" s="14">
        <v>4</v>
      </c>
      <c r="J207" s="17" t="s">
        <v>55</v>
      </c>
      <c r="K207" s="36"/>
      <c r="L207" s="14"/>
      <c r="M207" s="14"/>
      <c r="N207" s="14"/>
      <c r="O207" s="14"/>
      <c r="P207" s="25" t="s">
        <v>528</v>
      </c>
      <c r="Q207" s="21"/>
      <c r="R207" s="22"/>
      <c r="S207" s="14">
        <v>20</v>
      </c>
      <c r="T207" s="27">
        <v>45828</v>
      </c>
      <c r="U207" s="27">
        <v>45832</v>
      </c>
      <c r="V207" s="27">
        <v>45833</v>
      </c>
      <c r="W207" s="27">
        <v>45833</v>
      </c>
      <c r="X207" s="27">
        <v>45835</v>
      </c>
      <c r="Y207" s="14" t="s">
        <v>119</v>
      </c>
      <c r="Z207" s="40" t="str">
        <f>IF(STAT[[#This Row],[sigla]]="","",VLOOKUP(STAT[[#This Row],[sigla]],CRÉDITOS_GERAIS[[sigla]:[credito]],2,))</f>
        <v>Bianca Tavares</v>
      </c>
      <c r="AA207" s="14"/>
      <c r="AB207" s="14" t="str">
        <f>STAT[[#This Row],[ilustrador]]</f>
        <v>Bianca Tavares</v>
      </c>
      <c r="AC207" s="14">
        <v>5</v>
      </c>
      <c r="AD207" s="22" t="s">
        <v>494</v>
      </c>
      <c r="AE207" s="14" t="s">
        <v>87</v>
      </c>
      <c r="AF207" s="42" t="str">
        <f t="shared" si="3"/>
        <v>P007</v>
      </c>
    </row>
    <row r="208" spans="1:32" ht="144" hidden="1" x14ac:dyDescent="0.3">
      <c r="A208" s="12" t="e" cm="1">
        <f t="array" aca="1" ref="A208" ca="1">IF(STAT[[#This Row],[retranca]]="","",       RegxFunc(STAT[[#This Row],[retranca]],  "\w\d{4}\w*_\d")     )</f>
        <v>#NAME?</v>
      </c>
      <c r="B208" s="34" t="s">
        <v>529</v>
      </c>
      <c r="C208" s="14" t="s">
        <v>122</v>
      </c>
      <c r="D208" s="15" t="s">
        <v>9</v>
      </c>
      <c r="E208" s="15" t="s">
        <v>10</v>
      </c>
      <c r="F208" s="14">
        <v>72</v>
      </c>
      <c r="G208" s="15">
        <v>4</v>
      </c>
      <c r="H208" s="14">
        <v>4</v>
      </c>
      <c r="I208" s="14">
        <v>4</v>
      </c>
      <c r="J208" s="17" t="s">
        <v>55</v>
      </c>
      <c r="K208" s="36"/>
      <c r="L208" s="14"/>
      <c r="M208" s="14"/>
      <c r="N208" s="14"/>
      <c r="O208" s="14"/>
      <c r="P208" s="25" t="s">
        <v>530</v>
      </c>
      <c r="Q208" s="21"/>
      <c r="R208" s="22"/>
      <c r="S208" s="14">
        <v>20</v>
      </c>
      <c r="T208" s="27">
        <v>45828</v>
      </c>
      <c r="U208" s="27">
        <v>45832</v>
      </c>
      <c r="V208" s="27">
        <v>45834</v>
      </c>
      <c r="W208" s="27">
        <v>45834</v>
      </c>
      <c r="X208" s="27">
        <v>45838</v>
      </c>
      <c r="Y208" s="14" t="s">
        <v>84</v>
      </c>
      <c r="Z208" s="40" t="str">
        <f>IF(STAT[[#This Row],[sigla]]="","",VLOOKUP(STAT[[#This Row],[sigla]],CRÉDITOS_GERAIS[[sigla]:[credito]],2,))</f>
        <v>Gabriel Brum</v>
      </c>
      <c r="AA208" s="14"/>
      <c r="AB208" s="14" t="str">
        <f>STAT[[#This Row],[ilustrador]]</f>
        <v>Gabriel Brum</v>
      </c>
      <c r="AC208" s="14">
        <v>5</v>
      </c>
      <c r="AD208" s="22" t="s">
        <v>494</v>
      </c>
      <c r="AE208" s="14" t="s">
        <v>87</v>
      </c>
      <c r="AF208" s="42" t="str">
        <f t="shared" si="3"/>
        <v>P007</v>
      </c>
    </row>
    <row r="209" spans="1:32" hidden="1" x14ac:dyDescent="0.3">
      <c r="A209" s="12" t="e" cm="1">
        <f t="array" aca="1" ref="A209" ca="1">IF(STAT[[#This Row],[retranca]]="","",       RegxFunc(STAT[[#This Row],[retranca]],  "\w\d{4}\w*_\d")     )</f>
        <v>#NAME?</v>
      </c>
      <c r="B209" s="34" t="s">
        <v>531</v>
      </c>
      <c r="C209" s="14" t="s">
        <v>72</v>
      </c>
      <c r="D209" s="15" t="s">
        <v>532</v>
      </c>
      <c r="E209" s="15" t="s">
        <v>10</v>
      </c>
      <c r="F209" s="14">
        <v>78</v>
      </c>
      <c r="G209" s="15">
        <v>4</v>
      </c>
      <c r="H209" s="14">
        <v>4</v>
      </c>
      <c r="I209" s="14">
        <v>4</v>
      </c>
      <c r="J209" s="17" t="s">
        <v>55</v>
      </c>
      <c r="K209" s="36"/>
      <c r="L209" s="14"/>
      <c r="M209" s="14"/>
      <c r="N209" s="14"/>
      <c r="O209" s="14"/>
      <c r="P209" s="25" t="s">
        <v>533</v>
      </c>
      <c r="Q209" s="21"/>
      <c r="R209" s="22"/>
      <c r="S209" s="14">
        <v>20</v>
      </c>
      <c r="T209" s="27">
        <v>45828</v>
      </c>
      <c r="U209" s="27">
        <v>45828</v>
      </c>
      <c r="V209" s="27"/>
      <c r="W209" s="27"/>
      <c r="X209" s="27">
        <v>45832</v>
      </c>
      <c r="Y209" s="14" t="s">
        <v>290</v>
      </c>
      <c r="Z209" s="40" t="str">
        <f>IF(STAT[[#This Row],[sigla]]="","",VLOOKUP(STAT[[#This Row],[sigla]],CRÉDITOS_GERAIS[[sigla]:[credito]],2,))</f>
        <v>Bruna Campos</v>
      </c>
      <c r="AA209" s="14"/>
      <c r="AB209" s="14" t="str">
        <f>STAT[[#This Row],[ilustrador]]</f>
        <v>Bruna Campos</v>
      </c>
      <c r="AC209" s="14">
        <v>14</v>
      </c>
      <c r="AD209" s="22" t="s">
        <v>415</v>
      </c>
      <c r="AE209" s="14" t="s">
        <v>46</v>
      </c>
      <c r="AF209" s="42" t="str">
        <f t="shared" si="3"/>
        <v>P007</v>
      </c>
    </row>
    <row r="210" spans="1:32" hidden="1" x14ac:dyDescent="0.3">
      <c r="A210" s="12" t="e" cm="1">
        <f t="array" aca="1" ref="A210" ca="1">IF(STAT[[#This Row],[retranca]]="","",       RegxFunc(STAT[[#This Row],[retranca]],  "\w\d{4}\w*_\d")     )</f>
        <v>#NAME?</v>
      </c>
      <c r="B210" s="34" t="s">
        <v>534</v>
      </c>
      <c r="C210" s="14" t="s">
        <v>72</v>
      </c>
      <c r="D210" s="15" t="s">
        <v>532</v>
      </c>
      <c r="E210" s="15" t="s">
        <v>10</v>
      </c>
      <c r="F210" s="14">
        <v>78</v>
      </c>
      <c r="G210" s="15">
        <v>4</v>
      </c>
      <c r="H210" s="14">
        <v>4</v>
      </c>
      <c r="I210" s="14">
        <v>4</v>
      </c>
      <c r="J210" s="17" t="s">
        <v>55</v>
      </c>
      <c r="K210" s="36"/>
      <c r="L210" s="14"/>
      <c r="M210" s="14"/>
      <c r="N210" s="14"/>
      <c r="O210" s="14"/>
      <c r="P210" s="25" t="s">
        <v>535</v>
      </c>
      <c r="Q210" s="21"/>
      <c r="R210" s="22"/>
      <c r="S210" s="14">
        <v>20</v>
      </c>
      <c r="T210" s="27">
        <v>45828</v>
      </c>
      <c r="U210" s="27">
        <v>45828</v>
      </c>
      <c r="V210" s="27"/>
      <c r="W210" s="27"/>
      <c r="X210" s="27">
        <v>45832</v>
      </c>
      <c r="Y210" s="14" t="s">
        <v>290</v>
      </c>
      <c r="Z210" s="40" t="str">
        <f>IF(STAT[[#This Row],[sigla]]="","",VLOOKUP(STAT[[#This Row],[sigla]],CRÉDITOS_GERAIS[[sigla]:[credito]],2,))</f>
        <v>Bruna Campos</v>
      </c>
      <c r="AA210" s="14"/>
      <c r="AB210" s="14" t="str">
        <f>STAT[[#This Row],[ilustrador]]</f>
        <v>Bruna Campos</v>
      </c>
      <c r="AC210" s="14">
        <v>14</v>
      </c>
      <c r="AD210" s="22" t="s">
        <v>415</v>
      </c>
      <c r="AE210" s="14" t="s">
        <v>46</v>
      </c>
      <c r="AF210" s="42" t="str">
        <f t="shared" si="3"/>
        <v>P007</v>
      </c>
    </row>
    <row r="211" spans="1:32" hidden="1" x14ac:dyDescent="0.3">
      <c r="A211" s="12" t="e" cm="1">
        <f t="array" aca="1" ref="A211" ca="1">IF(STAT[[#This Row],[retranca]]="","",       RegxFunc(STAT[[#This Row],[retranca]],  "\w\d{4}\w*_\d")     )</f>
        <v>#NAME?</v>
      </c>
      <c r="B211" s="34" t="s">
        <v>536</v>
      </c>
      <c r="C211" s="14" t="s">
        <v>72</v>
      </c>
      <c r="D211" s="15" t="s">
        <v>532</v>
      </c>
      <c r="E211" s="15" t="s">
        <v>10</v>
      </c>
      <c r="F211" s="14">
        <v>78</v>
      </c>
      <c r="G211" s="15">
        <v>4</v>
      </c>
      <c r="H211" s="14">
        <v>4</v>
      </c>
      <c r="I211" s="14">
        <v>4</v>
      </c>
      <c r="J211" s="17" t="s">
        <v>55</v>
      </c>
      <c r="K211" s="36"/>
      <c r="L211" s="14"/>
      <c r="M211" s="14"/>
      <c r="N211" s="14"/>
      <c r="O211" s="14"/>
      <c r="P211" s="25" t="s">
        <v>537</v>
      </c>
      <c r="Q211" s="21"/>
      <c r="R211" s="22"/>
      <c r="S211" s="14">
        <v>20</v>
      </c>
      <c r="T211" s="27">
        <v>45828</v>
      </c>
      <c r="U211" s="27">
        <v>45828</v>
      </c>
      <c r="V211" s="27"/>
      <c r="W211" s="27"/>
      <c r="X211" s="27">
        <v>45832</v>
      </c>
      <c r="Y211" s="14" t="s">
        <v>290</v>
      </c>
      <c r="Z211" s="40" t="str">
        <f>IF(STAT[[#This Row],[sigla]]="","",VLOOKUP(STAT[[#This Row],[sigla]],CRÉDITOS_GERAIS[[sigla]:[credito]],2,))</f>
        <v>Bruna Campos</v>
      </c>
      <c r="AA211" s="14"/>
      <c r="AB211" s="14" t="str">
        <f>STAT[[#This Row],[ilustrador]]</f>
        <v>Bruna Campos</v>
      </c>
      <c r="AC211" s="14">
        <v>14</v>
      </c>
      <c r="AD211" s="22" t="s">
        <v>415</v>
      </c>
      <c r="AE211" s="14" t="s">
        <v>46</v>
      </c>
      <c r="AF211" s="42" t="str">
        <f t="shared" si="3"/>
        <v>P007</v>
      </c>
    </row>
    <row r="212" spans="1:32" hidden="1" x14ac:dyDescent="0.3">
      <c r="A212" s="12" t="e" cm="1">
        <f t="array" aca="1" ref="A212" ca="1">IF(STAT[[#This Row],[retranca]]="","",       RegxFunc(STAT[[#This Row],[retranca]],  "\w\d{4}\w*_\d")     )</f>
        <v>#NAME?</v>
      </c>
      <c r="B212" s="21" t="s">
        <v>538</v>
      </c>
      <c r="C212" s="14" t="s">
        <v>72</v>
      </c>
      <c r="D212" s="15" t="s">
        <v>532</v>
      </c>
      <c r="E212" s="15" t="s">
        <v>10</v>
      </c>
      <c r="F212" s="14">
        <v>78</v>
      </c>
      <c r="G212" s="15">
        <v>4</v>
      </c>
      <c r="H212" s="14">
        <v>4</v>
      </c>
      <c r="I212" s="14">
        <v>4</v>
      </c>
      <c r="J212" s="17" t="s">
        <v>55</v>
      </c>
      <c r="K212" s="36"/>
      <c r="L212" s="14"/>
      <c r="M212" s="14"/>
      <c r="N212" s="14"/>
      <c r="O212" s="14"/>
      <c r="P212" s="25" t="s">
        <v>539</v>
      </c>
      <c r="Q212" s="21"/>
      <c r="R212" s="22"/>
      <c r="S212" s="14">
        <v>20</v>
      </c>
      <c r="T212" s="27">
        <v>45828</v>
      </c>
      <c r="U212" s="27">
        <v>45828</v>
      </c>
      <c r="V212" s="27"/>
      <c r="W212" s="27"/>
      <c r="X212" s="27">
        <v>45832</v>
      </c>
      <c r="Y212" s="14" t="s">
        <v>290</v>
      </c>
      <c r="Z212" s="40" t="str">
        <f>IF(STAT[[#This Row],[sigla]]="","",VLOOKUP(STAT[[#This Row],[sigla]],CRÉDITOS_GERAIS[[sigla]:[credito]],2,))</f>
        <v>Bruna Campos</v>
      </c>
      <c r="AA212" s="14"/>
      <c r="AB212" s="14" t="str">
        <f>STAT[[#This Row],[ilustrador]]</f>
        <v>Bruna Campos</v>
      </c>
      <c r="AC212" s="14">
        <v>14</v>
      </c>
      <c r="AD212" s="22" t="s">
        <v>415</v>
      </c>
      <c r="AE212" s="14" t="s">
        <v>46</v>
      </c>
      <c r="AF212" s="42" t="str">
        <f t="shared" si="3"/>
        <v>P007</v>
      </c>
    </row>
    <row r="213" spans="1:32" ht="43.2" hidden="1" x14ac:dyDescent="0.3">
      <c r="A213" s="12" t="e" cm="1">
        <f t="array" aca="1" ref="A213" ca="1">IF(STAT[[#This Row],[retranca]]="","",       RegxFunc(STAT[[#This Row],[retranca]],  "\w\d{4}\w*_\d")     )</f>
        <v>#NAME?</v>
      </c>
      <c r="B213" s="21" t="s">
        <v>540</v>
      </c>
      <c r="C213" s="14" t="s">
        <v>72</v>
      </c>
      <c r="D213" s="15" t="s">
        <v>9</v>
      </c>
      <c r="E213" s="15" t="s">
        <v>10</v>
      </c>
      <c r="F213" s="14">
        <v>98</v>
      </c>
      <c r="G213" s="15">
        <v>4</v>
      </c>
      <c r="H213" s="14">
        <v>6</v>
      </c>
      <c r="I213" s="14">
        <v>6</v>
      </c>
      <c r="J213" s="17" t="s">
        <v>55</v>
      </c>
      <c r="K213" s="36"/>
      <c r="L213" s="14"/>
      <c r="M213" s="14"/>
      <c r="N213" s="14"/>
      <c r="O213" s="14"/>
      <c r="P213" s="25" t="s">
        <v>541</v>
      </c>
      <c r="Q213" s="21"/>
      <c r="R213" s="22"/>
      <c r="S213" s="14">
        <v>21</v>
      </c>
      <c r="T213" s="27">
        <v>45832</v>
      </c>
      <c r="U213" s="27">
        <v>45834</v>
      </c>
      <c r="V213" s="27">
        <v>45840</v>
      </c>
      <c r="W213" s="27">
        <v>45841</v>
      </c>
      <c r="X213" s="27">
        <v>45842</v>
      </c>
      <c r="Y213" s="14" t="s">
        <v>119</v>
      </c>
      <c r="Z213" s="40" t="str">
        <f>IF(STAT[[#This Row],[sigla]]="","",VLOOKUP(STAT[[#This Row],[sigla]],CRÉDITOS_GERAIS[[sigla]:[credito]],2,))</f>
        <v>Bianca Tavares</v>
      </c>
      <c r="AA213" s="14"/>
      <c r="AB213" s="14" t="str">
        <f>STAT[[#This Row],[ilustrador]]</f>
        <v>Bianca Tavares</v>
      </c>
      <c r="AC213" s="14">
        <v>3</v>
      </c>
      <c r="AD213" s="22" t="s">
        <v>542</v>
      </c>
      <c r="AE213" s="15" t="s">
        <v>87</v>
      </c>
      <c r="AF213" s="42" t="str">
        <f t="shared" si="3"/>
        <v>P007</v>
      </c>
    </row>
    <row r="214" spans="1:32" ht="86.4" hidden="1" x14ac:dyDescent="0.3">
      <c r="A214" s="12" t="e" cm="1">
        <f t="array" aca="1" ref="A214" ca="1">IF(STAT[[#This Row],[retranca]]="","",       RegxFunc(STAT[[#This Row],[retranca]],  "\w\d{4}\w*_\d")     )</f>
        <v>#NAME?</v>
      </c>
      <c r="B214" s="21" t="s">
        <v>543</v>
      </c>
      <c r="C214" s="14" t="s">
        <v>72</v>
      </c>
      <c r="D214" s="15" t="s">
        <v>9</v>
      </c>
      <c r="E214" s="15" t="s">
        <v>10</v>
      </c>
      <c r="F214" s="14">
        <v>100</v>
      </c>
      <c r="G214" s="15">
        <v>4</v>
      </c>
      <c r="H214" s="14">
        <v>6</v>
      </c>
      <c r="I214" s="14">
        <v>6</v>
      </c>
      <c r="J214" s="17" t="s">
        <v>55</v>
      </c>
      <c r="K214" s="36"/>
      <c r="L214" s="14"/>
      <c r="M214" s="14"/>
      <c r="N214" s="14"/>
      <c r="O214" s="14"/>
      <c r="P214" s="25" t="s">
        <v>544</v>
      </c>
      <c r="Q214" s="21"/>
      <c r="R214" s="22"/>
      <c r="S214" s="14">
        <v>21</v>
      </c>
      <c r="T214" s="27">
        <v>45832</v>
      </c>
      <c r="U214" s="27">
        <v>45834</v>
      </c>
      <c r="V214" s="27">
        <v>45840</v>
      </c>
      <c r="W214" s="27">
        <v>45841</v>
      </c>
      <c r="X214" s="27">
        <v>45842</v>
      </c>
      <c r="Y214" s="14" t="s">
        <v>119</v>
      </c>
      <c r="Z214" s="40" t="str">
        <f>IF(STAT[[#This Row],[sigla]]="","",VLOOKUP(STAT[[#This Row],[sigla]],CRÉDITOS_GERAIS[[sigla]:[credito]],2,))</f>
        <v>Bianca Tavares</v>
      </c>
      <c r="AA214" s="14"/>
      <c r="AB214" s="14" t="str">
        <f>STAT[[#This Row],[ilustrador]]</f>
        <v>Bianca Tavares</v>
      </c>
      <c r="AC214" s="14">
        <v>6</v>
      </c>
      <c r="AD214" s="22" t="s">
        <v>542</v>
      </c>
      <c r="AE214" s="15" t="s">
        <v>87</v>
      </c>
      <c r="AF214" s="42" t="str">
        <f t="shared" si="3"/>
        <v>P007</v>
      </c>
    </row>
    <row r="215" spans="1:32" ht="86.4" hidden="1" x14ac:dyDescent="0.3">
      <c r="A215" s="12" t="e" cm="1">
        <f t="array" aca="1" ref="A215" ca="1">IF(STAT[[#This Row],[retranca]]="","",       RegxFunc(STAT[[#This Row],[retranca]],  "\w\d{4}\w*_\d")     )</f>
        <v>#NAME?</v>
      </c>
      <c r="B215" s="21" t="s">
        <v>545</v>
      </c>
      <c r="C215" s="14" t="s">
        <v>72</v>
      </c>
      <c r="D215" s="15" t="s">
        <v>9</v>
      </c>
      <c r="E215" s="15" t="s">
        <v>10</v>
      </c>
      <c r="F215" s="14">
        <v>101</v>
      </c>
      <c r="G215" s="15">
        <v>4</v>
      </c>
      <c r="H215" s="14">
        <v>6</v>
      </c>
      <c r="I215" s="14">
        <v>6</v>
      </c>
      <c r="J215" s="17" t="s">
        <v>55</v>
      </c>
      <c r="K215" s="36"/>
      <c r="L215" s="14"/>
      <c r="M215" s="14"/>
      <c r="N215" s="14"/>
      <c r="O215" s="14"/>
      <c r="P215" s="25" t="s">
        <v>546</v>
      </c>
      <c r="Q215" s="21"/>
      <c r="R215" s="22"/>
      <c r="S215" s="14">
        <v>21</v>
      </c>
      <c r="T215" s="27">
        <v>45832</v>
      </c>
      <c r="U215" s="27">
        <v>45834</v>
      </c>
      <c r="V215" s="27">
        <v>45840</v>
      </c>
      <c r="W215" s="27">
        <v>45841</v>
      </c>
      <c r="X215" s="27">
        <v>45842</v>
      </c>
      <c r="Y215" s="14" t="s">
        <v>119</v>
      </c>
      <c r="Z215" s="40" t="str">
        <f>IF(STAT[[#This Row],[sigla]]="","",VLOOKUP(STAT[[#This Row],[sigla]],CRÉDITOS_GERAIS[[sigla]:[credito]],2,))</f>
        <v>Bianca Tavares</v>
      </c>
      <c r="AA215" s="14"/>
      <c r="AB215" s="14" t="str">
        <f>STAT[[#This Row],[ilustrador]]</f>
        <v>Bianca Tavares</v>
      </c>
      <c r="AC215" s="14">
        <v>5</v>
      </c>
      <c r="AD215" s="22" t="s">
        <v>542</v>
      </c>
      <c r="AE215" s="15" t="s">
        <v>87</v>
      </c>
      <c r="AF215" s="42" t="str">
        <f t="shared" si="3"/>
        <v>P007</v>
      </c>
    </row>
    <row r="216" spans="1:32" ht="28.8" hidden="1" x14ac:dyDescent="0.3">
      <c r="A216" s="12" t="e" cm="1">
        <f t="array" aca="1" ref="A216" ca="1">IF(STAT[[#This Row],[retranca]]="","",       RegxFunc(STAT[[#This Row],[retranca]],  "\w\d{4}\w*_\d")     )</f>
        <v>#NAME?</v>
      </c>
      <c r="B216" s="21" t="s">
        <v>547</v>
      </c>
      <c r="C216" s="14" t="s">
        <v>72</v>
      </c>
      <c r="D216" s="15" t="s">
        <v>9</v>
      </c>
      <c r="E216" s="15" t="s">
        <v>10</v>
      </c>
      <c r="F216" s="14">
        <v>102</v>
      </c>
      <c r="G216" s="15">
        <v>4</v>
      </c>
      <c r="H216" s="14">
        <v>6</v>
      </c>
      <c r="I216" s="14">
        <v>6</v>
      </c>
      <c r="J216" s="17" t="s">
        <v>55</v>
      </c>
      <c r="K216" s="36"/>
      <c r="L216" s="14"/>
      <c r="M216" s="14"/>
      <c r="N216" s="14"/>
      <c r="O216" s="14"/>
      <c r="P216" s="25" t="s">
        <v>548</v>
      </c>
      <c r="Q216" s="21"/>
      <c r="R216" s="22"/>
      <c r="S216" s="14">
        <v>21</v>
      </c>
      <c r="T216" s="27">
        <v>45832</v>
      </c>
      <c r="U216" s="27">
        <v>45834</v>
      </c>
      <c r="V216" s="27"/>
      <c r="W216" s="27"/>
      <c r="X216" s="27">
        <v>45838</v>
      </c>
      <c r="Y216" s="14" t="s">
        <v>114</v>
      </c>
      <c r="Z216" s="40" t="str">
        <f>IF(STAT[[#This Row],[sigla]]="","",VLOOKUP(STAT[[#This Row],[sigla]],CRÉDITOS_GERAIS[[sigla]:[credito]],2,))</f>
        <v>Heloísa Pintarelli</v>
      </c>
      <c r="AA216" s="14"/>
      <c r="AB216" s="14" t="str">
        <f>STAT[[#This Row],[ilustrador]]</f>
        <v>Heloísa Pintarelli</v>
      </c>
      <c r="AC216" s="14">
        <v>6</v>
      </c>
      <c r="AD216" s="22" t="s">
        <v>549</v>
      </c>
      <c r="AE216" s="14" t="s">
        <v>87</v>
      </c>
      <c r="AF216" s="42" t="str">
        <f t="shared" si="3"/>
        <v>P007</v>
      </c>
    </row>
    <row r="217" spans="1:32" ht="72" hidden="1" x14ac:dyDescent="0.3">
      <c r="A217" s="12" t="e" cm="1">
        <f t="array" aca="1" ref="A217" ca="1">IF(STAT[[#This Row],[retranca]]="","",       RegxFunc(STAT[[#This Row],[retranca]],  "\w\d{4}\w*_\d")     )</f>
        <v>#NAME?</v>
      </c>
      <c r="B217" s="21" t="s">
        <v>550</v>
      </c>
      <c r="C217" s="14" t="s">
        <v>72</v>
      </c>
      <c r="D217" s="15" t="s">
        <v>9</v>
      </c>
      <c r="E217" s="15" t="s">
        <v>10</v>
      </c>
      <c r="F217" s="14">
        <v>106</v>
      </c>
      <c r="G217" s="15">
        <v>4</v>
      </c>
      <c r="H217" s="14">
        <v>6</v>
      </c>
      <c r="I217" s="14">
        <v>6</v>
      </c>
      <c r="J217" s="17" t="s">
        <v>55</v>
      </c>
      <c r="K217" s="36"/>
      <c r="L217" s="14"/>
      <c r="M217" s="14"/>
      <c r="N217" s="14"/>
      <c r="O217" s="14"/>
      <c r="P217" s="25" t="s">
        <v>551</v>
      </c>
      <c r="Q217" s="21"/>
      <c r="R217" s="22"/>
      <c r="S217" s="14">
        <v>21</v>
      </c>
      <c r="T217" s="27">
        <v>45832</v>
      </c>
      <c r="U217" s="27">
        <v>45834</v>
      </c>
      <c r="V217" s="27">
        <v>45837</v>
      </c>
      <c r="W217" s="27">
        <v>45839</v>
      </c>
      <c r="X217" s="27">
        <v>45841</v>
      </c>
      <c r="Y217" s="14" t="s">
        <v>552</v>
      </c>
      <c r="Z217" s="40" t="str">
        <f>IF(STAT[[#This Row],[sigla]]="","",VLOOKUP(STAT[[#This Row],[sigla]],CRÉDITOS_GERAIS[[sigla]:[credito]],2,))</f>
        <v>Rafaela Villela</v>
      </c>
      <c r="AA217" s="14"/>
      <c r="AB217" s="14" t="str">
        <f>STAT[[#This Row],[ilustrador]]</f>
        <v>Rafaela Villela</v>
      </c>
      <c r="AC217" s="14">
        <v>6</v>
      </c>
      <c r="AD217" s="22" t="s">
        <v>553</v>
      </c>
      <c r="AE217" s="15" t="s">
        <v>87</v>
      </c>
      <c r="AF217" s="42" t="str">
        <f t="shared" si="3"/>
        <v>P007</v>
      </c>
    </row>
    <row r="218" spans="1:32" ht="72" hidden="1" x14ac:dyDescent="0.3">
      <c r="A218" s="12" t="e" cm="1">
        <f t="array" aca="1" ref="A218" ca="1">IF(STAT[[#This Row],[retranca]]="","",       RegxFunc(STAT[[#This Row],[retranca]],  "\w\d{4}\w*_\d")     )</f>
        <v>#NAME?</v>
      </c>
      <c r="B218" s="21" t="s">
        <v>554</v>
      </c>
      <c r="C218" s="14" t="s">
        <v>72</v>
      </c>
      <c r="D218" s="15" t="s">
        <v>9</v>
      </c>
      <c r="E218" s="15" t="s">
        <v>10</v>
      </c>
      <c r="F218" s="14">
        <v>107</v>
      </c>
      <c r="G218" s="15">
        <v>4</v>
      </c>
      <c r="H218" s="14">
        <v>6</v>
      </c>
      <c r="I218" s="14">
        <v>6</v>
      </c>
      <c r="J218" s="17" t="s">
        <v>55</v>
      </c>
      <c r="K218" s="36"/>
      <c r="L218" s="14"/>
      <c r="M218" s="14"/>
      <c r="N218" s="14"/>
      <c r="O218" s="14"/>
      <c r="P218" s="25" t="s">
        <v>555</v>
      </c>
      <c r="Q218" s="21"/>
      <c r="R218" s="22"/>
      <c r="S218" s="14">
        <v>21</v>
      </c>
      <c r="T218" s="27">
        <v>45832</v>
      </c>
      <c r="U218" s="27">
        <v>45834</v>
      </c>
      <c r="V218" s="27">
        <v>45838</v>
      </c>
      <c r="W218" s="27">
        <v>45839</v>
      </c>
      <c r="X218" s="27">
        <v>45841</v>
      </c>
      <c r="Y218" s="14" t="s">
        <v>94</v>
      </c>
      <c r="Z218" s="40" t="str">
        <f>IF(STAT[[#This Row],[sigla]]="","",VLOOKUP(STAT[[#This Row],[sigla]],CRÉDITOS_GERAIS[[sigla]:[credito]],2,))</f>
        <v>Thais Castro</v>
      </c>
      <c r="AA218" s="14"/>
      <c r="AB218" s="14" t="str">
        <f>STAT[[#This Row],[ilustrador]]</f>
        <v>Thais Castro</v>
      </c>
      <c r="AC218" s="14">
        <v>6</v>
      </c>
      <c r="AD218" s="22" t="s">
        <v>556</v>
      </c>
      <c r="AE218" s="15" t="s">
        <v>87</v>
      </c>
      <c r="AF218" s="42" t="str">
        <f t="shared" si="3"/>
        <v>P007</v>
      </c>
    </row>
    <row r="219" spans="1:32" ht="72" hidden="1" x14ac:dyDescent="0.3">
      <c r="A219" s="12" t="e" cm="1">
        <f t="array" aca="1" ref="A219" ca="1">IF(STAT[[#This Row],[retranca]]="","",       RegxFunc(STAT[[#This Row],[retranca]],  "\w\d{4}\w*_\d")     )</f>
        <v>#NAME?</v>
      </c>
      <c r="B219" s="21" t="s">
        <v>557</v>
      </c>
      <c r="C219" s="14" t="s">
        <v>72</v>
      </c>
      <c r="D219" s="15" t="s">
        <v>9</v>
      </c>
      <c r="E219" s="15" t="s">
        <v>10</v>
      </c>
      <c r="F219" s="14">
        <v>108</v>
      </c>
      <c r="G219" s="15">
        <v>4</v>
      </c>
      <c r="H219" s="14">
        <v>6</v>
      </c>
      <c r="I219" s="14">
        <v>6</v>
      </c>
      <c r="J219" s="17" t="s">
        <v>55</v>
      </c>
      <c r="K219" s="36"/>
      <c r="L219" s="14"/>
      <c r="M219" s="14"/>
      <c r="N219" s="14"/>
      <c r="O219" s="14"/>
      <c r="P219" s="25" t="s">
        <v>558</v>
      </c>
      <c r="Q219" s="21"/>
      <c r="R219" s="22"/>
      <c r="S219" s="14">
        <v>21</v>
      </c>
      <c r="T219" s="27">
        <v>45832</v>
      </c>
      <c r="U219" s="27">
        <v>45834</v>
      </c>
      <c r="V219" s="27">
        <v>45838</v>
      </c>
      <c r="W219" s="27">
        <v>45839</v>
      </c>
      <c r="X219" s="27">
        <v>45841</v>
      </c>
      <c r="Y219" s="14" t="s">
        <v>94</v>
      </c>
      <c r="Z219" s="40" t="str">
        <f>IF(STAT[[#This Row],[sigla]]="","",VLOOKUP(STAT[[#This Row],[sigla]],CRÉDITOS_GERAIS[[sigla]:[credito]],2,))</f>
        <v>Thais Castro</v>
      </c>
      <c r="AA219" s="14"/>
      <c r="AB219" s="14" t="str">
        <f>STAT[[#This Row],[ilustrador]]</f>
        <v>Thais Castro</v>
      </c>
      <c r="AC219" s="14">
        <v>3</v>
      </c>
      <c r="AD219" s="22" t="s">
        <v>556</v>
      </c>
      <c r="AE219" s="15" t="s">
        <v>87</v>
      </c>
      <c r="AF219" s="42" t="str">
        <f t="shared" si="3"/>
        <v>P007</v>
      </c>
    </row>
    <row r="220" spans="1:32" ht="28.8" hidden="1" x14ac:dyDescent="0.3">
      <c r="A220" s="12" t="e" cm="1">
        <f t="array" aca="1" ref="A220" ca="1">IF(STAT[[#This Row],[retranca]]="","",       RegxFunc(STAT[[#This Row],[retranca]],  "\w\d{4}\w*_\d")     )</f>
        <v>#NAME?</v>
      </c>
      <c r="B220" s="21" t="s">
        <v>559</v>
      </c>
      <c r="C220" s="14" t="s">
        <v>72</v>
      </c>
      <c r="D220" s="15" t="s">
        <v>9</v>
      </c>
      <c r="E220" s="15" t="s">
        <v>10</v>
      </c>
      <c r="F220" s="14">
        <v>110</v>
      </c>
      <c r="G220" s="15">
        <v>4</v>
      </c>
      <c r="H220" s="14">
        <v>6</v>
      </c>
      <c r="I220" s="14">
        <v>6</v>
      </c>
      <c r="J220" s="17" t="s">
        <v>55</v>
      </c>
      <c r="K220" s="36"/>
      <c r="L220" s="14"/>
      <c r="M220" s="14"/>
      <c r="N220" s="14"/>
      <c r="O220" s="14"/>
      <c r="P220" s="25" t="s">
        <v>560</v>
      </c>
      <c r="Q220" s="21"/>
      <c r="R220" s="22"/>
      <c r="S220" s="14">
        <v>21</v>
      </c>
      <c r="T220" s="27">
        <v>45832</v>
      </c>
      <c r="U220" s="27">
        <v>45834</v>
      </c>
      <c r="V220" s="27">
        <v>45837</v>
      </c>
      <c r="W220" s="27">
        <v>45839</v>
      </c>
      <c r="X220" s="27">
        <v>45841</v>
      </c>
      <c r="Y220" s="14" t="s">
        <v>552</v>
      </c>
      <c r="Z220" s="40" t="str">
        <f>IF(STAT[[#This Row],[sigla]]="","",VLOOKUP(STAT[[#This Row],[sigla]],CRÉDITOS_GERAIS[[sigla]:[credito]],2,))</f>
        <v>Rafaela Villela</v>
      </c>
      <c r="AA220" s="14"/>
      <c r="AB220" s="14" t="str">
        <f>STAT[[#This Row],[ilustrador]]</f>
        <v>Rafaela Villela</v>
      </c>
      <c r="AC220" s="14">
        <v>3</v>
      </c>
      <c r="AD220" s="22" t="s">
        <v>553</v>
      </c>
      <c r="AE220" s="15" t="s">
        <v>87</v>
      </c>
      <c r="AF220" s="42" t="str">
        <f t="shared" si="3"/>
        <v>P007</v>
      </c>
    </row>
    <row r="221" spans="1:32" ht="28.8" hidden="1" x14ac:dyDescent="0.3">
      <c r="A221" s="12" t="e" cm="1">
        <f t="array" aca="1" ref="A221" ca="1">IF(STAT[[#This Row],[retranca]]="","",       RegxFunc(STAT[[#This Row],[retranca]],  "\w\d{4}\w*_\d")     )</f>
        <v>#NAME?</v>
      </c>
      <c r="B221" s="21" t="s">
        <v>561</v>
      </c>
      <c r="C221" s="14" t="s">
        <v>72</v>
      </c>
      <c r="D221" s="15" t="s">
        <v>9</v>
      </c>
      <c r="E221" s="15" t="s">
        <v>10</v>
      </c>
      <c r="F221" s="14">
        <v>111</v>
      </c>
      <c r="G221" s="15">
        <v>4</v>
      </c>
      <c r="H221" s="14">
        <v>6</v>
      </c>
      <c r="I221" s="14">
        <v>6</v>
      </c>
      <c r="J221" s="17" t="s">
        <v>55</v>
      </c>
      <c r="K221" s="36"/>
      <c r="L221" s="14"/>
      <c r="M221" s="14"/>
      <c r="N221" s="14"/>
      <c r="O221" s="14"/>
      <c r="P221" s="25" t="s">
        <v>562</v>
      </c>
      <c r="Q221" s="22"/>
      <c r="R221" s="22"/>
      <c r="S221" s="14">
        <v>21</v>
      </c>
      <c r="T221" s="27">
        <v>45832</v>
      </c>
      <c r="U221" s="27">
        <v>45834</v>
      </c>
      <c r="V221" s="27">
        <v>45839</v>
      </c>
      <c r="W221" s="27">
        <v>45840</v>
      </c>
      <c r="X221" s="27">
        <v>45842</v>
      </c>
      <c r="Y221" s="14" t="s">
        <v>109</v>
      </c>
      <c r="Z221" s="40" t="str">
        <f>IF(STAT[[#This Row],[sigla]]="","",VLOOKUP(STAT[[#This Row],[sigla]],CRÉDITOS_GERAIS[[sigla]:[credito]],2,))</f>
        <v>Clarice Baracho</v>
      </c>
      <c r="AA221" s="14"/>
      <c r="AB221" s="14" t="str">
        <f>STAT[[#This Row],[ilustrador]]</f>
        <v>Clarice Baracho</v>
      </c>
      <c r="AC221" s="14">
        <v>5</v>
      </c>
      <c r="AD221" s="22" t="s">
        <v>563</v>
      </c>
      <c r="AE221" s="15" t="s">
        <v>87</v>
      </c>
      <c r="AF221" s="42" t="str">
        <f t="shared" si="3"/>
        <v>P007</v>
      </c>
    </row>
    <row r="222" spans="1:32" ht="28.8" hidden="1" x14ac:dyDescent="0.3">
      <c r="A222" s="12" t="e" cm="1">
        <f t="array" aca="1" ref="A222" ca="1">IF(STAT[[#This Row],[retranca]]="","",       RegxFunc(STAT[[#This Row],[retranca]],  "\w\d{4}\w*_\d")     )</f>
        <v>#NAME?</v>
      </c>
      <c r="B222" s="21" t="s">
        <v>564</v>
      </c>
      <c r="C222" s="14" t="s">
        <v>72</v>
      </c>
      <c r="D222" s="15" t="s">
        <v>9</v>
      </c>
      <c r="E222" s="15" t="s">
        <v>10</v>
      </c>
      <c r="F222" s="14">
        <v>111</v>
      </c>
      <c r="G222" s="15">
        <v>4</v>
      </c>
      <c r="H222" s="14">
        <v>6</v>
      </c>
      <c r="I222" s="14">
        <v>6</v>
      </c>
      <c r="J222" s="17" t="s">
        <v>55</v>
      </c>
      <c r="K222" s="36"/>
      <c r="L222" s="14"/>
      <c r="M222" s="14"/>
      <c r="N222" s="14"/>
      <c r="O222" s="14"/>
      <c r="P222" s="25" t="s">
        <v>565</v>
      </c>
      <c r="Q222" s="22"/>
      <c r="R222" s="22"/>
      <c r="S222" s="14">
        <v>21</v>
      </c>
      <c r="T222" s="27">
        <v>45832</v>
      </c>
      <c r="U222" s="27">
        <v>45834</v>
      </c>
      <c r="V222" s="27">
        <v>45839</v>
      </c>
      <c r="W222" s="27">
        <v>45840</v>
      </c>
      <c r="X222" s="27">
        <v>45842</v>
      </c>
      <c r="Y222" s="14" t="s">
        <v>109</v>
      </c>
      <c r="Z222" s="40" t="str">
        <f>IF(STAT[[#This Row],[sigla]]="","",VLOOKUP(STAT[[#This Row],[sigla]],CRÉDITOS_GERAIS[[sigla]:[credito]],2,))</f>
        <v>Clarice Baracho</v>
      </c>
      <c r="AA222" s="14"/>
      <c r="AB222" s="14" t="str">
        <f>STAT[[#This Row],[ilustrador]]</f>
        <v>Clarice Baracho</v>
      </c>
      <c r="AC222" s="14">
        <v>6</v>
      </c>
      <c r="AD222" s="22" t="s">
        <v>563</v>
      </c>
      <c r="AE222" s="15" t="s">
        <v>87</v>
      </c>
      <c r="AF222" s="42" t="str">
        <f t="shared" si="3"/>
        <v>P007</v>
      </c>
    </row>
    <row r="223" spans="1:32" hidden="1" x14ac:dyDescent="0.3">
      <c r="A223" s="12" t="e" cm="1">
        <f t="array" aca="1" ref="A223" ca="1">IF(STAT[[#This Row],[retranca]]="","",       RegxFunc(STAT[[#This Row],[retranca]],  "\w\d{4}\w*_\d")     )</f>
        <v>#NAME?</v>
      </c>
      <c r="B223" s="21" t="s">
        <v>566</v>
      </c>
      <c r="C223" s="14" t="s">
        <v>72</v>
      </c>
      <c r="D223" s="14" t="s">
        <v>9</v>
      </c>
      <c r="E223" s="14" t="s">
        <v>10</v>
      </c>
      <c r="F223" s="14">
        <v>113</v>
      </c>
      <c r="G223" s="15">
        <v>4</v>
      </c>
      <c r="H223" s="14">
        <v>6</v>
      </c>
      <c r="I223" s="14">
        <v>6</v>
      </c>
      <c r="J223" s="17" t="s">
        <v>55</v>
      </c>
      <c r="K223" s="36"/>
      <c r="L223" s="14"/>
      <c r="M223" s="14"/>
      <c r="N223" s="14"/>
      <c r="O223" s="14"/>
      <c r="P223" s="25" t="s">
        <v>567</v>
      </c>
      <c r="Q223" s="22"/>
      <c r="R223" s="22"/>
      <c r="S223" s="14">
        <v>21</v>
      </c>
      <c r="T223" s="27">
        <v>45832</v>
      </c>
      <c r="U223" s="27">
        <v>45834</v>
      </c>
      <c r="V223" s="27">
        <v>45839</v>
      </c>
      <c r="W223" s="27">
        <v>45840</v>
      </c>
      <c r="X223" s="27">
        <v>45842</v>
      </c>
      <c r="Y223" s="14" t="s">
        <v>109</v>
      </c>
      <c r="Z223" s="40" t="str">
        <f>IF(STAT[[#This Row],[sigla]]="","",VLOOKUP(STAT[[#This Row],[sigla]],CRÉDITOS_GERAIS[[sigla]:[credito]],2,))</f>
        <v>Clarice Baracho</v>
      </c>
      <c r="AA223" s="14"/>
      <c r="AB223" s="14" t="str">
        <f>STAT[[#This Row],[ilustrador]]</f>
        <v>Clarice Baracho</v>
      </c>
      <c r="AC223" s="14">
        <v>4</v>
      </c>
      <c r="AD223" s="22" t="s">
        <v>563</v>
      </c>
      <c r="AE223" s="15" t="s">
        <v>87</v>
      </c>
      <c r="AF223" s="42" t="str">
        <f t="shared" si="3"/>
        <v>P007</v>
      </c>
    </row>
    <row r="224" spans="1:32" hidden="1" x14ac:dyDescent="0.3">
      <c r="A224" s="12" t="e" cm="1">
        <f t="array" aca="1" ref="A224" ca="1">IF(STAT[[#This Row],[retranca]]="","",       RegxFunc(STAT[[#This Row],[retranca]],  "\w\d{4}\w*_\d")     )</f>
        <v>#NAME?</v>
      </c>
      <c r="B224" s="21" t="s">
        <v>568</v>
      </c>
      <c r="C224" s="14" t="s">
        <v>72</v>
      </c>
      <c r="D224" s="14" t="s">
        <v>9</v>
      </c>
      <c r="E224" s="14" t="s">
        <v>10</v>
      </c>
      <c r="F224" s="14">
        <v>114</v>
      </c>
      <c r="G224" s="15">
        <v>4</v>
      </c>
      <c r="H224" s="14">
        <v>6</v>
      </c>
      <c r="I224" s="14">
        <v>6</v>
      </c>
      <c r="J224" s="17" t="s">
        <v>55</v>
      </c>
      <c r="K224" s="36"/>
      <c r="L224" s="14"/>
      <c r="M224" s="14"/>
      <c r="N224" s="14"/>
      <c r="O224" s="14"/>
      <c r="P224" s="25" t="s">
        <v>569</v>
      </c>
      <c r="Q224" s="22"/>
      <c r="R224" s="22"/>
      <c r="S224" s="14">
        <v>21</v>
      </c>
      <c r="T224" s="27">
        <v>45832</v>
      </c>
      <c r="U224" s="27">
        <v>45834</v>
      </c>
      <c r="V224" s="27">
        <v>45839</v>
      </c>
      <c r="W224" s="27">
        <v>45840</v>
      </c>
      <c r="X224" s="27">
        <v>45842</v>
      </c>
      <c r="Y224" s="14" t="s">
        <v>109</v>
      </c>
      <c r="Z224" s="40" t="str">
        <f>IF(STAT[[#This Row],[sigla]]="","",VLOOKUP(STAT[[#This Row],[sigla]],CRÉDITOS_GERAIS[[sigla]:[credito]],2,))</f>
        <v>Clarice Baracho</v>
      </c>
      <c r="AA224" s="14"/>
      <c r="AB224" s="14" t="str">
        <f>STAT[[#This Row],[ilustrador]]</f>
        <v>Clarice Baracho</v>
      </c>
      <c r="AC224" s="14">
        <v>6</v>
      </c>
      <c r="AD224" s="22" t="s">
        <v>563</v>
      </c>
      <c r="AE224" s="15" t="s">
        <v>87</v>
      </c>
      <c r="AF224" s="42" t="str">
        <f t="shared" si="3"/>
        <v>P007</v>
      </c>
    </row>
    <row r="225" spans="1:32" ht="43.2" hidden="1" x14ac:dyDescent="0.3">
      <c r="A225" s="12" t="e" cm="1">
        <f t="array" aca="1" ref="A225" ca="1">IF(STAT[[#This Row],[retranca]]="","",       RegxFunc(STAT[[#This Row],[retranca]],  "\w\d{4}\w*_\d")     )</f>
        <v>#NAME?</v>
      </c>
      <c r="B225" s="21" t="s">
        <v>570</v>
      </c>
      <c r="C225" s="14" t="s">
        <v>72</v>
      </c>
      <c r="D225" s="14" t="s">
        <v>9</v>
      </c>
      <c r="E225" s="14" t="s">
        <v>10</v>
      </c>
      <c r="F225" s="14">
        <v>114</v>
      </c>
      <c r="G225" s="15">
        <v>4</v>
      </c>
      <c r="H225" s="14">
        <v>6</v>
      </c>
      <c r="I225" s="14">
        <v>6</v>
      </c>
      <c r="J225" s="17" t="s">
        <v>55</v>
      </c>
      <c r="K225" s="36"/>
      <c r="L225" s="14"/>
      <c r="M225" s="14"/>
      <c r="N225" s="14"/>
      <c r="O225" s="14"/>
      <c r="P225" s="25" t="s">
        <v>571</v>
      </c>
      <c r="Q225" s="22"/>
      <c r="R225" s="22"/>
      <c r="S225" s="14">
        <v>21</v>
      </c>
      <c r="T225" s="27">
        <v>45832</v>
      </c>
      <c r="U225" s="27">
        <v>45834</v>
      </c>
      <c r="V225" s="27">
        <v>45839</v>
      </c>
      <c r="W225" s="27">
        <v>45840</v>
      </c>
      <c r="X225" s="27">
        <v>45842</v>
      </c>
      <c r="Y225" s="14" t="s">
        <v>109</v>
      </c>
      <c r="Z225" s="40" t="str">
        <f>IF(STAT[[#This Row],[sigla]]="","",VLOOKUP(STAT[[#This Row],[sigla]],CRÉDITOS_GERAIS[[sigla]:[credito]],2,))</f>
        <v>Clarice Baracho</v>
      </c>
      <c r="AA225" s="14"/>
      <c r="AB225" s="14" t="str">
        <f>STAT[[#This Row],[ilustrador]]</f>
        <v>Clarice Baracho</v>
      </c>
      <c r="AC225" s="14">
        <v>5</v>
      </c>
      <c r="AD225" s="22" t="s">
        <v>563</v>
      </c>
      <c r="AE225" s="15" t="s">
        <v>87</v>
      </c>
      <c r="AF225" s="42" t="str">
        <f t="shared" si="3"/>
        <v>P007</v>
      </c>
    </row>
    <row r="226" spans="1:32" ht="57.6" hidden="1" x14ac:dyDescent="0.3">
      <c r="A226" s="12" t="e" cm="1">
        <f t="array" aca="1" ref="A226" ca="1">IF(STAT[[#This Row],[retranca]]="","",       RegxFunc(STAT[[#This Row],[retranca]],  "\w\d{4}\w*_\d")     )</f>
        <v>#NAME?</v>
      </c>
      <c r="B226" s="21" t="s">
        <v>572</v>
      </c>
      <c r="C226" s="14" t="s">
        <v>72</v>
      </c>
      <c r="D226" s="15" t="s">
        <v>9</v>
      </c>
      <c r="E226" s="15" t="s">
        <v>10</v>
      </c>
      <c r="F226" s="14"/>
      <c r="G226" s="15">
        <v>1</v>
      </c>
      <c r="H226" s="14">
        <v>2</v>
      </c>
      <c r="I226" s="14">
        <v>2</v>
      </c>
      <c r="J226" s="17" t="s">
        <v>55</v>
      </c>
      <c r="K226" s="36"/>
      <c r="L226" s="14"/>
      <c r="M226" s="14"/>
      <c r="N226" s="14"/>
      <c r="O226" s="14"/>
      <c r="P226" s="25" t="s">
        <v>573</v>
      </c>
      <c r="Q226" s="21"/>
      <c r="R226" s="22"/>
      <c r="S226" s="14">
        <v>22</v>
      </c>
      <c r="T226" s="27">
        <v>45833</v>
      </c>
      <c r="U226" s="27">
        <v>45833</v>
      </c>
      <c r="V226" s="27">
        <v>45835</v>
      </c>
      <c r="W226" s="27">
        <v>45838</v>
      </c>
      <c r="X226" s="27">
        <v>45839</v>
      </c>
      <c r="Y226" s="14" t="s">
        <v>84</v>
      </c>
      <c r="Z226" s="40" t="str">
        <f>IF(STAT[[#This Row],[sigla]]="","",VLOOKUP(STAT[[#This Row],[sigla]],CRÉDITOS_GERAIS[[sigla]:[credito]],2,))</f>
        <v>Gabriel Brum</v>
      </c>
      <c r="AA226" s="14"/>
      <c r="AB226" s="14" t="str">
        <f>STAT[[#This Row],[ilustrador]]</f>
        <v>Gabriel Brum</v>
      </c>
      <c r="AC226" s="14">
        <v>7</v>
      </c>
      <c r="AD226" s="22" t="s">
        <v>574</v>
      </c>
      <c r="AE226" s="15" t="s">
        <v>87</v>
      </c>
      <c r="AF226" s="42" t="str">
        <f t="shared" si="3"/>
        <v>P007</v>
      </c>
    </row>
    <row r="227" spans="1:32" hidden="1" x14ac:dyDescent="0.3">
      <c r="A227" s="12" t="e" cm="1">
        <f t="array" aca="1" ref="A227" ca="1">IF(STAT[[#This Row],[retranca]]="","",       RegxFunc(STAT[[#This Row],[retranca]],  "\w\d{4}\w*_\d")     )</f>
        <v>#NAME?</v>
      </c>
      <c r="B227" s="21" t="s">
        <v>575</v>
      </c>
      <c r="C227" s="14" t="s">
        <v>122</v>
      </c>
      <c r="D227" s="15" t="s">
        <v>9</v>
      </c>
      <c r="E227" s="15" t="s">
        <v>10</v>
      </c>
      <c r="F227" s="14">
        <v>6</v>
      </c>
      <c r="G227" s="15">
        <v>3</v>
      </c>
      <c r="H227" s="14">
        <v>1</v>
      </c>
      <c r="I227" s="14">
        <v>1</v>
      </c>
      <c r="J227" s="17" t="s">
        <v>55</v>
      </c>
      <c r="K227" s="36"/>
      <c r="L227" s="14"/>
      <c r="M227" s="14"/>
      <c r="N227" s="14"/>
      <c r="O227" s="14"/>
      <c r="P227" s="25" t="s">
        <v>576</v>
      </c>
      <c r="Q227" s="21"/>
      <c r="R227" s="22"/>
      <c r="S227" s="14">
        <v>23</v>
      </c>
      <c r="T227" s="27">
        <v>45833</v>
      </c>
      <c r="U227" s="27">
        <v>45833</v>
      </c>
      <c r="V227" s="27">
        <v>45833</v>
      </c>
      <c r="W227" s="27">
        <v>45833</v>
      </c>
      <c r="X227" s="27">
        <v>45834</v>
      </c>
      <c r="Y227" s="14" t="s">
        <v>119</v>
      </c>
      <c r="Z227" s="40" t="str">
        <f>IF(STAT[[#This Row],[sigla]]="","",VLOOKUP(STAT[[#This Row],[sigla]],CRÉDITOS_GERAIS[[sigla]:[credito]],2,))</f>
        <v>Bianca Tavares</v>
      </c>
      <c r="AA227" s="14"/>
      <c r="AB227" s="14" t="str">
        <f>STAT[[#This Row],[ilustrador]]</f>
        <v>Bianca Tavares</v>
      </c>
      <c r="AC227" s="14">
        <v>4</v>
      </c>
      <c r="AD227" s="22" t="s">
        <v>577</v>
      </c>
      <c r="AE227" s="14" t="s">
        <v>87</v>
      </c>
      <c r="AF227" s="42" t="str">
        <f t="shared" si="3"/>
        <v>P007</v>
      </c>
    </row>
    <row r="228" spans="1:32" ht="28.8" hidden="1" x14ac:dyDescent="0.3">
      <c r="A228" s="12" t="e" cm="1">
        <f t="array" aca="1" ref="A228" ca="1">IF(STAT[[#This Row],[retranca]]="","",       RegxFunc(STAT[[#This Row],[retranca]],  "\w\d{4}\w*_\d")     )</f>
        <v>#NAME?</v>
      </c>
      <c r="B228" s="21" t="s">
        <v>578</v>
      </c>
      <c r="C228" s="14" t="s">
        <v>72</v>
      </c>
      <c r="D228" s="15" t="s">
        <v>9</v>
      </c>
      <c r="E228" s="15" t="s">
        <v>10</v>
      </c>
      <c r="F228" s="14">
        <v>85</v>
      </c>
      <c r="G228" s="15">
        <v>1</v>
      </c>
      <c r="H228" s="14">
        <v>2</v>
      </c>
      <c r="I228" s="14">
        <v>2</v>
      </c>
      <c r="J228" s="17" t="s">
        <v>11</v>
      </c>
      <c r="K228" s="36"/>
      <c r="L228" s="14"/>
      <c r="M228" s="14"/>
      <c r="N228" s="14"/>
      <c r="O228" s="14"/>
      <c r="P228" s="25" t="s">
        <v>579</v>
      </c>
      <c r="Q228" s="21"/>
      <c r="R228" s="22"/>
      <c r="S228" s="14"/>
      <c r="T228" s="27"/>
      <c r="U228" s="27"/>
      <c r="V228" s="27"/>
      <c r="W228" s="27"/>
      <c r="X228" s="27"/>
      <c r="Y228" s="14" t="s">
        <v>74</v>
      </c>
      <c r="Z228" s="40" t="str">
        <f>IF(STAT[[#This Row],[sigla]]="","",VLOOKUP(STAT[[#This Row],[sigla]],CRÉDITOS_GERAIS[[sigla]:[credito]],2,))</f>
        <v>Jorge Zaiba</v>
      </c>
      <c r="AA228" s="14"/>
      <c r="AB228" s="14" t="str">
        <f>STAT[[#This Row],[ilustrador]]</f>
        <v>Jorge Zaiba</v>
      </c>
      <c r="AC228" s="14"/>
      <c r="AD228" s="22"/>
      <c r="AE228" s="15"/>
      <c r="AF228" s="42" t="str">
        <f t="shared" si="3"/>
        <v>P007</v>
      </c>
    </row>
    <row r="229" spans="1:32" ht="72" hidden="1" x14ac:dyDescent="0.3">
      <c r="A229" s="12" t="e" cm="1">
        <f t="array" aca="1" ref="A229" ca="1">IF(STAT[[#This Row],[retranca]]="","",       RegxFunc(STAT[[#This Row],[retranca]],  "\w\d{4}\w*_\d")     )</f>
        <v>#NAME?</v>
      </c>
      <c r="B229" s="21" t="s">
        <v>580</v>
      </c>
      <c r="C229" s="14" t="s">
        <v>122</v>
      </c>
      <c r="D229" s="15" t="s">
        <v>9</v>
      </c>
      <c r="E229" s="15" t="s">
        <v>10</v>
      </c>
      <c r="F229" s="14">
        <v>86</v>
      </c>
      <c r="G229" s="15">
        <v>1</v>
      </c>
      <c r="H229" s="14">
        <v>2</v>
      </c>
      <c r="I229" s="14">
        <v>2</v>
      </c>
      <c r="J229" s="17" t="s">
        <v>55</v>
      </c>
      <c r="K229" s="36"/>
      <c r="L229" s="14"/>
      <c r="M229" s="14"/>
      <c r="N229" s="14"/>
      <c r="O229" s="14"/>
      <c r="P229" s="25" t="s">
        <v>581</v>
      </c>
      <c r="Q229" s="21"/>
      <c r="R229" s="25" t="s">
        <v>582</v>
      </c>
      <c r="S229" s="14">
        <v>24</v>
      </c>
      <c r="T229" s="27">
        <v>45838</v>
      </c>
      <c r="U229" s="27">
        <v>45838</v>
      </c>
      <c r="V229" s="27">
        <v>45840</v>
      </c>
      <c r="W229" s="27">
        <v>45840</v>
      </c>
      <c r="X229" s="27">
        <v>45842</v>
      </c>
      <c r="Y229" s="14" t="s">
        <v>583</v>
      </c>
      <c r="Z229" s="40" t="str">
        <f>IF(STAT[[#This Row],[sigla]]="","",VLOOKUP(STAT[[#This Row],[sigla]],CRÉDITOS_GERAIS[[sigla]:[credito]],2,))</f>
        <v>Karina Oliveira</v>
      </c>
      <c r="AA229" s="14"/>
      <c r="AB229" s="14" t="str">
        <f>STAT[[#This Row],[ilustrador]]</f>
        <v>Karina Oliveira</v>
      </c>
      <c r="AC229" s="14">
        <v>4</v>
      </c>
      <c r="AD229" s="22" t="s">
        <v>584</v>
      </c>
      <c r="AE229" s="15" t="s">
        <v>87</v>
      </c>
      <c r="AF229" s="42" t="str">
        <f t="shared" si="3"/>
        <v>P007</v>
      </c>
    </row>
    <row r="230" spans="1:32" ht="28.8" hidden="1" x14ac:dyDescent="0.3">
      <c r="A230" s="12" t="e" cm="1">
        <f t="array" aca="1" ref="A230" ca="1">IF(STAT[[#This Row],[retranca]]="","",       RegxFunc(STAT[[#This Row],[retranca]],  "\w\d{4}\w*_\d")     )</f>
        <v>#NAME?</v>
      </c>
      <c r="B230" s="21" t="s">
        <v>585</v>
      </c>
      <c r="C230" s="14" t="s">
        <v>72</v>
      </c>
      <c r="D230" s="15" t="s">
        <v>9</v>
      </c>
      <c r="E230" s="15" t="s">
        <v>10</v>
      </c>
      <c r="F230" s="14">
        <v>89</v>
      </c>
      <c r="G230" s="15">
        <v>1</v>
      </c>
      <c r="H230" s="14">
        <v>2</v>
      </c>
      <c r="I230" s="14">
        <v>2</v>
      </c>
      <c r="J230" s="17" t="s">
        <v>55</v>
      </c>
      <c r="K230" s="36"/>
      <c r="L230" s="14"/>
      <c r="M230" s="14"/>
      <c r="N230" s="14"/>
      <c r="O230" s="14"/>
      <c r="P230" s="25" t="s">
        <v>586</v>
      </c>
      <c r="Q230" s="21"/>
      <c r="R230" s="22"/>
      <c r="S230" s="14"/>
      <c r="T230" s="27"/>
      <c r="U230" s="27"/>
      <c r="V230" s="27"/>
      <c r="W230" s="27"/>
      <c r="X230" s="27"/>
      <c r="Y230" s="14" t="s">
        <v>43</v>
      </c>
      <c r="Z230" s="40" t="e">
        <f>IF(STAT[[#This Row],[sigla]]="","",VLOOKUP(STAT[[#This Row],[sigla]],CRÉDITOS_GERAIS[[sigla]:[credito]],2,))</f>
        <v>#N/A</v>
      </c>
      <c r="AA230" s="14"/>
      <c r="AB230" s="14" t="e">
        <f>STAT[[#This Row],[ilustrador]]</f>
        <v>#N/A</v>
      </c>
      <c r="AC230" s="14"/>
      <c r="AD230" s="22"/>
      <c r="AE230" s="15"/>
      <c r="AF230" s="42" t="str">
        <f t="shared" si="3"/>
        <v>P007</v>
      </c>
    </row>
    <row r="231" spans="1:32" ht="28.8" hidden="1" x14ac:dyDescent="0.3">
      <c r="A231" s="12" t="e" cm="1">
        <f t="array" aca="1" ref="A231" ca="1">IF(STAT[[#This Row],[retranca]]="","",       RegxFunc(STAT[[#This Row],[retranca]],  "\w\d{4}\w*_\d")     )</f>
        <v>#NAME?</v>
      </c>
      <c r="B231" s="21" t="s">
        <v>587</v>
      </c>
      <c r="C231" s="14" t="s">
        <v>72</v>
      </c>
      <c r="D231" s="15" t="s">
        <v>9</v>
      </c>
      <c r="E231" s="15" t="s">
        <v>10</v>
      </c>
      <c r="F231" s="14">
        <v>90</v>
      </c>
      <c r="G231" s="15">
        <v>1</v>
      </c>
      <c r="H231" s="14">
        <v>2</v>
      </c>
      <c r="I231" s="14">
        <v>2</v>
      </c>
      <c r="J231" s="17" t="s">
        <v>55</v>
      </c>
      <c r="K231" s="36"/>
      <c r="L231" s="14"/>
      <c r="M231" s="14"/>
      <c r="N231" s="14"/>
      <c r="O231" s="14"/>
      <c r="P231" s="25" t="s">
        <v>588</v>
      </c>
      <c r="Q231" s="21"/>
      <c r="R231" s="22"/>
      <c r="S231" s="14"/>
      <c r="T231" s="27"/>
      <c r="U231" s="27"/>
      <c r="V231" s="27"/>
      <c r="W231" s="27"/>
      <c r="X231" s="27"/>
      <c r="Y231" s="14" t="s">
        <v>43</v>
      </c>
      <c r="Z231" s="40" t="e">
        <f>IF(STAT[[#This Row],[sigla]]="","",VLOOKUP(STAT[[#This Row],[sigla]],CRÉDITOS_GERAIS[[sigla]:[credito]],2,))</f>
        <v>#N/A</v>
      </c>
      <c r="AA231" s="14"/>
      <c r="AB231" s="14" t="e">
        <f>STAT[[#This Row],[ilustrador]]</f>
        <v>#N/A</v>
      </c>
      <c r="AC231" s="14"/>
      <c r="AD231" s="22"/>
      <c r="AE231" s="15"/>
      <c r="AF231" s="42" t="str">
        <f t="shared" si="3"/>
        <v>P007</v>
      </c>
    </row>
    <row r="232" spans="1:32" ht="28.8" hidden="1" x14ac:dyDescent="0.3">
      <c r="A232" s="12" t="e" cm="1">
        <f t="array" aca="1" ref="A232" ca="1">IF(STAT[[#This Row],[retranca]]="","",       RegxFunc(STAT[[#This Row],[retranca]],  "\w\d{4}\w*_\d")     )</f>
        <v>#NAME?</v>
      </c>
      <c r="B232" s="21" t="s">
        <v>589</v>
      </c>
      <c r="C232" s="14" t="s">
        <v>72</v>
      </c>
      <c r="D232" s="15" t="s">
        <v>9</v>
      </c>
      <c r="E232" s="15" t="s">
        <v>10</v>
      </c>
      <c r="F232" s="14">
        <v>91</v>
      </c>
      <c r="G232" s="15">
        <v>1</v>
      </c>
      <c r="H232" s="14">
        <v>2</v>
      </c>
      <c r="I232" s="14">
        <v>2</v>
      </c>
      <c r="J232" s="17" t="s">
        <v>55</v>
      </c>
      <c r="K232" s="36"/>
      <c r="L232" s="14"/>
      <c r="M232" s="14"/>
      <c r="N232" s="14"/>
      <c r="O232" s="14"/>
      <c r="P232" s="25" t="s">
        <v>590</v>
      </c>
      <c r="Q232" s="21"/>
      <c r="R232" s="22"/>
      <c r="S232" s="14"/>
      <c r="T232" s="27"/>
      <c r="U232" s="27"/>
      <c r="V232" s="27"/>
      <c r="W232" s="27"/>
      <c r="X232" s="27"/>
      <c r="Y232" s="14" t="s">
        <v>43</v>
      </c>
      <c r="Z232" s="40" t="e">
        <f>IF(STAT[[#This Row],[sigla]]="","",VLOOKUP(STAT[[#This Row],[sigla]],CRÉDITOS_GERAIS[[sigla]:[credito]],2,))</f>
        <v>#N/A</v>
      </c>
      <c r="AA232" s="14"/>
      <c r="AB232" s="14" t="e">
        <f>STAT[[#This Row],[ilustrador]]</f>
        <v>#N/A</v>
      </c>
      <c r="AC232" s="14"/>
      <c r="AD232" s="22"/>
      <c r="AE232" s="15"/>
      <c r="AF232" s="42" t="str">
        <f t="shared" si="3"/>
        <v>P007</v>
      </c>
    </row>
    <row r="233" spans="1:32" hidden="1" x14ac:dyDescent="0.3">
      <c r="A233" s="12" t="e" cm="1">
        <f t="array" aca="1" ref="A233" ca="1">IF(STAT[[#This Row],[retranca]]="","",       RegxFunc(STAT[[#This Row],[retranca]],  "\w\d{4}\w*_\d")     )</f>
        <v>#NAME?</v>
      </c>
      <c r="B233" s="21" t="s">
        <v>591</v>
      </c>
      <c r="C233" s="14" t="s">
        <v>72</v>
      </c>
      <c r="D233" s="15" t="s">
        <v>9</v>
      </c>
      <c r="E233" s="15" t="s">
        <v>10</v>
      </c>
      <c r="F233" s="14">
        <v>89</v>
      </c>
      <c r="G233" s="15">
        <v>4</v>
      </c>
      <c r="H233" s="14">
        <v>5</v>
      </c>
      <c r="I233" s="14">
        <v>5</v>
      </c>
      <c r="J233" s="17" t="s">
        <v>55</v>
      </c>
      <c r="K233" s="36"/>
      <c r="L233" s="14"/>
      <c r="M233" s="14"/>
      <c r="N233" s="14"/>
      <c r="O233" s="14"/>
      <c r="P233" s="25" t="s">
        <v>592</v>
      </c>
      <c r="Q233" s="21"/>
      <c r="R233" s="22"/>
      <c r="S233" s="14">
        <v>25</v>
      </c>
      <c r="T233" s="27">
        <v>45839</v>
      </c>
      <c r="U233" s="27">
        <v>45839</v>
      </c>
      <c r="V233" s="27"/>
      <c r="W233" s="27"/>
      <c r="X233" s="27">
        <v>45839</v>
      </c>
      <c r="Y233" s="14" t="s">
        <v>290</v>
      </c>
      <c r="Z233" s="40" t="str">
        <f>IF(STAT[[#This Row],[sigla]]="","",VLOOKUP(STAT[[#This Row],[sigla]],CRÉDITOS_GERAIS[[sigla]:[credito]],2,))</f>
        <v>Bruna Campos</v>
      </c>
      <c r="AA233" s="14"/>
      <c r="AB233" s="14"/>
      <c r="AC233" s="14">
        <v>13</v>
      </c>
      <c r="AD233" s="22" t="s">
        <v>196</v>
      </c>
      <c r="AE233" s="15" t="s">
        <v>46</v>
      </c>
      <c r="AF233" s="42" t="str">
        <f t="shared" si="3"/>
        <v>P007</v>
      </c>
    </row>
    <row r="234" spans="1:32" ht="72" hidden="1" x14ac:dyDescent="0.3">
      <c r="A234" s="12" t="e" cm="1">
        <f t="array" aca="1" ref="A234" ca="1">IF(STAT[[#This Row],[retranca]]="","",       RegxFunc(STAT[[#This Row],[retranca]],  "\w\d{4}\w*_\d")     )</f>
        <v>#NAME?</v>
      </c>
      <c r="B234" s="21" t="s">
        <v>593</v>
      </c>
      <c r="C234" s="14" t="s">
        <v>122</v>
      </c>
      <c r="D234" s="15" t="s">
        <v>9</v>
      </c>
      <c r="E234" s="15" t="s">
        <v>10</v>
      </c>
      <c r="F234" s="14">
        <v>93</v>
      </c>
      <c r="G234" s="15">
        <v>4</v>
      </c>
      <c r="H234" s="14">
        <v>5</v>
      </c>
      <c r="I234" s="14">
        <v>5</v>
      </c>
      <c r="J234" s="17" t="s">
        <v>55</v>
      </c>
      <c r="K234" s="36"/>
      <c r="L234" s="14"/>
      <c r="M234" s="14"/>
      <c r="N234" s="14"/>
      <c r="O234" s="14"/>
      <c r="P234" s="25" t="s">
        <v>594</v>
      </c>
      <c r="Q234" s="21"/>
      <c r="R234" s="22"/>
      <c r="S234" s="14">
        <v>25</v>
      </c>
      <c r="T234" s="27">
        <v>45839</v>
      </c>
      <c r="U234" s="27">
        <v>45839</v>
      </c>
      <c r="V234" s="27">
        <v>45841</v>
      </c>
      <c r="W234" s="27">
        <v>45842</v>
      </c>
      <c r="X234" s="27">
        <v>45844</v>
      </c>
      <c r="Y234" s="14" t="s">
        <v>94</v>
      </c>
      <c r="Z234" s="40" t="str">
        <f>IF(STAT[[#This Row],[sigla]]="","",VLOOKUP(STAT[[#This Row],[sigla]],CRÉDITOS_GERAIS[[sigla]:[credito]],2,))</f>
        <v>Thais Castro</v>
      </c>
      <c r="AA234" s="14"/>
      <c r="AB234" s="14" t="str">
        <f>STAT[[#This Row],[ilustrador]]</f>
        <v>Thais Castro</v>
      </c>
      <c r="AC234" s="14">
        <v>5</v>
      </c>
      <c r="AD234" s="22" t="s">
        <v>595</v>
      </c>
      <c r="AE234" s="15" t="s">
        <v>87</v>
      </c>
      <c r="AF234" s="42" t="str">
        <f t="shared" si="3"/>
        <v>P007</v>
      </c>
    </row>
    <row r="235" spans="1:32" ht="43.2" hidden="1" x14ac:dyDescent="0.3">
      <c r="A235" s="12" t="e" cm="1">
        <f t="array" aca="1" ref="A235" ca="1">IF(STAT[[#This Row],[retranca]]="","",       RegxFunc(STAT[[#This Row],[retranca]],  "\w\d{4}\w*_\d")     )</f>
        <v>#NAME?</v>
      </c>
      <c r="B235" s="21" t="s">
        <v>596</v>
      </c>
      <c r="C235" s="14" t="s">
        <v>122</v>
      </c>
      <c r="D235" s="14" t="s">
        <v>9</v>
      </c>
      <c r="E235" s="14" t="s">
        <v>10</v>
      </c>
      <c r="F235" s="14">
        <v>95</v>
      </c>
      <c r="G235" s="14">
        <v>4</v>
      </c>
      <c r="H235" s="14">
        <v>5</v>
      </c>
      <c r="I235" s="14">
        <v>5</v>
      </c>
      <c r="J235" s="28" t="s">
        <v>55</v>
      </c>
      <c r="K235" s="36"/>
      <c r="L235" s="14"/>
      <c r="M235" s="14"/>
      <c r="N235" s="14"/>
      <c r="O235" s="14"/>
      <c r="P235" s="25" t="s">
        <v>597</v>
      </c>
      <c r="Q235" s="22"/>
      <c r="R235" s="22"/>
      <c r="S235" s="14">
        <v>25</v>
      </c>
      <c r="T235" s="27">
        <v>45839</v>
      </c>
      <c r="U235" s="27">
        <v>45839</v>
      </c>
      <c r="V235" s="27">
        <v>45842</v>
      </c>
      <c r="W235" s="27">
        <v>45845</v>
      </c>
      <c r="X235" s="27">
        <v>45847</v>
      </c>
      <c r="Y235" s="14" t="s">
        <v>109</v>
      </c>
      <c r="Z235" s="40" t="str">
        <f>IF(STAT[[#This Row],[sigla]]="","",VLOOKUP(STAT[[#This Row],[sigla]],CRÉDITOS_GERAIS[[sigla]:[credito]],2,))</f>
        <v>Clarice Baracho</v>
      </c>
      <c r="AA235" s="14"/>
      <c r="AB235" s="14" t="str">
        <f>STAT[[#This Row],[ilustrador]]</f>
        <v>Clarice Baracho</v>
      </c>
      <c r="AC235" s="14">
        <v>3</v>
      </c>
      <c r="AD235" s="22" t="s">
        <v>598</v>
      </c>
      <c r="AE235" s="15" t="s">
        <v>87</v>
      </c>
      <c r="AF235" s="42" t="str">
        <f t="shared" si="3"/>
        <v>P007</v>
      </c>
    </row>
    <row r="236" spans="1:32" hidden="1" x14ac:dyDescent="0.3">
      <c r="A236" s="12" t="e" cm="1">
        <f t="array" aca="1" ref="A236" ca="1">IF(STAT[[#This Row],[retranca]]="","",       RegxFunc(STAT[[#This Row],[retranca]],  "\w\d{4}\w*_\d")     )</f>
        <v>#NAME?</v>
      </c>
      <c r="B236" s="21" t="s">
        <v>599</v>
      </c>
      <c r="C236" s="14" t="s">
        <v>122</v>
      </c>
      <c r="D236" s="15" t="s">
        <v>9</v>
      </c>
      <c r="E236" s="15" t="s">
        <v>10</v>
      </c>
      <c r="F236" s="14">
        <v>93</v>
      </c>
      <c r="G236" s="15">
        <v>4</v>
      </c>
      <c r="H236" s="14">
        <v>5</v>
      </c>
      <c r="I236" s="14">
        <v>5</v>
      </c>
      <c r="J236" s="17" t="s">
        <v>55</v>
      </c>
      <c r="K236" s="36"/>
      <c r="L236" s="14"/>
      <c r="M236" s="14"/>
      <c r="N236" s="14"/>
      <c r="O236" s="14"/>
      <c r="P236" s="25" t="s">
        <v>600</v>
      </c>
      <c r="Q236" s="21"/>
      <c r="R236" s="22"/>
      <c r="S236" s="14">
        <v>25</v>
      </c>
      <c r="T236" s="27">
        <v>45839</v>
      </c>
      <c r="U236" s="27">
        <v>45839</v>
      </c>
      <c r="V236" s="27">
        <v>45841</v>
      </c>
      <c r="W236" s="27">
        <v>45842</v>
      </c>
      <c r="X236" s="27">
        <v>45844</v>
      </c>
      <c r="Y236" s="14" t="s">
        <v>94</v>
      </c>
      <c r="Z236" s="40" t="str">
        <f>IF(STAT[[#This Row],[sigla]]="","",VLOOKUP(STAT[[#This Row],[sigla]],CRÉDITOS_GERAIS[[sigla]:[credito]],2,))</f>
        <v>Thais Castro</v>
      </c>
      <c r="AA236" s="14"/>
      <c r="AB236" s="14" t="str">
        <f>STAT[[#This Row],[ilustrador]]</f>
        <v>Thais Castro</v>
      </c>
      <c r="AC236" s="14">
        <v>8</v>
      </c>
      <c r="AD236" s="22" t="s">
        <v>595</v>
      </c>
      <c r="AE236" s="15" t="s">
        <v>87</v>
      </c>
      <c r="AF236" s="42" t="str">
        <f t="shared" si="3"/>
        <v>P007</v>
      </c>
    </row>
    <row r="237" spans="1:32" ht="86.4" hidden="1" x14ac:dyDescent="0.3">
      <c r="A237" s="12" t="e" cm="1">
        <f t="array" aca="1" ref="A237" ca="1">IF(STAT[[#This Row],[retranca]]="","",       RegxFunc(STAT[[#This Row],[retranca]],  "\w\d{4}\w*_\d")     )</f>
        <v>#NAME?</v>
      </c>
      <c r="B237" s="21" t="s">
        <v>601</v>
      </c>
      <c r="C237" s="14" t="s">
        <v>72</v>
      </c>
      <c r="D237" s="15" t="s">
        <v>9</v>
      </c>
      <c r="E237" s="15" t="s">
        <v>10</v>
      </c>
      <c r="F237" s="14">
        <v>26</v>
      </c>
      <c r="G237" s="15">
        <v>5</v>
      </c>
      <c r="H237" s="14">
        <v>2</v>
      </c>
      <c r="I237" s="14">
        <v>2</v>
      </c>
      <c r="J237" s="17" t="s">
        <v>55</v>
      </c>
      <c r="K237" s="36"/>
      <c r="L237" s="14"/>
      <c r="M237" s="14"/>
      <c r="N237" s="14"/>
      <c r="O237" s="14"/>
      <c r="P237" s="25" t="s">
        <v>602</v>
      </c>
      <c r="Q237" s="21"/>
      <c r="R237" s="22"/>
      <c r="S237" s="14">
        <v>26</v>
      </c>
      <c r="T237" s="27">
        <v>45841</v>
      </c>
      <c r="U237" s="27">
        <v>45845</v>
      </c>
      <c r="V237" s="27">
        <v>45852</v>
      </c>
      <c r="W237" s="27">
        <v>45852</v>
      </c>
      <c r="X237" s="27">
        <v>45853</v>
      </c>
      <c r="Y237" s="14" t="s">
        <v>552</v>
      </c>
      <c r="Z237" s="40" t="str">
        <f>IF(STAT[[#This Row],[sigla]]="","",VLOOKUP(STAT[[#This Row],[sigla]],CRÉDITOS_GERAIS[[sigla]:[credito]],2,))</f>
        <v>Rafaela Villela</v>
      </c>
      <c r="AA237" s="14"/>
      <c r="AB237" s="14" t="str">
        <f>STAT[[#This Row],[ilustrador]]</f>
        <v>Rafaela Villela</v>
      </c>
      <c r="AC237" s="14">
        <v>3</v>
      </c>
      <c r="AD237" s="22" t="s">
        <v>603</v>
      </c>
      <c r="AE237" s="15" t="s">
        <v>87</v>
      </c>
      <c r="AF237" s="42" t="str">
        <f t="shared" si="3"/>
        <v>P007</v>
      </c>
    </row>
    <row r="238" spans="1:32" ht="230.4" hidden="1" x14ac:dyDescent="0.3">
      <c r="A238" s="12" t="e" cm="1">
        <f t="array" aca="1" ref="A238" ca="1">IF(STAT[[#This Row],[retranca]]="","",       RegxFunc(STAT[[#This Row],[retranca]],  "\w\d{4}\w*_\d")     )</f>
        <v>#NAME?</v>
      </c>
      <c r="B238" s="21" t="s">
        <v>604</v>
      </c>
      <c r="C238" s="14" t="s">
        <v>72</v>
      </c>
      <c r="D238" s="15" t="s">
        <v>9</v>
      </c>
      <c r="E238" s="15" t="s">
        <v>10</v>
      </c>
      <c r="F238" s="14">
        <v>27</v>
      </c>
      <c r="G238" s="15">
        <v>5</v>
      </c>
      <c r="H238" s="14">
        <v>2</v>
      </c>
      <c r="I238" s="14">
        <v>2</v>
      </c>
      <c r="J238" s="17" t="s">
        <v>55</v>
      </c>
      <c r="K238" s="36"/>
      <c r="L238" s="14"/>
      <c r="M238" s="14"/>
      <c r="N238" s="14"/>
      <c r="O238" s="14"/>
      <c r="P238" s="25" t="s">
        <v>605</v>
      </c>
      <c r="Q238" s="21"/>
      <c r="R238" s="22"/>
      <c r="S238" s="14">
        <v>26</v>
      </c>
      <c r="T238" s="27">
        <v>45841</v>
      </c>
      <c r="U238" s="27">
        <v>45845</v>
      </c>
      <c r="V238" s="27">
        <v>45851</v>
      </c>
      <c r="W238" s="27">
        <v>45852</v>
      </c>
      <c r="X238" s="27">
        <v>45853</v>
      </c>
      <c r="Y238" s="14" t="s">
        <v>552</v>
      </c>
      <c r="Z238" s="40" t="str">
        <f>IF(STAT[[#This Row],[sigla]]="","",VLOOKUP(STAT[[#This Row],[sigla]],CRÉDITOS_GERAIS[[sigla]:[credito]],2,))</f>
        <v>Rafaela Villela</v>
      </c>
      <c r="AA238" s="14"/>
      <c r="AB238" s="14" t="str">
        <f>STAT[[#This Row],[ilustrador]]</f>
        <v>Rafaela Villela</v>
      </c>
      <c r="AC238" s="14">
        <v>4</v>
      </c>
      <c r="AD238" s="22" t="s">
        <v>603</v>
      </c>
      <c r="AE238" s="15" t="s">
        <v>87</v>
      </c>
      <c r="AF238" s="42" t="str">
        <f t="shared" si="3"/>
        <v>P007</v>
      </c>
    </row>
    <row r="239" spans="1:32" ht="43.2" hidden="1" x14ac:dyDescent="0.3">
      <c r="A239" s="12" t="e" cm="1">
        <f t="array" aca="1" ref="A239" ca="1">IF(STAT[[#This Row],[retranca]]="","",       RegxFunc(STAT[[#This Row],[retranca]],  "\w\d{4}\w*_\d")     )</f>
        <v>#NAME?</v>
      </c>
      <c r="B239" s="21" t="s">
        <v>606</v>
      </c>
      <c r="C239" s="14" t="s">
        <v>72</v>
      </c>
      <c r="D239" s="15" t="s">
        <v>607</v>
      </c>
      <c r="E239" s="15" t="s">
        <v>10</v>
      </c>
      <c r="F239" s="14">
        <v>31</v>
      </c>
      <c r="G239" s="15">
        <v>5</v>
      </c>
      <c r="H239" s="14">
        <v>2</v>
      </c>
      <c r="I239" s="14">
        <v>2</v>
      </c>
      <c r="J239" s="17" t="s">
        <v>55</v>
      </c>
      <c r="K239" s="36"/>
      <c r="L239" s="14"/>
      <c r="M239" s="14"/>
      <c r="N239" s="14"/>
      <c r="O239" s="14"/>
      <c r="P239" s="25" t="s">
        <v>608</v>
      </c>
      <c r="Q239" s="21"/>
      <c r="R239" s="22"/>
      <c r="S239" s="14">
        <v>26</v>
      </c>
      <c r="T239" s="27">
        <v>45841</v>
      </c>
      <c r="U239" s="27">
        <v>45848</v>
      </c>
      <c r="V239" s="27"/>
      <c r="W239" s="27"/>
      <c r="X239" s="27">
        <v>45848</v>
      </c>
      <c r="Y239" s="14" t="s">
        <v>413</v>
      </c>
      <c r="Z239" s="40" t="e">
        <f>IF(STAT[[#This Row],[sigla]]="","",VLOOKUP(STAT[[#This Row],[sigla]],CRÉDITOS_GERAIS[[sigla]:[credito]],2,))</f>
        <v>#N/A</v>
      </c>
      <c r="AA239" s="14" t="s">
        <v>609</v>
      </c>
      <c r="AB239" s="24" t="s">
        <v>610</v>
      </c>
      <c r="AC239" s="14">
        <v>11</v>
      </c>
      <c r="AD239" s="22" t="s">
        <v>611</v>
      </c>
      <c r="AE239" s="15" t="s">
        <v>46</v>
      </c>
      <c r="AF239" s="42" t="str">
        <f t="shared" si="3"/>
        <v>P007</v>
      </c>
    </row>
    <row r="240" spans="1:32" ht="100.8" hidden="1" x14ac:dyDescent="0.3">
      <c r="A240" s="12" t="e" cm="1">
        <f t="array" aca="1" ref="A240" ca="1">IF(STAT[[#This Row],[retranca]]="","",       RegxFunc(STAT[[#This Row],[retranca]],  "\w\d{4}\w*_\d")     )</f>
        <v>#NAME?</v>
      </c>
      <c r="B240" s="21" t="s">
        <v>612</v>
      </c>
      <c r="C240" s="14" t="s">
        <v>72</v>
      </c>
      <c r="D240" s="15" t="s">
        <v>9</v>
      </c>
      <c r="E240" s="15" t="s">
        <v>10</v>
      </c>
      <c r="F240" s="14">
        <v>32</v>
      </c>
      <c r="G240" s="15">
        <v>5</v>
      </c>
      <c r="H240" s="14">
        <v>2</v>
      </c>
      <c r="I240" s="14">
        <v>2</v>
      </c>
      <c r="J240" s="17" t="s">
        <v>55</v>
      </c>
      <c r="K240" s="36"/>
      <c r="L240" s="14"/>
      <c r="M240" s="14"/>
      <c r="N240" s="14"/>
      <c r="O240" s="14"/>
      <c r="P240" s="25" t="s">
        <v>613</v>
      </c>
      <c r="Q240" s="21"/>
      <c r="R240" s="22"/>
      <c r="S240" s="14">
        <v>26</v>
      </c>
      <c r="T240" s="26">
        <v>45841</v>
      </c>
      <c r="U240" s="27">
        <v>45859</v>
      </c>
      <c r="V240" s="27">
        <v>45860</v>
      </c>
      <c r="W240" s="27">
        <v>45860</v>
      </c>
      <c r="X240" s="27">
        <v>45861</v>
      </c>
      <c r="Y240" s="14" t="s">
        <v>84</v>
      </c>
      <c r="Z240" s="40" t="str">
        <f>IF(STAT[[#This Row],[sigla]]="","",VLOOKUP(STAT[[#This Row],[sigla]],CRÉDITOS_GERAIS[[sigla]:[credito]],2,))</f>
        <v>Gabriel Brum</v>
      </c>
      <c r="AA240" s="14"/>
      <c r="AB240" s="14" t="str">
        <f>STAT[[#This Row],[ilustrador]]</f>
        <v>Gabriel Brum</v>
      </c>
      <c r="AC240" s="14">
        <v>4</v>
      </c>
      <c r="AD240" s="25" t="s">
        <v>614</v>
      </c>
      <c r="AE240" s="15" t="s">
        <v>87</v>
      </c>
      <c r="AF240" s="42" t="str">
        <f t="shared" si="3"/>
        <v>P007</v>
      </c>
    </row>
    <row r="241" spans="1:32" ht="28.8" hidden="1" x14ac:dyDescent="0.3">
      <c r="A241" s="12" t="e" cm="1">
        <f t="array" aca="1" ref="A241" ca="1">IF(STAT[[#This Row],[retranca]]="","",       RegxFunc(STAT[[#This Row],[retranca]],  "\w\d{4}\w*_\d")     )</f>
        <v>#NAME?</v>
      </c>
      <c r="B241" s="21" t="s">
        <v>615</v>
      </c>
      <c r="C241" s="14" t="s">
        <v>72</v>
      </c>
      <c r="D241" s="15" t="s">
        <v>9</v>
      </c>
      <c r="E241" s="15" t="s">
        <v>10</v>
      </c>
      <c r="F241" s="14">
        <v>33</v>
      </c>
      <c r="G241" s="15">
        <v>5</v>
      </c>
      <c r="H241" s="14">
        <v>2</v>
      </c>
      <c r="I241" s="14">
        <v>2</v>
      </c>
      <c r="J241" s="17" t="s">
        <v>55</v>
      </c>
      <c r="K241" s="36"/>
      <c r="L241" s="14"/>
      <c r="M241" s="14"/>
      <c r="N241" s="14"/>
      <c r="O241" s="14"/>
      <c r="P241" s="25" t="s">
        <v>616</v>
      </c>
      <c r="Q241" s="21"/>
      <c r="R241" s="22"/>
      <c r="S241" s="14">
        <v>26</v>
      </c>
      <c r="T241" s="27">
        <v>45841</v>
      </c>
      <c r="U241" s="27">
        <v>45845</v>
      </c>
      <c r="V241" s="27">
        <v>45846</v>
      </c>
      <c r="W241" s="27">
        <v>45847</v>
      </c>
      <c r="X241" s="27">
        <v>45848</v>
      </c>
      <c r="Y241" s="14" t="s">
        <v>119</v>
      </c>
      <c r="Z241" s="40" t="str">
        <f>IF(STAT[[#This Row],[sigla]]="","",VLOOKUP(STAT[[#This Row],[sigla]],CRÉDITOS_GERAIS[[sigla]:[credito]],2,))</f>
        <v>Bianca Tavares</v>
      </c>
      <c r="AA241" s="14"/>
      <c r="AB241" s="14" t="str">
        <f>STAT[[#This Row],[ilustrador]]</f>
        <v>Bianca Tavares</v>
      </c>
      <c r="AC241" s="14">
        <v>5</v>
      </c>
      <c r="AD241" s="22" t="s">
        <v>617</v>
      </c>
      <c r="AE241" s="15" t="s">
        <v>87</v>
      </c>
      <c r="AF241" s="42" t="str">
        <f t="shared" si="3"/>
        <v>P007</v>
      </c>
    </row>
    <row r="242" spans="1:32" hidden="1" x14ac:dyDescent="0.3">
      <c r="A242" s="12" t="e" cm="1">
        <f t="array" aca="1" ref="A242" ca="1">IF(STAT[[#This Row],[retranca]]="","",       RegxFunc(STAT[[#This Row],[retranca]],  "\w\d{4}\w*_\d")     )</f>
        <v>#NAME?</v>
      </c>
      <c r="B242" s="21" t="s">
        <v>618</v>
      </c>
      <c r="C242" s="14" t="s">
        <v>72</v>
      </c>
      <c r="D242" s="15" t="s">
        <v>9</v>
      </c>
      <c r="E242" s="15" t="s">
        <v>10</v>
      </c>
      <c r="F242" s="14">
        <v>34</v>
      </c>
      <c r="G242" s="15">
        <v>5</v>
      </c>
      <c r="H242" s="14">
        <v>2</v>
      </c>
      <c r="I242" s="14">
        <v>2</v>
      </c>
      <c r="J242" s="17" t="s">
        <v>55</v>
      </c>
      <c r="K242" s="36"/>
      <c r="L242" s="14"/>
      <c r="M242" s="14"/>
      <c r="N242" s="14"/>
      <c r="O242" s="14"/>
      <c r="P242" s="25" t="s">
        <v>619</v>
      </c>
      <c r="Q242" s="21"/>
      <c r="R242" s="22"/>
      <c r="S242" s="14">
        <v>26</v>
      </c>
      <c r="T242" s="27">
        <v>45841</v>
      </c>
      <c r="U242" s="27">
        <v>45845</v>
      </c>
      <c r="V242" s="27"/>
      <c r="W242" s="27"/>
      <c r="X242" s="27">
        <v>45845</v>
      </c>
      <c r="Y242" s="14" t="s">
        <v>413</v>
      </c>
      <c r="Z242" s="40" t="e">
        <f>IF(STAT[[#This Row],[sigla]]="","",VLOOKUP(STAT[[#This Row],[sigla]],CRÉDITOS_GERAIS[[sigla]:[credito]],2,))</f>
        <v>#N/A</v>
      </c>
      <c r="AA242" s="14" t="s">
        <v>90</v>
      </c>
      <c r="AB242" s="14" t="s">
        <v>620</v>
      </c>
      <c r="AC242" s="14">
        <v>14</v>
      </c>
      <c r="AD242" s="22" t="s">
        <v>415</v>
      </c>
      <c r="AE242" s="15" t="s">
        <v>46</v>
      </c>
      <c r="AF242" s="42" t="str">
        <f t="shared" si="3"/>
        <v>P007</v>
      </c>
    </row>
    <row r="243" spans="1:32" ht="57.6" hidden="1" x14ac:dyDescent="0.3">
      <c r="A243" s="12" t="e" cm="1">
        <f t="array" aca="1" ref="A243" ca="1">IF(STAT[[#This Row],[retranca]]="","",       RegxFunc(STAT[[#This Row],[retranca]],  "\w\d{4}\w*_\d")     )</f>
        <v>#NAME?</v>
      </c>
      <c r="B243" s="21" t="s">
        <v>621</v>
      </c>
      <c r="C243" s="14" t="s">
        <v>122</v>
      </c>
      <c r="D243" s="15" t="s">
        <v>9</v>
      </c>
      <c r="E243" s="15" t="s">
        <v>10</v>
      </c>
      <c r="F243" s="14">
        <v>40</v>
      </c>
      <c r="G243" s="15">
        <v>5</v>
      </c>
      <c r="H243" s="14">
        <v>2</v>
      </c>
      <c r="I243" s="14">
        <v>2</v>
      </c>
      <c r="J243" s="17" t="s">
        <v>55</v>
      </c>
      <c r="K243" s="36"/>
      <c r="L243" s="14"/>
      <c r="M243" s="14"/>
      <c r="N243" s="14"/>
      <c r="O243" s="14"/>
      <c r="P243" s="25" t="s">
        <v>622</v>
      </c>
      <c r="Q243" s="21"/>
      <c r="R243" s="22"/>
      <c r="S243" s="14">
        <v>26</v>
      </c>
      <c r="T243" s="27">
        <v>45841</v>
      </c>
      <c r="U243" s="27">
        <v>45845</v>
      </c>
      <c r="V243" s="27">
        <v>45847</v>
      </c>
      <c r="W243" s="27">
        <v>45848</v>
      </c>
      <c r="X243" s="27">
        <v>45851</v>
      </c>
      <c r="Y243" s="14" t="s">
        <v>583</v>
      </c>
      <c r="Z243" s="40" t="str">
        <f>IF(STAT[[#This Row],[sigla]]="","",VLOOKUP(STAT[[#This Row],[sigla]],CRÉDITOS_GERAIS[[sigla]:[credito]],2,))</f>
        <v>Karina Oliveira</v>
      </c>
      <c r="AA243" s="14"/>
      <c r="AB243" s="14" t="str">
        <f>STAT[[#This Row],[ilustrador]]</f>
        <v>Karina Oliveira</v>
      </c>
      <c r="AC243" s="14">
        <v>4</v>
      </c>
      <c r="AD243" s="22" t="s">
        <v>623</v>
      </c>
      <c r="AE243" s="15" t="s">
        <v>87</v>
      </c>
      <c r="AF243" s="42" t="str">
        <f t="shared" si="3"/>
        <v>P007</v>
      </c>
    </row>
    <row r="244" spans="1:32" ht="57.6" hidden="1" x14ac:dyDescent="0.3">
      <c r="A244" s="12" t="e" cm="1">
        <f t="array" aca="1" ref="A244" ca="1">IF(STAT[[#This Row],[retranca]]="","",       RegxFunc(STAT[[#This Row],[retranca]],  "\w\d{4}\w*_\d")     )</f>
        <v>#NAME?</v>
      </c>
      <c r="B244" s="21" t="s">
        <v>624</v>
      </c>
      <c r="C244" s="14" t="s">
        <v>72</v>
      </c>
      <c r="D244" s="15" t="s">
        <v>607</v>
      </c>
      <c r="E244" s="15" t="s">
        <v>10</v>
      </c>
      <c r="F244" s="14">
        <v>2</v>
      </c>
      <c r="G244" s="15">
        <v>5</v>
      </c>
      <c r="H244" s="14">
        <v>0</v>
      </c>
      <c r="I244" s="14" t="s">
        <v>112</v>
      </c>
      <c r="J244" s="17" t="s">
        <v>55</v>
      </c>
      <c r="K244" s="36"/>
      <c r="L244" s="14"/>
      <c r="M244" s="14"/>
      <c r="N244" s="14"/>
      <c r="O244" s="14"/>
      <c r="P244" s="25" t="s">
        <v>625</v>
      </c>
      <c r="Q244" s="21"/>
      <c r="R244" s="22"/>
      <c r="S244" s="14">
        <v>26</v>
      </c>
      <c r="T244" s="27">
        <v>45841</v>
      </c>
      <c r="U244" s="27">
        <v>45848</v>
      </c>
      <c r="V244" s="27"/>
      <c r="W244" s="27"/>
      <c r="X244" s="27">
        <v>45848</v>
      </c>
      <c r="Y244" s="14" t="s">
        <v>413</v>
      </c>
      <c r="Z244" s="40" t="e">
        <f>IF(STAT[[#This Row],[sigla]]="","",VLOOKUP(STAT[[#This Row],[sigla]],CRÉDITOS_GERAIS[[sigla]:[credito]],2,))</f>
        <v>#N/A</v>
      </c>
      <c r="AA244" s="14" t="s">
        <v>609</v>
      </c>
      <c r="AB244" s="24" t="s">
        <v>610</v>
      </c>
      <c r="AC244" s="14">
        <v>11</v>
      </c>
      <c r="AD244" s="22" t="s">
        <v>611</v>
      </c>
      <c r="AE244" s="15" t="s">
        <v>46</v>
      </c>
      <c r="AF244" s="42" t="str">
        <f t="shared" si="3"/>
        <v>P007</v>
      </c>
    </row>
    <row r="245" spans="1:32" ht="57.6" hidden="1" x14ac:dyDescent="0.3">
      <c r="A245" s="12" t="e" cm="1">
        <f t="array" aca="1" ref="A245" ca="1">IF(STAT[[#This Row],[retranca]]="","",       RegxFunc(STAT[[#This Row],[retranca]],  "\w\d{4}\w*_\d")     )</f>
        <v>#NAME?</v>
      </c>
      <c r="B245" s="21" t="s">
        <v>626</v>
      </c>
      <c r="C245" s="14" t="s">
        <v>72</v>
      </c>
      <c r="D245" s="15" t="s">
        <v>9</v>
      </c>
      <c r="E245" s="15" t="s">
        <v>10</v>
      </c>
      <c r="F245" s="14">
        <v>45</v>
      </c>
      <c r="G245" s="15">
        <v>5</v>
      </c>
      <c r="H245" s="14">
        <v>3</v>
      </c>
      <c r="I245" s="14">
        <v>3</v>
      </c>
      <c r="J245" s="17" t="s">
        <v>55</v>
      </c>
      <c r="K245" s="36"/>
      <c r="L245" s="14"/>
      <c r="M245" s="14"/>
      <c r="N245" s="14"/>
      <c r="O245" s="14"/>
      <c r="P245" s="25" t="s">
        <v>627</v>
      </c>
      <c r="Q245" s="21"/>
      <c r="R245" s="22"/>
      <c r="S245" s="14">
        <v>27</v>
      </c>
      <c r="T245" s="27">
        <v>45841</v>
      </c>
      <c r="U245" s="27">
        <v>45846</v>
      </c>
      <c r="V245" s="27"/>
      <c r="W245" s="27"/>
      <c r="X245" s="27">
        <v>45849</v>
      </c>
      <c r="Y245" s="14" t="s">
        <v>114</v>
      </c>
      <c r="Z245" s="40" t="str">
        <f>IF(STAT[[#This Row],[sigla]]="","",VLOOKUP(STAT[[#This Row],[sigla]],CRÉDITOS_GERAIS[[sigla]:[credito]],2,))</f>
        <v>Heloísa Pintarelli</v>
      </c>
      <c r="AA245" s="14"/>
      <c r="AB245" s="14" t="str">
        <f>STAT[[#This Row],[ilustrador]]</f>
        <v>Heloísa Pintarelli</v>
      </c>
      <c r="AC245" s="14">
        <v>4</v>
      </c>
      <c r="AD245" s="22" t="s">
        <v>628</v>
      </c>
      <c r="AE245" s="15" t="s">
        <v>87</v>
      </c>
      <c r="AF245" s="42" t="str">
        <f t="shared" si="3"/>
        <v>P007</v>
      </c>
    </row>
    <row r="246" spans="1:32" ht="118.8" hidden="1" x14ac:dyDescent="0.3">
      <c r="A246" s="12" t="e" cm="1">
        <f t="array" aca="1" ref="A246" ca="1">IF(STAT[[#This Row],[retranca]]="","",       RegxFunc(STAT[[#This Row],[retranca]],  "\w\d{4}\w*_\d")     )</f>
        <v>#NAME?</v>
      </c>
      <c r="B246" s="35" t="s">
        <v>629</v>
      </c>
      <c r="C246" s="14" t="s">
        <v>72</v>
      </c>
      <c r="D246" s="15" t="s">
        <v>9</v>
      </c>
      <c r="E246" s="15" t="s">
        <v>10</v>
      </c>
      <c r="F246" s="15">
        <v>47</v>
      </c>
      <c r="G246" s="15">
        <v>5</v>
      </c>
      <c r="H246" s="20">
        <v>3</v>
      </c>
      <c r="I246" s="15">
        <v>3</v>
      </c>
      <c r="J246" s="17" t="s">
        <v>55</v>
      </c>
      <c r="K246" s="36"/>
      <c r="L246" s="14"/>
      <c r="M246" s="14"/>
      <c r="N246" s="14"/>
      <c r="O246" s="14"/>
      <c r="P246" s="13" t="s">
        <v>630</v>
      </c>
      <c r="Q246" s="16"/>
      <c r="R246" s="16"/>
      <c r="S246" s="15">
        <v>27</v>
      </c>
      <c r="T246" s="18">
        <v>45841</v>
      </c>
      <c r="U246" s="18">
        <v>45846</v>
      </c>
      <c r="V246" s="37">
        <v>45847</v>
      </c>
      <c r="W246" s="37">
        <v>45848</v>
      </c>
      <c r="X246" s="18">
        <v>45852</v>
      </c>
      <c r="Y246" s="15" t="s">
        <v>94</v>
      </c>
      <c r="Z246" s="40" t="str">
        <f>IF(STAT[[#This Row],[sigla]]="","",VLOOKUP(STAT[[#This Row],[sigla]],CRÉDITOS_GERAIS[[sigla]:[credito]],2,))</f>
        <v>Thais Castro</v>
      </c>
      <c r="AA246" s="14"/>
      <c r="AB246" s="14" t="str">
        <f>STAT[[#This Row],[ilustrador]]</f>
        <v>Thais Castro</v>
      </c>
      <c r="AC246" s="14">
        <v>4</v>
      </c>
      <c r="AD246" s="16" t="s">
        <v>628</v>
      </c>
      <c r="AE246" s="15" t="s">
        <v>87</v>
      </c>
      <c r="AF246" s="42" t="str">
        <f t="shared" si="3"/>
        <v>P007</v>
      </c>
    </row>
    <row r="247" spans="1:32" ht="72" hidden="1" x14ac:dyDescent="0.3">
      <c r="A247" s="12" t="e" cm="1">
        <f t="array" aca="1" ref="A247" ca="1">IF(STAT[[#This Row],[retranca]]="","",       RegxFunc(STAT[[#This Row],[retranca]],  "\w\d{4}\w*_\d")     )</f>
        <v>#NAME?</v>
      </c>
      <c r="B247" s="21" t="s">
        <v>631</v>
      </c>
      <c r="C247" s="14" t="s">
        <v>72</v>
      </c>
      <c r="D247" s="15" t="s">
        <v>9</v>
      </c>
      <c r="E247" s="15" t="s">
        <v>10</v>
      </c>
      <c r="F247" s="14">
        <v>48</v>
      </c>
      <c r="G247" s="15">
        <v>5</v>
      </c>
      <c r="H247" s="14">
        <v>3</v>
      </c>
      <c r="I247" s="14">
        <v>3</v>
      </c>
      <c r="J247" s="17" t="s">
        <v>55</v>
      </c>
      <c r="K247" s="36"/>
      <c r="L247" s="14"/>
      <c r="M247" s="14"/>
      <c r="N247" s="14"/>
      <c r="O247" s="14"/>
      <c r="P247" s="25" t="s">
        <v>632</v>
      </c>
      <c r="Q247" s="21"/>
      <c r="R247" s="22"/>
      <c r="S247" s="14">
        <v>27</v>
      </c>
      <c r="T247" s="27">
        <v>45841</v>
      </c>
      <c r="U247" s="27">
        <v>45846</v>
      </c>
      <c r="V247" s="27">
        <v>45847</v>
      </c>
      <c r="W247" s="27">
        <v>45848</v>
      </c>
      <c r="X247" s="27">
        <v>45852</v>
      </c>
      <c r="Y247" s="14" t="s">
        <v>94</v>
      </c>
      <c r="Z247" s="40" t="str">
        <f>IF(STAT[[#This Row],[sigla]]="","",VLOOKUP(STAT[[#This Row],[sigla]],CRÉDITOS_GERAIS[[sigla]:[credito]],2,))</f>
        <v>Thais Castro</v>
      </c>
      <c r="AA247" s="14"/>
      <c r="AB247" s="14" t="str">
        <f>STAT[[#This Row],[ilustrador]]</f>
        <v>Thais Castro</v>
      </c>
      <c r="AC247" s="14">
        <v>3</v>
      </c>
      <c r="AD247" s="22" t="s">
        <v>628</v>
      </c>
      <c r="AE247" s="15" t="s">
        <v>87</v>
      </c>
      <c r="AF247" s="42" t="str">
        <f t="shared" si="3"/>
        <v>P007</v>
      </c>
    </row>
    <row r="248" spans="1:32" ht="158.4" hidden="1" x14ac:dyDescent="0.3">
      <c r="A248" s="12"/>
      <c r="B248" s="35" t="s">
        <v>633</v>
      </c>
      <c r="C248" s="14" t="s">
        <v>72</v>
      </c>
      <c r="D248" s="15" t="s">
        <v>9</v>
      </c>
      <c r="E248" s="15" t="s">
        <v>10</v>
      </c>
      <c r="F248" s="15">
        <v>49</v>
      </c>
      <c r="G248" s="15">
        <v>5</v>
      </c>
      <c r="H248" s="20">
        <v>3</v>
      </c>
      <c r="I248" s="15">
        <v>3</v>
      </c>
      <c r="J248" s="17" t="s">
        <v>55</v>
      </c>
      <c r="K248" s="36"/>
      <c r="L248" s="14"/>
      <c r="M248" s="14"/>
      <c r="N248" s="14"/>
      <c r="O248" s="14"/>
      <c r="P248" s="13" t="s">
        <v>634</v>
      </c>
      <c r="Q248" s="16"/>
      <c r="R248" s="16"/>
      <c r="S248" s="15">
        <v>27</v>
      </c>
      <c r="T248" s="18">
        <v>45841</v>
      </c>
      <c r="U248" s="18">
        <v>45846</v>
      </c>
      <c r="V248" s="37"/>
      <c r="W248" s="37"/>
      <c r="X248" s="18">
        <v>45849</v>
      </c>
      <c r="Y248" s="19" t="s">
        <v>114</v>
      </c>
      <c r="Z248" s="40" t="str">
        <f>IF(STAT[[#This Row],[sigla]]="","",VLOOKUP(STAT[[#This Row],[sigla]],CRÉDITOS_GERAIS[[sigla]:[credito]],2,))</f>
        <v>Heloísa Pintarelli</v>
      </c>
      <c r="AA248" s="20"/>
      <c r="AB248" s="14" t="str">
        <f>STAT[[#This Row],[ilustrador]]</f>
        <v>Heloísa Pintarelli</v>
      </c>
      <c r="AC248" s="14">
        <v>5</v>
      </c>
      <c r="AD248" s="20" t="s">
        <v>628</v>
      </c>
      <c r="AE248" s="15" t="s">
        <v>87</v>
      </c>
      <c r="AF248" s="42" t="str">
        <f t="shared" si="3"/>
        <v>P007</v>
      </c>
    </row>
    <row r="249" spans="1:32" ht="52.8" hidden="1" x14ac:dyDescent="0.3">
      <c r="A249" s="12" t="e" cm="1">
        <f t="array" aca="1" ref="A249" ca="1">IF(STAT[[#This Row],[retranca]]="","",       RegxFunc(STAT[[#This Row],[retranca]],  "\w\d{4}\w*_\d")     )</f>
        <v>#NAME?</v>
      </c>
      <c r="B249" s="33" t="s">
        <v>635</v>
      </c>
      <c r="C249" s="14" t="s">
        <v>72</v>
      </c>
      <c r="D249" s="15" t="s">
        <v>9</v>
      </c>
      <c r="E249" s="15" t="s">
        <v>10</v>
      </c>
      <c r="F249" s="15">
        <v>50</v>
      </c>
      <c r="G249" s="15">
        <v>5</v>
      </c>
      <c r="H249" s="20">
        <v>3</v>
      </c>
      <c r="I249" s="15">
        <v>3</v>
      </c>
      <c r="J249" s="17" t="s">
        <v>55</v>
      </c>
      <c r="K249" s="36"/>
      <c r="L249" s="14"/>
      <c r="M249" s="14"/>
      <c r="N249" s="14"/>
      <c r="O249" s="14"/>
      <c r="P249" s="13" t="s">
        <v>636</v>
      </c>
      <c r="Q249" s="16"/>
      <c r="R249" s="16"/>
      <c r="S249" s="15">
        <v>27</v>
      </c>
      <c r="T249" s="18">
        <v>45841</v>
      </c>
      <c r="U249" s="18">
        <v>45846</v>
      </c>
      <c r="V249" s="37">
        <v>45848</v>
      </c>
      <c r="W249" s="37">
        <v>45848</v>
      </c>
      <c r="X249" s="18">
        <v>45850</v>
      </c>
      <c r="Y249" s="15" t="s">
        <v>84</v>
      </c>
      <c r="Z249" s="40" t="str">
        <f>IF(STAT[[#This Row],[sigla]]="","",VLOOKUP(STAT[[#This Row],[sigla]],CRÉDITOS_GERAIS[[sigla]:[credito]],2,))</f>
        <v>Gabriel Brum</v>
      </c>
      <c r="AA249" s="20"/>
      <c r="AB249" s="14" t="str">
        <f>STAT[[#This Row],[ilustrador]]</f>
        <v>Gabriel Brum</v>
      </c>
      <c r="AC249" s="14">
        <v>6</v>
      </c>
      <c r="AD249" s="16" t="s">
        <v>628</v>
      </c>
      <c r="AE249" s="15" t="s">
        <v>87</v>
      </c>
      <c r="AF249" s="42" t="str">
        <f t="shared" si="3"/>
        <v>P007</v>
      </c>
    </row>
    <row r="250" spans="1:32" ht="184.8" hidden="1" x14ac:dyDescent="0.3">
      <c r="A250" s="12" t="e" cm="1">
        <f t="array" aca="1" ref="A250" ca="1">IF(STAT[[#This Row],[retranca]]="","",       RegxFunc(STAT[[#This Row],[retranca]],  "\w\d{4}\w*_\d")     )</f>
        <v>#NAME?</v>
      </c>
      <c r="B250" s="33" t="s">
        <v>637</v>
      </c>
      <c r="C250" s="14" t="s">
        <v>72</v>
      </c>
      <c r="D250" s="15" t="s">
        <v>9</v>
      </c>
      <c r="E250" s="15" t="s">
        <v>10</v>
      </c>
      <c r="F250" s="15">
        <v>51</v>
      </c>
      <c r="G250" s="15">
        <v>5</v>
      </c>
      <c r="H250" s="20">
        <v>3</v>
      </c>
      <c r="I250" s="15">
        <v>3</v>
      </c>
      <c r="J250" s="17" t="s">
        <v>55</v>
      </c>
      <c r="K250" s="36"/>
      <c r="L250" s="14"/>
      <c r="M250" s="14"/>
      <c r="N250" s="14"/>
      <c r="O250" s="14"/>
      <c r="P250" s="13" t="s">
        <v>638</v>
      </c>
      <c r="Q250" s="16"/>
      <c r="R250" s="16"/>
      <c r="S250" s="15">
        <v>27</v>
      </c>
      <c r="T250" s="18">
        <v>45841</v>
      </c>
      <c r="U250" s="18">
        <v>45846</v>
      </c>
      <c r="V250" s="18">
        <v>45848</v>
      </c>
      <c r="W250" s="18">
        <v>45848</v>
      </c>
      <c r="X250" s="18">
        <v>45850</v>
      </c>
      <c r="Y250" s="15" t="s">
        <v>84</v>
      </c>
      <c r="Z250" s="40" t="str">
        <f>IF(STAT[[#This Row],[sigla]]="","",VLOOKUP(STAT[[#This Row],[sigla]],CRÉDITOS_GERAIS[[sigla]:[credito]],2,))</f>
        <v>Gabriel Brum</v>
      </c>
      <c r="AA250" s="20"/>
      <c r="AB250" s="14" t="str">
        <f>STAT[[#This Row],[ilustrador]]</f>
        <v>Gabriel Brum</v>
      </c>
      <c r="AC250" s="14">
        <v>7</v>
      </c>
      <c r="AD250" s="16" t="s">
        <v>628</v>
      </c>
      <c r="AE250" s="15" t="s">
        <v>87</v>
      </c>
      <c r="AF250" s="42" t="str">
        <f t="shared" si="3"/>
        <v>P007</v>
      </c>
    </row>
    <row r="251" spans="1:32" ht="43.2" hidden="1" x14ac:dyDescent="0.3">
      <c r="A251" s="12" t="e" cm="1">
        <f t="array" aca="1" ref="A251" ca="1">IF(STAT[[#This Row],[retranca]]="","",       RegxFunc(STAT[[#This Row],[retranca]],  "\w\d{4}\w*_\d")     )</f>
        <v>#NAME?</v>
      </c>
      <c r="B251" s="21" t="s">
        <v>639</v>
      </c>
      <c r="C251" s="14" t="s">
        <v>72</v>
      </c>
      <c r="D251" s="15" t="s">
        <v>9</v>
      </c>
      <c r="E251" s="15" t="s">
        <v>10</v>
      </c>
      <c r="F251" s="14">
        <v>53</v>
      </c>
      <c r="G251" s="15">
        <v>5</v>
      </c>
      <c r="H251" s="14">
        <v>3</v>
      </c>
      <c r="I251" s="14">
        <v>3</v>
      </c>
      <c r="J251" s="17" t="s">
        <v>55</v>
      </c>
      <c r="K251" s="36"/>
      <c r="L251" s="14"/>
      <c r="M251" s="14"/>
      <c r="N251" s="14"/>
      <c r="O251" s="14"/>
      <c r="P251" s="25" t="s">
        <v>640</v>
      </c>
      <c r="Q251" s="21"/>
      <c r="R251" s="22"/>
      <c r="S251" s="14">
        <v>27</v>
      </c>
      <c r="T251" s="27">
        <v>45841</v>
      </c>
      <c r="U251" s="27">
        <v>45847</v>
      </c>
      <c r="V251" s="27">
        <v>45849</v>
      </c>
      <c r="W251" s="27">
        <v>45849</v>
      </c>
      <c r="X251" s="27">
        <v>45854</v>
      </c>
      <c r="Y251" s="14" t="s">
        <v>99</v>
      </c>
      <c r="Z251" s="40" t="str">
        <f>IF(STAT[[#This Row],[sigla]]="","",VLOOKUP(STAT[[#This Row],[sigla]],CRÉDITOS_GERAIS[[sigla]:[credito]],2,))</f>
        <v>Débora Mini</v>
      </c>
      <c r="AA251" s="14"/>
      <c r="AB251" s="14" t="str">
        <f>STAT[[#This Row],[ilustrador]]</f>
        <v>Débora Mini</v>
      </c>
      <c r="AC251" s="14">
        <v>3</v>
      </c>
      <c r="AD251" s="22" t="s">
        <v>641</v>
      </c>
      <c r="AE251" s="15" t="s">
        <v>87</v>
      </c>
      <c r="AF251" s="42" t="str">
        <f t="shared" si="3"/>
        <v>P007</v>
      </c>
    </row>
    <row r="252" spans="1:32" ht="27.75" hidden="1" customHeight="1" x14ac:dyDescent="0.3">
      <c r="A252" s="12" t="e" cm="1">
        <f t="array" aca="1" ref="A252" ca="1">IF(STAT[[#This Row],[retranca]]="","",       RegxFunc(STAT[[#This Row],[retranca]],  "\w\d{4}\w*_\d")     )</f>
        <v>#NAME?</v>
      </c>
      <c r="B252" s="33" t="s">
        <v>642</v>
      </c>
      <c r="C252" s="14" t="s">
        <v>72</v>
      </c>
      <c r="D252" s="15" t="s">
        <v>9</v>
      </c>
      <c r="E252" s="15" t="s">
        <v>10</v>
      </c>
      <c r="F252" s="15">
        <v>55</v>
      </c>
      <c r="G252" s="15">
        <v>5</v>
      </c>
      <c r="H252" s="20">
        <v>3</v>
      </c>
      <c r="I252" s="15">
        <v>3</v>
      </c>
      <c r="J252" s="17" t="s">
        <v>55</v>
      </c>
      <c r="K252" s="36"/>
      <c r="L252" s="14"/>
      <c r="M252" s="14"/>
      <c r="N252" s="14"/>
      <c r="O252" s="14"/>
      <c r="P252" s="13" t="s">
        <v>643</v>
      </c>
      <c r="Q252" s="16"/>
      <c r="R252" s="16"/>
      <c r="S252" s="15">
        <v>27</v>
      </c>
      <c r="T252" s="18">
        <v>45841</v>
      </c>
      <c r="U252" s="18">
        <v>45847</v>
      </c>
      <c r="V252" s="37">
        <v>45849</v>
      </c>
      <c r="W252" s="37">
        <v>45849</v>
      </c>
      <c r="X252" s="18">
        <v>45854</v>
      </c>
      <c r="Y252" s="15" t="s">
        <v>99</v>
      </c>
      <c r="Z252" s="40" t="str">
        <f>IF(STAT[[#This Row],[sigla]]="","",VLOOKUP(STAT[[#This Row],[sigla]],CRÉDITOS_GERAIS[[sigla]:[credito]],2,))</f>
        <v>Débora Mini</v>
      </c>
      <c r="AA252" s="20"/>
      <c r="AB252" s="14" t="str">
        <f>STAT[[#This Row],[ilustrador]]</f>
        <v>Débora Mini</v>
      </c>
      <c r="AC252" s="14">
        <v>5</v>
      </c>
      <c r="AD252" s="16" t="s">
        <v>641</v>
      </c>
      <c r="AE252" s="15" t="s">
        <v>87</v>
      </c>
      <c r="AF252" s="42" t="str">
        <f t="shared" si="3"/>
        <v>P007</v>
      </c>
    </row>
    <row r="253" spans="1:32" hidden="1" x14ac:dyDescent="0.3">
      <c r="A253" s="12" t="e" cm="1">
        <f t="array" aca="1" ref="A253" ca="1">IF(STAT[[#This Row],[retranca]]="","",       RegxFunc(STAT[[#This Row],[retranca]],  "\w\d{4}\w*_\d")     )</f>
        <v>#NAME?</v>
      </c>
      <c r="B253" s="21" t="s">
        <v>644</v>
      </c>
      <c r="C253" s="14" t="s">
        <v>72</v>
      </c>
      <c r="D253" s="15" t="s">
        <v>9</v>
      </c>
      <c r="E253" s="15" t="s">
        <v>10</v>
      </c>
      <c r="F253" s="14">
        <v>59</v>
      </c>
      <c r="G253" s="15">
        <v>5</v>
      </c>
      <c r="H253" s="14">
        <v>3</v>
      </c>
      <c r="I253" s="14">
        <v>3</v>
      </c>
      <c r="J253" s="17" t="s">
        <v>55</v>
      </c>
      <c r="K253" s="36"/>
      <c r="L253" s="14"/>
      <c r="M253" s="14"/>
      <c r="N253" s="14"/>
      <c r="O253" s="14"/>
      <c r="P253" s="25" t="s">
        <v>645</v>
      </c>
      <c r="Q253" s="21"/>
      <c r="R253" s="22"/>
      <c r="S253" s="14"/>
      <c r="T253" s="27"/>
      <c r="U253" s="27"/>
      <c r="V253" s="27"/>
      <c r="W253" s="27"/>
      <c r="X253" s="27"/>
      <c r="Y253" s="14" t="s">
        <v>43</v>
      </c>
      <c r="Z253" s="40" t="e">
        <f>IF(STAT[[#This Row],[sigla]]="","",VLOOKUP(STAT[[#This Row],[sigla]],CRÉDITOS_GERAIS[[sigla]:[credito]],2,))</f>
        <v>#N/A</v>
      </c>
      <c r="AA253" s="14"/>
      <c r="AB253" s="14" t="e">
        <f>STAT[[#This Row],[ilustrador]]</f>
        <v>#N/A</v>
      </c>
      <c r="AC253" s="14"/>
      <c r="AD253" s="22"/>
      <c r="AE253" s="15"/>
      <c r="AF253" s="42" t="str">
        <f t="shared" si="3"/>
        <v>P007</v>
      </c>
    </row>
    <row r="254" spans="1:32" ht="132" hidden="1" x14ac:dyDescent="0.3">
      <c r="A254" s="12" t="e" cm="1">
        <f t="array" aca="1" ref="A254" ca="1">IF(STAT[[#This Row],[retranca]]="","",       RegxFunc(STAT[[#This Row],[retranca]],  "\w\d{4}\w*_\d")     )</f>
        <v>#NAME?</v>
      </c>
      <c r="B254" s="33" t="s">
        <v>646</v>
      </c>
      <c r="C254" s="14" t="s">
        <v>72</v>
      </c>
      <c r="D254" s="15" t="s">
        <v>9</v>
      </c>
      <c r="E254" s="15" t="s">
        <v>10</v>
      </c>
      <c r="F254" s="15">
        <v>60</v>
      </c>
      <c r="G254" s="15">
        <v>5</v>
      </c>
      <c r="H254" s="20">
        <v>3</v>
      </c>
      <c r="I254" s="15">
        <v>3</v>
      </c>
      <c r="J254" s="17" t="s">
        <v>55</v>
      </c>
      <c r="K254" s="36"/>
      <c r="L254" s="14"/>
      <c r="M254" s="14"/>
      <c r="N254" s="14"/>
      <c r="O254" s="14"/>
      <c r="P254" s="13" t="s">
        <v>647</v>
      </c>
      <c r="Q254" s="16"/>
      <c r="R254" s="16"/>
      <c r="S254" s="15">
        <v>27</v>
      </c>
      <c r="T254" s="18">
        <v>45841</v>
      </c>
      <c r="U254" s="18">
        <v>45847</v>
      </c>
      <c r="V254" s="18">
        <v>45849</v>
      </c>
      <c r="W254" s="18">
        <v>45849</v>
      </c>
      <c r="X254" s="18">
        <v>45854</v>
      </c>
      <c r="Y254" s="15" t="s">
        <v>99</v>
      </c>
      <c r="Z254" s="40" t="str">
        <f>IF(STAT[[#This Row],[sigla]]="","",VLOOKUP(STAT[[#This Row],[sigla]],CRÉDITOS_GERAIS[[sigla]:[credito]],2,))</f>
        <v>Débora Mini</v>
      </c>
      <c r="AA254" s="20"/>
      <c r="AB254" s="14" t="str">
        <f>STAT[[#This Row],[ilustrador]]</f>
        <v>Débora Mini</v>
      </c>
      <c r="AC254" s="14">
        <v>5</v>
      </c>
      <c r="AD254" s="15" t="s">
        <v>641</v>
      </c>
      <c r="AE254" s="15" t="s">
        <v>87</v>
      </c>
      <c r="AF254" s="42" t="str">
        <f t="shared" si="3"/>
        <v>P007</v>
      </c>
    </row>
    <row r="255" spans="1:32" ht="115.2" hidden="1" x14ac:dyDescent="0.3">
      <c r="A255" s="12" t="e" cm="1">
        <f t="array" aca="1" ref="A255" ca="1">IF(STAT[[#This Row],[retranca]]="","",       RegxFunc(STAT[[#This Row],[retranca]],  "\w\d{4}\w*_\d")     )</f>
        <v>#NAME?</v>
      </c>
      <c r="B255" s="21" t="s">
        <v>648</v>
      </c>
      <c r="C255" s="14" t="s">
        <v>72</v>
      </c>
      <c r="D255" s="15" t="s">
        <v>9</v>
      </c>
      <c r="E255" s="15" t="s">
        <v>10</v>
      </c>
      <c r="F255" s="14">
        <v>64</v>
      </c>
      <c r="G255" s="15">
        <v>5</v>
      </c>
      <c r="H255" s="14">
        <v>4</v>
      </c>
      <c r="I255" s="14">
        <v>4</v>
      </c>
      <c r="J255" s="17" t="s">
        <v>55</v>
      </c>
      <c r="K255" s="36"/>
      <c r="L255" s="14"/>
      <c r="M255" s="14"/>
      <c r="N255" s="14"/>
      <c r="O255" s="14"/>
      <c r="P255" s="25" t="s">
        <v>649</v>
      </c>
      <c r="Q255" s="21"/>
      <c r="R255" s="22"/>
      <c r="S255" s="14">
        <v>28</v>
      </c>
      <c r="T255" s="27">
        <v>45845</v>
      </c>
      <c r="U255" s="27">
        <v>45847</v>
      </c>
      <c r="V255" s="27">
        <v>45852</v>
      </c>
      <c r="W255" s="27">
        <v>45853</v>
      </c>
      <c r="X255" s="27">
        <v>45857</v>
      </c>
      <c r="Y255" s="14" t="s">
        <v>109</v>
      </c>
      <c r="Z255" s="40" t="str">
        <f>IF(STAT[[#This Row],[sigla]]="","",VLOOKUP(STAT[[#This Row],[sigla]],CRÉDITOS_GERAIS[[sigla]:[credito]],2,))</f>
        <v>Clarice Baracho</v>
      </c>
      <c r="AA255" s="14"/>
      <c r="AB255" s="14" t="str">
        <f>STAT[[#This Row],[ilustrador]]</f>
        <v>Clarice Baracho</v>
      </c>
      <c r="AC255" s="14">
        <v>5</v>
      </c>
      <c r="AD255" s="22" t="s">
        <v>650</v>
      </c>
      <c r="AE255" s="15" t="s">
        <v>87</v>
      </c>
      <c r="AF255" s="42" t="str">
        <f t="shared" si="3"/>
        <v>P007</v>
      </c>
    </row>
    <row r="256" spans="1:32" ht="26.4" hidden="1" x14ac:dyDescent="0.3">
      <c r="A256" s="12" t="e" cm="1">
        <f t="array" aca="1" ref="A256" ca="1">IF(STAT[[#This Row],[retranca]]="","",       RegxFunc(STAT[[#This Row],[retranca]],  "\w\d{4}\w*_\d")     )</f>
        <v>#NAME?</v>
      </c>
      <c r="B256" s="33" t="s">
        <v>651</v>
      </c>
      <c r="C256" s="14" t="s">
        <v>72</v>
      </c>
      <c r="D256" s="15" t="s">
        <v>9</v>
      </c>
      <c r="E256" s="15" t="s">
        <v>10</v>
      </c>
      <c r="F256" s="15">
        <v>65</v>
      </c>
      <c r="G256" s="15">
        <v>5</v>
      </c>
      <c r="H256" s="20">
        <v>4</v>
      </c>
      <c r="I256" s="15">
        <v>4</v>
      </c>
      <c r="J256" s="17" t="s">
        <v>55</v>
      </c>
      <c r="K256" s="36"/>
      <c r="L256" s="14"/>
      <c r="M256" s="14"/>
      <c r="N256" s="14"/>
      <c r="O256" s="14"/>
      <c r="P256" s="13" t="s">
        <v>652</v>
      </c>
      <c r="Q256" s="16"/>
      <c r="R256" s="16"/>
      <c r="S256" s="15">
        <v>28</v>
      </c>
      <c r="T256" s="18">
        <v>45845</v>
      </c>
      <c r="U256" s="37">
        <v>45847</v>
      </c>
      <c r="V256" s="20"/>
      <c r="W256" s="20"/>
      <c r="X256" s="37">
        <v>45847</v>
      </c>
      <c r="Y256" s="20" t="s">
        <v>43</v>
      </c>
      <c r="Z256" s="40" t="e">
        <f>IF(STAT[[#This Row],[sigla]]="","",VLOOKUP(STAT[[#This Row],[sigla]],CRÉDITOS_GERAIS[[sigla]:[credito]],2,))</f>
        <v>#N/A</v>
      </c>
      <c r="AA256" s="20" t="s">
        <v>609</v>
      </c>
      <c r="AB256" s="14" t="e">
        <f>STAT[[#This Row],[ilustrador]]</f>
        <v>#N/A</v>
      </c>
      <c r="AC256" s="14">
        <v>13</v>
      </c>
      <c r="AD256" s="19" t="s">
        <v>653</v>
      </c>
      <c r="AE256" s="15" t="s">
        <v>46</v>
      </c>
      <c r="AF256" s="42" t="str">
        <f t="shared" si="3"/>
        <v>P007</v>
      </c>
    </row>
    <row r="257" spans="1:32" ht="28.8" hidden="1" x14ac:dyDescent="0.3">
      <c r="A257" s="12" t="e" cm="1">
        <f t="array" aca="1" ref="A257" ca="1">IF(STAT[[#This Row],[retranca]]="","",       RegxFunc(STAT[[#This Row],[retranca]],  "\w\d{4}\w*_\d")     )</f>
        <v>#NAME?</v>
      </c>
      <c r="B257" s="21" t="s">
        <v>654</v>
      </c>
      <c r="C257" s="14" t="s">
        <v>72</v>
      </c>
      <c r="D257" s="15" t="s">
        <v>9</v>
      </c>
      <c r="E257" s="15" t="s">
        <v>10</v>
      </c>
      <c r="F257" s="14">
        <v>65</v>
      </c>
      <c r="G257" s="15">
        <v>5</v>
      </c>
      <c r="H257" s="20">
        <v>4</v>
      </c>
      <c r="I257" s="15">
        <v>4</v>
      </c>
      <c r="J257" s="17" t="s">
        <v>55</v>
      </c>
      <c r="K257" s="36"/>
      <c r="L257" s="14"/>
      <c r="M257" s="14"/>
      <c r="N257" s="14"/>
      <c r="O257" s="14"/>
      <c r="P257" s="25" t="s">
        <v>655</v>
      </c>
      <c r="Q257" s="21"/>
      <c r="R257" s="22"/>
      <c r="S257" s="14">
        <v>28</v>
      </c>
      <c r="T257" s="27">
        <v>45845</v>
      </c>
      <c r="U257" s="37">
        <v>45847</v>
      </c>
      <c r="V257" s="27"/>
      <c r="W257" s="27"/>
      <c r="X257" s="37">
        <v>45847</v>
      </c>
      <c r="Y257" s="14" t="s">
        <v>43</v>
      </c>
      <c r="Z257" s="40" t="e">
        <f>IF(STAT[[#This Row],[sigla]]="","",VLOOKUP(STAT[[#This Row],[sigla]],CRÉDITOS_GERAIS[[sigla]:[credito]],2,))</f>
        <v>#N/A</v>
      </c>
      <c r="AA257" s="20" t="s">
        <v>609</v>
      </c>
      <c r="AB257" s="14" t="e">
        <f>STAT[[#This Row],[ilustrador]]</f>
        <v>#N/A</v>
      </c>
      <c r="AC257" s="14">
        <v>13</v>
      </c>
      <c r="AD257" s="19" t="s">
        <v>653</v>
      </c>
      <c r="AE257" s="15" t="s">
        <v>46</v>
      </c>
      <c r="AF257" s="42" t="str">
        <f t="shared" si="3"/>
        <v>P007</v>
      </c>
    </row>
    <row r="258" spans="1:32" ht="129.6" hidden="1" x14ac:dyDescent="0.3">
      <c r="A258" s="12" t="e" cm="1">
        <f t="array" aca="1" ref="A258" ca="1">IF(STAT[[#This Row],[retranca]]="","",       RegxFunc(STAT[[#This Row],[retranca]],  "\w\d{4}\w*_\d")     )</f>
        <v>#NAME?</v>
      </c>
      <c r="B258" s="21" t="s">
        <v>656</v>
      </c>
      <c r="C258" s="14" t="s">
        <v>72</v>
      </c>
      <c r="D258" s="15" t="s">
        <v>9</v>
      </c>
      <c r="E258" s="15" t="s">
        <v>10</v>
      </c>
      <c r="F258" s="14">
        <v>67</v>
      </c>
      <c r="G258" s="15">
        <v>5</v>
      </c>
      <c r="H258" s="20">
        <v>4</v>
      </c>
      <c r="I258" s="15">
        <v>4</v>
      </c>
      <c r="J258" s="17" t="s">
        <v>55</v>
      </c>
      <c r="K258" s="36"/>
      <c r="L258" s="14"/>
      <c r="M258" s="14"/>
      <c r="N258" s="14"/>
      <c r="O258" s="14"/>
      <c r="P258" s="25" t="s">
        <v>657</v>
      </c>
      <c r="Q258" s="21"/>
      <c r="R258" s="22"/>
      <c r="S258" s="14">
        <v>28</v>
      </c>
      <c r="T258" s="27">
        <v>45845</v>
      </c>
      <c r="U258" s="27">
        <v>45847</v>
      </c>
      <c r="V258" s="27">
        <v>45852</v>
      </c>
      <c r="W258" s="27">
        <v>45853</v>
      </c>
      <c r="X258" s="27">
        <v>45857</v>
      </c>
      <c r="Y258" s="14" t="s">
        <v>109</v>
      </c>
      <c r="Z258" s="40" t="str">
        <f>IF(STAT[[#This Row],[sigla]]="","",VLOOKUP(STAT[[#This Row],[sigla]],CRÉDITOS_GERAIS[[sigla]:[credito]],2,))</f>
        <v>Clarice Baracho</v>
      </c>
      <c r="AA258" s="14"/>
      <c r="AB258" s="14" t="str">
        <f>STAT[[#This Row],[ilustrador]]</f>
        <v>Clarice Baracho</v>
      </c>
      <c r="AC258" s="14">
        <v>4</v>
      </c>
      <c r="AD258" s="22" t="s">
        <v>650</v>
      </c>
      <c r="AE258" s="15" t="s">
        <v>87</v>
      </c>
      <c r="AF258" s="42" t="str">
        <f t="shared" ref="AF258:AF321" si="4">"P007"</f>
        <v>P007</v>
      </c>
    </row>
    <row r="259" spans="1:32" hidden="1" x14ac:dyDescent="0.3">
      <c r="A259" s="12" t="e" cm="1">
        <f t="array" aca="1" ref="A259" ca="1">IF(STAT[[#This Row],[retranca]]="","",       RegxFunc(STAT[[#This Row],[retranca]],  "\w\d{4}\w*_\d")     )</f>
        <v>#NAME?</v>
      </c>
      <c r="B259" s="21" t="s">
        <v>658</v>
      </c>
      <c r="C259" s="14" t="s">
        <v>72</v>
      </c>
      <c r="D259" s="15" t="s">
        <v>9</v>
      </c>
      <c r="E259" s="15" t="s">
        <v>10</v>
      </c>
      <c r="F259" s="14">
        <v>68</v>
      </c>
      <c r="G259" s="15">
        <v>5</v>
      </c>
      <c r="H259" s="20">
        <v>4</v>
      </c>
      <c r="I259" s="15">
        <v>4</v>
      </c>
      <c r="J259" s="17" t="s">
        <v>55</v>
      </c>
      <c r="K259" s="36"/>
      <c r="L259" s="14"/>
      <c r="M259" s="14"/>
      <c r="N259" s="14"/>
      <c r="O259" s="14"/>
      <c r="P259" s="63">
        <v>45930</v>
      </c>
      <c r="Q259" s="21"/>
      <c r="R259" s="22"/>
      <c r="S259" s="14">
        <v>28</v>
      </c>
      <c r="T259" s="27">
        <v>45845</v>
      </c>
      <c r="U259" s="27">
        <v>45847</v>
      </c>
      <c r="V259" s="27">
        <v>45852</v>
      </c>
      <c r="W259" s="27">
        <v>45853</v>
      </c>
      <c r="X259" s="27">
        <v>45859</v>
      </c>
      <c r="Y259" s="14" t="s">
        <v>109</v>
      </c>
      <c r="Z259" s="40" t="str">
        <f>IF(STAT[[#This Row],[sigla]]="","",VLOOKUP(STAT[[#This Row],[sigla]],CRÉDITOS_GERAIS[[sigla]:[credito]],2,))</f>
        <v>Clarice Baracho</v>
      </c>
      <c r="AA259" s="14"/>
      <c r="AB259" s="14" t="str">
        <f>STAT[[#This Row],[ilustrador]]</f>
        <v>Clarice Baracho</v>
      </c>
      <c r="AC259" s="14">
        <v>4</v>
      </c>
      <c r="AD259" s="22" t="s">
        <v>650</v>
      </c>
      <c r="AE259" s="15" t="s">
        <v>87</v>
      </c>
      <c r="AF259" s="42" t="str">
        <f t="shared" si="4"/>
        <v>P007</v>
      </c>
    </row>
    <row r="260" spans="1:32" ht="86.4" hidden="1" x14ac:dyDescent="0.3">
      <c r="A260" s="12" t="e" cm="1">
        <f t="array" aca="1" ref="A260" ca="1">IF(STAT[[#This Row],[retranca]]="","",       RegxFunc(STAT[[#This Row],[retranca]],  "\w\d{4}\w*_\d")     )</f>
        <v>#NAME?</v>
      </c>
      <c r="B260" s="21" t="s">
        <v>659</v>
      </c>
      <c r="C260" s="14" t="s">
        <v>72</v>
      </c>
      <c r="D260" s="15" t="s">
        <v>9</v>
      </c>
      <c r="E260" s="15" t="s">
        <v>10</v>
      </c>
      <c r="F260" s="14">
        <v>69</v>
      </c>
      <c r="G260" s="15">
        <v>5</v>
      </c>
      <c r="H260" s="20">
        <v>4</v>
      </c>
      <c r="I260" s="15">
        <v>4</v>
      </c>
      <c r="J260" s="17" t="s">
        <v>55</v>
      </c>
      <c r="K260" s="36"/>
      <c r="L260" s="14"/>
      <c r="M260" s="14"/>
      <c r="N260" s="14"/>
      <c r="O260" s="14"/>
      <c r="P260" s="25" t="s">
        <v>660</v>
      </c>
      <c r="Q260" s="21"/>
      <c r="R260" s="22"/>
      <c r="S260" s="14">
        <v>28</v>
      </c>
      <c r="T260" s="27">
        <v>45845</v>
      </c>
      <c r="U260" s="37">
        <v>45847</v>
      </c>
      <c r="V260" s="27"/>
      <c r="W260" s="27"/>
      <c r="X260" s="37">
        <v>45847</v>
      </c>
      <c r="Y260" s="14" t="s">
        <v>43</v>
      </c>
      <c r="Z260" s="40" t="e">
        <f>IF(STAT[[#This Row],[sigla]]="","",VLOOKUP(STAT[[#This Row],[sigla]],CRÉDITOS_GERAIS[[sigla]:[credito]],2,))</f>
        <v>#N/A</v>
      </c>
      <c r="AA260" s="20" t="s">
        <v>609</v>
      </c>
      <c r="AB260" s="14" t="e">
        <f>STAT[[#This Row],[ilustrador]]</f>
        <v>#N/A</v>
      </c>
      <c r="AC260" s="14">
        <v>13</v>
      </c>
      <c r="AD260" s="19" t="s">
        <v>653</v>
      </c>
      <c r="AE260" s="15" t="s">
        <v>46</v>
      </c>
      <c r="AF260" s="42" t="str">
        <f t="shared" si="4"/>
        <v>P007</v>
      </c>
    </row>
    <row r="261" spans="1:32" ht="57.6" hidden="1" x14ac:dyDescent="0.3">
      <c r="A261" s="12" t="e" cm="1">
        <f t="array" aca="1" ref="A261" ca="1">IF(STAT[[#This Row],[retranca]]="","",       RegxFunc(STAT[[#This Row],[retranca]],  "\w\d{4}\w*_\d")     )</f>
        <v>#NAME?</v>
      </c>
      <c r="B261" s="21" t="s">
        <v>661</v>
      </c>
      <c r="C261" s="14" t="s">
        <v>72</v>
      </c>
      <c r="D261" s="15" t="s">
        <v>9</v>
      </c>
      <c r="E261" s="15" t="s">
        <v>10</v>
      </c>
      <c r="F261" s="14">
        <v>72</v>
      </c>
      <c r="G261" s="15">
        <v>5</v>
      </c>
      <c r="H261" s="20">
        <v>4</v>
      </c>
      <c r="I261" s="15">
        <v>4</v>
      </c>
      <c r="J261" s="17" t="s">
        <v>55</v>
      </c>
      <c r="K261" s="36"/>
      <c r="L261" s="14"/>
      <c r="M261" s="14"/>
      <c r="N261" s="14"/>
      <c r="O261" s="14"/>
      <c r="P261" s="25" t="s">
        <v>662</v>
      </c>
      <c r="Q261" s="21"/>
      <c r="R261" s="22"/>
      <c r="S261" s="14">
        <v>28</v>
      </c>
      <c r="T261" s="27">
        <v>45845</v>
      </c>
      <c r="U261" s="37">
        <v>45847</v>
      </c>
      <c r="V261" s="27"/>
      <c r="W261" s="27"/>
      <c r="X261" s="37">
        <v>45847</v>
      </c>
      <c r="Y261" s="14" t="s">
        <v>43</v>
      </c>
      <c r="Z261" s="40" t="e">
        <f>IF(STAT[[#This Row],[sigla]]="","",VLOOKUP(STAT[[#This Row],[sigla]],CRÉDITOS_GERAIS[[sigla]:[credito]],2,))</f>
        <v>#N/A</v>
      </c>
      <c r="AA261" s="20" t="s">
        <v>609</v>
      </c>
      <c r="AB261" s="14" t="e">
        <f>STAT[[#This Row],[ilustrador]]</f>
        <v>#N/A</v>
      </c>
      <c r="AC261" s="14">
        <v>13</v>
      </c>
      <c r="AD261" s="19" t="s">
        <v>653</v>
      </c>
      <c r="AE261" s="15" t="s">
        <v>46</v>
      </c>
      <c r="AF261" s="42" t="str">
        <f t="shared" si="4"/>
        <v>P007</v>
      </c>
    </row>
    <row r="262" spans="1:32" ht="57.6" hidden="1" x14ac:dyDescent="0.3">
      <c r="A262" s="12" t="e" cm="1">
        <f t="array" aca="1" ref="A262" ca="1">IF(STAT[[#This Row],[retranca]]="","",       RegxFunc(STAT[[#This Row],[retranca]],  "\w\d{4}\w*_\d")     )</f>
        <v>#NAME?</v>
      </c>
      <c r="B262" s="21" t="s">
        <v>663</v>
      </c>
      <c r="C262" s="14" t="s">
        <v>72</v>
      </c>
      <c r="D262" s="15" t="s">
        <v>9</v>
      </c>
      <c r="E262" s="15" t="s">
        <v>10</v>
      </c>
      <c r="F262" s="14">
        <v>75</v>
      </c>
      <c r="G262" s="15">
        <v>5</v>
      </c>
      <c r="H262" s="20">
        <v>4</v>
      </c>
      <c r="I262" s="15">
        <v>4</v>
      </c>
      <c r="J262" s="17" t="s">
        <v>55</v>
      </c>
      <c r="K262" s="36"/>
      <c r="L262" s="14"/>
      <c r="M262" s="14"/>
      <c r="N262" s="14"/>
      <c r="O262" s="14"/>
      <c r="P262" s="25" t="s">
        <v>664</v>
      </c>
      <c r="Q262" s="21"/>
      <c r="R262" s="22"/>
      <c r="S262" s="14">
        <v>28</v>
      </c>
      <c r="T262" s="27">
        <v>45845</v>
      </c>
      <c r="U262" s="27">
        <v>45847</v>
      </c>
      <c r="V262" s="27">
        <v>45852</v>
      </c>
      <c r="W262" s="27">
        <v>45852</v>
      </c>
      <c r="X262" s="27">
        <v>45855</v>
      </c>
      <c r="Y262" s="14" t="s">
        <v>119</v>
      </c>
      <c r="Z262" s="40" t="str">
        <f>IF(STAT[[#This Row],[sigla]]="","",VLOOKUP(STAT[[#This Row],[sigla]],CRÉDITOS_GERAIS[[sigla]:[credito]],2,))</f>
        <v>Bianca Tavares</v>
      </c>
      <c r="AA262" s="14"/>
      <c r="AB262" s="14" t="str">
        <f>STAT[[#This Row],[ilustrador]]</f>
        <v>Bianca Tavares</v>
      </c>
      <c r="AC262" s="14">
        <v>5</v>
      </c>
      <c r="AD262" s="22" t="s">
        <v>650</v>
      </c>
      <c r="AE262" s="15" t="s">
        <v>87</v>
      </c>
      <c r="AF262" s="42" t="str">
        <f t="shared" si="4"/>
        <v>P007</v>
      </c>
    </row>
    <row r="263" spans="1:32" ht="43.2" hidden="1" x14ac:dyDescent="0.3">
      <c r="A263" s="12" t="e" cm="1">
        <f t="array" aca="1" ref="A263" ca="1">IF(STAT[[#This Row],[retranca]]="","",       RegxFunc(STAT[[#This Row],[retranca]],  "\w\d{4}\w*_\d")     )</f>
        <v>#NAME?</v>
      </c>
      <c r="B263" s="21" t="s">
        <v>665</v>
      </c>
      <c r="C263" s="14" t="s">
        <v>122</v>
      </c>
      <c r="D263" s="15" t="s">
        <v>9</v>
      </c>
      <c r="E263" s="15" t="s">
        <v>10</v>
      </c>
      <c r="F263" s="14">
        <v>76</v>
      </c>
      <c r="G263" s="15">
        <v>5</v>
      </c>
      <c r="H263" s="20">
        <v>4</v>
      </c>
      <c r="I263" s="15">
        <v>4</v>
      </c>
      <c r="J263" s="17" t="s">
        <v>55</v>
      </c>
      <c r="K263" s="36"/>
      <c r="L263" s="14"/>
      <c r="M263" s="14"/>
      <c r="N263" s="14"/>
      <c r="O263" s="14"/>
      <c r="P263" s="25" t="s">
        <v>666</v>
      </c>
      <c r="Q263" s="21"/>
      <c r="R263" s="22"/>
      <c r="S263" s="14">
        <v>28</v>
      </c>
      <c r="T263" s="27">
        <v>45845</v>
      </c>
      <c r="U263" s="27">
        <v>45847</v>
      </c>
      <c r="V263" s="27">
        <v>45852</v>
      </c>
      <c r="W263" s="27">
        <v>45852</v>
      </c>
      <c r="X263" s="27">
        <v>45855</v>
      </c>
      <c r="Y263" s="14" t="s">
        <v>119</v>
      </c>
      <c r="Z263" s="40" t="str">
        <f>IF(STAT[[#This Row],[sigla]]="","",VLOOKUP(STAT[[#This Row],[sigla]],CRÉDITOS_GERAIS[[sigla]:[credito]],2,))</f>
        <v>Bianca Tavares</v>
      </c>
      <c r="AA263" s="14"/>
      <c r="AB263" s="14" t="str">
        <f>STAT[[#This Row],[ilustrador]]</f>
        <v>Bianca Tavares</v>
      </c>
      <c r="AC263" s="14">
        <v>5</v>
      </c>
      <c r="AD263" s="22" t="s">
        <v>650</v>
      </c>
      <c r="AE263" s="15" t="s">
        <v>87</v>
      </c>
      <c r="AF263" s="42" t="str">
        <f t="shared" si="4"/>
        <v>P007</v>
      </c>
    </row>
    <row r="264" spans="1:32" ht="28.8" hidden="1" x14ac:dyDescent="0.3">
      <c r="A264" s="12" t="e" cm="1">
        <f t="array" aca="1" ref="A264" ca="1">IF(STAT[[#This Row],[retranca]]="","",       RegxFunc(STAT[[#This Row],[retranca]],  "\w\d{4}\w*_\d")     )</f>
        <v>#NAME?</v>
      </c>
      <c r="B264" s="21" t="s">
        <v>667</v>
      </c>
      <c r="C264" s="14" t="s">
        <v>72</v>
      </c>
      <c r="D264" s="15" t="s">
        <v>9</v>
      </c>
      <c r="E264" s="15" t="s">
        <v>10</v>
      </c>
      <c r="F264" s="14">
        <v>77</v>
      </c>
      <c r="G264" s="15">
        <v>5</v>
      </c>
      <c r="H264" s="20">
        <v>4</v>
      </c>
      <c r="I264" s="15">
        <v>4</v>
      </c>
      <c r="J264" s="17" t="s">
        <v>55</v>
      </c>
      <c r="K264" s="36"/>
      <c r="L264" s="14"/>
      <c r="M264" s="14"/>
      <c r="N264" s="14"/>
      <c r="O264" s="14"/>
      <c r="P264" s="25" t="s">
        <v>668</v>
      </c>
      <c r="Q264" s="21"/>
      <c r="R264" s="22"/>
      <c r="S264" s="14">
        <v>28</v>
      </c>
      <c r="T264" s="27">
        <v>45845</v>
      </c>
      <c r="U264" s="27">
        <v>45847</v>
      </c>
      <c r="V264" s="27">
        <v>45852</v>
      </c>
      <c r="W264" s="27">
        <v>45852</v>
      </c>
      <c r="X264" s="27">
        <v>45855</v>
      </c>
      <c r="Y264" s="14" t="s">
        <v>119</v>
      </c>
      <c r="Z264" s="40" t="str">
        <f>IF(STAT[[#This Row],[sigla]]="","",VLOOKUP(STAT[[#This Row],[sigla]],CRÉDITOS_GERAIS[[sigla]:[credito]],2,))</f>
        <v>Bianca Tavares</v>
      </c>
      <c r="AA264" s="14"/>
      <c r="AB264" s="14" t="str">
        <f>STAT[[#This Row],[ilustrador]]</f>
        <v>Bianca Tavares</v>
      </c>
      <c r="AC264" s="14">
        <v>5</v>
      </c>
      <c r="AD264" s="22" t="s">
        <v>650</v>
      </c>
      <c r="AE264" s="15" t="s">
        <v>87</v>
      </c>
      <c r="AF264" s="42" t="str">
        <f t="shared" si="4"/>
        <v>P007</v>
      </c>
    </row>
    <row r="265" spans="1:32" ht="28.8" hidden="1" x14ac:dyDescent="0.3">
      <c r="A265" s="12" t="e" cm="1">
        <f t="array" aca="1" ref="A265" ca="1">IF(STAT[[#This Row],[retranca]]="","",       RegxFunc(STAT[[#This Row],[retranca]],  "\w\d{4}\w*_\d")     )</f>
        <v>#NAME?</v>
      </c>
      <c r="B265" s="21" t="s">
        <v>669</v>
      </c>
      <c r="C265" s="14" t="s">
        <v>72</v>
      </c>
      <c r="D265" s="15" t="s">
        <v>532</v>
      </c>
      <c r="E265" s="15" t="s">
        <v>10</v>
      </c>
      <c r="F265" s="14">
        <v>78</v>
      </c>
      <c r="G265" s="15">
        <v>5</v>
      </c>
      <c r="H265" s="20">
        <v>4</v>
      </c>
      <c r="I265" s="15">
        <v>4</v>
      </c>
      <c r="J265" s="17" t="s">
        <v>55</v>
      </c>
      <c r="K265" s="36"/>
      <c r="L265" s="14"/>
      <c r="M265" s="14"/>
      <c r="N265" s="14"/>
      <c r="O265" s="14"/>
      <c r="P265" s="25" t="s">
        <v>670</v>
      </c>
      <c r="Q265" s="21"/>
      <c r="R265" s="22"/>
      <c r="S265" s="14">
        <v>28</v>
      </c>
      <c r="T265" s="27">
        <v>45845</v>
      </c>
      <c r="U265" s="27">
        <v>45854</v>
      </c>
      <c r="V265" s="27"/>
      <c r="W265" s="27"/>
      <c r="X265" s="27">
        <v>45854</v>
      </c>
      <c r="Y265" s="14" t="s">
        <v>413</v>
      </c>
      <c r="Z265" s="40" t="e">
        <f>IF(STAT[[#This Row],[sigla]]="","",VLOOKUP(STAT[[#This Row],[sigla]],CRÉDITOS_GERAIS[[sigla]:[credito]],2,))</f>
        <v>#N/A</v>
      </c>
      <c r="AA265" s="14" t="s">
        <v>609</v>
      </c>
      <c r="AB265" s="14" t="s">
        <v>609</v>
      </c>
      <c r="AC265" s="14">
        <v>13</v>
      </c>
      <c r="AD265" s="22" t="s">
        <v>671</v>
      </c>
      <c r="AE265" s="15" t="s">
        <v>46</v>
      </c>
      <c r="AF265" s="42" t="str">
        <f t="shared" si="4"/>
        <v>P007</v>
      </c>
    </row>
    <row r="266" spans="1:32" hidden="1" x14ac:dyDescent="0.3">
      <c r="A266" s="12" t="e" cm="1">
        <f t="array" aca="1" ref="A266" ca="1">IF(STAT[[#This Row],[retranca]]="","",       RegxFunc(STAT[[#This Row],[retranca]],  "\w\d{4}\w*_\d")     )</f>
        <v>#NAME?</v>
      </c>
      <c r="B266" s="21" t="s">
        <v>672</v>
      </c>
      <c r="C266" s="14" t="s">
        <v>72</v>
      </c>
      <c r="D266" s="15" t="s">
        <v>532</v>
      </c>
      <c r="E266" s="15" t="s">
        <v>10</v>
      </c>
      <c r="F266" s="14">
        <v>78</v>
      </c>
      <c r="G266" s="15">
        <v>5</v>
      </c>
      <c r="H266" s="14">
        <v>4</v>
      </c>
      <c r="I266" s="15">
        <v>4</v>
      </c>
      <c r="J266" s="17" t="s">
        <v>55</v>
      </c>
      <c r="K266" s="36"/>
      <c r="L266" s="14"/>
      <c r="M266" s="14"/>
      <c r="N266" s="14"/>
      <c r="O266" s="14"/>
      <c r="P266" s="25" t="s">
        <v>673</v>
      </c>
      <c r="Q266" s="21"/>
      <c r="R266" s="22"/>
      <c r="S266" s="14">
        <v>28</v>
      </c>
      <c r="T266" s="27">
        <v>45845</v>
      </c>
      <c r="U266" s="27">
        <v>45854</v>
      </c>
      <c r="V266" s="27"/>
      <c r="W266" s="27"/>
      <c r="X266" s="27">
        <v>45854</v>
      </c>
      <c r="Y266" s="14" t="s">
        <v>413</v>
      </c>
      <c r="Z266" s="40" t="e">
        <f>IF(STAT[[#This Row],[sigla]]="","",VLOOKUP(STAT[[#This Row],[sigla]],CRÉDITOS_GERAIS[[sigla]:[credito]],2,))</f>
        <v>#N/A</v>
      </c>
      <c r="AA266" s="14" t="s">
        <v>609</v>
      </c>
      <c r="AB266" s="14" t="s">
        <v>609</v>
      </c>
      <c r="AC266" s="14">
        <v>13</v>
      </c>
      <c r="AD266" s="22" t="s">
        <v>671</v>
      </c>
      <c r="AE266" s="15" t="s">
        <v>46</v>
      </c>
      <c r="AF266" s="42" t="str">
        <f t="shared" si="4"/>
        <v>P007</v>
      </c>
    </row>
    <row r="267" spans="1:32" hidden="1" x14ac:dyDescent="0.3">
      <c r="A267" s="12" t="e" cm="1">
        <f t="array" aca="1" ref="A267" ca="1">IF(STAT[[#This Row],[retranca]]="","",       RegxFunc(STAT[[#This Row],[retranca]],  "\w\d{4}\w*_\d")     )</f>
        <v>#NAME?</v>
      </c>
      <c r="B267" s="33" t="s">
        <v>674</v>
      </c>
      <c r="C267" s="14" t="s">
        <v>72</v>
      </c>
      <c r="D267" s="15" t="s">
        <v>532</v>
      </c>
      <c r="E267" s="15" t="s">
        <v>10</v>
      </c>
      <c r="F267" s="15">
        <v>78</v>
      </c>
      <c r="G267" s="15">
        <v>5</v>
      </c>
      <c r="H267" s="14">
        <v>4</v>
      </c>
      <c r="I267" s="15">
        <v>4</v>
      </c>
      <c r="J267" s="17" t="s">
        <v>55</v>
      </c>
      <c r="K267" s="36"/>
      <c r="L267" s="14"/>
      <c r="M267" s="14"/>
      <c r="N267" s="14"/>
      <c r="O267" s="14"/>
      <c r="P267" s="25" t="s">
        <v>675</v>
      </c>
      <c r="Q267" s="16"/>
      <c r="R267" s="15"/>
      <c r="S267" s="14">
        <v>28</v>
      </c>
      <c r="T267" s="27">
        <v>45845</v>
      </c>
      <c r="U267" s="27">
        <v>45854</v>
      </c>
      <c r="V267" s="20"/>
      <c r="W267" s="20"/>
      <c r="X267" s="27">
        <v>45854</v>
      </c>
      <c r="Y267" s="14" t="s">
        <v>413</v>
      </c>
      <c r="Z267" s="40" t="e">
        <f>IF(STAT[[#This Row],[sigla]]="","",VLOOKUP(STAT[[#This Row],[sigla]],CRÉDITOS_GERAIS[[sigla]:[credito]],2,))</f>
        <v>#N/A</v>
      </c>
      <c r="AA267" s="14" t="s">
        <v>609</v>
      </c>
      <c r="AB267" s="14" t="s">
        <v>609</v>
      </c>
      <c r="AC267" s="14">
        <v>13</v>
      </c>
      <c r="AD267" s="22" t="s">
        <v>671</v>
      </c>
      <c r="AE267" s="15" t="s">
        <v>46</v>
      </c>
      <c r="AF267" s="42" t="str">
        <f t="shared" si="4"/>
        <v>P007</v>
      </c>
    </row>
    <row r="268" spans="1:32" hidden="1" x14ac:dyDescent="0.3">
      <c r="A268" s="12" t="e" cm="1">
        <f t="array" aca="1" ref="A268" ca="1">IF(STAT[[#This Row],[retranca]]="","",       RegxFunc(STAT[[#This Row],[retranca]],  "\w\d{4}\w*_\d")     )</f>
        <v>#NAME?</v>
      </c>
      <c r="B268" s="21" t="s">
        <v>676</v>
      </c>
      <c r="C268" s="14" t="s">
        <v>72</v>
      </c>
      <c r="D268" s="15" t="s">
        <v>532</v>
      </c>
      <c r="E268" s="15" t="s">
        <v>10</v>
      </c>
      <c r="F268" s="14">
        <v>78</v>
      </c>
      <c r="G268" s="15">
        <v>5</v>
      </c>
      <c r="H268" s="14">
        <v>4</v>
      </c>
      <c r="I268" s="15">
        <v>4</v>
      </c>
      <c r="J268" s="17" t="s">
        <v>55</v>
      </c>
      <c r="K268" s="36"/>
      <c r="L268" s="14"/>
      <c r="M268" s="14"/>
      <c r="N268" s="14"/>
      <c r="O268" s="14"/>
      <c r="P268" s="25" t="s">
        <v>677</v>
      </c>
      <c r="Q268" s="21"/>
      <c r="R268" s="22"/>
      <c r="S268" s="14">
        <v>28</v>
      </c>
      <c r="T268" s="27">
        <v>45845</v>
      </c>
      <c r="U268" s="27">
        <v>45854</v>
      </c>
      <c r="V268" s="27"/>
      <c r="W268" s="27"/>
      <c r="X268" s="27">
        <v>45854</v>
      </c>
      <c r="Y268" s="14" t="s">
        <v>413</v>
      </c>
      <c r="Z268" s="40" t="e">
        <f>IF(STAT[[#This Row],[sigla]]="","",VLOOKUP(STAT[[#This Row],[sigla]],CRÉDITOS_GERAIS[[sigla]:[credito]],2,))</f>
        <v>#N/A</v>
      </c>
      <c r="AA268" s="14" t="s">
        <v>609</v>
      </c>
      <c r="AB268" s="14" t="s">
        <v>609</v>
      </c>
      <c r="AC268" s="14">
        <v>13</v>
      </c>
      <c r="AD268" s="22" t="s">
        <v>671</v>
      </c>
      <c r="AE268" s="15" t="s">
        <v>46</v>
      </c>
      <c r="AF268" s="42" t="str">
        <f t="shared" si="4"/>
        <v>P007</v>
      </c>
    </row>
    <row r="269" spans="1:32" hidden="1" x14ac:dyDescent="0.3">
      <c r="A269" s="12" t="e" cm="1">
        <f t="array" aca="1" ref="A269" ca="1">IF(STAT[[#This Row],[retranca]]="","",       RegxFunc(STAT[[#This Row],[retranca]],  "\w\d{4}\w*_\d")     )</f>
        <v>#NAME?</v>
      </c>
      <c r="B269" s="21" t="s">
        <v>678</v>
      </c>
      <c r="C269" s="14" t="s">
        <v>72</v>
      </c>
      <c r="D269" s="15" t="s">
        <v>532</v>
      </c>
      <c r="E269" s="15" t="s">
        <v>10</v>
      </c>
      <c r="F269" s="14">
        <v>78</v>
      </c>
      <c r="G269" s="15">
        <v>5</v>
      </c>
      <c r="H269" s="14">
        <v>4</v>
      </c>
      <c r="I269" s="15">
        <v>4</v>
      </c>
      <c r="J269" s="17" t="s">
        <v>55</v>
      </c>
      <c r="K269" s="36"/>
      <c r="L269" s="14"/>
      <c r="M269" s="14"/>
      <c r="N269" s="14"/>
      <c r="O269" s="14"/>
      <c r="P269" s="25" t="s">
        <v>679</v>
      </c>
      <c r="Q269" s="21"/>
      <c r="R269" s="22"/>
      <c r="S269" s="14">
        <v>28</v>
      </c>
      <c r="T269" s="27">
        <v>45845</v>
      </c>
      <c r="U269" s="27">
        <v>45854</v>
      </c>
      <c r="V269" s="27"/>
      <c r="W269" s="27"/>
      <c r="X269" s="27">
        <v>45854</v>
      </c>
      <c r="Y269" s="14" t="s">
        <v>413</v>
      </c>
      <c r="Z269" s="40" t="e">
        <f>IF(STAT[[#This Row],[sigla]]="","",VLOOKUP(STAT[[#This Row],[sigla]],CRÉDITOS_GERAIS[[sigla]:[credito]],2,))</f>
        <v>#N/A</v>
      </c>
      <c r="AA269" s="14" t="s">
        <v>609</v>
      </c>
      <c r="AB269" s="14" t="s">
        <v>609</v>
      </c>
      <c r="AC269" s="14">
        <v>13</v>
      </c>
      <c r="AD269" s="22" t="s">
        <v>671</v>
      </c>
      <c r="AE269" s="15" t="s">
        <v>46</v>
      </c>
      <c r="AF269" s="42" t="str">
        <f t="shared" si="4"/>
        <v>P007</v>
      </c>
    </row>
    <row r="270" spans="1:32" hidden="1" x14ac:dyDescent="0.3">
      <c r="A270" s="12" t="e" cm="1">
        <f t="array" aca="1" ref="A270" ca="1">IF(STAT[[#This Row],[retranca]]="","",       RegxFunc(STAT[[#This Row],[retranca]],  "\w\d{4}\w*_\d")     )</f>
        <v>#NAME?</v>
      </c>
      <c r="B270" s="21" t="s">
        <v>680</v>
      </c>
      <c r="C270" s="14" t="s">
        <v>72</v>
      </c>
      <c r="D270" s="15" t="s">
        <v>532</v>
      </c>
      <c r="E270" s="15" t="s">
        <v>10</v>
      </c>
      <c r="F270" s="14">
        <v>78</v>
      </c>
      <c r="G270" s="15">
        <v>5</v>
      </c>
      <c r="H270" s="14">
        <v>4</v>
      </c>
      <c r="I270" s="15">
        <v>4</v>
      </c>
      <c r="J270" s="17" t="s">
        <v>55</v>
      </c>
      <c r="K270" s="36"/>
      <c r="L270" s="14"/>
      <c r="M270" s="14"/>
      <c r="N270" s="14"/>
      <c r="O270" s="14"/>
      <c r="P270" s="25" t="s">
        <v>681</v>
      </c>
      <c r="Q270" s="21"/>
      <c r="R270" s="22"/>
      <c r="S270" s="14">
        <v>28</v>
      </c>
      <c r="T270" s="27">
        <v>45845</v>
      </c>
      <c r="U270" s="27">
        <v>45854</v>
      </c>
      <c r="V270" s="27"/>
      <c r="W270" s="27"/>
      <c r="X270" s="27">
        <v>45854</v>
      </c>
      <c r="Y270" s="14" t="s">
        <v>413</v>
      </c>
      <c r="Z270" s="40" t="e">
        <f>IF(STAT[[#This Row],[sigla]]="","",VLOOKUP(STAT[[#This Row],[sigla]],CRÉDITOS_GERAIS[[sigla]:[credito]],2,))</f>
        <v>#N/A</v>
      </c>
      <c r="AA270" s="14" t="s">
        <v>609</v>
      </c>
      <c r="AB270" s="14" t="s">
        <v>609</v>
      </c>
      <c r="AC270" s="14">
        <v>13</v>
      </c>
      <c r="AD270" s="22" t="s">
        <v>671</v>
      </c>
      <c r="AE270" s="15" t="s">
        <v>46</v>
      </c>
      <c r="AF270" s="42" t="str">
        <f t="shared" si="4"/>
        <v>P007</v>
      </c>
    </row>
    <row r="271" spans="1:32" hidden="1" x14ac:dyDescent="0.3">
      <c r="A271" s="12" t="e" cm="1">
        <f t="array" aca="1" ref="A271" ca="1">IF(STAT[[#This Row],[retranca]]="","",       RegxFunc(STAT[[#This Row],[retranca]],  "\w\d{4}\w*_\d")     )</f>
        <v>#NAME?</v>
      </c>
      <c r="B271" s="21" t="s">
        <v>682</v>
      </c>
      <c r="C271" s="14" t="s">
        <v>72</v>
      </c>
      <c r="D271" s="15" t="s">
        <v>9</v>
      </c>
      <c r="E271" s="15" t="s">
        <v>10</v>
      </c>
      <c r="F271" s="14">
        <v>80</v>
      </c>
      <c r="G271" s="15">
        <v>5</v>
      </c>
      <c r="H271" s="14">
        <v>5</v>
      </c>
      <c r="I271" s="14">
        <v>5</v>
      </c>
      <c r="J271" s="17" t="s">
        <v>55</v>
      </c>
      <c r="K271" s="36"/>
      <c r="L271" s="14"/>
      <c r="M271" s="14"/>
      <c r="N271" s="14"/>
      <c r="O271" s="14"/>
      <c r="P271" s="25" t="s">
        <v>683</v>
      </c>
      <c r="Q271" s="21"/>
      <c r="R271" s="22"/>
      <c r="S271" s="14">
        <v>31</v>
      </c>
      <c r="T271" s="27">
        <v>45848</v>
      </c>
      <c r="U271" s="27">
        <v>45853</v>
      </c>
      <c r="V271" s="27">
        <v>45857</v>
      </c>
      <c r="W271" s="27">
        <v>45859</v>
      </c>
      <c r="X271" s="27">
        <v>45860</v>
      </c>
      <c r="Y271" s="14" t="s">
        <v>109</v>
      </c>
      <c r="Z271" s="40" t="str">
        <f>IF(STAT[[#This Row],[sigla]]="","",VLOOKUP(STAT[[#This Row],[sigla]],CRÉDITOS_GERAIS[[sigla]:[credito]],2,))</f>
        <v>Clarice Baracho</v>
      </c>
      <c r="AA271" s="14"/>
      <c r="AB271" s="14" t="str">
        <f>STAT[[#This Row],[ilustrador]]</f>
        <v>Clarice Baracho</v>
      </c>
      <c r="AC271" s="14">
        <v>4</v>
      </c>
      <c r="AD271" s="22" t="s">
        <v>684</v>
      </c>
      <c r="AE271" s="15" t="s">
        <v>87</v>
      </c>
      <c r="AF271" s="42" t="str">
        <f t="shared" si="4"/>
        <v>P007</v>
      </c>
    </row>
    <row r="272" spans="1:32" hidden="1" x14ac:dyDescent="0.3">
      <c r="A272" s="12" t="e" cm="1">
        <f t="array" aca="1" ref="A272" ca="1">IF(STAT[[#This Row],[retranca]]="","",       RegxFunc(STAT[[#This Row],[retranca]],  "\w\d{4}\w*_\d")     )</f>
        <v>#NAME?</v>
      </c>
      <c r="B272" s="21" t="s">
        <v>685</v>
      </c>
      <c r="C272" s="14" t="s">
        <v>72</v>
      </c>
      <c r="D272" s="15" t="s">
        <v>9</v>
      </c>
      <c r="E272" s="15" t="s">
        <v>10</v>
      </c>
      <c r="F272" s="14">
        <v>82</v>
      </c>
      <c r="G272" s="15">
        <v>5</v>
      </c>
      <c r="H272" s="14">
        <v>5</v>
      </c>
      <c r="I272" s="14">
        <v>5</v>
      </c>
      <c r="J272" s="17" t="s">
        <v>55</v>
      </c>
      <c r="K272" s="36"/>
      <c r="L272" s="14"/>
      <c r="M272" s="14"/>
      <c r="N272" s="14"/>
      <c r="O272" s="14"/>
      <c r="P272" s="25" t="s">
        <v>686</v>
      </c>
      <c r="Q272" s="21"/>
      <c r="R272" s="22"/>
      <c r="S272" s="14">
        <v>31</v>
      </c>
      <c r="T272" s="27">
        <v>45848</v>
      </c>
      <c r="U272" s="27">
        <v>45855</v>
      </c>
      <c r="V272" s="27">
        <v>45859</v>
      </c>
      <c r="W272" s="27">
        <v>45859</v>
      </c>
      <c r="X272" s="27">
        <v>45861</v>
      </c>
      <c r="Y272" s="14" t="s">
        <v>552</v>
      </c>
      <c r="Z272" s="40" t="str">
        <f>IF(STAT[[#This Row],[sigla]]="","",VLOOKUP(STAT[[#This Row],[sigla]],CRÉDITOS_GERAIS[[sigla]:[credito]],2,))</f>
        <v>Rafaela Villela</v>
      </c>
      <c r="AA272" s="14"/>
      <c r="AB272" s="14" t="str">
        <f>STAT[[#This Row],[ilustrador]]</f>
        <v>Rafaela Villela</v>
      </c>
      <c r="AC272" s="14">
        <v>4</v>
      </c>
      <c r="AD272" s="22" t="s">
        <v>687</v>
      </c>
      <c r="AE272" s="15" t="s">
        <v>87</v>
      </c>
      <c r="AF272" s="42" t="str">
        <f t="shared" si="4"/>
        <v>P007</v>
      </c>
    </row>
    <row r="273" spans="1:32" hidden="1" x14ac:dyDescent="0.3">
      <c r="A273" s="12" t="e" cm="1">
        <f t="array" aca="1" ref="A273" ca="1">IF(STAT[[#This Row],[retranca]]="","",       RegxFunc(STAT[[#This Row],[retranca]],  "\w\d{4}\w*_\d")     )</f>
        <v>#NAME?</v>
      </c>
      <c r="B273" s="21" t="s">
        <v>688</v>
      </c>
      <c r="C273" s="14" t="s">
        <v>72</v>
      </c>
      <c r="D273" s="15" t="s">
        <v>9</v>
      </c>
      <c r="E273" s="15" t="s">
        <v>10</v>
      </c>
      <c r="F273" s="14">
        <v>88</v>
      </c>
      <c r="G273" s="15">
        <v>5</v>
      </c>
      <c r="H273" s="14">
        <v>5</v>
      </c>
      <c r="I273" s="14">
        <v>5</v>
      </c>
      <c r="J273" s="17" t="s">
        <v>55</v>
      </c>
      <c r="K273" s="36"/>
      <c r="L273" s="14"/>
      <c r="M273" s="14"/>
      <c r="N273" s="14"/>
      <c r="O273" s="14"/>
      <c r="P273" s="25" t="s">
        <v>689</v>
      </c>
      <c r="Q273" s="21"/>
      <c r="R273" s="22"/>
      <c r="S273" s="14">
        <v>29</v>
      </c>
      <c r="T273" s="27">
        <v>45846</v>
      </c>
      <c r="U273" s="27">
        <v>45848</v>
      </c>
      <c r="V273" s="27">
        <v>45852</v>
      </c>
      <c r="W273" s="27">
        <v>45853</v>
      </c>
      <c r="X273" s="27">
        <v>45854</v>
      </c>
      <c r="Y273" s="14" t="s">
        <v>375</v>
      </c>
      <c r="Z273" s="40" t="str">
        <f>IF(STAT[[#This Row],[sigla]]="","",VLOOKUP(STAT[[#This Row],[sigla]],CRÉDITOS_GERAIS[[sigla]:[credito]],2,))</f>
        <v>Lídia Farias</v>
      </c>
      <c r="AA273" s="14"/>
      <c r="AB273" s="14" t="str">
        <f>STAT[[#This Row],[ilustrador]]</f>
        <v>Lídia Farias</v>
      </c>
      <c r="AC273" s="14">
        <v>7</v>
      </c>
      <c r="AD273" s="22" t="s">
        <v>690</v>
      </c>
      <c r="AE273" s="15" t="s">
        <v>87</v>
      </c>
      <c r="AF273" s="42" t="str">
        <f t="shared" si="4"/>
        <v>P007</v>
      </c>
    </row>
    <row r="274" spans="1:32" ht="144" hidden="1" x14ac:dyDescent="0.3">
      <c r="A274" s="12" t="e" cm="1">
        <f t="array" aca="1" ref="A274" ca="1">IF(STAT[[#This Row],[retranca]]="","",       RegxFunc(STAT[[#This Row],[retranca]],  "\w\d{4}\w*_\d")     )</f>
        <v>#NAME?</v>
      </c>
      <c r="B274" s="21" t="s">
        <v>691</v>
      </c>
      <c r="C274" s="14" t="s">
        <v>72</v>
      </c>
      <c r="D274" s="15" t="s">
        <v>9</v>
      </c>
      <c r="E274" s="15" t="s">
        <v>10</v>
      </c>
      <c r="F274" s="14">
        <v>88</v>
      </c>
      <c r="G274" s="15">
        <v>5</v>
      </c>
      <c r="H274" s="14">
        <v>5</v>
      </c>
      <c r="I274" s="14">
        <v>5</v>
      </c>
      <c r="J274" s="17" t="s">
        <v>55</v>
      </c>
      <c r="K274" s="36"/>
      <c r="L274" s="14"/>
      <c r="M274" s="14"/>
      <c r="N274" s="14"/>
      <c r="O274" s="14"/>
      <c r="P274" s="25" t="s">
        <v>692</v>
      </c>
      <c r="Q274" s="21"/>
      <c r="R274" s="22"/>
      <c r="S274" s="14">
        <v>29</v>
      </c>
      <c r="T274" s="27">
        <v>45846</v>
      </c>
      <c r="U274" s="27">
        <v>45848</v>
      </c>
      <c r="V274" s="27">
        <v>45852</v>
      </c>
      <c r="W274" s="27">
        <v>45853</v>
      </c>
      <c r="X274" s="27">
        <v>45854</v>
      </c>
      <c r="Y274" s="14" t="s">
        <v>375</v>
      </c>
      <c r="Z274" s="40" t="str">
        <f>IF(STAT[[#This Row],[sigla]]="","",VLOOKUP(STAT[[#This Row],[sigla]],CRÉDITOS_GERAIS[[sigla]:[credito]],2,))</f>
        <v>Lídia Farias</v>
      </c>
      <c r="AA274" s="14"/>
      <c r="AB274" s="14" t="str">
        <f>STAT[[#This Row],[ilustrador]]</f>
        <v>Lídia Farias</v>
      </c>
      <c r="AC274" s="14">
        <v>5</v>
      </c>
      <c r="AD274" s="22" t="s">
        <v>690</v>
      </c>
      <c r="AE274" s="15" t="s">
        <v>87</v>
      </c>
      <c r="AF274" s="42" t="str">
        <f t="shared" si="4"/>
        <v>P007</v>
      </c>
    </row>
    <row r="275" spans="1:32" hidden="1" x14ac:dyDescent="0.3">
      <c r="A275" s="12" t="e" cm="1">
        <f t="array" aca="1" ref="A275" ca="1">IF(STAT[[#This Row],[retranca]]="","",       RegxFunc(STAT[[#This Row],[retranca]],  "\w\d{4}\w*_\d")     )</f>
        <v>#NAME?</v>
      </c>
      <c r="B275" s="33" t="s">
        <v>693</v>
      </c>
      <c r="C275" s="14" t="s">
        <v>72</v>
      </c>
      <c r="D275" s="15" t="s">
        <v>9</v>
      </c>
      <c r="E275" s="15" t="s">
        <v>10</v>
      </c>
      <c r="F275" s="14">
        <v>91</v>
      </c>
      <c r="G275" s="15">
        <v>5</v>
      </c>
      <c r="H275" s="14">
        <v>5</v>
      </c>
      <c r="I275" s="14">
        <v>5</v>
      </c>
      <c r="J275" s="17" t="s">
        <v>55</v>
      </c>
      <c r="K275" s="36"/>
      <c r="L275" s="14"/>
      <c r="M275" s="14"/>
      <c r="N275" s="14"/>
      <c r="O275" s="14"/>
      <c r="P275" s="25" t="s">
        <v>694</v>
      </c>
      <c r="Q275" s="16"/>
      <c r="R275" s="15"/>
      <c r="S275" s="15">
        <v>29</v>
      </c>
      <c r="T275" s="18">
        <v>45846</v>
      </c>
      <c r="U275" s="37">
        <v>45848</v>
      </c>
      <c r="V275" s="37">
        <v>45852</v>
      </c>
      <c r="W275" s="37">
        <v>45853</v>
      </c>
      <c r="X275" s="37">
        <v>45854</v>
      </c>
      <c r="Y275" s="20" t="s">
        <v>375</v>
      </c>
      <c r="Z275" s="40" t="str">
        <f>IF(STAT[[#This Row],[sigla]]="","",VLOOKUP(STAT[[#This Row],[sigla]],CRÉDITOS_GERAIS[[sigla]:[credito]],2,))</f>
        <v>Lídia Farias</v>
      </c>
      <c r="AA275" s="20"/>
      <c r="AB275" s="14" t="str">
        <f>STAT[[#This Row],[ilustrador]]</f>
        <v>Lídia Farias</v>
      </c>
      <c r="AC275" s="14">
        <v>5</v>
      </c>
      <c r="AD275" s="19" t="s">
        <v>690</v>
      </c>
      <c r="AE275" s="15" t="s">
        <v>87</v>
      </c>
      <c r="AF275" s="42" t="str">
        <f t="shared" si="4"/>
        <v>P007</v>
      </c>
    </row>
    <row r="276" spans="1:32" hidden="1" x14ac:dyDescent="0.3">
      <c r="A276" s="12" t="e" cm="1">
        <f t="array" aca="1" ref="A276" ca="1">IF(STAT[[#This Row],[retranca]]="","",       RegxFunc(STAT[[#This Row],[retranca]],  "\w\d{4}\w*_\d")     )</f>
        <v>#NAME?</v>
      </c>
      <c r="B276" s="21" t="s">
        <v>695</v>
      </c>
      <c r="C276" s="14" t="s">
        <v>72</v>
      </c>
      <c r="D276" s="15" t="s">
        <v>9</v>
      </c>
      <c r="E276" s="15" t="s">
        <v>10</v>
      </c>
      <c r="F276" s="14">
        <v>93</v>
      </c>
      <c r="G276" s="15">
        <v>5</v>
      </c>
      <c r="H276" s="14">
        <v>5</v>
      </c>
      <c r="I276" s="14">
        <v>5</v>
      </c>
      <c r="J276" s="17" t="s">
        <v>55</v>
      </c>
      <c r="K276" s="36"/>
      <c r="L276" s="14"/>
      <c r="M276" s="14"/>
      <c r="N276" s="14"/>
      <c r="O276" s="14"/>
      <c r="P276" s="25" t="s">
        <v>696</v>
      </c>
      <c r="Q276" s="21"/>
      <c r="R276" s="22"/>
      <c r="S276" s="14">
        <v>29</v>
      </c>
      <c r="T276" s="27">
        <v>45846</v>
      </c>
      <c r="U276" s="27">
        <v>45848</v>
      </c>
      <c r="V276" s="27">
        <v>45852</v>
      </c>
      <c r="W276" s="27">
        <v>45853</v>
      </c>
      <c r="X276" s="27">
        <v>45854</v>
      </c>
      <c r="Y276" s="14" t="s">
        <v>375</v>
      </c>
      <c r="Z276" s="40" t="str">
        <f>IF(STAT[[#This Row],[sigla]]="","",VLOOKUP(STAT[[#This Row],[sigla]],CRÉDITOS_GERAIS[[sigla]:[credito]],2,))</f>
        <v>Lídia Farias</v>
      </c>
      <c r="AA276" s="14"/>
      <c r="AB276" s="14" t="str">
        <f>STAT[[#This Row],[ilustrador]]</f>
        <v>Lídia Farias</v>
      </c>
      <c r="AC276" s="14">
        <v>8</v>
      </c>
      <c r="AD276" s="22" t="s">
        <v>690</v>
      </c>
      <c r="AE276" s="15" t="s">
        <v>87</v>
      </c>
      <c r="AF276" s="42" t="str">
        <f t="shared" si="4"/>
        <v>P007</v>
      </c>
    </row>
    <row r="277" spans="1:32" hidden="1" x14ac:dyDescent="0.3">
      <c r="A277" s="12" t="e" cm="1">
        <f t="array" aca="1" ref="A277" ca="1">IF(STAT[[#This Row],[retranca]]="","",       RegxFunc(STAT[[#This Row],[retranca]],  "\w\d{4}\w*_\d")     )</f>
        <v>#NAME?</v>
      </c>
      <c r="B277" s="33" t="s">
        <v>697</v>
      </c>
      <c r="C277" s="14" t="s">
        <v>72</v>
      </c>
      <c r="D277" s="15" t="s">
        <v>9</v>
      </c>
      <c r="E277" s="15" t="s">
        <v>10</v>
      </c>
      <c r="F277" s="14">
        <v>93</v>
      </c>
      <c r="G277" s="15">
        <v>5</v>
      </c>
      <c r="H277" s="14">
        <v>5</v>
      </c>
      <c r="I277" s="14">
        <v>5</v>
      </c>
      <c r="J277" s="17" t="s">
        <v>55</v>
      </c>
      <c r="K277" s="36"/>
      <c r="L277" s="14"/>
      <c r="M277" s="14"/>
      <c r="N277" s="14"/>
      <c r="O277" s="14"/>
      <c r="P277" s="25" t="s">
        <v>698</v>
      </c>
      <c r="Q277" s="16"/>
      <c r="R277" s="15"/>
      <c r="S277" s="15">
        <v>29</v>
      </c>
      <c r="T277" s="18">
        <v>45846</v>
      </c>
      <c r="U277" s="38">
        <v>45848</v>
      </c>
      <c r="V277" s="37">
        <v>45852</v>
      </c>
      <c r="W277" s="37">
        <v>45853</v>
      </c>
      <c r="X277" s="38">
        <v>45854</v>
      </c>
      <c r="Y277" s="20" t="s">
        <v>375</v>
      </c>
      <c r="Z277" s="40" t="str">
        <f>IF(STAT[[#This Row],[sigla]]="","",VLOOKUP(STAT[[#This Row],[sigla]],CRÉDITOS_GERAIS[[sigla]:[credito]],2,))</f>
        <v>Lídia Farias</v>
      </c>
      <c r="AA277" s="20"/>
      <c r="AB277" s="14" t="str">
        <f>STAT[[#This Row],[ilustrador]]</f>
        <v>Lídia Farias</v>
      </c>
      <c r="AC277" s="14">
        <v>7</v>
      </c>
      <c r="AD277" s="19" t="s">
        <v>690</v>
      </c>
      <c r="AE277" s="15" t="s">
        <v>87</v>
      </c>
      <c r="AF277" s="42" t="str">
        <f t="shared" si="4"/>
        <v>P007</v>
      </c>
    </row>
    <row r="278" spans="1:32" hidden="1" x14ac:dyDescent="0.3">
      <c r="A278" s="12" t="e" cm="1">
        <f t="array" aca="1" ref="A278" ca="1">IF(STAT[[#This Row],[retranca]]="","",       RegxFunc(STAT[[#This Row],[retranca]],  "\w\d{4}\w*_\d")     )</f>
        <v>#NAME?</v>
      </c>
      <c r="B278" s="21" t="s">
        <v>699</v>
      </c>
      <c r="C278" s="14" t="s">
        <v>72</v>
      </c>
      <c r="D278" s="15" t="s">
        <v>9</v>
      </c>
      <c r="E278" s="15" t="s">
        <v>10</v>
      </c>
      <c r="F278" s="14">
        <v>93</v>
      </c>
      <c r="G278" s="15">
        <v>5</v>
      </c>
      <c r="H278" s="14">
        <v>5</v>
      </c>
      <c r="I278" s="14">
        <v>5</v>
      </c>
      <c r="J278" s="17" t="s">
        <v>55</v>
      </c>
      <c r="K278" s="36"/>
      <c r="L278" s="14"/>
      <c r="M278" s="14"/>
      <c r="N278" s="14"/>
      <c r="O278" s="14"/>
      <c r="P278" s="25" t="s">
        <v>700</v>
      </c>
      <c r="Q278" s="21"/>
      <c r="R278" s="22"/>
      <c r="S278" s="15">
        <v>29</v>
      </c>
      <c r="T278" s="18">
        <v>45846</v>
      </c>
      <c r="U278" s="27">
        <v>45848</v>
      </c>
      <c r="V278" s="27">
        <v>45852</v>
      </c>
      <c r="W278" s="27">
        <v>45853</v>
      </c>
      <c r="X278" s="27">
        <v>45854</v>
      </c>
      <c r="Y278" s="14" t="s">
        <v>375</v>
      </c>
      <c r="Z278" s="40" t="str">
        <f>IF(STAT[[#This Row],[sigla]]="","",VLOOKUP(STAT[[#This Row],[sigla]],CRÉDITOS_GERAIS[[sigla]:[credito]],2,))</f>
        <v>Lídia Farias</v>
      </c>
      <c r="AA278" s="14"/>
      <c r="AB278" s="14" t="str">
        <f>STAT[[#This Row],[ilustrador]]</f>
        <v>Lídia Farias</v>
      </c>
      <c r="AC278" s="14">
        <v>7</v>
      </c>
      <c r="AD278" s="22" t="s">
        <v>690</v>
      </c>
      <c r="AE278" s="15" t="s">
        <v>87</v>
      </c>
      <c r="AF278" s="42" t="str">
        <f t="shared" si="4"/>
        <v>P007</v>
      </c>
    </row>
    <row r="279" spans="1:32" hidden="1" x14ac:dyDescent="0.3">
      <c r="A279" s="12" t="e" cm="1">
        <f t="array" aca="1" ref="A279" ca="1">IF(STAT[[#This Row],[retranca]]="","",       RegxFunc(STAT[[#This Row],[retranca]],  "\w\d{4}\w*_\d")     )</f>
        <v>#NAME?</v>
      </c>
      <c r="B279" s="21" t="s">
        <v>701</v>
      </c>
      <c r="C279" s="14" t="s">
        <v>72</v>
      </c>
      <c r="D279" s="15" t="s">
        <v>9</v>
      </c>
      <c r="E279" s="15" t="s">
        <v>10</v>
      </c>
      <c r="F279" s="14">
        <v>93</v>
      </c>
      <c r="G279" s="15">
        <v>5</v>
      </c>
      <c r="H279" s="14">
        <v>5</v>
      </c>
      <c r="I279" s="14">
        <v>5</v>
      </c>
      <c r="J279" s="17" t="s">
        <v>55</v>
      </c>
      <c r="K279" s="36"/>
      <c r="L279" s="14"/>
      <c r="M279" s="14"/>
      <c r="N279" s="14"/>
      <c r="O279" s="14"/>
      <c r="P279" s="25" t="s">
        <v>702</v>
      </c>
      <c r="Q279" s="21"/>
      <c r="R279" s="22"/>
      <c r="S279" s="15">
        <v>29</v>
      </c>
      <c r="T279" s="18">
        <v>45846</v>
      </c>
      <c r="U279" s="27">
        <v>45848</v>
      </c>
      <c r="V279" s="27">
        <v>45852</v>
      </c>
      <c r="W279" s="27">
        <v>45853</v>
      </c>
      <c r="X279" s="27">
        <v>45854</v>
      </c>
      <c r="Y279" s="14" t="s">
        <v>375</v>
      </c>
      <c r="Z279" s="40" t="str">
        <f>IF(STAT[[#This Row],[sigla]]="","",VLOOKUP(STAT[[#This Row],[sigla]],CRÉDITOS_GERAIS[[sigla]:[credito]],2,))</f>
        <v>Lídia Farias</v>
      </c>
      <c r="AA279" s="14"/>
      <c r="AB279" s="14" t="str">
        <f>STAT[[#This Row],[ilustrador]]</f>
        <v>Lídia Farias</v>
      </c>
      <c r="AC279" s="14">
        <v>6</v>
      </c>
      <c r="AD279" s="22" t="s">
        <v>690</v>
      </c>
      <c r="AE279" s="15" t="s">
        <v>87</v>
      </c>
      <c r="AF279" s="42" t="str">
        <f t="shared" si="4"/>
        <v>P007</v>
      </c>
    </row>
    <row r="280" spans="1:32" hidden="1" x14ac:dyDescent="0.3">
      <c r="A280" s="12" t="e" cm="1">
        <f t="array" aca="1" ref="A280" ca="1">IF(STAT[[#This Row],[retranca]]="","",       RegxFunc(STAT[[#This Row],[retranca]],  "\w\d{4}\w*_\d")     )</f>
        <v>#NAME?</v>
      </c>
      <c r="B280" s="33" t="s">
        <v>703</v>
      </c>
      <c r="C280" s="14" t="s">
        <v>72</v>
      </c>
      <c r="D280" s="15" t="s">
        <v>9</v>
      </c>
      <c r="E280" s="15" t="s">
        <v>10</v>
      </c>
      <c r="F280" s="14">
        <v>93</v>
      </c>
      <c r="G280" s="15">
        <v>5</v>
      </c>
      <c r="H280" s="14">
        <v>5</v>
      </c>
      <c r="I280" s="14">
        <v>5</v>
      </c>
      <c r="J280" s="17" t="s">
        <v>55</v>
      </c>
      <c r="K280" s="36"/>
      <c r="L280" s="14"/>
      <c r="M280" s="14"/>
      <c r="N280" s="14"/>
      <c r="O280" s="14"/>
      <c r="P280" s="25" t="s">
        <v>704</v>
      </c>
      <c r="Q280" s="16"/>
      <c r="R280" s="15"/>
      <c r="S280" s="15">
        <v>29</v>
      </c>
      <c r="T280" s="18">
        <v>45846</v>
      </c>
      <c r="U280" s="18">
        <v>45848</v>
      </c>
      <c r="V280" s="18">
        <v>45852</v>
      </c>
      <c r="W280" s="18">
        <v>45853</v>
      </c>
      <c r="X280" s="18">
        <v>45854</v>
      </c>
      <c r="Y280" s="15" t="s">
        <v>375</v>
      </c>
      <c r="Z280" s="40" t="str">
        <f>IF(STAT[[#This Row],[sigla]]="","",VLOOKUP(STAT[[#This Row],[sigla]],CRÉDITOS_GERAIS[[sigla]:[credito]],2,))</f>
        <v>Lídia Farias</v>
      </c>
      <c r="AA280" s="14"/>
      <c r="AB280" s="14" t="str">
        <f>STAT[[#This Row],[ilustrador]]</f>
        <v>Lídia Farias</v>
      </c>
      <c r="AC280" s="14">
        <v>7</v>
      </c>
      <c r="AD280" s="16" t="s">
        <v>690</v>
      </c>
      <c r="AE280" s="15" t="s">
        <v>87</v>
      </c>
      <c r="AF280" s="42" t="str">
        <f t="shared" si="4"/>
        <v>P007</v>
      </c>
    </row>
    <row r="281" spans="1:32" ht="28.8" hidden="1" x14ac:dyDescent="0.3">
      <c r="A281" s="12" t="e" cm="1">
        <f t="array" aca="1" ref="A281" ca="1">IF(STAT[[#This Row],[retranca]]="","",       RegxFunc(STAT[[#This Row],[retranca]],  "\w\d{4}\w*_\d")     )</f>
        <v>#NAME?</v>
      </c>
      <c r="B281" s="33" t="s">
        <v>705</v>
      </c>
      <c r="C281" s="14" t="s">
        <v>72</v>
      </c>
      <c r="D281" s="15" t="s">
        <v>9</v>
      </c>
      <c r="E281" s="15" t="s">
        <v>10</v>
      </c>
      <c r="F281" s="14">
        <v>96</v>
      </c>
      <c r="G281" s="15">
        <v>5</v>
      </c>
      <c r="H281" s="14">
        <v>5</v>
      </c>
      <c r="I281" s="14">
        <v>5</v>
      </c>
      <c r="J281" s="17" t="s">
        <v>55</v>
      </c>
      <c r="K281" s="36"/>
      <c r="L281" s="14"/>
      <c r="M281" s="14"/>
      <c r="N281" s="14"/>
      <c r="O281" s="14"/>
      <c r="P281" s="25" t="s">
        <v>706</v>
      </c>
      <c r="Q281" s="16"/>
      <c r="R281" s="15"/>
      <c r="S281" s="15">
        <v>29</v>
      </c>
      <c r="T281" s="18">
        <v>45846</v>
      </c>
      <c r="U281" s="18">
        <v>45847</v>
      </c>
      <c r="V281" s="18"/>
      <c r="W281" s="18"/>
      <c r="X281" s="18">
        <v>45850</v>
      </c>
      <c r="Y281" s="15" t="s">
        <v>114</v>
      </c>
      <c r="Z281" s="40" t="str">
        <f>IF(STAT[[#This Row],[sigla]]="","",VLOOKUP(STAT[[#This Row],[sigla]],CRÉDITOS_GERAIS[[sigla]:[credito]],2,))</f>
        <v>Heloísa Pintarelli</v>
      </c>
      <c r="AA281" s="14"/>
      <c r="AB281" s="14" t="str">
        <f>STAT[[#This Row],[ilustrador]]</f>
        <v>Heloísa Pintarelli</v>
      </c>
      <c r="AC281" s="14">
        <v>5</v>
      </c>
      <c r="AD281" s="16" t="s">
        <v>707</v>
      </c>
      <c r="AE281" s="15" t="s">
        <v>87</v>
      </c>
      <c r="AF281" s="42" t="str">
        <f t="shared" si="4"/>
        <v>P007</v>
      </c>
    </row>
    <row r="282" spans="1:32" hidden="1" x14ac:dyDescent="0.3">
      <c r="A282" s="12" t="e" cm="1">
        <f t="array" aca="1" ref="A282" ca="1">IF(STAT[[#This Row],[retranca]]="","",       RegxFunc(STAT[[#This Row],[retranca]],  "\w\d{4}\w*_\d")     )</f>
        <v>#NAME?</v>
      </c>
      <c r="B282" s="33" t="s">
        <v>708</v>
      </c>
      <c r="C282" s="14" t="s">
        <v>72</v>
      </c>
      <c r="D282" s="15" t="s">
        <v>9</v>
      </c>
      <c r="E282" s="15" t="s">
        <v>10</v>
      </c>
      <c r="F282" s="14">
        <v>96</v>
      </c>
      <c r="G282" s="15">
        <v>5</v>
      </c>
      <c r="H282" s="14">
        <v>5</v>
      </c>
      <c r="I282" s="14">
        <v>5</v>
      </c>
      <c r="J282" s="17" t="s">
        <v>55</v>
      </c>
      <c r="K282" s="36"/>
      <c r="L282" s="14"/>
      <c r="M282" s="14"/>
      <c r="N282" s="14"/>
      <c r="O282" s="14"/>
      <c r="P282" s="25" t="s">
        <v>709</v>
      </c>
      <c r="Q282" s="16"/>
      <c r="R282" s="16"/>
      <c r="S282" s="15">
        <v>29</v>
      </c>
      <c r="T282" s="18">
        <v>45846</v>
      </c>
      <c r="U282" s="18">
        <v>45847</v>
      </c>
      <c r="V282" s="18"/>
      <c r="W282" s="18"/>
      <c r="X282" s="18">
        <v>45850</v>
      </c>
      <c r="Y282" s="15" t="s">
        <v>114</v>
      </c>
      <c r="Z282" s="40" t="str">
        <f>IF(STAT[[#This Row],[sigla]]="","",VLOOKUP(STAT[[#This Row],[sigla]],CRÉDITOS_GERAIS[[sigla]:[credito]],2,))</f>
        <v>Heloísa Pintarelli</v>
      </c>
      <c r="AA282" s="20"/>
      <c r="AB282" s="14" t="str">
        <f>STAT[[#This Row],[ilustrador]]</f>
        <v>Heloísa Pintarelli</v>
      </c>
      <c r="AC282" s="14">
        <v>13</v>
      </c>
      <c r="AD282" s="15" t="s">
        <v>707</v>
      </c>
      <c r="AE282" s="15" t="s">
        <v>87</v>
      </c>
      <c r="AF282" s="42" t="str">
        <f t="shared" si="4"/>
        <v>P007</v>
      </c>
    </row>
    <row r="283" spans="1:32" hidden="1" x14ac:dyDescent="0.3">
      <c r="A283" s="12" t="e" cm="1">
        <f t="array" aca="1" ref="A283" ca="1">IF(STAT[[#This Row],[retranca]]="","",       RegxFunc(STAT[[#This Row],[retranca]],  "\w\d{4}\w*_\d")     )</f>
        <v>#NAME?</v>
      </c>
      <c r="B283" s="33" t="s">
        <v>710</v>
      </c>
      <c r="C283" s="14" t="s">
        <v>72</v>
      </c>
      <c r="D283" s="15" t="s">
        <v>143</v>
      </c>
      <c r="E283" s="15" t="s">
        <v>10</v>
      </c>
      <c r="F283" s="14">
        <v>5</v>
      </c>
      <c r="G283" s="15">
        <v>5</v>
      </c>
      <c r="H283" s="14">
        <v>5</v>
      </c>
      <c r="I283" s="14" t="s">
        <v>112</v>
      </c>
      <c r="J283" s="17" t="s">
        <v>55</v>
      </c>
      <c r="K283" s="36"/>
      <c r="L283" s="14"/>
      <c r="M283" s="14"/>
      <c r="N283" s="14"/>
      <c r="O283" s="14"/>
      <c r="P283" s="25" t="s">
        <v>711</v>
      </c>
      <c r="Q283" s="16"/>
      <c r="R283" s="16"/>
      <c r="S283" s="15">
        <v>29</v>
      </c>
      <c r="T283" s="18">
        <v>45846</v>
      </c>
      <c r="U283" s="18">
        <v>45846</v>
      </c>
      <c r="V283" s="20"/>
      <c r="W283" s="20"/>
      <c r="X283" s="18">
        <v>45848</v>
      </c>
      <c r="Y283" s="15" t="s">
        <v>290</v>
      </c>
      <c r="Z283" s="40" t="str">
        <f>IF(STAT[[#This Row],[sigla]]="","",VLOOKUP(STAT[[#This Row],[sigla]],CRÉDITOS_GERAIS[[sigla]:[credito]],2,))</f>
        <v>Bruna Campos</v>
      </c>
      <c r="AA283" s="20"/>
      <c r="AB283" s="14" t="str">
        <f>STAT[[#This Row],[ilustrador]]</f>
        <v>Bruna Campos</v>
      </c>
      <c r="AC283" s="14">
        <v>14</v>
      </c>
      <c r="AD283" s="15" t="s">
        <v>196</v>
      </c>
      <c r="AE283" s="15" t="s">
        <v>46</v>
      </c>
      <c r="AF283" s="42" t="str">
        <f t="shared" si="4"/>
        <v>P007</v>
      </c>
    </row>
    <row r="284" spans="1:32" ht="115.2" hidden="1" x14ac:dyDescent="0.3">
      <c r="A284" s="12" t="e" cm="1">
        <f t="array" aca="1" ref="A284" ca="1">IF(STAT[[#This Row],[retranca]]="","",       RegxFunc(STAT[[#This Row],[retranca]],  "\w\d{4}\w*_\d")     )</f>
        <v>#NAME?</v>
      </c>
      <c r="B284" s="33" t="s">
        <v>712</v>
      </c>
      <c r="C284" s="14" t="s">
        <v>72</v>
      </c>
      <c r="D284" s="15" t="s">
        <v>9</v>
      </c>
      <c r="E284" s="15" t="s">
        <v>10</v>
      </c>
      <c r="F284" s="14">
        <v>98</v>
      </c>
      <c r="G284" s="15">
        <v>5</v>
      </c>
      <c r="H284" s="14">
        <v>6</v>
      </c>
      <c r="I284" s="14">
        <v>6</v>
      </c>
      <c r="J284" s="17" t="s">
        <v>55</v>
      </c>
      <c r="K284" s="36"/>
      <c r="L284" s="14"/>
      <c r="M284" s="14"/>
      <c r="N284" s="14"/>
      <c r="O284" s="14"/>
      <c r="P284" s="25" t="s">
        <v>713</v>
      </c>
      <c r="Q284" s="16"/>
      <c r="R284" s="16"/>
      <c r="S284" s="15">
        <v>30</v>
      </c>
      <c r="T284" s="18">
        <v>45847</v>
      </c>
      <c r="U284" s="18">
        <v>45852</v>
      </c>
      <c r="V284" s="37">
        <v>45853</v>
      </c>
      <c r="W284" s="37">
        <v>45854</v>
      </c>
      <c r="X284" s="18">
        <v>45854</v>
      </c>
      <c r="Y284" s="15" t="s">
        <v>94</v>
      </c>
      <c r="Z284" s="40" t="str">
        <f>IF(STAT[[#This Row],[sigla]]="","",VLOOKUP(STAT[[#This Row],[sigla]],CRÉDITOS_GERAIS[[sigla]:[credito]],2,))</f>
        <v>Thais Castro</v>
      </c>
      <c r="AA284" s="14"/>
      <c r="AB284" s="14" t="str">
        <f>STAT[[#This Row],[ilustrador]]</f>
        <v>Thais Castro</v>
      </c>
      <c r="AC284" s="14">
        <v>4</v>
      </c>
      <c r="AD284" s="16" t="s">
        <v>714</v>
      </c>
      <c r="AE284" s="15" t="s">
        <v>87</v>
      </c>
      <c r="AF284" s="42" t="str">
        <f t="shared" si="4"/>
        <v>P007</v>
      </c>
    </row>
    <row r="285" spans="1:32" hidden="1" x14ac:dyDescent="0.3">
      <c r="A285" s="12" t="e" cm="1">
        <f t="array" aca="1" ref="A285" ca="1">IF(STAT[[#This Row],[retranca]]="","",       RegxFunc(STAT[[#This Row],[retranca]],  "\w\d{4}\w*_\d")     )</f>
        <v>#NAME?</v>
      </c>
      <c r="B285" s="33" t="s">
        <v>715</v>
      </c>
      <c r="C285" s="14" t="s">
        <v>72</v>
      </c>
      <c r="D285" s="15" t="s">
        <v>9</v>
      </c>
      <c r="E285" s="15" t="s">
        <v>10</v>
      </c>
      <c r="F285" s="14">
        <v>101</v>
      </c>
      <c r="G285" s="15">
        <v>5</v>
      </c>
      <c r="H285" s="14">
        <v>6</v>
      </c>
      <c r="I285" s="14">
        <v>6</v>
      </c>
      <c r="J285" s="17" t="s">
        <v>55</v>
      </c>
      <c r="K285" s="36"/>
      <c r="L285" s="14"/>
      <c r="M285" s="14"/>
      <c r="N285" s="14"/>
      <c r="O285" s="14"/>
      <c r="P285" s="25" t="s">
        <v>716</v>
      </c>
      <c r="Q285" s="16"/>
      <c r="R285" s="15"/>
      <c r="S285" s="15">
        <v>30</v>
      </c>
      <c r="T285" s="18">
        <v>45847</v>
      </c>
      <c r="U285" s="18">
        <v>45849</v>
      </c>
      <c r="V285" s="37">
        <v>45854</v>
      </c>
      <c r="W285" s="37">
        <v>45854</v>
      </c>
      <c r="X285" s="18">
        <v>45859</v>
      </c>
      <c r="Y285" s="15" t="s">
        <v>583</v>
      </c>
      <c r="Z285" s="40" t="str">
        <f>IF(STAT[[#This Row],[sigla]]="","",VLOOKUP(STAT[[#This Row],[sigla]],CRÉDITOS_GERAIS[[sigla]:[credito]],2,))</f>
        <v>Karina Oliveira</v>
      </c>
      <c r="AA285" s="20"/>
      <c r="AB285" s="14" t="str">
        <f>STAT[[#This Row],[ilustrador]]</f>
        <v>Karina Oliveira</v>
      </c>
      <c r="AC285" s="14">
        <v>3</v>
      </c>
      <c r="AD285" s="15" t="s">
        <v>717</v>
      </c>
      <c r="AE285" s="15" t="s">
        <v>87</v>
      </c>
      <c r="AF285" s="42" t="str">
        <f t="shared" si="4"/>
        <v>P007</v>
      </c>
    </row>
    <row r="286" spans="1:32" ht="187.2" hidden="1" x14ac:dyDescent="0.3">
      <c r="A286" s="12" t="e" cm="1">
        <f t="array" aca="1" ref="A286" ca="1">IF(STAT[[#This Row],[retranca]]="","",       RegxFunc(STAT[[#This Row],[retranca]],  "\w\d{4}\w*_\d")     )</f>
        <v>#NAME?</v>
      </c>
      <c r="B286" s="21" t="s">
        <v>718</v>
      </c>
      <c r="C286" s="14" t="s">
        <v>72</v>
      </c>
      <c r="D286" s="15" t="s">
        <v>9</v>
      </c>
      <c r="E286" s="15" t="s">
        <v>10</v>
      </c>
      <c r="F286" s="14">
        <v>102</v>
      </c>
      <c r="G286" s="15">
        <v>5</v>
      </c>
      <c r="H286" s="14">
        <v>6</v>
      </c>
      <c r="I286" s="14">
        <v>6</v>
      </c>
      <c r="J286" s="17" t="s">
        <v>55</v>
      </c>
      <c r="K286" s="36"/>
      <c r="L286" s="14"/>
      <c r="M286" s="14"/>
      <c r="N286" s="14"/>
      <c r="O286" s="14"/>
      <c r="P286" s="25" t="s">
        <v>719</v>
      </c>
      <c r="Q286" s="22"/>
      <c r="R286" s="22"/>
      <c r="S286" s="14">
        <v>30</v>
      </c>
      <c r="T286" s="27">
        <v>45847</v>
      </c>
      <c r="U286" s="27">
        <v>45849</v>
      </c>
      <c r="V286" s="27">
        <v>45853</v>
      </c>
      <c r="W286" s="27">
        <v>45854</v>
      </c>
      <c r="X286" s="27">
        <v>45859</v>
      </c>
      <c r="Y286" s="14" t="s">
        <v>583</v>
      </c>
      <c r="Z286" s="40" t="str">
        <f>IF(STAT[[#This Row],[sigla]]="","",VLOOKUP(STAT[[#This Row],[sigla]],CRÉDITOS_GERAIS[[sigla]:[credito]],2,))</f>
        <v>Karina Oliveira</v>
      </c>
      <c r="AA286" s="14"/>
      <c r="AB286" s="14" t="str">
        <f>STAT[[#This Row],[ilustrador]]</f>
        <v>Karina Oliveira</v>
      </c>
      <c r="AC286" s="14">
        <v>4</v>
      </c>
      <c r="AD286" s="22" t="s">
        <v>717</v>
      </c>
      <c r="AE286" s="15" t="s">
        <v>87</v>
      </c>
      <c r="AF286" s="42" t="str">
        <f t="shared" si="4"/>
        <v>P007</v>
      </c>
    </row>
    <row r="287" spans="1:32" ht="86.4" hidden="1" x14ac:dyDescent="0.3">
      <c r="A287" s="12" t="e" cm="1">
        <f t="array" aca="1" ref="A287" ca="1">IF(STAT[[#This Row],[retranca]]="","",       RegxFunc(STAT[[#This Row],[retranca]],  "\w\d{4}\w*_\d")     )</f>
        <v>#NAME?</v>
      </c>
      <c r="B287" s="33" t="s">
        <v>720</v>
      </c>
      <c r="C287" s="14" t="s">
        <v>72</v>
      </c>
      <c r="D287" s="15" t="s">
        <v>9</v>
      </c>
      <c r="E287" s="15" t="s">
        <v>10</v>
      </c>
      <c r="F287" s="14">
        <v>105</v>
      </c>
      <c r="G287" s="15">
        <v>5</v>
      </c>
      <c r="H287" s="14">
        <v>6</v>
      </c>
      <c r="I287" s="14">
        <v>6</v>
      </c>
      <c r="J287" s="17" t="s">
        <v>55</v>
      </c>
      <c r="K287" s="36"/>
      <c r="L287" s="14"/>
      <c r="M287" s="14"/>
      <c r="N287" s="14"/>
      <c r="O287" s="14"/>
      <c r="P287" s="25" t="s">
        <v>721</v>
      </c>
      <c r="Q287" s="16"/>
      <c r="R287" s="16"/>
      <c r="S287" s="15">
        <v>30</v>
      </c>
      <c r="T287" s="18">
        <v>45847</v>
      </c>
      <c r="U287" s="18">
        <v>45852</v>
      </c>
      <c r="V287" s="37">
        <v>45853</v>
      </c>
      <c r="W287" s="37">
        <v>45854</v>
      </c>
      <c r="X287" s="18">
        <v>45854</v>
      </c>
      <c r="Y287" s="15" t="s">
        <v>94</v>
      </c>
      <c r="Z287" s="40" t="str">
        <f>IF(STAT[[#This Row],[sigla]]="","",VLOOKUP(STAT[[#This Row],[sigla]],CRÉDITOS_GERAIS[[sigla]:[credito]],2,))</f>
        <v>Thais Castro</v>
      </c>
      <c r="AA287" s="20"/>
      <c r="AB287" s="14" t="str">
        <f>STAT[[#This Row],[ilustrador]]</f>
        <v>Thais Castro</v>
      </c>
      <c r="AC287" s="14">
        <v>5</v>
      </c>
      <c r="AD287" s="16" t="s">
        <v>714</v>
      </c>
      <c r="AE287" s="15" t="s">
        <v>87</v>
      </c>
      <c r="AF287" s="42" t="str">
        <f t="shared" si="4"/>
        <v>P007</v>
      </c>
    </row>
    <row r="288" spans="1:32" ht="244.8" hidden="1" x14ac:dyDescent="0.3">
      <c r="A288" s="12" t="e" cm="1">
        <f t="array" aca="1" ref="A288" ca="1">IF(STAT[[#This Row],[retranca]]="","",       RegxFunc(STAT[[#This Row],[retranca]],  "\w\d{4}\w*_\d")     )</f>
        <v>#NAME?</v>
      </c>
      <c r="B288" s="21" t="s">
        <v>722</v>
      </c>
      <c r="C288" s="14" t="s">
        <v>72</v>
      </c>
      <c r="D288" s="14" t="s">
        <v>9</v>
      </c>
      <c r="E288" s="14" t="s">
        <v>10</v>
      </c>
      <c r="F288" s="14">
        <v>107</v>
      </c>
      <c r="G288" s="14">
        <v>5</v>
      </c>
      <c r="H288" s="14">
        <v>6</v>
      </c>
      <c r="I288" s="14">
        <v>6</v>
      </c>
      <c r="J288" s="28" t="s">
        <v>55</v>
      </c>
      <c r="K288" s="36"/>
      <c r="L288" s="14"/>
      <c r="M288" s="14"/>
      <c r="N288" s="14"/>
      <c r="O288" s="14"/>
      <c r="P288" s="25" t="s">
        <v>723</v>
      </c>
      <c r="Q288" s="22"/>
      <c r="R288" s="22"/>
      <c r="S288" s="14">
        <v>30</v>
      </c>
      <c r="T288" s="27">
        <v>45847</v>
      </c>
      <c r="U288" s="27">
        <v>45852</v>
      </c>
      <c r="V288" s="27">
        <v>45854</v>
      </c>
      <c r="W288" s="27">
        <v>45854</v>
      </c>
      <c r="X288" s="27">
        <v>45856</v>
      </c>
      <c r="Y288" s="14" t="s">
        <v>84</v>
      </c>
      <c r="Z288" s="40" t="str">
        <f>IF(STAT[[#This Row],[sigla]]="","",VLOOKUP(STAT[[#This Row],[sigla]],CRÉDITOS_GERAIS[[sigla]:[credito]],2,))</f>
        <v>Gabriel Brum</v>
      </c>
      <c r="AA288" s="14"/>
      <c r="AB288" s="14" t="str">
        <f>STAT[[#This Row],[ilustrador]]</f>
        <v>Gabriel Brum</v>
      </c>
      <c r="AC288" s="14">
        <v>3</v>
      </c>
      <c r="AD288" s="22" t="s">
        <v>714</v>
      </c>
      <c r="AE288" s="15" t="s">
        <v>87</v>
      </c>
      <c r="AF288" s="42" t="str">
        <f t="shared" si="4"/>
        <v>P007</v>
      </c>
    </row>
    <row r="289" spans="1:32" ht="115.2" hidden="1" x14ac:dyDescent="0.3">
      <c r="A289" s="12" t="e" cm="1">
        <f t="array" aca="1" ref="A289" ca="1">IF(STAT[[#This Row],[retranca]]="","",       RegxFunc(STAT[[#This Row],[retranca]],  "\w\d{4}\w*_\d")     )</f>
        <v>#NAME?</v>
      </c>
      <c r="B289" s="21" t="s">
        <v>724</v>
      </c>
      <c r="C289" s="14" t="s">
        <v>72</v>
      </c>
      <c r="D289" s="15" t="s">
        <v>9</v>
      </c>
      <c r="E289" s="15" t="s">
        <v>10</v>
      </c>
      <c r="F289" s="14">
        <v>108</v>
      </c>
      <c r="G289" s="15">
        <v>5</v>
      </c>
      <c r="H289" s="14">
        <v>6</v>
      </c>
      <c r="I289" s="14">
        <v>6</v>
      </c>
      <c r="J289" s="17" t="s">
        <v>55</v>
      </c>
      <c r="K289" s="36"/>
      <c r="L289" s="14"/>
      <c r="M289" s="14"/>
      <c r="N289" s="14"/>
      <c r="O289" s="14"/>
      <c r="P289" s="25" t="s">
        <v>725</v>
      </c>
      <c r="Q289" s="21"/>
      <c r="R289" s="22"/>
      <c r="S289" s="14">
        <v>30</v>
      </c>
      <c r="T289" s="27">
        <v>45847</v>
      </c>
      <c r="U289" s="27">
        <v>45852</v>
      </c>
      <c r="V289" s="27">
        <v>45854</v>
      </c>
      <c r="W289" s="27">
        <v>45854</v>
      </c>
      <c r="X289" s="27">
        <v>45856</v>
      </c>
      <c r="Y289" s="14" t="s">
        <v>84</v>
      </c>
      <c r="Z289" s="40" t="str">
        <f>IF(STAT[[#This Row],[sigla]]="","",VLOOKUP(STAT[[#This Row],[sigla]],CRÉDITOS_GERAIS[[sigla]:[credito]],2,))</f>
        <v>Gabriel Brum</v>
      </c>
      <c r="AA289" s="14"/>
      <c r="AB289" s="14" t="str">
        <f>STAT[[#This Row],[ilustrador]]</f>
        <v>Gabriel Brum</v>
      </c>
      <c r="AC289" s="14">
        <v>3</v>
      </c>
      <c r="AD289" s="22" t="s">
        <v>714</v>
      </c>
      <c r="AE289" s="15" t="s">
        <v>87</v>
      </c>
      <c r="AF289" s="42" t="str">
        <f t="shared" si="4"/>
        <v>P007</v>
      </c>
    </row>
    <row r="290" spans="1:32" hidden="1" x14ac:dyDescent="0.3">
      <c r="A290" s="12" t="e" cm="1">
        <f t="array" aca="1" ref="A290" ca="1">IF(STAT[[#This Row],[retranca]]="","",       RegxFunc(STAT[[#This Row],[retranca]],  "\w\d{4}\w*_\d")     )</f>
        <v>#NAME?</v>
      </c>
      <c r="B290" s="33" t="s">
        <v>726</v>
      </c>
      <c r="C290" s="14" t="s">
        <v>72</v>
      </c>
      <c r="D290" s="15" t="s">
        <v>9</v>
      </c>
      <c r="E290" s="15" t="s">
        <v>10</v>
      </c>
      <c r="F290" s="15">
        <v>111</v>
      </c>
      <c r="G290" s="15">
        <v>5</v>
      </c>
      <c r="H290" s="20">
        <v>6</v>
      </c>
      <c r="I290" s="15">
        <v>6</v>
      </c>
      <c r="J290" s="17" t="s">
        <v>55</v>
      </c>
      <c r="K290" s="36"/>
      <c r="L290" s="14"/>
      <c r="M290" s="14"/>
      <c r="N290" s="14"/>
      <c r="O290" s="14"/>
      <c r="P290" s="25" t="s">
        <v>727</v>
      </c>
      <c r="Q290" s="16"/>
      <c r="R290" s="16"/>
      <c r="S290" s="15">
        <v>30</v>
      </c>
      <c r="T290" s="18">
        <v>45847</v>
      </c>
      <c r="U290" s="18">
        <v>45852</v>
      </c>
      <c r="V290" s="20"/>
      <c r="W290" s="20"/>
      <c r="X290" s="18">
        <v>45852</v>
      </c>
      <c r="Y290" s="15" t="s">
        <v>114</v>
      </c>
      <c r="Z290" s="40" t="str">
        <f>IF(STAT[[#This Row],[sigla]]="","",VLOOKUP(STAT[[#This Row],[sigla]],CRÉDITOS_GERAIS[[sigla]:[credito]],2,))</f>
        <v>Heloísa Pintarelli</v>
      </c>
      <c r="AA290" s="14"/>
      <c r="AB290" s="14" t="str">
        <f>STAT[[#This Row],[ilustrador]]</f>
        <v>Heloísa Pintarelli</v>
      </c>
      <c r="AC290" s="14">
        <v>8</v>
      </c>
      <c r="AD290" s="16" t="s">
        <v>728</v>
      </c>
      <c r="AE290" s="15" t="s">
        <v>87</v>
      </c>
      <c r="AF290" s="42" t="str">
        <f t="shared" si="4"/>
        <v>P007</v>
      </c>
    </row>
    <row r="291" spans="1:32" ht="28.8" hidden="1" x14ac:dyDescent="0.3">
      <c r="A291" s="12" t="e" cm="1">
        <f t="array" aca="1" ref="A291" ca="1">IF(STAT[[#This Row],[retranca]]="","",       RegxFunc(STAT[[#This Row],[retranca]],  "\w\d{4}\w*_\d")     )</f>
        <v>#NAME?</v>
      </c>
      <c r="B291" s="21" t="s">
        <v>729</v>
      </c>
      <c r="C291" s="14" t="s">
        <v>72</v>
      </c>
      <c r="D291" s="14" t="s">
        <v>9</v>
      </c>
      <c r="E291" s="14" t="s">
        <v>10</v>
      </c>
      <c r="F291" s="14">
        <v>112</v>
      </c>
      <c r="G291" s="14">
        <v>5</v>
      </c>
      <c r="H291" s="14">
        <v>6</v>
      </c>
      <c r="I291" s="14">
        <v>6</v>
      </c>
      <c r="J291" s="28" t="s">
        <v>55</v>
      </c>
      <c r="K291" s="36"/>
      <c r="L291" s="14"/>
      <c r="M291" s="14"/>
      <c r="N291" s="14"/>
      <c r="O291" s="14"/>
      <c r="P291" s="25" t="s">
        <v>730</v>
      </c>
      <c r="Q291" s="22"/>
      <c r="R291" s="22"/>
      <c r="S291" s="14">
        <v>32</v>
      </c>
      <c r="T291" s="27">
        <v>45848</v>
      </c>
      <c r="U291" s="27">
        <v>45849</v>
      </c>
      <c r="V291" s="27">
        <v>45852</v>
      </c>
      <c r="W291" s="27">
        <v>45852</v>
      </c>
      <c r="X291" s="27">
        <v>45853</v>
      </c>
      <c r="Y291" s="14" t="s">
        <v>119</v>
      </c>
      <c r="Z291" s="40" t="str">
        <f>IF(STAT[[#This Row],[sigla]]="","",VLOOKUP(STAT[[#This Row],[sigla]],CRÉDITOS_GERAIS[[sigla]:[credito]],2,))</f>
        <v>Bianca Tavares</v>
      </c>
      <c r="AA291" s="14"/>
      <c r="AB291" s="14" t="str">
        <f>STAT[[#This Row],[ilustrador]]</f>
        <v>Bianca Tavares</v>
      </c>
      <c r="AC291" s="14">
        <v>6</v>
      </c>
      <c r="AD291" s="22" t="s">
        <v>690</v>
      </c>
      <c r="AE291" s="15" t="s">
        <v>87</v>
      </c>
      <c r="AF291" s="42" t="str">
        <f t="shared" si="4"/>
        <v>P007</v>
      </c>
    </row>
    <row r="292" spans="1:32" hidden="1" x14ac:dyDescent="0.3">
      <c r="A292" s="12" t="e" cm="1">
        <f t="array" aca="1" ref="A292" ca="1">IF(STAT[[#This Row],[retranca]]="","",       RegxFunc(STAT[[#This Row],[retranca]],  "\w\d{4}\w*_\d")     )</f>
        <v>#NAME?</v>
      </c>
      <c r="B292" s="21" t="s">
        <v>731</v>
      </c>
      <c r="C292" s="14" t="s">
        <v>72</v>
      </c>
      <c r="D292" s="15" t="s">
        <v>9</v>
      </c>
      <c r="E292" s="15" t="s">
        <v>10</v>
      </c>
      <c r="F292" s="14">
        <v>96</v>
      </c>
      <c r="G292" s="15">
        <v>4</v>
      </c>
      <c r="H292" s="14">
        <v>5</v>
      </c>
      <c r="I292" s="14">
        <v>5</v>
      </c>
      <c r="J292" s="17" t="s">
        <v>55</v>
      </c>
      <c r="K292" s="36"/>
      <c r="L292" s="14"/>
      <c r="M292" s="14"/>
      <c r="N292" s="14"/>
      <c r="O292" s="14"/>
      <c r="P292" s="25" t="s">
        <v>732</v>
      </c>
      <c r="Q292" s="21"/>
      <c r="R292" s="22"/>
      <c r="S292" s="14">
        <v>33</v>
      </c>
      <c r="T292" s="27">
        <v>45849</v>
      </c>
      <c r="U292" s="27">
        <v>45849</v>
      </c>
      <c r="V292" s="27"/>
      <c r="W292" s="27"/>
      <c r="X292" s="27">
        <v>45849</v>
      </c>
      <c r="Y292" s="14" t="s">
        <v>43</v>
      </c>
      <c r="Z292" s="40" t="e">
        <f>IF(STAT[[#This Row],[sigla]]="","",VLOOKUP(STAT[[#This Row],[sigla]],CRÉDITOS_GERAIS[[sigla]:[credito]],2,))</f>
        <v>#N/A</v>
      </c>
      <c r="AA292" s="14" t="s">
        <v>79</v>
      </c>
      <c r="AB292" s="14" t="e">
        <f>STAT[[#This Row],[ilustrador]]</f>
        <v>#N/A</v>
      </c>
      <c r="AC292" s="14">
        <v>13</v>
      </c>
      <c r="AD292" s="22" t="s">
        <v>733</v>
      </c>
      <c r="AE292" s="15" t="s">
        <v>46</v>
      </c>
      <c r="AF292" s="42" t="str">
        <f t="shared" si="4"/>
        <v>P007</v>
      </c>
    </row>
    <row r="293" spans="1:32" hidden="1" x14ac:dyDescent="0.3">
      <c r="A293" s="12" t="e" cm="1">
        <f t="array" aca="1" ref="A293" ca="1">IF(STAT[[#This Row],[retranca]]="","",       RegxFunc(STAT[[#This Row],[retranca]],  "\w\d{4}\w*_\d")     )</f>
        <v>#NAME?</v>
      </c>
      <c r="B293" s="21" t="s">
        <v>734</v>
      </c>
      <c r="C293" s="14" t="s">
        <v>72</v>
      </c>
      <c r="D293" s="15" t="s">
        <v>9</v>
      </c>
      <c r="E293" s="15" t="s">
        <v>10</v>
      </c>
      <c r="F293" s="14">
        <v>58</v>
      </c>
      <c r="G293" s="15">
        <v>5</v>
      </c>
      <c r="H293" s="14">
        <v>3</v>
      </c>
      <c r="I293" s="14">
        <v>3</v>
      </c>
      <c r="J293" s="17" t="s">
        <v>55</v>
      </c>
      <c r="K293" s="36"/>
      <c r="L293" s="14"/>
      <c r="M293" s="14"/>
      <c r="N293" s="14"/>
      <c r="O293" s="14"/>
      <c r="P293" s="25" t="s">
        <v>735</v>
      </c>
      <c r="Q293" s="21"/>
      <c r="R293" s="22"/>
      <c r="S293" s="14">
        <v>34</v>
      </c>
      <c r="T293" s="27">
        <v>45849</v>
      </c>
      <c r="U293" s="27">
        <v>45849</v>
      </c>
      <c r="V293" s="27">
        <v>45853</v>
      </c>
      <c r="W293" s="27">
        <v>45853</v>
      </c>
      <c r="X293" s="27">
        <v>45856</v>
      </c>
      <c r="Y293" s="14" t="s">
        <v>99</v>
      </c>
      <c r="Z293" s="40" t="str">
        <f>IF(STAT[[#This Row],[sigla]]="","",VLOOKUP(STAT[[#This Row],[sigla]],CRÉDITOS_GERAIS[[sigla]:[credito]],2,))</f>
        <v>Débora Mini</v>
      </c>
      <c r="AA293" s="14"/>
      <c r="AB293" s="14" t="str">
        <f>STAT[[#This Row],[ilustrador]]</f>
        <v>Débora Mini</v>
      </c>
      <c r="AC293" s="14">
        <v>6</v>
      </c>
      <c r="AD293" s="22" t="s">
        <v>736</v>
      </c>
      <c r="AE293" s="15" t="s">
        <v>87</v>
      </c>
      <c r="AF293" s="42" t="str">
        <f t="shared" si="4"/>
        <v>P007</v>
      </c>
    </row>
    <row r="294" spans="1:32" ht="115.2" hidden="1" x14ac:dyDescent="0.3">
      <c r="A294" s="12" t="e" cm="1">
        <f t="array" aca="1" ref="A294" ca="1">IF(STAT[[#This Row],[retranca]]="","",       RegxFunc(STAT[[#This Row],[retranca]],  "\w\d{4}\w*_\d")     )</f>
        <v>#NAME?</v>
      </c>
      <c r="B294" s="21" t="s">
        <v>737</v>
      </c>
      <c r="C294" s="14" t="s">
        <v>72</v>
      </c>
      <c r="D294" s="15" t="s">
        <v>9</v>
      </c>
      <c r="E294" s="15" t="s">
        <v>10</v>
      </c>
      <c r="F294" s="14">
        <v>7</v>
      </c>
      <c r="G294" s="15">
        <v>4</v>
      </c>
      <c r="H294" s="14">
        <v>4</v>
      </c>
      <c r="I294" s="14" t="s">
        <v>112</v>
      </c>
      <c r="J294" s="17" t="s">
        <v>55</v>
      </c>
      <c r="K294" s="36"/>
      <c r="L294" s="14"/>
      <c r="M294" s="14"/>
      <c r="N294" s="14"/>
      <c r="O294" s="14"/>
      <c r="P294" s="25" t="s">
        <v>738</v>
      </c>
      <c r="Q294" s="21"/>
      <c r="R294" s="22"/>
      <c r="S294" s="14">
        <v>35</v>
      </c>
      <c r="T294" s="27">
        <v>45849</v>
      </c>
      <c r="U294" s="27">
        <v>45849</v>
      </c>
      <c r="V294" s="27"/>
      <c r="W294" s="27"/>
      <c r="X294" s="27">
        <v>45853</v>
      </c>
      <c r="Y294" s="14" t="s">
        <v>290</v>
      </c>
      <c r="Z294" s="40" t="str">
        <f>IF(STAT[[#This Row],[sigla]]="","",VLOOKUP(STAT[[#This Row],[sigla]],CRÉDITOS_GERAIS[[sigla]:[credito]],2,))</f>
        <v>Bruna Campos</v>
      </c>
      <c r="AA294" s="14"/>
      <c r="AB294" s="14" t="str">
        <f>STAT[[#This Row],[ilustrador]]</f>
        <v>Bruna Campos</v>
      </c>
      <c r="AC294" s="14">
        <v>8</v>
      </c>
      <c r="AD294" s="22" t="s">
        <v>196</v>
      </c>
      <c r="AE294" s="15" t="s">
        <v>46</v>
      </c>
      <c r="AF294" s="42" t="str">
        <f t="shared" si="4"/>
        <v>P007</v>
      </c>
    </row>
    <row r="295" spans="1:32" ht="28.8" hidden="1" x14ac:dyDescent="0.3">
      <c r="A295" s="12" t="e" cm="1">
        <f t="array" aca="1" ref="A295" ca="1">IF(STAT[[#This Row],[retranca]]="","",       RegxFunc(STAT[[#This Row],[retranca]],  "\w\d{4}\w*_\d")     )</f>
        <v>#NAME?</v>
      </c>
      <c r="B295" s="21" t="s">
        <v>739</v>
      </c>
      <c r="C295" s="14" t="s">
        <v>72</v>
      </c>
      <c r="D295" s="15" t="s">
        <v>143</v>
      </c>
      <c r="E295" s="15" t="s">
        <v>10</v>
      </c>
      <c r="F295" s="14">
        <v>45</v>
      </c>
      <c r="G295" s="15">
        <v>4</v>
      </c>
      <c r="H295" s="14">
        <v>9</v>
      </c>
      <c r="I295" s="14">
        <v>9</v>
      </c>
      <c r="J295" s="17" t="s">
        <v>55</v>
      </c>
      <c r="K295" s="36"/>
      <c r="L295" s="14"/>
      <c r="M295" s="14"/>
      <c r="N295" s="14"/>
      <c r="O295" s="14"/>
      <c r="P295" s="25" t="s">
        <v>740</v>
      </c>
      <c r="Q295" s="21"/>
      <c r="R295" s="22"/>
      <c r="S295" s="14">
        <v>36</v>
      </c>
      <c r="T295" s="27">
        <v>45852</v>
      </c>
      <c r="U295" s="27">
        <v>45854</v>
      </c>
      <c r="V295" s="27"/>
      <c r="W295" s="27"/>
      <c r="X295" s="27">
        <v>45854</v>
      </c>
      <c r="Y295" s="14" t="s">
        <v>741</v>
      </c>
      <c r="Z295" s="40" t="str">
        <f>IF(STAT[[#This Row],[sigla]]="","",VLOOKUP(STAT[[#This Row],[sigla]],CRÉDITOS_GERAIS[[sigla]:[credito]],2,))</f>
        <v>Felipe Grigoli</v>
      </c>
      <c r="AA295" s="14"/>
      <c r="AB295" s="14" t="str">
        <f>STAT[[#This Row],[ilustrador]]</f>
        <v>Felipe Grigoli</v>
      </c>
      <c r="AC295" s="14">
        <v>13</v>
      </c>
      <c r="AD295" s="22" t="s">
        <v>653</v>
      </c>
      <c r="AE295" s="15" t="s">
        <v>46</v>
      </c>
      <c r="AF295" s="42" t="str">
        <f t="shared" si="4"/>
        <v>P007</v>
      </c>
    </row>
    <row r="296" spans="1:32" ht="72" hidden="1" x14ac:dyDescent="0.3">
      <c r="A296" s="12" t="e" cm="1">
        <f t="array" aca="1" ref="A296" ca="1">IF(STAT[[#This Row],[retranca]]="","",       RegxFunc(STAT[[#This Row],[retranca]],  "\w\d{4}\w*_\d")     )</f>
        <v>#NAME?</v>
      </c>
      <c r="B296" s="21" t="s">
        <v>742</v>
      </c>
      <c r="C296" s="14" t="s">
        <v>8</v>
      </c>
      <c r="D296" s="15" t="s">
        <v>9</v>
      </c>
      <c r="E296" s="15" t="s">
        <v>10</v>
      </c>
      <c r="F296" s="14">
        <v>47</v>
      </c>
      <c r="G296" s="15">
        <v>4</v>
      </c>
      <c r="H296" s="14">
        <v>9</v>
      </c>
      <c r="I296" s="14">
        <v>9</v>
      </c>
      <c r="J296" s="17" t="s">
        <v>55</v>
      </c>
      <c r="K296" s="36"/>
      <c r="L296" s="14"/>
      <c r="M296" s="14"/>
      <c r="N296" s="14"/>
      <c r="O296" s="14"/>
      <c r="P296" s="25" t="s">
        <v>743</v>
      </c>
      <c r="Q296" s="21"/>
      <c r="R296" s="22" t="s">
        <v>744</v>
      </c>
      <c r="S296" s="14">
        <v>49</v>
      </c>
      <c r="T296" s="27">
        <v>45862</v>
      </c>
      <c r="U296" s="27"/>
      <c r="V296" s="27"/>
      <c r="W296" s="27"/>
      <c r="X296" s="27"/>
      <c r="Y296" s="14"/>
      <c r="Z296" s="40" t="str">
        <f>IF(STAT[[#This Row],[sigla]]="","",VLOOKUP(STAT[[#This Row],[sigla]],CRÉDITOS_GERAIS[[sigla]:[credito]],2,))</f>
        <v/>
      </c>
      <c r="AA296" s="14"/>
      <c r="AB296" s="14" t="str">
        <f>STAT[[#This Row],[ilustrador]]</f>
        <v/>
      </c>
      <c r="AC296" s="14"/>
      <c r="AD296" s="22"/>
      <c r="AE296" s="15"/>
      <c r="AF296" s="42" t="str">
        <f t="shared" si="4"/>
        <v>P007</v>
      </c>
    </row>
    <row r="297" spans="1:32" ht="28.8" hidden="1" x14ac:dyDescent="0.3">
      <c r="A297" s="12" t="e" cm="1">
        <f t="array" aca="1" ref="A297" ca="1">IF(STAT[[#This Row],[retranca]]="","",       RegxFunc(STAT[[#This Row],[retranca]],  "\w\d{4}\w*_\d")     )</f>
        <v>#NAME?</v>
      </c>
      <c r="B297" s="21" t="s">
        <v>745</v>
      </c>
      <c r="C297" s="14" t="s">
        <v>72</v>
      </c>
      <c r="D297" s="15" t="s">
        <v>288</v>
      </c>
      <c r="E297" s="15" t="s">
        <v>10</v>
      </c>
      <c r="F297" s="14">
        <v>48</v>
      </c>
      <c r="G297" s="15">
        <v>4</v>
      </c>
      <c r="H297" s="14">
        <v>9</v>
      </c>
      <c r="I297" s="14">
        <v>9</v>
      </c>
      <c r="J297" s="17" t="s">
        <v>55</v>
      </c>
      <c r="K297" s="36"/>
      <c r="L297" s="14"/>
      <c r="M297" s="14"/>
      <c r="N297" s="14"/>
      <c r="O297" s="14"/>
      <c r="P297" s="25" t="s">
        <v>746</v>
      </c>
      <c r="Q297" s="21"/>
      <c r="R297" s="22"/>
      <c r="S297" s="14">
        <v>48</v>
      </c>
      <c r="T297" s="27">
        <v>45861</v>
      </c>
      <c r="U297" s="27">
        <v>45861</v>
      </c>
      <c r="V297" s="27"/>
      <c r="W297" s="27"/>
      <c r="X297" s="27">
        <v>45862</v>
      </c>
      <c r="Y297" s="14" t="s">
        <v>290</v>
      </c>
      <c r="Z297" s="40" t="str">
        <f>IF(STAT[[#This Row],[sigla]]="","",VLOOKUP(STAT[[#This Row],[sigla]],CRÉDITOS_GERAIS[[sigla]:[credito]],2,))</f>
        <v>Bruna Campos</v>
      </c>
      <c r="AA297" s="14"/>
      <c r="AB297" s="14" t="str">
        <f>STAT[[#This Row],[ilustrador]]</f>
        <v>Bruna Campos</v>
      </c>
      <c r="AC297" s="14">
        <v>8</v>
      </c>
      <c r="AD297" s="22" t="s">
        <v>196</v>
      </c>
      <c r="AE297" s="15" t="s">
        <v>46</v>
      </c>
      <c r="AF297" s="42" t="str">
        <f t="shared" si="4"/>
        <v>P007</v>
      </c>
    </row>
    <row r="298" spans="1:32" ht="28.8" hidden="1" x14ac:dyDescent="0.3">
      <c r="A298" s="12" t="e" cm="1">
        <f t="array" aca="1" ref="A298" ca="1">IF(STAT[[#This Row],[retranca]]="","",       RegxFunc(STAT[[#This Row],[retranca]],  "\w\d{4}\w*_\d")     )</f>
        <v>#NAME?</v>
      </c>
      <c r="B298" s="21" t="s">
        <v>747</v>
      </c>
      <c r="C298" s="14" t="s">
        <v>72</v>
      </c>
      <c r="D298" s="15" t="s">
        <v>9</v>
      </c>
      <c r="E298" s="15" t="s">
        <v>10</v>
      </c>
      <c r="F298" s="14">
        <v>49</v>
      </c>
      <c r="G298" s="15">
        <v>4</v>
      </c>
      <c r="H298" s="14">
        <v>9</v>
      </c>
      <c r="I298" s="14">
        <v>9</v>
      </c>
      <c r="J298" s="17" t="s">
        <v>55</v>
      </c>
      <c r="K298" s="36"/>
      <c r="L298" s="14"/>
      <c r="M298" s="14"/>
      <c r="N298" s="14"/>
      <c r="O298" s="14"/>
      <c r="P298" s="25" t="s">
        <v>748</v>
      </c>
      <c r="Q298" s="21"/>
      <c r="R298" s="22"/>
      <c r="S298" s="14">
        <v>36</v>
      </c>
      <c r="T298" s="27">
        <v>45852</v>
      </c>
      <c r="U298" s="27">
        <v>45854</v>
      </c>
      <c r="V298" s="27"/>
      <c r="W298" s="27"/>
      <c r="X298" s="27">
        <v>45854</v>
      </c>
      <c r="Y298" s="14" t="s">
        <v>741</v>
      </c>
      <c r="Z298" s="40" t="str">
        <f>IF(STAT[[#This Row],[sigla]]="","",VLOOKUP(STAT[[#This Row],[sigla]],CRÉDITOS_GERAIS[[sigla]:[credito]],2,))</f>
        <v>Felipe Grigoli</v>
      </c>
      <c r="AA298" s="14"/>
      <c r="AB298" s="14" t="str">
        <f>STAT[[#This Row],[ilustrador]]</f>
        <v>Felipe Grigoli</v>
      </c>
      <c r="AC298" s="14">
        <v>13</v>
      </c>
      <c r="AD298" s="22" t="s">
        <v>653</v>
      </c>
      <c r="AE298" s="15" t="s">
        <v>46</v>
      </c>
      <c r="AF298" s="42" t="str">
        <f t="shared" si="4"/>
        <v>P007</v>
      </c>
    </row>
    <row r="299" spans="1:32" ht="43.2" hidden="1" x14ac:dyDescent="0.3">
      <c r="A299" s="12" t="e" cm="1">
        <f t="array" aca="1" ref="A299" ca="1">IF(STAT[[#This Row],[retranca]]="","",       RegxFunc(STAT[[#This Row],[retranca]],  "\w\d{4}\w*_\d")     )</f>
        <v>#NAME?</v>
      </c>
      <c r="B299" s="21" t="s">
        <v>749</v>
      </c>
      <c r="C299" s="14" t="s">
        <v>72</v>
      </c>
      <c r="D299" s="15" t="s">
        <v>9</v>
      </c>
      <c r="E299" s="15" t="s">
        <v>10</v>
      </c>
      <c r="F299" s="14">
        <v>49</v>
      </c>
      <c r="G299" s="15">
        <v>4</v>
      </c>
      <c r="H299" s="14">
        <v>9</v>
      </c>
      <c r="I299" s="14">
        <v>9</v>
      </c>
      <c r="J299" s="17" t="s">
        <v>55</v>
      </c>
      <c r="K299" s="36"/>
      <c r="L299" s="14"/>
      <c r="M299" s="14"/>
      <c r="N299" s="14"/>
      <c r="O299" s="14"/>
      <c r="P299" s="25" t="s">
        <v>750</v>
      </c>
      <c r="Q299" s="22"/>
      <c r="R299" s="22"/>
      <c r="S299" s="14">
        <v>36</v>
      </c>
      <c r="T299" s="27">
        <v>45852</v>
      </c>
      <c r="U299" s="27">
        <v>45854</v>
      </c>
      <c r="V299" s="27"/>
      <c r="W299" s="27"/>
      <c r="X299" s="27">
        <v>45854</v>
      </c>
      <c r="Y299" s="14" t="s">
        <v>741</v>
      </c>
      <c r="Z299" s="40" t="str">
        <f>IF(STAT[[#This Row],[sigla]]="","",VLOOKUP(STAT[[#This Row],[sigla]],CRÉDITOS_GERAIS[[sigla]:[credito]],2,))</f>
        <v>Felipe Grigoli</v>
      </c>
      <c r="AA299" s="14"/>
      <c r="AB299" s="14" t="str">
        <f>STAT[[#This Row],[ilustrador]]</f>
        <v>Felipe Grigoli</v>
      </c>
      <c r="AC299" s="14">
        <v>13</v>
      </c>
      <c r="AD299" s="22" t="s">
        <v>653</v>
      </c>
      <c r="AE299" s="15" t="s">
        <v>46</v>
      </c>
      <c r="AF299" s="42" t="str">
        <f t="shared" si="4"/>
        <v>P007</v>
      </c>
    </row>
    <row r="300" spans="1:32" hidden="1" x14ac:dyDescent="0.3">
      <c r="A300" s="12" t="e" cm="1">
        <f t="array" aca="1" ref="A300" ca="1">IF(STAT[[#This Row],[retranca]]="","",       RegxFunc(STAT[[#This Row],[retranca]],  "\w\d{4}\w*_\d")     )</f>
        <v>#NAME?</v>
      </c>
      <c r="B300" s="21" t="s">
        <v>751</v>
      </c>
      <c r="C300" s="14" t="s">
        <v>72</v>
      </c>
      <c r="D300" s="15" t="s">
        <v>9</v>
      </c>
      <c r="E300" s="15" t="s">
        <v>10</v>
      </c>
      <c r="F300" s="14">
        <v>50</v>
      </c>
      <c r="G300" s="15">
        <v>4</v>
      </c>
      <c r="H300" s="14">
        <v>9</v>
      </c>
      <c r="I300" s="14">
        <v>9</v>
      </c>
      <c r="J300" s="17" t="s">
        <v>55</v>
      </c>
      <c r="K300" s="36"/>
      <c r="L300" s="14"/>
      <c r="M300" s="14"/>
      <c r="N300" s="14"/>
      <c r="O300" s="14"/>
      <c r="P300" s="25" t="s">
        <v>752</v>
      </c>
      <c r="Q300" s="21"/>
      <c r="R300" s="22"/>
      <c r="S300" s="14">
        <v>36</v>
      </c>
      <c r="T300" s="27">
        <v>45852</v>
      </c>
      <c r="U300" s="27">
        <v>45854</v>
      </c>
      <c r="V300" s="27"/>
      <c r="W300" s="27"/>
      <c r="X300" s="27">
        <v>45854</v>
      </c>
      <c r="Y300" s="14" t="s">
        <v>741</v>
      </c>
      <c r="Z300" s="40" t="str">
        <f>IF(STAT[[#This Row],[sigla]]="","",VLOOKUP(STAT[[#This Row],[sigla]],CRÉDITOS_GERAIS[[sigla]:[credito]],2,))</f>
        <v>Felipe Grigoli</v>
      </c>
      <c r="AA300" s="14"/>
      <c r="AB300" s="14" t="str">
        <f>STAT[[#This Row],[ilustrador]]</f>
        <v>Felipe Grigoli</v>
      </c>
      <c r="AC300" s="14">
        <v>13</v>
      </c>
      <c r="AD300" s="22" t="s">
        <v>653</v>
      </c>
      <c r="AE300" s="15" t="s">
        <v>46</v>
      </c>
      <c r="AF300" s="42" t="str">
        <f t="shared" si="4"/>
        <v>P007</v>
      </c>
    </row>
    <row r="301" spans="1:32" ht="100.8" hidden="1" x14ac:dyDescent="0.3">
      <c r="A301" s="12" t="e" cm="1">
        <f t="array" aca="1" ref="A301" ca="1">IF(STAT[[#This Row],[retranca]]="","",       RegxFunc(STAT[[#This Row],[retranca]],  "\w\d{4}\w*_\d")     )</f>
        <v>#NAME?</v>
      </c>
      <c r="B301" s="21" t="s">
        <v>753</v>
      </c>
      <c r="C301" s="14" t="s">
        <v>122</v>
      </c>
      <c r="D301" s="15" t="s">
        <v>143</v>
      </c>
      <c r="E301" s="15" t="s">
        <v>10</v>
      </c>
      <c r="F301" s="14">
        <v>100</v>
      </c>
      <c r="G301" s="15">
        <v>4</v>
      </c>
      <c r="H301" s="14">
        <v>12</v>
      </c>
      <c r="I301" s="14">
        <v>12</v>
      </c>
      <c r="J301" s="17" t="s">
        <v>55</v>
      </c>
      <c r="K301" s="36"/>
      <c r="L301" s="14"/>
      <c r="M301" s="14"/>
      <c r="N301" s="14"/>
      <c r="O301" s="14"/>
      <c r="P301" s="25" t="s">
        <v>754</v>
      </c>
      <c r="Q301" s="21"/>
      <c r="R301" s="22"/>
      <c r="S301" s="14">
        <v>37</v>
      </c>
      <c r="T301" s="27">
        <v>45853</v>
      </c>
      <c r="U301" s="27">
        <v>45855</v>
      </c>
      <c r="V301" s="27"/>
      <c r="W301" s="27"/>
      <c r="X301" s="27">
        <v>45859</v>
      </c>
      <c r="Y301" s="14" t="s">
        <v>755</v>
      </c>
      <c r="Z301" s="40" t="str">
        <f>IF(STAT[[#This Row],[sigla]]="","",VLOOKUP(STAT[[#This Row],[sigla]],CRÉDITOS_GERAIS[[sigla]:[credito]],2,))</f>
        <v>Sergio Lima</v>
      </c>
      <c r="AA301" s="14"/>
      <c r="AB301" s="14" t="str">
        <f>STAT[[#This Row],[ilustrador]]</f>
        <v>Sergio Lima</v>
      </c>
      <c r="AC301" s="14">
        <v>7</v>
      </c>
      <c r="AD301" s="22" t="s">
        <v>756</v>
      </c>
      <c r="AE301" s="15" t="s">
        <v>87</v>
      </c>
      <c r="AF301" s="42" t="str">
        <f t="shared" si="4"/>
        <v>P007</v>
      </c>
    </row>
    <row r="302" spans="1:32" ht="57.6" hidden="1" x14ac:dyDescent="0.3">
      <c r="A302" s="12" t="e" cm="1">
        <f t="array" aca="1" ref="A302" ca="1">IF(STAT[[#This Row],[retranca]]="","",       RegxFunc(STAT[[#This Row],[retranca]],  "\w\d{4}\w*_\d")     )</f>
        <v>#NAME?</v>
      </c>
      <c r="B302" s="21" t="s">
        <v>757</v>
      </c>
      <c r="C302" s="14" t="s">
        <v>72</v>
      </c>
      <c r="D302" s="15" t="s">
        <v>9</v>
      </c>
      <c r="E302" s="15" t="s">
        <v>10</v>
      </c>
      <c r="F302" s="14">
        <v>100</v>
      </c>
      <c r="G302" s="15">
        <v>4</v>
      </c>
      <c r="H302" s="14">
        <v>12</v>
      </c>
      <c r="I302" s="14">
        <v>12</v>
      </c>
      <c r="J302" s="17" t="s">
        <v>55</v>
      </c>
      <c r="K302" s="36"/>
      <c r="L302" s="14"/>
      <c r="M302" s="14"/>
      <c r="N302" s="14"/>
      <c r="O302" s="14"/>
      <c r="P302" s="25" t="s">
        <v>758</v>
      </c>
      <c r="Q302" s="21"/>
      <c r="R302" s="22"/>
      <c r="S302" s="14">
        <v>37</v>
      </c>
      <c r="T302" s="27">
        <v>45853</v>
      </c>
      <c r="U302" s="27">
        <v>45862</v>
      </c>
      <c r="V302" s="27"/>
      <c r="W302" s="27"/>
      <c r="X302" s="27">
        <v>45862</v>
      </c>
      <c r="Y302" s="14" t="s">
        <v>759</v>
      </c>
      <c r="Z302" s="40" t="e">
        <f>IF(STAT[[#This Row],[sigla]]="","",VLOOKUP(STAT[[#This Row],[sigla]],CRÉDITOS_GERAIS[[sigla]:[credito]],2,))</f>
        <v>#N/A</v>
      </c>
      <c r="AA302" s="14" t="s">
        <v>609</v>
      </c>
      <c r="AB302" s="14" t="s">
        <v>760</v>
      </c>
      <c r="AC302" s="14">
        <v>13</v>
      </c>
      <c r="AD302" s="22" t="s">
        <v>761</v>
      </c>
      <c r="AE302" s="15" t="s">
        <v>46</v>
      </c>
      <c r="AF302" s="42" t="str">
        <f t="shared" si="4"/>
        <v>P007</v>
      </c>
    </row>
    <row r="303" spans="1:32" hidden="1" x14ac:dyDescent="0.3">
      <c r="A303" s="12" t="e" cm="1">
        <f t="array" aca="1" ref="A303" ca="1">IF(STAT[[#This Row],[retranca]]="","",       RegxFunc(STAT[[#This Row],[retranca]],  "\w\d{4}\w*_\d")     )</f>
        <v>#NAME?</v>
      </c>
      <c r="B303" s="21" t="s">
        <v>762</v>
      </c>
      <c r="C303" s="14" t="s">
        <v>72</v>
      </c>
      <c r="D303" s="15" t="s">
        <v>9</v>
      </c>
      <c r="E303" s="15" t="s">
        <v>10</v>
      </c>
      <c r="F303" s="14">
        <v>101</v>
      </c>
      <c r="G303" s="15">
        <v>4</v>
      </c>
      <c r="H303" s="14">
        <v>12</v>
      </c>
      <c r="I303" s="14">
        <v>12</v>
      </c>
      <c r="J303" s="17" t="s">
        <v>55</v>
      </c>
      <c r="K303" s="36"/>
      <c r="L303" s="14"/>
      <c r="M303" s="14"/>
      <c r="N303" s="14"/>
      <c r="O303" s="14"/>
      <c r="P303" s="25" t="s">
        <v>763</v>
      </c>
      <c r="Q303" s="21"/>
      <c r="R303" s="22"/>
      <c r="S303" s="14">
        <v>37</v>
      </c>
      <c r="T303" s="27">
        <v>45853</v>
      </c>
      <c r="U303" s="27">
        <v>45853</v>
      </c>
      <c r="V303" s="27"/>
      <c r="W303" s="27"/>
      <c r="X303" s="27">
        <v>45855</v>
      </c>
      <c r="Y303" s="14" t="s">
        <v>759</v>
      </c>
      <c r="Z303" s="40" t="e">
        <f>IF(STAT[[#This Row],[sigla]]="","",VLOOKUP(STAT[[#This Row],[sigla]],CRÉDITOS_GERAIS[[sigla]:[credito]],2,))</f>
        <v>#N/A</v>
      </c>
      <c r="AA303" s="14"/>
      <c r="AB303" s="14" t="s">
        <v>760</v>
      </c>
      <c r="AC303" s="14">
        <v>14</v>
      </c>
      <c r="AD303" s="22" t="s">
        <v>196</v>
      </c>
      <c r="AE303" s="15" t="s">
        <v>46</v>
      </c>
      <c r="AF303" s="42" t="str">
        <f t="shared" si="4"/>
        <v>P007</v>
      </c>
    </row>
    <row r="304" spans="1:32" hidden="1" x14ac:dyDescent="0.3">
      <c r="A304" s="12" t="e" cm="1">
        <f t="array" aca="1" ref="A304" ca="1">IF(STAT[[#This Row],[retranca]]="","",       RegxFunc(STAT[[#This Row],[retranca]],  "\w\d{4}\w*_\d")     )</f>
        <v>#NAME?</v>
      </c>
      <c r="B304" s="21" t="s">
        <v>764</v>
      </c>
      <c r="C304" s="14" t="s">
        <v>72</v>
      </c>
      <c r="D304" s="15" t="s">
        <v>9</v>
      </c>
      <c r="E304" s="15" t="s">
        <v>10</v>
      </c>
      <c r="F304" s="14">
        <v>101</v>
      </c>
      <c r="G304" s="15">
        <v>4</v>
      </c>
      <c r="H304" s="14">
        <v>12</v>
      </c>
      <c r="I304" s="14">
        <v>12</v>
      </c>
      <c r="J304" s="17" t="s">
        <v>55</v>
      </c>
      <c r="K304" s="36"/>
      <c r="L304" s="14"/>
      <c r="M304" s="14"/>
      <c r="N304" s="14"/>
      <c r="O304" s="14"/>
      <c r="P304" s="25" t="s">
        <v>765</v>
      </c>
      <c r="Q304" s="21"/>
      <c r="R304" s="22"/>
      <c r="S304" s="14">
        <v>37</v>
      </c>
      <c r="T304" s="27">
        <v>45853</v>
      </c>
      <c r="U304" s="27">
        <v>45853</v>
      </c>
      <c r="V304" s="27"/>
      <c r="W304" s="27"/>
      <c r="X304" s="27">
        <v>45855</v>
      </c>
      <c r="Y304" s="14" t="s">
        <v>759</v>
      </c>
      <c r="Z304" s="40" t="e">
        <f>IF(STAT[[#This Row],[sigla]]="","",VLOOKUP(STAT[[#This Row],[sigla]],CRÉDITOS_GERAIS[[sigla]:[credito]],2,))</f>
        <v>#N/A</v>
      </c>
      <c r="AA304" s="14"/>
      <c r="AB304" s="14" t="s">
        <v>760</v>
      </c>
      <c r="AC304" s="14">
        <v>14</v>
      </c>
      <c r="AD304" s="22" t="s">
        <v>196</v>
      </c>
      <c r="AE304" s="15" t="s">
        <v>46</v>
      </c>
      <c r="AF304" s="42" t="str">
        <f t="shared" si="4"/>
        <v>P007</v>
      </c>
    </row>
    <row r="305" spans="1:32" hidden="1" x14ac:dyDescent="0.3">
      <c r="A305" s="12" t="e" cm="1">
        <f t="array" aca="1" ref="A305" ca="1">IF(STAT[[#This Row],[retranca]]="","",       RegxFunc(STAT[[#This Row],[retranca]],  "\w\d{4}\w*_\d")     )</f>
        <v>#NAME?</v>
      </c>
      <c r="B305" s="21" t="s">
        <v>766</v>
      </c>
      <c r="C305" s="14" t="s">
        <v>72</v>
      </c>
      <c r="D305" s="15" t="s">
        <v>9</v>
      </c>
      <c r="E305" s="15" t="s">
        <v>10</v>
      </c>
      <c r="F305" s="14">
        <v>101</v>
      </c>
      <c r="G305" s="15">
        <v>4</v>
      </c>
      <c r="H305" s="14">
        <v>12</v>
      </c>
      <c r="I305" s="14">
        <v>12</v>
      </c>
      <c r="J305" s="17" t="s">
        <v>55</v>
      </c>
      <c r="K305" s="36"/>
      <c r="L305" s="14"/>
      <c r="M305" s="14"/>
      <c r="N305" s="14"/>
      <c r="O305" s="14"/>
      <c r="P305" s="25" t="s">
        <v>767</v>
      </c>
      <c r="Q305" s="21"/>
      <c r="R305" s="22"/>
      <c r="S305" s="14">
        <v>37</v>
      </c>
      <c r="T305" s="27">
        <v>45853</v>
      </c>
      <c r="U305" s="27">
        <v>45853</v>
      </c>
      <c r="V305" s="27"/>
      <c r="W305" s="27"/>
      <c r="X305" s="27">
        <v>45855</v>
      </c>
      <c r="Y305" s="14" t="s">
        <v>759</v>
      </c>
      <c r="Z305" s="40" t="e">
        <f>IF(STAT[[#This Row],[sigla]]="","",VLOOKUP(STAT[[#This Row],[sigla]],CRÉDITOS_GERAIS[[sigla]:[credito]],2,))</f>
        <v>#N/A</v>
      </c>
      <c r="AA305" s="14"/>
      <c r="AB305" s="14" t="s">
        <v>760</v>
      </c>
      <c r="AC305" s="14">
        <v>14</v>
      </c>
      <c r="AD305" s="22" t="s">
        <v>196</v>
      </c>
      <c r="AE305" s="15" t="s">
        <v>46</v>
      </c>
      <c r="AF305" s="42" t="str">
        <f t="shared" si="4"/>
        <v>P007</v>
      </c>
    </row>
    <row r="306" spans="1:32" hidden="1" x14ac:dyDescent="0.3">
      <c r="A306" s="12" t="e" cm="1">
        <f t="array" aca="1" ref="A306" ca="1">IF(STAT[[#This Row],[retranca]]="","",       RegxFunc(STAT[[#This Row],[retranca]],  "\w\d{4}\w*_\d")     )</f>
        <v>#NAME?</v>
      </c>
      <c r="B306" s="21" t="s">
        <v>768</v>
      </c>
      <c r="C306" s="14" t="s">
        <v>72</v>
      </c>
      <c r="D306" s="15" t="s">
        <v>9</v>
      </c>
      <c r="E306" s="15" t="s">
        <v>10</v>
      </c>
      <c r="F306" s="14">
        <v>101</v>
      </c>
      <c r="G306" s="15">
        <v>4</v>
      </c>
      <c r="H306" s="14">
        <v>12</v>
      </c>
      <c r="I306" s="14">
        <v>12</v>
      </c>
      <c r="J306" s="17" t="s">
        <v>55</v>
      </c>
      <c r="K306" s="36"/>
      <c r="L306" s="14"/>
      <c r="M306" s="14"/>
      <c r="N306" s="14"/>
      <c r="O306" s="14"/>
      <c r="P306" s="25" t="s">
        <v>769</v>
      </c>
      <c r="Q306" s="21"/>
      <c r="R306" s="22"/>
      <c r="S306" s="14">
        <v>37</v>
      </c>
      <c r="T306" s="27">
        <v>45853</v>
      </c>
      <c r="U306" s="27">
        <v>45853</v>
      </c>
      <c r="V306" s="27"/>
      <c r="W306" s="27"/>
      <c r="X306" s="27">
        <v>45855</v>
      </c>
      <c r="Y306" s="14" t="s">
        <v>759</v>
      </c>
      <c r="Z306" s="40" t="e">
        <f>IF(STAT[[#This Row],[sigla]]="","",VLOOKUP(STAT[[#This Row],[sigla]],CRÉDITOS_GERAIS[[sigla]:[credito]],2,))</f>
        <v>#N/A</v>
      </c>
      <c r="AA306" s="14"/>
      <c r="AB306" s="14" t="s">
        <v>760</v>
      </c>
      <c r="AC306" s="14">
        <v>14</v>
      </c>
      <c r="AD306" s="22" t="s">
        <v>196</v>
      </c>
      <c r="AE306" s="15" t="s">
        <v>46</v>
      </c>
      <c r="AF306" s="42" t="str">
        <f t="shared" si="4"/>
        <v>P007</v>
      </c>
    </row>
    <row r="307" spans="1:32" hidden="1" x14ac:dyDescent="0.3">
      <c r="A307" s="12" t="e" cm="1">
        <f t="array" aca="1" ref="A307" ca="1">IF(STAT[[#This Row],[retranca]]="","",       RegxFunc(STAT[[#This Row],[retranca]],  "\w\d{4}\w*_\d")     )</f>
        <v>#NAME?</v>
      </c>
      <c r="B307" s="21" t="s">
        <v>770</v>
      </c>
      <c r="C307" s="14" t="s">
        <v>72</v>
      </c>
      <c r="D307" s="15" t="s">
        <v>9</v>
      </c>
      <c r="E307" s="15" t="s">
        <v>10</v>
      </c>
      <c r="F307" s="14">
        <v>101</v>
      </c>
      <c r="G307" s="15">
        <v>4</v>
      </c>
      <c r="H307" s="14">
        <v>12</v>
      </c>
      <c r="I307" s="14">
        <v>12</v>
      </c>
      <c r="J307" s="17" t="s">
        <v>55</v>
      </c>
      <c r="K307" s="36"/>
      <c r="L307" s="14"/>
      <c r="M307" s="14"/>
      <c r="N307" s="14"/>
      <c r="O307" s="14"/>
      <c r="P307" s="25" t="s">
        <v>771</v>
      </c>
      <c r="Q307" s="21"/>
      <c r="R307" s="22"/>
      <c r="S307" s="14">
        <v>37</v>
      </c>
      <c r="T307" s="27">
        <v>45853</v>
      </c>
      <c r="U307" s="27">
        <v>45853</v>
      </c>
      <c r="V307" s="27"/>
      <c r="W307" s="27"/>
      <c r="X307" s="27">
        <v>45855</v>
      </c>
      <c r="Y307" s="14" t="s">
        <v>759</v>
      </c>
      <c r="Z307" s="40" t="e">
        <f>IF(STAT[[#This Row],[sigla]]="","",VLOOKUP(STAT[[#This Row],[sigla]],CRÉDITOS_GERAIS[[sigla]:[credito]],2,))</f>
        <v>#N/A</v>
      </c>
      <c r="AA307" s="14"/>
      <c r="AB307" s="14" t="s">
        <v>760</v>
      </c>
      <c r="AC307" s="14">
        <v>14</v>
      </c>
      <c r="AD307" s="22" t="s">
        <v>196</v>
      </c>
      <c r="AE307" s="15" t="s">
        <v>46</v>
      </c>
      <c r="AF307" s="42" t="str">
        <f t="shared" si="4"/>
        <v>P007</v>
      </c>
    </row>
    <row r="308" spans="1:32" hidden="1" x14ac:dyDescent="0.3">
      <c r="A308" s="12" t="e" cm="1">
        <f t="array" aca="1" ref="A308" ca="1">IF(STAT[[#This Row],[retranca]]="","",       RegxFunc(STAT[[#This Row],[retranca]],  "\w\d{4}\w*_\d")     )</f>
        <v>#NAME?</v>
      </c>
      <c r="B308" s="33" t="s">
        <v>772</v>
      </c>
      <c r="C308" s="14" t="s">
        <v>72</v>
      </c>
      <c r="D308" s="15" t="s">
        <v>9</v>
      </c>
      <c r="E308" s="15" t="s">
        <v>10</v>
      </c>
      <c r="F308" s="15">
        <v>101</v>
      </c>
      <c r="G308" s="15">
        <v>4</v>
      </c>
      <c r="H308" s="14">
        <v>12</v>
      </c>
      <c r="I308" s="14">
        <v>12</v>
      </c>
      <c r="J308" s="17" t="s">
        <v>55</v>
      </c>
      <c r="K308" s="36"/>
      <c r="L308" s="14"/>
      <c r="M308" s="14"/>
      <c r="N308" s="14"/>
      <c r="O308" s="14"/>
      <c r="P308" s="25" t="s">
        <v>773</v>
      </c>
      <c r="Q308" s="16"/>
      <c r="R308" s="16"/>
      <c r="S308" s="14">
        <v>37</v>
      </c>
      <c r="T308" s="27">
        <v>45853</v>
      </c>
      <c r="U308" s="18">
        <v>45853</v>
      </c>
      <c r="V308" s="20"/>
      <c r="W308" s="20"/>
      <c r="X308" s="18">
        <v>45855</v>
      </c>
      <c r="Y308" s="15" t="s">
        <v>759</v>
      </c>
      <c r="Z308" s="40" t="e">
        <f>IF(STAT[[#This Row],[sigla]]="","",VLOOKUP(STAT[[#This Row],[sigla]],CRÉDITOS_GERAIS[[sigla]:[credito]],2,))</f>
        <v>#N/A</v>
      </c>
      <c r="AA308" s="20"/>
      <c r="AB308" s="14" t="s">
        <v>760</v>
      </c>
      <c r="AC308" s="14">
        <v>14</v>
      </c>
      <c r="AD308" s="15" t="s">
        <v>196</v>
      </c>
      <c r="AE308" s="15" t="s">
        <v>46</v>
      </c>
      <c r="AF308" s="42" t="str">
        <f t="shared" si="4"/>
        <v>P007</v>
      </c>
    </row>
    <row r="309" spans="1:32" hidden="1" x14ac:dyDescent="0.3">
      <c r="A309" s="12" t="e" cm="1">
        <f t="array" aca="1" ref="A309" ca="1">IF(STAT[[#This Row],[retranca]]="","",       RegxFunc(STAT[[#This Row],[retranca]],  "\w\d{4}\w*_\d")     )</f>
        <v>#NAME?</v>
      </c>
      <c r="B309" s="33" t="s">
        <v>774</v>
      </c>
      <c r="C309" s="14" t="s">
        <v>72</v>
      </c>
      <c r="D309" s="15" t="s">
        <v>9</v>
      </c>
      <c r="E309" s="15" t="s">
        <v>10</v>
      </c>
      <c r="F309" s="15">
        <v>101</v>
      </c>
      <c r="G309" s="15">
        <v>4</v>
      </c>
      <c r="H309" s="14">
        <v>12</v>
      </c>
      <c r="I309" s="14">
        <v>12</v>
      </c>
      <c r="J309" s="17" t="s">
        <v>55</v>
      </c>
      <c r="K309" s="36"/>
      <c r="L309" s="14"/>
      <c r="M309" s="14"/>
      <c r="N309" s="14"/>
      <c r="O309" s="14"/>
      <c r="P309" s="25" t="s">
        <v>775</v>
      </c>
      <c r="Q309" s="16"/>
      <c r="R309" s="16"/>
      <c r="S309" s="14">
        <v>37</v>
      </c>
      <c r="T309" s="27">
        <v>45853</v>
      </c>
      <c r="U309" s="18">
        <v>45853</v>
      </c>
      <c r="V309" s="20"/>
      <c r="W309" s="20"/>
      <c r="X309" s="18">
        <v>45855</v>
      </c>
      <c r="Y309" s="15" t="s">
        <v>759</v>
      </c>
      <c r="Z309" s="40" t="e">
        <f>IF(STAT[[#This Row],[sigla]]="","",VLOOKUP(STAT[[#This Row],[sigla]],CRÉDITOS_GERAIS[[sigla]:[credito]],2,))</f>
        <v>#N/A</v>
      </c>
      <c r="AA309" s="20"/>
      <c r="AB309" s="14" t="s">
        <v>760</v>
      </c>
      <c r="AC309" s="14">
        <v>14</v>
      </c>
      <c r="AD309" s="15" t="s">
        <v>196</v>
      </c>
      <c r="AE309" s="15" t="s">
        <v>46</v>
      </c>
      <c r="AF309" s="42" t="str">
        <f t="shared" si="4"/>
        <v>P007</v>
      </c>
    </row>
    <row r="310" spans="1:32" hidden="1" x14ac:dyDescent="0.3">
      <c r="A310" s="12" t="e" cm="1">
        <f t="array" aca="1" ref="A310" ca="1">IF(STAT[[#This Row],[retranca]]="","",       RegxFunc(STAT[[#This Row],[retranca]],  "\w\d{4}\w*_\d")     )</f>
        <v>#NAME?</v>
      </c>
      <c r="B310" s="33" t="s">
        <v>776</v>
      </c>
      <c r="C310" s="14" t="s">
        <v>72</v>
      </c>
      <c r="D310" s="15" t="s">
        <v>9</v>
      </c>
      <c r="E310" s="15" t="s">
        <v>10</v>
      </c>
      <c r="F310" s="15">
        <v>101</v>
      </c>
      <c r="G310" s="15">
        <v>4</v>
      </c>
      <c r="H310" s="14">
        <v>12</v>
      </c>
      <c r="I310" s="14">
        <v>12</v>
      </c>
      <c r="J310" s="17" t="s">
        <v>55</v>
      </c>
      <c r="K310" s="36"/>
      <c r="L310" s="14"/>
      <c r="M310" s="14"/>
      <c r="N310" s="14"/>
      <c r="O310" s="14"/>
      <c r="P310" s="25" t="s">
        <v>777</v>
      </c>
      <c r="Q310" s="16"/>
      <c r="R310" s="16"/>
      <c r="S310" s="14">
        <v>37</v>
      </c>
      <c r="T310" s="27">
        <v>45853</v>
      </c>
      <c r="U310" s="18">
        <v>45853</v>
      </c>
      <c r="V310" s="20"/>
      <c r="W310" s="20"/>
      <c r="X310" s="18">
        <v>45855</v>
      </c>
      <c r="Y310" s="15" t="s">
        <v>759</v>
      </c>
      <c r="Z310" s="40" t="e">
        <f>IF(STAT[[#This Row],[sigla]]="","",VLOOKUP(STAT[[#This Row],[sigla]],CRÉDITOS_GERAIS[[sigla]:[credito]],2,))</f>
        <v>#N/A</v>
      </c>
      <c r="AA310" s="15"/>
      <c r="AB310" s="14" t="s">
        <v>760</v>
      </c>
      <c r="AC310" s="14">
        <v>14</v>
      </c>
      <c r="AD310" s="16" t="s">
        <v>196</v>
      </c>
      <c r="AE310" s="15" t="s">
        <v>46</v>
      </c>
      <c r="AF310" s="42" t="str">
        <f t="shared" si="4"/>
        <v>P007</v>
      </c>
    </row>
    <row r="311" spans="1:32" hidden="1" x14ac:dyDescent="0.3">
      <c r="A311" s="12" t="e" cm="1">
        <f t="array" aca="1" ref="A311" ca="1">IF(STAT[[#This Row],[retranca]]="","",       RegxFunc(STAT[[#This Row],[retranca]],  "\w\d{4}\w*_\d")     )</f>
        <v>#NAME?</v>
      </c>
      <c r="B311" s="21" t="s">
        <v>778</v>
      </c>
      <c r="C311" s="14" t="s">
        <v>72</v>
      </c>
      <c r="D311" s="15" t="s">
        <v>9</v>
      </c>
      <c r="E311" s="15" t="s">
        <v>10</v>
      </c>
      <c r="F311" s="14">
        <v>101</v>
      </c>
      <c r="G311" s="15">
        <v>4</v>
      </c>
      <c r="H311" s="14">
        <v>12</v>
      </c>
      <c r="I311" s="14">
        <v>12</v>
      </c>
      <c r="J311" s="17" t="s">
        <v>55</v>
      </c>
      <c r="K311" s="36"/>
      <c r="L311" s="14"/>
      <c r="M311" s="14"/>
      <c r="N311" s="14"/>
      <c r="O311" s="14"/>
      <c r="P311" s="25" t="s">
        <v>779</v>
      </c>
      <c r="Q311" s="22"/>
      <c r="R311" s="22"/>
      <c r="S311" s="14">
        <v>37</v>
      </c>
      <c r="T311" s="27">
        <v>45853</v>
      </c>
      <c r="U311" s="27">
        <v>45853</v>
      </c>
      <c r="V311" s="27"/>
      <c r="W311" s="27"/>
      <c r="X311" s="27">
        <v>45855</v>
      </c>
      <c r="Y311" s="14" t="s">
        <v>759</v>
      </c>
      <c r="Z311" s="40" t="e">
        <f>IF(STAT[[#This Row],[sigla]]="","",VLOOKUP(STAT[[#This Row],[sigla]],CRÉDITOS_GERAIS[[sigla]:[credito]],2,))</f>
        <v>#N/A</v>
      </c>
      <c r="AA311" s="14"/>
      <c r="AB311" s="14" t="s">
        <v>760</v>
      </c>
      <c r="AC311" s="14">
        <v>14</v>
      </c>
      <c r="AD311" s="22" t="s">
        <v>196</v>
      </c>
      <c r="AE311" s="15" t="s">
        <v>46</v>
      </c>
      <c r="AF311" s="42" t="str">
        <f t="shared" si="4"/>
        <v>P007</v>
      </c>
    </row>
    <row r="312" spans="1:32" hidden="1" x14ac:dyDescent="0.3">
      <c r="A312" s="12" t="e" cm="1">
        <f t="array" aca="1" ref="A312" ca="1">IF(STAT[[#This Row],[retranca]]="","",       RegxFunc(STAT[[#This Row],[retranca]],  "\w\d{4}\w*_\d")     )</f>
        <v>#NAME?</v>
      </c>
      <c r="B312" s="33" t="s">
        <v>780</v>
      </c>
      <c r="C312" s="14" t="s">
        <v>72</v>
      </c>
      <c r="D312" s="15" t="s">
        <v>9</v>
      </c>
      <c r="E312" s="15" t="s">
        <v>10</v>
      </c>
      <c r="F312" s="15">
        <v>102</v>
      </c>
      <c r="G312" s="15">
        <v>4</v>
      </c>
      <c r="H312" s="14">
        <v>12</v>
      </c>
      <c r="I312" s="14">
        <v>12</v>
      </c>
      <c r="J312" s="17" t="s">
        <v>55</v>
      </c>
      <c r="K312" s="36"/>
      <c r="L312" s="14"/>
      <c r="M312" s="14"/>
      <c r="N312" s="14"/>
      <c r="O312" s="14"/>
      <c r="P312" s="25" t="s">
        <v>781</v>
      </c>
      <c r="Q312" s="16"/>
      <c r="R312" s="16"/>
      <c r="S312" s="14">
        <v>37</v>
      </c>
      <c r="T312" s="27">
        <v>45853</v>
      </c>
      <c r="U312" s="18">
        <v>45855</v>
      </c>
      <c r="V312" s="20"/>
      <c r="W312" s="20"/>
      <c r="X312" s="18">
        <v>45859</v>
      </c>
      <c r="Y312" s="15" t="s">
        <v>755</v>
      </c>
      <c r="Z312" s="40" t="str">
        <f>IF(STAT[[#This Row],[sigla]]="","",VLOOKUP(STAT[[#This Row],[sigla]],CRÉDITOS_GERAIS[[sigla]:[credito]],2,))</f>
        <v>Sergio Lima</v>
      </c>
      <c r="AA312" s="15"/>
      <c r="AB312" s="14" t="str">
        <f>STAT[[#This Row],[ilustrador]]</f>
        <v>Sergio Lima</v>
      </c>
      <c r="AC312" s="14">
        <v>7</v>
      </c>
      <c r="AD312" s="16" t="s">
        <v>756</v>
      </c>
      <c r="AE312" s="15" t="s">
        <v>87</v>
      </c>
      <c r="AF312" s="42" t="str">
        <f t="shared" si="4"/>
        <v>P007</v>
      </c>
    </row>
    <row r="313" spans="1:32" ht="28.8" hidden="1" x14ac:dyDescent="0.3">
      <c r="A313" s="12" t="e" cm="1">
        <f t="array" aca="1" ref="A313" ca="1">IF(STAT[[#This Row],[retranca]]="","",       RegxFunc(STAT[[#This Row],[retranca]],  "\w\d{4}\w*_\d")     )</f>
        <v>#NAME?</v>
      </c>
      <c r="B313" s="33" t="s">
        <v>782</v>
      </c>
      <c r="C313" s="14" t="s">
        <v>8</v>
      </c>
      <c r="D313" s="15" t="s">
        <v>9</v>
      </c>
      <c r="E313" s="15" t="s">
        <v>10</v>
      </c>
      <c r="F313" s="15">
        <v>105</v>
      </c>
      <c r="G313" s="15">
        <v>4</v>
      </c>
      <c r="H313" s="14">
        <v>12</v>
      </c>
      <c r="I313" s="14">
        <v>12</v>
      </c>
      <c r="J313" s="17" t="s">
        <v>55</v>
      </c>
      <c r="K313" s="36"/>
      <c r="L313" s="14"/>
      <c r="M313" s="14"/>
      <c r="N313" s="14"/>
      <c r="O313" s="14"/>
      <c r="P313" s="25" t="s">
        <v>783</v>
      </c>
      <c r="Q313" s="16"/>
      <c r="R313" s="16"/>
      <c r="S313" s="14">
        <v>37</v>
      </c>
      <c r="T313" s="27">
        <v>45853</v>
      </c>
      <c r="U313" s="20"/>
      <c r="V313" s="20"/>
      <c r="W313" s="20"/>
      <c r="X313" s="20"/>
      <c r="Y313" s="20"/>
      <c r="Z313" s="40" t="str">
        <f>IF(STAT[[#This Row],[sigla]]="","",VLOOKUP(STAT[[#This Row],[sigla]],CRÉDITOS_GERAIS[[sigla]:[credito]],2,))</f>
        <v/>
      </c>
      <c r="AA313" s="20"/>
      <c r="AB313" s="14" t="str">
        <f>STAT[[#This Row],[ilustrador]]</f>
        <v/>
      </c>
      <c r="AC313" s="14"/>
      <c r="AD313" s="16" t="s">
        <v>784</v>
      </c>
      <c r="AE313" s="15"/>
      <c r="AF313" s="42" t="str">
        <f t="shared" si="4"/>
        <v>P007</v>
      </c>
    </row>
    <row r="314" spans="1:32" ht="43.2" hidden="1" x14ac:dyDescent="0.3">
      <c r="A314" s="12" t="e" cm="1">
        <f t="array" aca="1" ref="A314" ca="1">IF(STAT[[#This Row],[retranca]]="","",       RegxFunc(STAT[[#This Row],[retranca]],  "\w\d{4}\w*_\d")     )</f>
        <v>#NAME?</v>
      </c>
      <c r="B314" s="21" t="s">
        <v>785</v>
      </c>
      <c r="C314" s="14" t="s">
        <v>122</v>
      </c>
      <c r="D314" s="15" t="s">
        <v>9</v>
      </c>
      <c r="E314" s="15" t="s">
        <v>10</v>
      </c>
      <c r="F314" s="14">
        <v>106</v>
      </c>
      <c r="G314" s="15">
        <v>4</v>
      </c>
      <c r="H314" s="14">
        <v>12</v>
      </c>
      <c r="I314" s="14">
        <v>12</v>
      </c>
      <c r="J314" s="17" t="s">
        <v>55</v>
      </c>
      <c r="K314" s="36"/>
      <c r="L314" s="14"/>
      <c r="M314" s="14"/>
      <c r="N314" s="14"/>
      <c r="O314" s="14"/>
      <c r="P314" s="25" t="s">
        <v>786</v>
      </c>
      <c r="Q314" s="22"/>
      <c r="R314" s="25"/>
      <c r="S314" s="14">
        <v>37</v>
      </c>
      <c r="T314" s="27">
        <v>45853</v>
      </c>
      <c r="U314" s="27">
        <v>45855</v>
      </c>
      <c r="V314" s="27"/>
      <c r="W314" s="27"/>
      <c r="X314" s="27">
        <v>45859</v>
      </c>
      <c r="Y314" s="14" t="s">
        <v>755</v>
      </c>
      <c r="Z314" s="40" t="str">
        <f>IF(STAT[[#This Row],[sigla]]="","",VLOOKUP(STAT[[#This Row],[sigla]],CRÉDITOS_GERAIS[[sigla]:[credito]],2,))</f>
        <v>Sergio Lima</v>
      </c>
      <c r="AA314" s="14"/>
      <c r="AB314" s="14" t="str">
        <f>STAT[[#This Row],[ilustrador]]</f>
        <v>Sergio Lima</v>
      </c>
      <c r="AC314" s="14">
        <v>8</v>
      </c>
      <c r="AD314" s="22" t="s">
        <v>756</v>
      </c>
      <c r="AE314" s="15" t="s">
        <v>87</v>
      </c>
      <c r="AF314" s="42" t="str">
        <f t="shared" si="4"/>
        <v>P007</v>
      </c>
    </row>
    <row r="315" spans="1:32" hidden="1" x14ac:dyDescent="0.3">
      <c r="A315" s="12" t="e" cm="1">
        <f t="array" aca="1" ref="A315" ca="1">IF(STAT[[#This Row],[retranca]]="","",       RegxFunc(STAT[[#This Row],[retranca]],  "\w\d{4}\w*_\d")     )</f>
        <v>#NAME?</v>
      </c>
      <c r="B315" s="21" t="s">
        <v>787</v>
      </c>
      <c r="C315" s="14" t="s">
        <v>72</v>
      </c>
      <c r="D315" s="15" t="s">
        <v>9</v>
      </c>
      <c r="E315" s="15" t="s">
        <v>10</v>
      </c>
      <c r="F315" s="14">
        <v>108</v>
      </c>
      <c r="G315" s="15">
        <v>4</v>
      </c>
      <c r="H315" s="14">
        <v>12</v>
      </c>
      <c r="I315" s="14">
        <v>12</v>
      </c>
      <c r="J315" s="17" t="s">
        <v>55</v>
      </c>
      <c r="K315" s="36"/>
      <c r="L315" s="14"/>
      <c r="M315" s="14"/>
      <c r="N315" s="14"/>
      <c r="O315" s="14"/>
      <c r="P315" s="25" t="s">
        <v>788</v>
      </c>
      <c r="Q315" s="22"/>
      <c r="R315" s="25"/>
      <c r="S315" s="14">
        <v>37</v>
      </c>
      <c r="T315" s="27">
        <v>45853</v>
      </c>
      <c r="U315" s="27">
        <v>45855</v>
      </c>
      <c r="V315" s="27"/>
      <c r="W315" s="27"/>
      <c r="X315" s="27">
        <v>45860</v>
      </c>
      <c r="Y315" s="14" t="s">
        <v>755</v>
      </c>
      <c r="Z315" s="40" t="str">
        <f>IF(STAT[[#This Row],[sigla]]="","",VLOOKUP(STAT[[#This Row],[sigla]],CRÉDITOS_GERAIS[[sigla]:[credito]],2,))</f>
        <v>Sergio Lima</v>
      </c>
      <c r="AA315" s="14"/>
      <c r="AB315" s="14" t="str">
        <f>STAT[[#This Row],[ilustrador]]</f>
        <v>Sergio Lima</v>
      </c>
      <c r="AC315" s="14">
        <v>7</v>
      </c>
      <c r="AD315" s="22" t="s">
        <v>756</v>
      </c>
      <c r="AE315" s="15" t="s">
        <v>87</v>
      </c>
      <c r="AF315" s="42" t="str">
        <f t="shared" si="4"/>
        <v>P007</v>
      </c>
    </row>
    <row r="316" spans="1:32" ht="72" hidden="1" x14ac:dyDescent="0.3">
      <c r="A316" s="12" t="e" cm="1">
        <f t="array" aca="1" ref="A316" ca="1">IF(STAT[[#This Row],[retranca]]="","",       RegxFunc(STAT[[#This Row],[retranca]],  "\w\d{4}\w*_\d")     )</f>
        <v>#NAME?</v>
      </c>
      <c r="B316" s="21" t="s">
        <v>789</v>
      </c>
      <c r="C316" s="14" t="s">
        <v>72</v>
      </c>
      <c r="D316" s="15" t="s">
        <v>9</v>
      </c>
      <c r="E316" s="15" t="s">
        <v>10</v>
      </c>
      <c r="F316" s="14">
        <v>108</v>
      </c>
      <c r="G316" s="15">
        <v>4</v>
      </c>
      <c r="H316" s="14">
        <v>12</v>
      </c>
      <c r="I316" s="14">
        <v>12</v>
      </c>
      <c r="J316" s="17" t="s">
        <v>55</v>
      </c>
      <c r="K316" s="36"/>
      <c r="L316" s="14"/>
      <c r="M316" s="14"/>
      <c r="N316" s="14"/>
      <c r="O316" s="14"/>
      <c r="P316" s="25" t="s">
        <v>790</v>
      </c>
      <c r="Q316" s="22"/>
      <c r="R316" s="22"/>
      <c r="S316" s="14">
        <v>37</v>
      </c>
      <c r="T316" s="27">
        <v>45853</v>
      </c>
      <c r="U316" s="27">
        <v>45855</v>
      </c>
      <c r="V316" s="27"/>
      <c r="W316" s="27"/>
      <c r="X316" s="27">
        <v>45859</v>
      </c>
      <c r="Y316" s="14" t="s">
        <v>755</v>
      </c>
      <c r="Z316" s="40" t="str">
        <f>IF(STAT[[#This Row],[sigla]]="","",VLOOKUP(STAT[[#This Row],[sigla]],CRÉDITOS_GERAIS[[sigla]:[credito]],2,))</f>
        <v>Sergio Lima</v>
      </c>
      <c r="AA316" s="14"/>
      <c r="AB316" s="14" t="str">
        <f>STAT[[#This Row],[ilustrador]]</f>
        <v>Sergio Lima</v>
      </c>
      <c r="AC316" s="14">
        <v>7</v>
      </c>
      <c r="AD316" s="22" t="s">
        <v>756</v>
      </c>
      <c r="AE316" s="15" t="s">
        <v>87</v>
      </c>
      <c r="AF316" s="42" t="str">
        <f t="shared" si="4"/>
        <v>P007</v>
      </c>
    </row>
    <row r="317" spans="1:32" hidden="1" x14ac:dyDescent="0.3">
      <c r="A317" s="12" t="e" cm="1">
        <f t="array" aca="1" ref="A317" ca="1">IF(STAT[[#This Row],[retranca]]="","",       RegxFunc(STAT[[#This Row],[retranca]],  "\w\d{4}\w*_\d")     )</f>
        <v>#NAME?</v>
      </c>
      <c r="B317" s="21" t="s">
        <v>791</v>
      </c>
      <c r="C317" s="14" t="s">
        <v>72</v>
      </c>
      <c r="D317" s="15" t="s">
        <v>143</v>
      </c>
      <c r="E317" s="15" t="s">
        <v>10</v>
      </c>
      <c r="F317" s="14">
        <v>109</v>
      </c>
      <c r="G317" s="15">
        <v>4</v>
      </c>
      <c r="H317" s="14">
        <v>12</v>
      </c>
      <c r="I317" s="14">
        <v>12</v>
      </c>
      <c r="J317" s="17" t="s">
        <v>55</v>
      </c>
      <c r="K317" s="36"/>
      <c r="L317" s="14"/>
      <c r="M317" s="14"/>
      <c r="N317" s="14"/>
      <c r="O317" s="14"/>
      <c r="P317" s="25" t="s">
        <v>792</v>
      </c>
      <c r="Q317" s="22"/>
      <c r="R317" s="22"/>
      <c r="S317" s="14">
        <v>37</v>
      </c>
      <c r="T317" s="27">
        <v>45853</v>
      </c>
      <c r="U317" s="27">
        <v>45855</v>
      </c>
      <c r="V317" s="27"/>
      <c r="W317" s="27"/>
      <c r="X317" s="27">
        <v>45859</v>
      </c>
      <c r="Y317" s="14" t="s">
        <v>755</v>
      </c>
      <c r="Z317" s="40" t="str">
        <f>IF(STAT[[#This Row],[sigla]]="","",VLOOKUP(STAT[[#This Row],[sigla]],CRÉDITOS_GERAIS[[sigla]:[credito]],2,))</f>
        <v>Sergio Lima</v>
      </c>
      <c r="AA317" s="14"/>
      <c r="AB317" s="14" t="str">
        <f>STAT[[#This Row],[ilustrador]]</f>
        <v>Sergio Lima</v>
      </c>
      <c r="AC317" s="14">
        <v>7</v>
      </c>
      <c r="AD317" s="22" t="s">
        <v>756</v>
      </c>
      <c r="AE317" s="15" t="s">
        <v>87</v>
      </c>
      <c r="AF317" s="42" t="str">
        <f t="shared" si="4"/>
        <v>P007</v>
      </c>
    </row>
    <row r="318" spans="1:32" ht="43.2" hidden="1" x14ac:dyDescent="0.3">
      <c r="A318" s="12" t="e" cm="1">
        <f t="array" aca="1" ref="A318" ca="1">IF(STAT[[#This Row],[retranca]]="","",       RegxFunc(STAT[[#This Row],[retranca]],  "\w\d{4}\w*_\d")     )</f>
        <v>#NAME?</v>
      </c>
      <c r="B318" s="21" t="s">
        <v>793</v>
      </c>
      <c r="C318" s="14" t="s">
        <v>72</v>
      </c>
      <c r="D318" s="15" t="s">
        <v>794</v>
      </c>
      <c r="E318" s="14" t="s">
        <v>10</v>
      </c>
      <c r="F318" s="14">
        <v>111</v>
      </c>
      <c r="G318" s="15">
        <v>4</v>
      </c>
      <c r="H318" s="14">
        <v>12</v>
      </c>
      <c r="I318" s="14">
        <v>12</v>
      </c>
      <c r="J318" s="17" t="s">
        <v>55</v>
      </c>
      <c r="K318" s="36"/>
      <c r="L318" s="14"/>
      <c r="M318" s="14"/>
      <c r="N318" s="14"/>
      <c r="O318" s="14"/>
      <c r="P318" s="25" t="s">
        <v>795</v>
      </c>
      <c r="Q318" s="22"/>
      <c r="R318" s="22"/>
      <c r="S318" s="14">
        <v>37</v>
      </c>
      <c r="T318" s="27">
        <v>45853</v>
      </c>
      <c r="U318" s="27">
        <v>45855</v>
      </c>
      <c r="V318" s="27"/>
      <c r="W318" s="27"/>
      <c r="X318" s="27">
        <v>45859</v>
      </c>
      <c r="Y318" s="14" t="s">
        <v>755</v>
      </c>
      <c r="Z318" s="40" t="str">
        <f>IF(STAT[[#This Row],[sigla]]="","",VLOOKUP(STAT[[#This Row],[sigla]],CRÉDITOS_GERAIS[[sigla]:[credito]],2,))</f>
        <v>Sergio Lima</v>
      </c>
      <c r="AA318" s="14"/>
      <c r="AB318" s="14" t="str">
        <f>STAT[[#This Row],[ilustrador]]</f>
        <v>Sergio Lima</v>
      </c>
      <c r="AC318" s="14">
        <v>12</v>
      </c>
      <c r="AD318" s="22" t="s">
        <v>756</v>
      </c>
      <c r="AE318" s="15" t="s">
        <v>87</v>
      </c>
      <c r="AF318" s="42" t="str">
        <f t="shared" si="4"/>
        <v>P007</v>
      </c>
    </row>
    <row r="319" spans="1:32" hidden="1" x14ac:dyDescent="0.3">
      <c r="A319" s="12" t="e" cm="1">
        <f t="array" aca="1" ref="A319" ca="1">IF(STAT[[#This Row],[retranca]]="","",       RegxFunc(STAT[[#This Row],[retranca]],  "\w\d{4}\w*_\d")     )</f>
        <v>#NAME?</v>
      </c>
      <c r="B319" s="21" t="s">
        <v>796</v>
      </c>
      <c r="C319" s="14" t="s">
        <v>72</v>
      </c>
      <c r="D319" s="14" t="s">
        <v>532</v>
      </c>
      <c r="E319" s="14" t="s">
        <v>10</v>
      </c>
      <c r="F319" s="14">
        <v>113</v>
      </c>
      <c r="G319" s="15">
        <v>4</v>
      </c>
      <c r="H319" s="14">
        <v>12</v>
      </c>
      <c r="I319" s="14">
        <v>12</v>
      </c>
      <c r="J319" s="17" t="s">
        <v>55</v>
      </c>
      <c r="K319" s="36"/>
      <c r="L319" s="14"/>
      <c r="M319" s="14"/>
      <c r="N319" s="14"/>
      <c r="O319" s="14"/>
      <c r="P319" s="25" t="s">
        <v>797</v>
      </c>
      <c r="Q319" s="22"/>
      <c r="R319" s="22"/>
      <c r="S319" s="14">
        <v>37</v>
      </c>
      <c r="T319" s="27">
        <v>45853</v>
      </c>
      <c r="U319" s="27">
        <v>45855</v>
      </c>
      <c r="V319" s="27"/>
      <c r="W319" s="27"/>
      <c r="X319" s="27">
        <v>45859</v>
      </c>
      <c r="Y319" s="14" t="s">
        <v>755</v>
      </c>
      <c r="Z319" s="40" t="str">
        <f>IF(STAT[[#This Row],[sigla]]="","",VLOOKUP(STAT[[#This Row],[sigla]],CRÉDITOS_GERAIS[[sigla]:[credito]],2,))</f>
        <v>Sergio Lima</v>
      </c>
      <c r="AA319" s="14"/>
      <c r="AB319" s="14" t="str">
        <f>STAT[[#This Row],[ilustrador]]</f>
        <v>Sergio Lima</v>
      </c>
      <c r="AC319" s="14">
        <v>8</v>
      </c>
      <c r="AD319" s="22" t="s">
        <v>756</v>
      </c>
      <c r="AE319" s="15" t="s">
        <v>87</v>
      </c>
      <c r="AF319" s="42" t="str">
        <f t="shared" si="4"/>
        <v>P007</v>
      </c>
    </row>
    <row r="320" spans="1:32" hidden="1" x14ac:dyDescent="0.3">
      <c r="A320" s="12" t="e" cm="1">
        <f t="array" aca="1" ref="A320" ca="1">IF(STAT[[#This Row],[retranca]]="","",       RegxFunc(STAT[[#This Row],[retranca]],  "\w\d{4}\w*_\d")     )</f>
        <v>#NAME?</v>
      </c>
      <c r="B320" s="21" t="s">
        <v>798</v>
      </c>
      <c r="C320" s="14" t="s">
        <v>72</v>
      </c>
      <c r="D320" s="14" t="s">
        <v>532</v>
      </c>
      <c r="E320" s="14" t="s">
        <v>10</v>
      </c>
      <c r="F320" s="14">
        <v>113</v>
      </c>
      <c r="G320" s="15">
        <v>4</v>
      </c>
      <c r="H320" s="14">
        <v>12</v>
      </c>
      <c r="I320" s="14">
        <v>12</v>
      </c>
      <c r="J320" s="17" t="s">
        <v>55</v>
      </c>
      <c r="K320" s="36"/>
      <c r="L320" s="14"/>
      <c r="M320" s="14"/>
      <c r="N320" s="14"/>
      <c r="O320" s="14"/>
      <c r="P320" s="25" t="s">
        <v>799</v>
      </c>
      <c r="Q320" s="22"/>
      <c r="R320" s="22"/>
      <c r="S320" s="14">
        <v>37</v>
      </c>
      <c r="T320" s="27">
        <v>45853</v>
      </c>
      <c r="U320" s="27">
        <v>45855</v>
      </c>
      <c r="V320" s="27"/>
      <c r="W320" s="27"/>
      <c r="X320" s="27">
        <v>45859</v>
      </c>
      <c r="Y320" s="14" t="s">
        <v>755</v>
      </c>
      <c r="Z320" s="40" t="str">
        <f>IF(STAT[[#This Row],[sigla]]="","",VLOOKUP(STAT[[#This Row],[sigla]],CRÉDITOS_GERAIS[[sigla]:[credito]],2,))</f>
        <v>Sergio Lima</v>
      </c>
      <c r="AA320" s="14"/>
      <c r="AB320" s="14" t="str">
        <f>STAT[[#This Row],[ilustrador]]</f>
        <v>Sergio Lima</v>
      </c>
      <c r="AC320" s="14">
        <v>8</v>
      </c>
      <c r="AD320" s="22" t="s">
        <v>756</v>
      </c>
      <c r="AE320" s="15" t="s">
        <v>87</v>
      </c>
      <c r="AF320" s="42" t="str">
        <f t="shared" si="4"/>
        <v>P007</v>
      </c>
    </row>
    <row r="321" spans="1:32" hidden="1" x14ac:dyDescent="0.3">
      <c r="A321" s="12" t="e" cm="1">
        <f t="array" aca="1" ref="A321" ca="1">IF(STAT[[#This Row],[retranca]]="","",       RegxFunc(STAT[[#This Row],[retranca]],  "\w\d{4}\w*_\d")     )</f>
        <v>#NAME?</v>
      </c>
      <c r="B321" s="21" t="s">
        <v>800</v>
      </c>
      <c r="C321" s="14" t="s">
        <v>72</v>
      </c>
      <c r="D321" s="14" t="s">
        <v>532</v>
      </c>
      <c r="E321" s="14" t="s">
        <v>10</v>
      </c>
      <c r="F321" s="14">
        <v>113</v>
      </c>
      <c r="G321" s="15">
        <v>4</v>
      </c>
      <c r="H321" s="14">
        <v>12</v>
      </c>
      <c r="I321" s="14">
        <v>12</v>
      </c>
      <c r="J321" s="17" t="s">
        <v>55</v>
      </c>
      <c r="K321" s="36"/>
      <c r="L321" s="14"/>
      <c r="M321" s="14"/>
      <c r="N321" s="14"/>
      <c r="O321" s="14"/>
      <c r="P321" s="25" t="s">
        <v>801</v>
      </c>
      <c r="Q321" s="22"/>
      <c r="R321" s="22"/>
      <c r="S321" s="14">
        <v>37</v>
      </c>
      <c r="T321" s="27">
        <v>45853</v>
      </c>
      <c r="U321" s="27">
        <v>45855</v>
      </c>
      <c r="V321" s="27"/>
      <c r="W321" s="27"/>
      <c r="X321" s="27">
        <v>45859</v>
      </c>
      <c r="Y321" s="14" t="s">
        <v>755</v>
      </c>
      <c r="Z321" s="40" t="str">
        <f>IF(STAT[[#This Row],[sigla]]="","",VLOOKUP(STAT[[#This Row],[sigla]],CRÉDITOS_GERAIS[[sigla]:[credito]],2,))</f>
        <v>Sergio Lima</v>
      </c>
      <c r="AA321" s="14"/>
      <c r="AB321" s="14" t="str">
        <f>STAT[[#This Row],[ilustrador]]</f>
        <v>Sergio Lima</v>
      </c>
      <c r="AC321" s="14">
        <v>8</v>
      </c>
      <c r="AD321" s="22" t="s">
        <v>756</v>
      </c>
      <c r="AE321" s="15" t="s">
        <v>87</v>
      </c>
      <c r="AF321" s="42" t="str">
        <f t="shared" si="4"/>
        <v>P007</v>
      </c>
    </row>
    <row r="322" spans="1:32" hidden="1" x14ac:dyDescent="0.3">
      <c r="A322" s="12" t="e" cm="1">
        <f t="array" aca="1" ref="A322" ca="1">IF(STAT[[#This Row],[retranca]]="","",       RegxFunc(STAT[[#This Row],[retranca]],  "\w\d{4}\w*_\d")     )</f>
        <v>#NAME?</v>
      </c>
      <c r="B322" s="21" t="s">
        <v>802</v>
      </c>
      <c r="C322" s="14" t="s">
        <v>72</v>
      </c>
      <c r="D322" s="14" t="s">
        <v>532</v>
      </c>
      <c r="E322" s="14" t="s">
        <v>10</v>
      </c>
      <c r="F322" s="14">
        <v>113</v>
      </c>
      <c r="G322" s="15">
        <v>4</v>
      </c>
      <c r="H322" s="14">
        <v>12</v>
      </c>
      <c r="I322" s="14">
        <v>12</v>
      </c>
      <c r="J322" s="17" t="s">
        <v>55</v>
      </c>
      <c r="K322" s="36"/>
      <c r="L322" s="14"/>
      <c r="M322" s="14"/>
      <c r="N322" s="14"/>
      <c r="O322" s="14"/>
      <c r="P322" s="25" t="s">
        <v>803</v>
      </c>
      <c r="Q322" s="22"/>
      <c r="R322" s="22"/>
      <c r="S322" s="14">
        <v>37</v>
      </c>
      <c r="T322" s="27">
        <v>45853</v>
      </c>
      <c r="U322" s="27">
        <v>45855</v>
      </c>
      <c r="V322" s="27"/>
      <c r="W322" s="27"/>
      <c r="X322" s="27">
        <v>45859</v>
      </c>
      <c r="Y322" s="14" t="s">
        <v>755</v>
      </c>
      <c r="Z322" s="40" t="str">
        <f>IF(STAT[[#This Row],[sigla]]="","",VLOOKUP(STAT[[#This Row],[sigla]],CRÉDITOS_GERAIS[[sigla]:[credito]],2,))</f>
        <v>Sergio Lima</v>
      </c>
      <c r="AA322" s="14"/>
      <c r="AB322" s="14" t="str">
        <f>STAT[[#This Row],[ilustrador]]</f>
        <v>Sergio Lima</v>
      </c>
      <c r="AC322" s="14">
        <v>8</v>
      </c>
      <c r="AD322" s="22" t="s">
        <v>756</v>
      </c>
      <c r="AE322" s="15" t="s">
        <v>87</v>
      </c>
      <c r="AF322" s="42" t="str">
        <f t="shared" ref="AF322:AF385" si="5">"P007"</f>
        <v>P007</v>
      </c>
    </row>
    <row r="323" spans="1:32" ht="43.2" hidden="1" x14ac:dyDescent="0.3">
      <c r="A323" s="12" t="e" cm="1">
        <f t="array" aca="1" ref="A323" ca="1">IF(STAT[[#This Row],[retranca]]="","",       RegxFunc(STAT[[#This Row],[retranca]],  "\w\d{4}\w*_\d")     )</f>
        <v>#NAME?</v>
      </c>
      <c r="B323" s="21" t="s">
        <v>804</v>
      </c>
      <c r="C323" s="14" t="s">
        <v>72</v>
      </c>
      <c r="D323" s="14" t="s">
        <v>794</v>
      </c>
      <c r="E323" s="14" t="s">
        <v>10</v>
      </c>
      <c r="F323" s="14">
        <v>114</v>
      </c>
      <c r="G323" s="14">
        <v>4</v>
      </c>
      <c r="H323" s="14">
        <v>12</v>
      </c>
      <c r="I323" s="14">
        <v>12</v>
      </c>
      <c r="J323" s="28" t="s">
        <v>55</v>
      </c>
      <c r="K323" s="36"/>
      <c r="L323" s="14"/>
      <c r="M323" s="14"/>
      <c r="N323" s="14"/>
      <c r="O323" s="14"/>
      <c r="P323" s="25" t="s">
        <v>805</v>
      </c>
      <c r="Q323" s="22"/>
      <c r="R323" s="22"/>
      <c r="S323" s="14">
        <v>37</v>
      </c>
      <c r="T323" s="27">
        <v>45853</v>
      </c>
      <c r="U323" s="27">
        <v>45855</v>
      </c>
      <c r="V323" s="27"/>
      <c r="W323" s="27"/>
      <c r="X323" s="27">
        <v>45859</v>
      </c>
      <c r="Y323" s="14" t="s">
        <v>755</v>
      </c>
      <c r="Z323" s="40" t="str">
        <f>IF(STAT[[#This Row],[sigla]]="","",VLOOKUP(STAT[[#This Row],[sigla]],CRÉDITOS_GERAIS[[sigla]:[credito]],2,))</f>
        <v>Sergio Lima</v>
      </c>
      <c r="AA323" s="14"/>
      <c r="AB323" s="14" t="str">
        <f>STAT[[#This Row],[ilustrador]]</f>
        <v>Sergio Lima</v>
      </c>
      <c r="AC323" s="14">
        <v>12</v>
      </c>
      <c r="AD323" s="22" t="s">
        <v>756</v>
      </c>
      <c r="AE323" s="15" t="s">
        <v>87</v>
      </c>
      <c r="AF323" s="42" t="str">
        <f t="shared" si="5"/>
        <v>P007</v>
      </c>
    </row>
    <row r="324" spans="1:32" hidden="1" x14ac:dyDescent="0.3">
      <c r="A324" s="12" t="e" cm="1">
        <f t="array" aca="1" ref="A324" ca="1">IF(STAT[[#This Row],[retranca]]="","",       RegxFunc(STAT[[#This Row],[retranca]],  "\w\d{4}\w*_\d")     )</f>
        <v>#NAME?</v>
      </c>
      <c r="B324" s="21" t="s">
        <v>806</v>
      </c>
      <c r="C324" s="14" t="s">
        <v>72</v>
      </c>
      <c r="D324" s="14" t="s">
        <v>532</v>
      </c>
      <c r="E324" s="14" t="s">
        <v>10</v>
      </c>
      <c r="F324" s="14">
        <v>3</v>
      </c>
      <c r="G324" s="14">
        <v>4</v>
      </c>
      <c r="H324" s="14">
        <v>12</v>
      </c>
      <c r="I324" s="14" t="s">
        <v>296</v>
      </c>
      <c r="J324" s="28" t="s">
        <v>55</v>
      </c>
      <c r="K324" s="36"/>
      <c r="L324" s="14"/>
      <c r="M324" s="14"/>
      <c r="N324" s="14"/>
      <c r="O324" s="14"/>
      <c r="P324" s="25" t="s">
        <v>807</v>
      </c>
      <c r="Q324" s="22"/>
      <c r="R324" s="22"/>
      <c r="S324" s="14">
        <v>37</v>
      </c>
      <c r="T324" s="27">
        <v>45853</v>
      </c>
      <c r="U324" s="27">
        <v>45855</v>
      </c>
      <c r="V324" s="27"/>
      <c r="W324" s="27"/>
      <c r="X324" s="27">
        <v>45859</v>
      </c>
      <c r="Y324" s="14" t="s">
        <v>755</v>
      </c>
      <c r="Z324" s="40" t="str">
        <f>IF(STAT[[#This Row],[sigla]]="","",VLOOKUP(STAT[[#This Row],[sigla]],CRÉDITOS_GERAIS[[sigla]:[credito]],2,))</f>
        <v>Sergio Lima</v>
      </c>
      <c r="AA324" s="14"/>
      <c r="AB324" s="14" t="str">
        <f>STAT[[#This Row],[ilustrador]]</f>
        <v>Sergio Lima</v>
      </c>
      <c r="AC324" s="14">
        <v>8</v>
      </c>
      <c r="AD324" s="22" t="s">
        <v>756</v>
      </c>
      <c r="AE324" s="15" t="s">
        <v>87</v>
      </c>
      <c r="AF324" s="42" t="str">
        <f t="shared" si="5"/>
        <v>P007</v>
      </c>
    </row>
    <row r="325" spans="1:32" hidden="1" x14ac:dyDescent="0.3">
      <c r="A325" s="12" t="e" cm="1">
        <f t="array" aca="1" ref="A325" ca="1">IF(STAT[[#This Row],[retranca]]="","",       RegxFunc(STAT[[#This Row],[retranca]],  "\w\d{4}\w*_\d")     )</f>
        <v>#NAME?</v>
      </c>
      <c r="B325" s="21" t="s">
        <v>808</v>
      </c>
      <c r="C325" s="14" t="s">
        <v>72</v>
      </c>
      <c r="D325" s="14" t="s">
        <v>532</v>
      </c>
      <c r="E325" s="14" t="s">
        <v>10</v>
      </c>
      <c r="F325" s="14">
        <v>3</v>
      </c>
      <c r="G325" s="14">
        <v>4</v>
      </c>
      <c r="H325" s="14">
        <v>12</v>
      </c>
      <c r="I325" s="14" t="s">
        <v>296</v>
      </c>
      <c r="J325" s="28" t="s">
        <v>55</v>
      </c>
      <c r="K325" s="36"/>
      <c r="L325" s="14"/>
      <c r="M325" s="14"/>
      <c r="N325" s="14"/>
      <c r="O325" s="14"/>
      <c r="P325" s="25" t="s">
        <v>809</v>
      </c>
      <c r="Q325" s="22"/>
      <c r="R325" s="22"/>
      <c r="S325" s="14">
        <v>37</v>
      </c>
      <c r="T325" s="27">
        <v>45853</v>
      </c>
      <c r="U325" s="27">
        <v>45855</v>
      </c>
      <c r="V325" s="27"/>
      <c r="W325" s="27"/>
      <c r="X325" s="27">
        <v>45859</v>
      </c>
      <c r="Y325" s="14" t="s">
        <v>755</v>
      </c>
      <c r="Z325" s="40" t="str">
        <f>IF(STAT[[#This Row],[sigla]]="","",VLOOKUP(STAT[[#This Row],[sigla]],CRÉDITOS_GERAIS[[sigla]:[credito]],2,))</f>
        <v>Sergio Lima</v>
      </c>
      <c r="AA325" s="14"/>
      <c r="AB325" s="14" t="str">
        <f>STAT[[#This Row],[ilustrador]]</f>
        <v>Sergio Lima</v>
      </c>
      <c r="AC325" s="14">
        <v>8</v>
      </c>
      <c r="AD325" s="22" t="s">
        <v>756</v>
      </c>
      <c r="AE325" s="15" t="s">
        <v>87</v>
      </c>
      <c r="AF325" s="42" t="str">
        <f t="shared" si="5"/>
        <v>P007</v>
      </c>
    </row>
    <row r="326" spans="1:32" hidden="1" x14ac:dyDescent="0.3">
      <c r="A326" s="12" t="e" cm="1">
        <f t="array" aca="1" ref="A326" ca="1">IF(STAT[[#This Row],[retranca]]="","",       RegxFunc(STAT[[#This Row],[retranca]],  "\w\d{4}\w*_\d")     )</f>
        <v>#NAME?</v>
      </c>
      <c r="B326" s="33" t="s">
        <v>810</v>
      </c>
      <c r="C326" s="14" t="s">
        <v>72</v>
      </c>
      <c r="D326" s="14" t="s">
        <v>532</v>
      </c>
      <c r="E326" s="14" t="s">
        <v>10</v>
      </c>
      <c r="F326" s="14">
        <v>3</v>
      </c>
      <c r="G326" s="14">
        <v>4</v>
      </c>
      <c r="H326" s="14">
        <v>12</v>
      </c>
      <c r="I326" s="14" t="s">
        <v>296</v>
      </c>
      <c r="J326" s="28" t="s">
        <v>55</v>
      </c>
      <c r="K326" s="36"/>
      <c r="L326" s="15"/>
      <c r="M326" s="15"/>
      <c r="N326" s="15"/>
      <c r="O326" s="14"/>
      <c r="P326" s="13" t="s">
        <v>811</v>
      </c>
      <c r="Q326" s="21"/>
      <c r="R326" s="16"/>
      <c r="S326" s="14">
        <v>37</v>
      </c>
      <c r="T326" s="27">
        <v>45853</v>
      </c>
      <c r="U326" s="46">
        <v>45855</v>
      </c>
      <c r="V326" s="20"/>
      <c r="W326" s="20"/>
      <c r="X326" s="46">
        <v>45859</v>
      </c>
      <c r="Y326" s="14" t="s">
        <v>755</v>
      </c>
      <c r="Z326" s="40" t="str">
        <f>IF(STAT[[#This Row],[sigla]]="","",VLOOKUP(STAT[[#This Row],[sigla]],CRÉDITOS_GERAIS[[sigla]:[credito]],2,))</f>
        <v>Sergio Lima</v>
      </c>
      <c r="AA326" s="14"/>
      <c r="AB326" s="14" t="str">
        <f>STAT[[#This Row],[ilustrador]]</f>
        <v>Sergio Lima</v>
      </c>
      <c r="AC326" s="14">
        <v>8</v>
      </c>
      <c r="AD326" s="16" t="s">
        <v>756</v>
      </c>
      <c r="AE326" s="15" t="s">
        <v>87</v>
      </c>
      <c r="AF326" s="42" t="str">
        <f t="shared" si="5"/>
        <v>P007</v>
      </c>
    </row>
    <row r="327" spans="1:32" hidden="1" x14ac:dyDescent="0.3">
      <c r="A327" s="12" t="e" cm="1">
        <f t="array" aca="1" ref="A327" ca="1">IF(STAT[[#This Row],[retranca]]="","",       RegxFunc(STAT[[#This Row],[retranca]],  "\w\d{4}\w*_\d")     )</f>
        <v>#NAME?</v>
      </c>
      <c r="B327" s="33" t="s">
        <v>812</v>
      </c>
      <c r="C327" s="14" t="s">
        <v>72</v>
      </c>
      <c r="D327" s="14" t="s">
        <v>532</v>
      </c>
      <c r="E327" s="14" t="s">
        <v>10</v>
      </c>
      <c r="F327" s="14">
        <v>3</v>
      </c>
      <c r="G327" s="14">
        <v>4</v>
      </c>
      <c r="H327" s="14">
        <v>12</v>
      </c>
      <c r="I327" s="14" t="s">
        <v>296</v>
      </c>
      <c r="J327" s="28" t="s">
        <v>55</v>
      </c>
      <c r="K327" s="36"/>
      <c r="L327" s="14"/>
      <c r="M327" s="14"/>
      <c r="N327" s="14"/>
      <c r="O327" s="14"/>
      <c r="P327" s="13" t="s">
        <v>813</v>
      </c>
      <c r="Q327" s="15"/>
      <c r="R327" s="22"/>
      <c r="S327" s="14">
        <v>37</v>
      </c>
      <c r="T327" s="27">
        <v>45853</v>
      </c>
      <c r="U327" s="18">
        <v>45855</v>
      </c>
      <c r="V327" s="20"/>
      <c r="W327" s="20"/>
      <c r="X327" s="18">
        <v>45859</v>
      </c>
      <c r="Y327" s="14" t="s">
        <v>755</v>
      </c>
      <c r="Z327" s="40" t="str">
        <f>IF(STAT[[#This Row],[sigla]]="","",VLOOKUP(STAT[[#This Row],[sigla]],CRÉDITOS_GERAIS[[sigla]:[credito]],2,))</f>
        <v>Sergio Lima</v>
      </c>
      <c r="AA327" s="15"/>
      <c r="AB327" s="14" t="str">
        <f>STAT[[#This Row],[ilustrador]]</f>
        <v>Sergio Lima</v>
      </c>
      <c r="AC327" s="14">
        <v>8</v>
      </c>
      <c r="AD327" s="15" t="s">
        <v>756</v>
      </c>
      <c r="AE327" s="15" t="s">
        <v>87</v>
      </c>
      <c r="AF327" s="42" t="str">
        <f t="shared" si="5"/>
        <v>P007</v>
      </c>
    </row>
    <row r="328" spans="1:32" hidden="1" x14ac:dyDescent="0.3">
      <c r="A328" s="12" t="e" cm="1">
        <f t="array" aca="1" ref="A328" ca="1">IF(STAT[[#This Row],[retranca]]="","",       RegxFunc(STAT[[#This Row],[retranca]],  "\w\d{4}\w*_\d")     )</f>
        <v>#NAME?</v>
      </c>
      <c r="B328" s="33" t="s">
        <v>814</v>
      </c>
      <c r="C328" s="14" t="s">
        <v>72</v>
      </c>
      <c r="D328" s="14" t="s">
        <v>532</v>
      </c>
      <c r="E328" s="14" t="s">
        <v>10</v>
      </c>
      <c r="F328" s="14">
        <v>3</v>
      </c>
      <c r="G328" s="14">
        <v>4</v>
      </c>
      <c r="H328" s="14">
        <v>12</v>
      </c>
      <c r="I328" s="14" t="s">
        <v>296</v>
      </c>
      <c r="J328" s="28" t="s">
        <v>55</v>
      </c>
      <c r="K328" s="36"/>
      <c r="L328" s="14"/>
      <c r="M328" s="14"/>
      <c r="N328" s="14"/>
      <c r="O328" s="14"/>
      <c r="P328" s="13" t="s">
        <v>815</v>
      </c>
      <c r="Q328" s="15"/>
      <c r="R328" s="22"/>
      <c r="S328" s="14">
        <v>37</v>
      </c>
      <c r="T328" s="27">
        <v>45853</v>
      </c>
      <c r="U328" s="18">
        <v>45855</v>
      </c>
      <c r="V328" s="20"/>
      <c r="W328" s="20"/>
      <c r="X328" s="18">
        <v>45859</v>
      </c>
      <c r="Y328" s="14" t="s">
        <v>755</v>
      </c>
      <c r="Z328" s="40" t="str">
        <f>IF(STAT[[#This Row],[sigla]]="","",VLOOKUP(STAT[[#This Row],[sigla]],CRÉDITOS_GERAIS[[sigla]:[credito]],2,))</f>
        <v>Sergio Lima</v>
      </c>
      <c r="AA328" s="15"/>
      <c r="AB328" s="14" t="str">
        <f>STAT[[#This Row],[ilustrador]]</f>
        <v>Sergio Lima</v>
      </c>
      <c r="AC328" s="14">
        <v>8</v>
      </c>
      <c r="AD328" s="15" t="s">
        <v>756</v>
      </c>
      <c r="AE328" s="15" t="s">
        <v>87</v>
      </c>
      <c r="AF328" s="42" t="str">
        <f t="shared" si="5"/>
        <v>P007</v>
      </c>
    </row>
    <row r="329" spans="1:32" ht="39.6" hidden="1" x14ac:dyDescent="0.3">
      <c r="A329" s="12" t="e" cm="1">
        <f t="array" aca="1" ref="A329" ca="1">IF(STAT[[#This Row],[retranca]]="","",       RegxFunc(STAT[[#This Row],[retranca]],  "\w\d{4}\w*_\d")     )</f>
        <v>#NAME?</v>
      </c>
      <c r="B329" s="33" t="s">
        <v>816</v>
      </c>
      <c r="C329" s="14" t="s">
        <v>72</v>
      </c>
      <c r="D329" s="14" t="s">
        <v>9</v>
      </c>
      <c r="E329" s="14" t="s">
        <v>10</v>
      </c>
      <c r="F329" s="14">
        <v>6</v>
      </c>
      <c r="G329" s="14">
        <v>4</v>
      </c>
      <c r="H329" s="14">
        <v>7</v>
      </c>
      <c r="I329" s="14">
        <v>7</v>
      </c>
      <c r="J329" s="28" t="s">
        <v>55</v>
      </c>
      <c r="K329" s="36"/>
      <c r="L329" s="14"/>
      <c r="M329" s="14"/>
      <c r="N329" s="14"/>
      <c r="O329" s="14"/>
      <c r="P329" s="13" t="s">
        <v>817</v>
      </c>
      <c r="Q329" s="15"/>
      <c r="R329" s="22"/>
      <c r="S329" s="15">
        <v>38</v>
      </c>
      <c r="T329" s="18">
        <v>45853</v>
      </c>
      <c r="U329" s="18">
        <v>45855</v>
      </c>
      <c r="V329" s="37">
        <v>45861</v>
      </c>
      <c r="W329" s="37">
        <v>45862</v>
      </c>
      <c r="X329" s="18">
        <v>45866</v>
      </c>
      <c r="Y329" s="14" t="s">
        <v>109</v>
      </c>
      <c r="Z329" s="40" t="str">
        <f>IF(STAT[[#This Row],[sigla]]="","",VLOOKUP(STAT[[#This Row],[sigla]],CRÉDITOS_GERAIS[[sigla]:[credito]],2,))</f>
        <v>Clarice Baracho</v>
      </c>
      <c r="AA329" s="15"/>
      <c r="AB329" s="14" t="str">
        <f>STAT[[#This Row],[ilustrador]]</f>
        <v>Clarice Baracho</v>
      </c>
      <c r="AC329" s="14">
        <v>6</v>
      </c>
      <c r="AD329" s="15" t="s">
        <v>818</v>
      </c>
      <c r="AE329" s="15" t="s">
        <v>87</v>
      </c>
      <c r="AF329" s="42" t="str">
        <f t="shared" si="5"/>
        <v>P007</v>
      </c>
    </row>
    <row r="330" spans="1:32" ht="79.2" hidden="1" x14ac:dyDescent="0.3">
      <c r="A330" s="12" t="e" cm="1">
        <f t="array" aca="1" ref="A330" ca="1">IF(STAT[[#This Row],[retranca]]="","",       RegxFunc(STAT[[#This Row],[retranca]],  "\w\d{4}\w*_\d")     )</f>
        <v>#NAME?</v>
      </c>
      <c r="B330" s="33" t="s">
        <v>819</v>
      </c>
      <c r="C330" s="14" t="s">
        <v>72</v>
      </c>
      <c r="D330" s="14" t="s">
        <v>9</v>
      </c>
      <c r="E330" s="14" t="s">
        <v>10</v>
      </c>
      <c r="F330" s="14">
        <v>8</v>
      </c>
      <c r="G330" s="14">
        <v>4</v>
      </c>
      <c r="H330" s="14">
        <v>7</v>
      </c>
      <c r="I330" s="14">
        <v>7</v>
      </c>
      <c r="J330" s="28" t="s">
        <v>55</v>
      </c>
      <c r="K330" s="36"/>
      <c r="L330" s="14"/>
      <c r="M330" s="14"/>
      <c r="N330" s="14"/>
      <c r="O330" s="14"/>
      <c r="P330" s="13" t="s">
        <v>820</v>
      </c>
      <c r="Q330" s="15"/>
      <c r="R330" s="22"/>
      <c r="S330" s="15">
        <v>38</v>
      </c>
      <c r="T330" s="18">
        <v>45853</v>
      </c>
      <c r="U330" s="18">
        <v>45855</v>
      </c>
      <c r="V330" s="37">
        <v>45861</v>
      </c>
      <c r="W330" s="37">
        <v>45862</v>
      </c>
      <c r="X330" s="18">
        <v>45866</v>
      </c>
      <c r="Y330" s="14" t="s">
        <v>109</v>
      </c>
      <c r="Z330" s="40" t="str">
        <f>IF(STAT[[#This Row],[sigla]]="","",VLOOKUP(STAT[[#This Row],[sigla]],CRÉDITOS_GERAIS[[sigla]:[credito]],2,))</f>
        <v>Clarice Baracho</v>
      </c>
      <c r="AA330" s="15"/>
      <c r="AB330" s="14" t="str">
        <f>STAT[[#This Row],[ilustrador]]</f>
        <v>Clarice Baracho</v>
      </c>
      <c r="AC330" s="14">
        <v>5</v>
      </c>
      <c r="AD330" s="15" t="s">
        <v>818</v>
      </c>
      <c r="AE330" s="15" t="s">
        <v>87</v>
      </c>
      <c r="AF330" s="42" t="str">
        <f t="shared" si="5"/>
        <v>P007</v>
      </c>
    </row>
    <row r="331" spans="1:32" ht="39.6" hidden="1" x14ac:dyDescent="0.3">
      <c r="A331" s="30" t="e" cm="1">
        <f t="array" aca="1" ref="A331" ca="1">IF(STAT[[#This Row],[retranca]]="","",       RegxFunc(STAT[[#This Row],[retranca]],  "\w\d{4}\w*_\d")     )</f>
        <v>#NAME?</v>
      </c>
      <c r="B331" s="33" t="s">
        <v>821</v>
      </c>
      <c r="C331" s="14" t="s">
        <v>72</v>
      </c>
      <c r="D331" s="14" t="s">
        <v>9</v>
      </c>
      <c r="E331" s="14" t="s">
        <v>10</v>
      </c>
      <c r="F331" s="14">
        <v>9</v>
      </c>
      <c r="G331" s="14">
        <v>4</v>
      </c>
      <c r="H331" s="14">
        <v>7</v>
      </c>
      <c r="I331" s="14">
        <v>7</v>
      </c>
      <c r="J331" s="28" t="s">
        <v>55</v>
      </c>
      <c r="K331" s="36"/>
      <c r="L331" s="31"/>
      <c r="M331" s="31"/>
      <c r="N331" s="31"/>
      <c r="O331" s="31"/>
      <c r="P331" s="13" t="s">
        <v>822</v>
      </c>
      <c r="Q331" s="25"/>
      <c r="R331" s="25"/>
      <c r="S331" s="15">
        <v>38</v>
      </c>
      <c r="T331" s="18">
        <v>45853</v>
      </c>
      <c r="U331" s="26">
        <v>45856</v>
      </c>
      <c r="V331" s="26">
        <v>45859</v>
      </c>
      <c r="W331" s="26">
        <v>45859</v>
      </c>
      <c r="X331" s="26">
        <v>45861</v>
      </c>
      <c r="Y331" s="31" t="s">
        <v>94</v>
      </c>
      <c r="Z331" s="41" t="str">
        <f>IF(STAT[[#This Row],[sigla]]="","",VLOOKUP(STAT[[#This Row],[sigla]],CRÉDITOS_GERAIS[[sigla]:[credito]],2,))</f>
        <v>Thais Castro</v>
      </c>
      <c r="AA331" s="31"/>
      <c r="AB331" s="14" t="str">
        <f>STAT[[#This Row],[ilustrador]]</f>
        <v>Thais Castro</v>
      </c>
      <c r="AC331" s="31">
        <v>5</v>
      </c>
      <c r="AD331" s="25" t="s">
        <v>823</v>
      </c>
      <c r="AE331" s="15" t="s">
        <v>87</v>
      </c>
      <c r="AF331" s="49" t="str">
        <f t="shared" si="5"/>
        <v>P007</v>
      </c>
    </row>
    <row r="332" spans="1:32" ht="184.8" hidden="1" x14ac:dyDescent="0.3">
      <c r="A332" s="30" t="e" cm="1">
        <f t="array" aca="1" ref="A332" ca="1">IF(STAT[[#This Row],[retranca]]="","",       RegxFunc(STAT[[#This Row],[retranca]],  "\w\d{4}\w*_\d")     )</f>
        <v>#NAME?</v>
      </c>
      <c r="B332" s="33" t="s">
        <v>824</v>
      </c>
      <c r="C332" s="14" t="s">
        <v>72</v>
      </c>
      <c r="D332" s="14" t="s">
        <v>9</v>
      </c>
      <c r="E332" s="14" t="s">
        <v>10</v>
      </c>
      <c r="F332" s="14">
        <v>17</v>
      </c>
      <c r="G332" s="14">
        <v>4</v>
      </c>
      <c r="H332" s="14">
        <v>7</v>
      </c>
      <c r="I332" s="14">
        <v>7</v>
      </c>
      <c r="J332" s="28" t="s">
        <v>55</v>
      </c>
      <c r="K332" s="36"/>
      <c r="L332" s="31"/>
      <c r="M332" s="31"/>
      <c r="N332" s="31"/>
      <c r="O332" s="31"/>
      <c r="P332" s="13" t="s">
        <v>825</v>
      </c>
      <c r="Q332" s="25"/>
      <c r="R332" s="25"/>
      <c r="S332" s="15">
        <v>38</v>
      </c>
      <c r="T332" s="18">
        <v>45853</v>
      </c>
      <c r="U332" s="26">
        <v>45856</v>
      </c>
      <c r="V332" s="26">
        <v>45859</v>
      </c>
      <c r="W332" s="26">
        <v>45859</v>
      </c>
      <c r="X332" s="26">
        <v>45861</v>
      </c>
      <c r="Y332" s="31" t="s">
        <v>94</v>
      </c>
      <c r="Z332" s="41" t="str">
        <f>IF(STAT[[#This Row],[sigla]]="","",VLOOKUP(STAT[[#This Row],[sigla]],CRÉDITOS_GERAIS[[sigla]:[credito]],2,))</f>
        <v>Thais Castro</v>
      </c>
      <c r="AA332" s="31"/>
      <c r="AB332" s="14" t="str">
        <f>STAT[[#This Row],[ilustrador]]</f>
        <v>Thais Castro</v>
      </c>
      <c r="AC332" s="31">
        <v>3</v>
      </c>
      <c r="AD332" s="25" t="s">
        <v>823</v>
      </c>
      <c r="AE332" s="15" t="s">
        <v>87</v>
      </c>
      <c r="AF332" s="49" t="str">
        <f t="shared" si="5"/>
        <v>P007</v>
      </c>
    </row>
    <row r="333" spans="1:32" ht="79.2" hidden="1" x14ac:dyDescent="0.3">
      <c r="A333" s="30" t="e" cm="1">
        <f t="array" aca="1" ref="A333" ca="1">IF(STAT[[#This Row],[retranca]]="","",       RegxFunc(STAT[[#This Row],[retranca]],  "\w\d{4}\w*_\d")     )</f>
        <v>#NAME?</v>
      </c>
      <c r="B333" s="33" t="s">
        <v>826</v>
      </c>
      <c r="C333" s="14" t="s">
        <v>72</v>
      </c>
      <c r="D333" s="14" t="s">
        <v>9</v>
      </c>
      <c r="E333" s="14" t="s">
        <v>10</v>
      </c>
      <c r="F333" s="14">
        <v>21</v>
      </c>
      <c r="G333" s="14">
        <v>4</v>
      </c>
      <c r="H333" s="14">
        <v>7</v>
      </c>
      <c r="I333" s="14">
        <v>7</v>
      </c>
      <c r="J333" s="28" t="s">
        <v>55</v>
      </c>
      <c r="K333" s="36"/>
      <c r="L333" s="31"/>
      <c r="M333" s="31"/>
      <c r="N333" s="31"/>
      <c r="O333" s="31"/>
      <c r="P333" s="13" t="s">
        <v>827</v>
      </c>
      <c r="Q333" s="25"/>
      <c r="R333" s="25"/>
      <c r="S333" s="15">
        <v>38</v>
      </c>
      <c r="T333" s="18">
        <v>45853</v>
      </c>
      <c r="U333" s="26">
        <v>45855</v>
      </c>
      <c r="V333" s="26">
        <v>45863</v>
      </c>
      <c r="W333" s="26">
        <v>45864</v>
      </c>
      <c r="X333" s="26">
        <v>45866</v>
      </c>
      <c r="Y333" s="31" t="s">
        <v>109</v>
      </c>
      <c r="Z333" s="41" t="str">
        <f>IF(STAT[[#This Row],[sigla]]="","",VLOOKUP(STAT[[#This Row],[sigla]],CRÉDITOS_GERAIS[[sigla]:[credito]],2,))</f>
        <v>Clarice Baracho</v>
      </c>
      <c r="AA333" s="31"/>
      <c r="AB333" s="14" t="str">
        <f>STAT[[#This Row],[ilustrador]]</f>
        <v>Clarice Baracho</v>
      </c>
      <c r="AC333" s="31">
        <v>5</v>
      </c>
      <c r="AD333" s="25" t="s">
        <v>818</v>
      </c>
      <c r="AE333" s="15" t="s">
        <v>87</v>
      </c>
      <c r="AF333" s="49" t="str">
        <f t="shared" si="5"/>
        <v>P007</v>
      </c>
    </row>
    <row r="334" spans="1:32" ht="79.2" hidden="1" x14ac:dyDescent="0.3">
      <c r="A334" s="30" t="e" cm="1">
        <f t="array" aca="1" ref="A334" ca="1">IF(STAT[[#This Row],[retranca]]="","",       RegxFunc(STAT[[#This Row],[retranca]],  "\w\d{4}\w*_\d")     )</f>
        <v>#NAME?</v>
      </c>
      <c r="B334" s="32" t="s">
        <v>828</v>
      </c>
      <c r="C334" s="14" t="s">
        <v>72</v>
      </c>
      <c r="D334" s="14" t="s">
        <v>9</v>
      </c>
      <c r="E334" s="14" t="s">
        <v>10</v>
      </c>
      <c r="F334" s="14">
        <v>1</v>
      </c>
      <c r="G334" s="14">
        <v>4</v>
      </c>
      <c r="H334" s="14">
        <v>7</v>
      </c>
      <c r="I334" s="14" t="s">
        <v>296</v>
      </c>
      <c r="J334" s="28" t="s">
        <v>55</v>
      </c>
      <c r="K334" s="36"/>
      <c r="L334" s="31"/>
      <c r="M334" s="31"/>
      <c r="N334" s="31"/>
      <c r="O334" s="31"/>
      <c r="P334" s="13" t="s">
        <v>829</v>
      </c>
      <c r="Q334" s="25"/>
      <c r="R334" s="25"/>
      <c r="S334" s="15">
        <v>38</v>
      </c>
      <c r="T334" s="18">
        <v>45853</v>
      </c>
      <c r="U334" s="26">
        <v>45856</v>
      </c>
      <c r="V334" s="26">
        <v>45859</v>
      </c>
      <c r="W334" s="26">
        <v>45859</v>
      </c>
      <c r="X334" s="26">
        <v>45861</v>
      </c>
      <c r="Y334" s="31" t="s">
        <v>94</v>
      </c>
      <c r="Z334" s="41" t="str">
        <f>IF(STAT[[#This Row],[sigla]]="","",VLOOKUP(STAT[[#This Row],[sigla]],CRÉDITOS_GERAIS[[sigla]:[credito]],2,))</f>
        <v>Thais Castro</v>
      </c>
      <c r="AA334" s="31"/>
      <c r="AB334" s="14" t="str">
        <f>STAT[[#This Row],[ilustrador]]</f>
        <v>Thais Castro</v>
      </c>
      <c r="AC334" s="31">
        <v>6</v>
      </c>
      <c r="AD334" s="25" t="s">
        <v>823</v>
      </c>
      <c r="AE334" s="15" t="s">
        <v>87</v>
      </c>
      <c r="AF334" s="49" t="str">
        <f t="shared" si="5"/>
        <v>P007</v>
      </c>
    </row>
    <row r="335" spans="1:32" ht="92.4" hidden="1" x14ac:dyDescent="0.3">
      <c r="A335" s="12" t="e" cm="1">
        <f t="array" aca="1" ref="A335" ca="1">IF(STAT[[#This Row],[retranca]]="","",       RegxFunc(STAT[[#This Row],[retranca]],  "\w\d{4}\w*_\d")     )</f>
        <v>#NAME?</v>
      </c>
      <c r="B335" s="21" t="s">
        <v>830</v>
      </c>
      <c r="C335" s="14" t="s">
        <v>72</v>
      </c>
      <c r="D335" s="14" t="s">
        <v>9</v>
      </c>
      <c r="E335" s="14" t="s">
        <v>10</v>
      </c>
      <c r="F335" s="14">
        <v>1</v>
      </c>
      <c r="G335" s="14">
        <v>4</v>
      </c>
      <c r="H335" s="14">
        <v>7</v>
      </c>
      <c r="I335" s="14" t="s">
        <v>296</v>
      </c>
      <c r="J335" s="28" t="s">
        <v>55</v>
      </c>
      <c r="K335" s="36"/>
      <c r="L335" s="14"/>
      <c r="M335" s="14"/>
      <c r="N335" s="14"/>
      <c r="O335" s="14"/>
      <c r="P335" s="13" t="s">
        <v>831</v>
      </c>
      <c r="Q335" s="21"/>
      <c r="R335" s="22"/>
      <c r="S335" s="15">
        <v>38</v>
      </c>
      <c r="T335" s="18">
        <v>45853</v>
      </c>
      <c r="U335" s="27">
        <v>45856</v>
      </c>
      <c r="V335" s="27">
        <v>45859</v>
      </c>
      <c r="W335" s="27">
        <v>45859</v>
      </c>
      <c r="X335" s="27">
        <v>45861</v>
      </c>
      <c r="Y335" s="14" t="s">
        <v>94</v>
      </c>
      <c r="Z335" s="40" t="str">
        <f>IF(STAT[[#This Row],[sigla]]="","",VLOOKUP(STAT[[#This Row],[sigla]],CRÉDITOS_GERAIS[[sigla]:[credito]],2,))</f>
        <v>Thais Castro</v>
      </c>
      <c r="AA335" s="14"/>
      <c r="AB335" s="14" t="str">
        <f>STAT[[#This Row],[ilustrador]]</f>
        <v>Thais Castro</v>
      </c>
      <c r="AC335" s="14">
        <v>6</v>
      </c>
      <c r="AD335" s="22" t="s">
        <v>823</v>
      </c>
      <c r="AE335" s="15" t="s">
        <v>87</v>
      </c>
      <c r="AF335" s="42" t="str">
        <f t="shared" si="5"/>
        <v>P007</v>
      </c>
    </row>
    <row r="336" spans="1:32" ht="92.4" hidden="1" x14ac:dyDescent="0.3">
      <c r="A336" s="30" t="e" cm="1">
        <f t="array" aca="1" ref="A336" ca="1">IF(STAT[[#This Row],[retranca]]="","",       RegxFunc(STAT[[#This Row],[retranca]],  "\w\d{4}\w*_\d")     )</f>
        <v>#NAME?</v>
      </c>
      <c r="B336" s="32" t="s">
        <v>832</v>
      </c>
      <c r="C336" s="14" t="s">
        <v>72</v>
      </c>
      <c r="D336" s="14" t="s">
        <v>9</v>
      </c>
      <c r="E336" s="14" t="s">
        <v>10</v>
      </c>
      <c r="F336" s="14">
        <v>1</v>
      </c>
      <c r="G336" s="14">
        <v>4</v>
      </c>
      <c r="H336" s="14">
        <v>7</v>
      </c>
      <c r="I336" s="14" t="s">
        <v>296</v>
      </c>
      <c r="J336" s="28" t="s">
        <v>55</v>
      </c>
      <c r="K336" s="36"/>
      <c r="L336" s="31"/>
      <c r="M336" s="31"/>
      <c r="N336" s="31"/>
      <c r="O336" s="31"/>
      <c r="P336" s="13" t="s">
        <v>833</v>
      </c>
      <c r="Q336" s="25"/>
      <c r="R336" s="25"/>
      <c r="S336" s="15">
        <v>38</v>
      </c>
      <c r="T336" s="18">
        <v>45853</v>
      </c>
      <c r="U336" s="26">
        <v>45856</v>
      </c>
      <c r="V336" s="26">
        <v>45859</v>
      </c>
      <c r="W336" s="26">
        <v>45859</v>
      </c>
      <c r="X336" s="26">
        <v>45861</v>
      </c>
      <c r="Y336" s="31" t="s">
        <v>94</v>
      </c>
      <c r="Z336" s="41" t="str">
        <f>IF(STAT[[#This Row],[sigla]]="","",VLOOKUP(STAT[[#This Row],[sigla]],CRÉDITOS_GERAIS[[sigla]:[credito]],2,))</f>
        <v>Thais Castro</v>
      </c>
      <c r="AA336" s="31"/>
      <c r="AB336" s="14" t="str">
        <f>STAT[[#This Row],[ilustrador]]</f>
        <v>Thais Castro</v>
      </c>
      <c r="AC336" s="31">
        <v>6</v>
      </c>
      <c r="AD336" s="25" t="s">
        <v>823</v>
      </c>
      <c r="AE336" s="15" t="s">
        <v>87</v>
      </c>
      <c r="AF336" s="49" t="str">
        <f t="shared" si="5"/>
        <v>P007</v>
      </c>
    </row>
    <row r="337" spans="1:32" ht="26.4" hidden="1" x14ac:dyDescent="0.3">
      <c r="A337" s="12" t="e" cm="1">
        <f t="array" aca="1" ref="A337" ca="1">IF(STAT[[#This Row],[retranca]]="","",       RegxFunc(STAT[[#This Row],[retranca]],  "\w\d{4}\w*_\d")     )</f>
        <v>#NAME?</v>
      </c>
      <c r="B337" s="21" t="s">
        <v>834</v>
      </c>
      <c r="C337" s="14" t="s">
        <v>122</v>
      </c>
      <c r="D337" s="14" t="s">
        <v>9</v>
      </c>
      <c r="E337" s="14" t="s">
        <v>10</v>
      </c>
      <c r="F337" s="14">
        <v>30</v>
      </c>
      <c r="G337" s="14">
        <v>4</v>
      </c>
      <c r="H337" s="14">
        <v>8</v>
      </c>
      <c r="I337" s="14">
        <v>8</v>
      </c>
      <c r="J337" s="28" t="s">
        <v>55</v>
      </c>
      <c r="K337" s="36"/>
      <c r="L337" s="14"/>
      <c r="M337" s="14"/>
      <c r="N337" s="14"/>
      <c r="O337" s="14"/>
      <c r="P337" s="13" t="s">
        <v>835</v>
      </c>
      <c r="Q337" s="21"/>
      <c r="R337" s="22"/>
      <c r="S337" s="14">
        <v>39</v>
      </c>
      <c r="T337" s="27">
        <v>45854</v>
      </c>
      <c r="U337" s="27">
        <v>45856</v>
      </c>
      <c r="V337" s="27">
        <v>45860</v>
      </c>
      <c r="W337" s="27">
        <v>45861</v>
      </c>
      <c r="X337" s="27">
        <v>45862</v>
      </c>
      <c r="Y337" s="14" t="s">
        <v>119</v>
      </c>
      <c r="Z337" s="40" t="str">
        <f>IF(STAT[[#This Row],[sigla]]="","",VLOOKUP(STAT[[#This Row],[sigla]],CRÉDITOS_GERAIS[[sigla]:[credito]],2,))</f>
        <v>Bianca Tavares</v>
      </c>
      <c r="AA337" s="14"/>
      <c r="AB337" s="14" t="str">
        <f>STAT[[#This Row],[ilustrador]]</f>
        <v>Bianca Tavares</v>
      </c>
      <c r="AC337" s="14">
        <v>4</v>
      </c>
      <c r="AD337" s="22" t="s">
        <v>836</v>
      </c>
      <c r="AE337" s="15" t="s">
        <v>87</v>
      </c>
      <c r="AF337" s="42" t="str">
        <f t="shared" si="5"/>
        <v>P007</v>
      </c>
    </row>
    <row r="338" spans="1:32" ht="92.4" hidden="1" x14ac:dyDescent="0.3">
      <c r="A338" s="30" t="e" cm="1">
        <f t="array" aca="1" ref="A338" ca="1">IF(STAT[[#This Row],[retranca]]="","",       RegxFunc(STAT[[#This Row],[retranca]],  "\w\d{4}\w*_\d")     )</f>
        <v>#NAME?</v>
      </c>
      <c r="B338" s="32" t="s">
        <v>837</v>
      </c>
      <c r="C338" s="14" t="s">
        <v>122</v>
      </c>
      <c r="D338" s="14" t="s">
        <v>9</v>
      </c>
      <c r="E338" s="14" t="s">
        <v>10</v>
      </c>
      <c r="F338" s="14">
        <v>31</v>
      </c>
      <c r="G338" s="14">
        <v>4</v>
      </c>
      <c r="H338" s="14">
        <v>8</v>
      </c>
      <c r="I338" s="14">
        <v>8</v>
      </c>
      <c r="J338" s="28" t="s">
        <v>55</v>
      </c>
      <c r="K338" s="36"/>
      <c r="L338" s="31"/>
      <c r="M338" s="31"/>
      <c r="N338" s="31"/>
      <c r="O338" s="31"/>
      <c r="P338" s="13" t="s">
        <v>838</v>
      </c>
      <c r="Q338" s="25"/>
      <c r="R338" s="25"/>
      <c r="S338" s="14">
        <v>39</v>
      </c>
      <c r="T338" s="27">
        <v>45854</v>
      </c>
      <c r="U338" s="26">
        <v>45856</v>
      </c>
      <c r="V338" s="26">
        <v>45860</v>
      </c>
      <c r="W338" s="26">
        <v>45861</v>
      </c>
      <c r="X338" s="26">
        <v>45862</v>
      </c>
      <c r="Y338" s="31" t="s">
        <v>119</v>
      </c>
      <c r="Z338" s="41" t="str">
        <f>IF(STAT[[#This Row],[sigla]]="","",VLOOKUP(STAT[[#This Row],[sigla]],CRÉDITOS_GERAIS[[sigla]:[credito]],2,))</f>
        <v>Bianca Tavares</v>
      </c>
      <c r="AA338" s="14"/>
      <c r="AB338" s="14" t="str">
        <f>STAT[[#This Row],[ilustrador]]</f>
        <v>Bianca Tavares</v>
      </c>
      <c r="AC338" s="14">
        <v>4</v>
      </c>
      <c r="AD338" s="14" t="s">
        <v>836</v>
      </c>
      <c r="AE338" s="15" t="s">
        <v>87</v>
      </c>
      <c r="AF338" s="49" t="str">
        <f t="shared" si="5"/>
        <v>P007</v>
      </c>
    </row>
    <row r="339" spans="1:32" ht="72" hidden="1" x14ac:dyDescent="0.3">
      <c r="A339" s="12" t="e" cm="1">
        <f t="array" aca="1" ref="A339" ca="1">IF(STAT[[#This Row],[retranca]]="","",       RegxFunc(STAT[[#This Row],[retranca]],  "\w\d{4}\w*_\d")     )</f>
        <v>#NAME?</v>
      </c>
      <c r="B339" s="21" t="s">
        <v>839</v>
      </c>
      <c r="C339" s="14" t="s">
        <v>122</v>
      </c>
      <c r="D339" s="14" t="s">
        <v>9</v>
      </c>
      <c r="E339" s="14" t="s">
        <v>10</v>
      </c>
      <c r="F339" s="14">
        <v>33</v>
      </c>
      <c r="G339" s="14">
        <v>4</v>
      </c>
      <c r="H339" s="14">
        <v>8</v>
      </c>
      <c r="I339" s="14">
        <v>8</v>
      </c>
      <c r="J339" s="28" t="s">
        <v>55</v>
      </c>
      <c r="K339" s="36"/>
      <c r="L339" s="14"/>
      <c r="M339" s="14"/>
      <c r="N339" s="14"/>
      <c r="O339" s="14"/>
      <c r="P339" s="25" t="s">
        <v>840</v>
      </c>
      <c r="Q339" s="21"/>
      <c r="R339" s="22"/>
      <c r="S339" s="14">
        <v>39</v>
      </c>
      <c r="T339" s="27">
        <v>45854</v>
      </c>
      <c r="U339" s="27">
        <v>45856</v>
      </c>
      <c r="V339" s="27">
        <v>45860</v>
      </c>
      <c r="W339" s="27">
        <v>45861</v>
      </c>
      <c r="X339" s="27">
        <v>45862</v>
      </c>
      <c r="Y339" s="14" t="s">
        <v>119</v>
      </c>
      <c r="Z339" s="40" t="str">
        <f>IF(STAT[[#This Row],[sigla]]="","",VLOOKUP(STAT[[#This Row],[sigla]],CRÉDITOS_GERAIS[[sigla]:[credito]],2,))</f>
        <v>Bianca Tavares</v>
      </c>
      <c r="AA339" s="14"/>
      <c r="AB339" s="14" t="str">
        <f>STAT[[#This Row],[ilustrador]]</f>
        <v>Bianca Tavares</v>
      </c>
      <c r="AC339" s="14">
        <v>3</v>
      </c>
      <c r="AD339" s="22" t="s">
        <v>836</v>
      </c>
      <c r="AE339" s="15" t="s">
        <v>87</v>
      </c>
      <c r="AF339" s="42" t="str">
        <f t="shared" si="5"/>
        <v>P007</v>
      </c>
    </row>
    <row r="340" spans="1:32" ht="100.8" hidden="1" x14ac:dyDescent="0.3">
      <c r="A340" s="12" t="e" cm="1">
        <f t="array" aca="1" ref="A340" ca="1">IF(STAT[[#This Row],[retranca]]="","",       RegxFunc(STAT[[#This Row],[retranca]],  "\w\d{4}\w*_\d")     )</f>
        <v>#NAME?</v>
      </c>
      <c r="B340" s="21" t="s">
        <v>841</v>
      </c>
      <c r="C340" s="14" t="s">
        <v>72</v>
      </c>
      <c r="D340" s="14" t="s">
        <v>9</v>
      </c>
      <c r="E340" s="14" t="s">
        <v>10</v>
      </c>
      <c r="F340" s="14">
        <v>34</v>
      </c>
      <c r="G340" s="14">
        <v>4</v>
      </c>
      <c r="H340" s="14">
        <v>8</v>
      </c>
      <c r="I340" s="14">
        <v>8</v>
      </c>
      <c r="J340" s="28" t="s">
        <v>55</v>
      </c>
      <c r="K340" s="36"/>
      <c r="L340" s="31"/>
      <c r="M340" s="31"/>
      <c r="N340" s="31"/>
      <c r="O340" s="14"/>
      <c r="P340" s="25" t="s">
        <v>842</v>
      </c>
      <c r="Q340" s="25"/>
      <c r="R340" s="22"/>
      <c r="S340" s="14">
        <v>39</v>
      </c>
      <c r="T340" s="27">
        <v>45854</v>
      </c>
      <c r="U340" s="27">
        <v>45856</v>
      </c>
      <c r="V340" s="27">
        <v>45860</v>
      </c>
      <c r="W340" s="27">
        <v>45860</v>
      </c>
      <c r="X340" s="27">
        <v>45862</v>
      </c>
      <c r="Y340" s="14" t="s">
        <v>84</v>
      </c>
      <c r="Z340" s="40" t="str">
        <f>IF(STAT[[#This Row],[sigla]]="","",VLOOKUP(STAT[[#This Row],[sigla]],CRÉDITOS_GERAIS[[sigla]:[credito]],2,))</f>
        <v>Gabriel Brum</v>
      </c>
      <c r="AA340" s="14"/>
      <c r="AB340" s="14" t="str">
        <f>STAT[[#This Row],[ilustrador]]</f>
        <v>Gabriel Brum</v>
      </c>
      <c r="AC340" s="14">
        <v>3</v>
      </c>
      <c r="AD340" s="22" t="s">
        <v>836</v>
      </c>
      <c r="AE340" s="15" t="s">
        <v>87</v>
      </c>
      <c r="AF340" s="42" t="str">
        <f t="shared" si="5"/>
        <v>P007</v>
      </c>
    </row>
    <row r="341" spans="1:32" ht="86.4" hidden="1" x14ac:dyDescent="0.3">
      <c r="A341" s="12" t="e" cm="1">
        <f t="array" aca="1" ref="A341" ca="1">IF(STAT[[#This Row],[retranca]]="","",       RegxFunc(STAT[[#This Row],[retranca]],  "\w\d{4}\w*_\d")     )</f>
        <v>#NAME?</v>
      </c>
      <c r="B341" s="21" t="s">
        <v>843</v>
      </c>
      <c r="C341" s="14" t="s">
        <v>72</v>
      </c>
      <c r="D341" s="14" t="s">
        <v>9</v>
      </c>
      <c r="E341" s="14" t="s">
        <v>10</v>
      </c>
      <c r="F341" s="14">
        <v>35</v>
      </c>
      <c r="G341" s="14">
        <v>4</v>
      </c>
      <c r="H341" s="14">
        <v>8</v>
      </c>
      <c r="I341" s="14">
        <v>8</v>
      </c>
      <c r="J341" s="28" t="s">
        <v>55</v>
      </c>
      <c r="K341" s="36"/>
      <c r="L341" s="14"/>
      <c r="M341" s="14"/>
      <c r="N341" s="31"/>
      <c r="O341" s="14"/>
      <c r="P341" s="25" t="s">
        <v>844</v>
      </c>
      <c r="Q341" s="22"/>
      <c r="R341" s="22"/>
      <c r="S341" s="14">
        <v>39</v>
      </c>
      <c r="T341" s="27">
        <v>45854</v>
      </c>
      <c r="U341" s="26">
        <v>45856</v>
      </c>
      <c r="V341" s="27">
        <v>45860</v>
      </c>
      <c r="W341" s="27">
        <v>45860</v>
      </c>
      <c r="X341" s="26">
        <v>45862</v>
      </c>
      <c r="Y341" s="14" t="s">
        <v>84</v>
      </c>
      <c r="Z341" s="40" t="str">
        <f>IF(STAT[[#This Row],[sigla]]="","",VLOOKUP(STAT[[#This Row],[sigla]],CRÉDITOS_GERAIS[[sigla]:[credito]],2,))</f>
        <v>Gabriel Brum</v>
      </c>
      <c r="AA341" s="14"/>
      <c r="AB341" s="14" t="str">
        <f>STAT[[#This Row],[ilustrador]]</f>
        <v>Gabriel Brum</v>
      </c>
      <c r="AC341" s="14">
        <v>5</v>
      </c>
      <c r="AD341" s="14" t="s">
        <v>836</v>
      </c>
      <c r="AE341" s="15" t="s">
        <v>87</v>
      </c>
      <c r="AF341" s="42" t="str">
        <f t="shared" si="5"/>
        <v>P007</v>
      </c>
    </row>
    <row r="342" spans="1:32" ht="28.8" hidden="1" x14ac:dyDescent="0.3">
      <c r="A342" s="12" t="e" cm="1">
        <f t="array" aca="1" ref="A342" ca="1">IF(STAT[[#This Row],[retranca]]="","",       RegxFunc(STAT[[#This Row],[retranca]],  "\w\d{4}\w*_\d")     )</f>
        <v>#NAME?</v>
      </c>
      <c r="B342" s="21" t="s">
        <v>845</v>
      </c>
      <c r="C342" s="14" t="s">
        <v>72</v>
      </c>
      <c r="D342" s="14" t="s">
        <v>9</v>
      </c>
      <c r="E342" s="14" t="s">
        <v>10</v>
      </c>
      <c r="F342" s="14">
        <v>36</v>
      </c>
      <c r="G342" s="14">
        <v>4</v>
      </c>
      <c r="H342" s="14">
        <v>8</v>
      </c>
      <c r="I342" s="14">
        <v>8</v>
      </c>
      <c r="J342" s="28" t="s">
        <v>55</v>
      </c>
      <c r="K342" s="36"/>
      <c r="L342" s="14"/>
      <c r="M342" s="14"/>
      <c r="N342" s="31"/>
      <c r="O342" s="14"/>
      <c r="P342" s="25" t="s">
        <v>846</v>
      </c>
      <c r="Q342" s="25"/>
      <c r="R342" s="22"/>
      <c r="S342" s="14">
        <v>39</v>
      </c>
      <c r="T342" s="27">
        <v>45854</v>
      </c>
      <c r="U342" s="26">
        <v>45856</v>
      </c>
      <c r="V342" s="27">
        <v>45860</v>
      </c>
      <c r="W342" s="27">
        <v>45860</v>
      </c>
      <c r="X342" s="26">
        <v>45862</v>
      </c>
      <c r="Y342" s="14" t="s">
        <v>84</v>
      </c>
      <c r="Z342" s="40" t="str">
        <f>IF(STAT[[#This Row],[sigla]]="","",VLOOKUP(STAT[[#This Row],[sigla]],CRÉDITOS_GERAIS[[sigla]:[credito]],2,))</f>
        <v>Gabriel Brum</v>
      </c>
      <c r="AA342" s="14"/>
      <c r="AB342" s="14" t="str">
        <f>STAT[[#This Row],[ilustrador]]</f>
        <v>Gabriel Brum</v>
      </c>
      <c r="AC342" s="14">
        <v>6</v>
      </c>
      <c r="AD342" s="14" t="s">
        <v>836</v>
      </c>
      <c r="AE342" s="15" t="s">
        <v>87</v>
      </c>
      <c r="AF342" s="42" t="str">
        <f t="shared" si="5"/>
        <v>P007</v>
      </c>
    </row>
    <row r="343" spans="1:32" ht="72" hidden="1" x14ac:dyDescent="0.3">
      <c r="A343" s="12" t="e" cm="1">
        <f t="array" aca="1" ref="A343" ca="1">IF(STAT[[#This Row],[retranca]]="","",       RegxFunc(STAT[[#This Row],[retranca]],  "\w\d{4}\w*_\d")     )</f>
        <v>#NAME?</v>
      </c>
      <c r="B343" s="21" t="s">
        <v>847</v>
      </c>
      <c r="C343" s="14" t="s">
        <v>122</v>
      </c>
      <c r="D343" s="14" t="s">
        <v>9</v>
      </c>
      <c r="E343" s="14" t="s">
        <v>10</v>
      </c>
      <c r="F343" s="14">
        <v>40</v>
      </c>
      <c r="G343" s="14">
        <v>4</v>
      </c>
      <c r="H343" s="14">
        <v>8</v>
      </c>
      <c r="I343" s="14">
        <v>8</v>
      </c>
      <c r="J343" s="28" t="s">
        <v>55</v>
      </c>
      <c r="K343" s="36"/>
      <c r="L343" s="14"/>
      <c r="M343" s="14"/>
      <c r="N343" s="14"/>
      <c r="O343" s="14"/>
      <c r="P343" s="25" t="s">
        <v>848</v>
      </c>
      <c r="Q343" s="22"/>
      <c r="R343" s="22"/>
      <c r="S343" s="14">
        <v>39</v>
      </c>
      <c r="T343" s="27">
        <v>45854</v>
      </c>
      <c r="U343" s="27">
        <v>45856</v>
      </c>
      <c r="V343" s="27">
        <v>45860</v>
      </c>
      <c r="W343" s="27">
        <v>45860</v>
      </c>
      <c r="X343" s="27">
        <v>45862</v>
      </c>
      <c r="Y343" s="14" t="s">
        <v>84</v>
      </c>
      <c r="Z343" s="40" t="str">
        <f>IF(STAT[[#This Row],[sigla]]="","",VLOOKUP(STAT[[#This Row],[sigla]],CRÉDITOS_GERAIS[[sigla]:[credito]],2,))</f>
        <v>Gabriel Brum</v>
      </c>
      <c r="AA343" s="14"/>
      <c r="AB343" s="14" t="str">
        <f>STAT[[#This Row],[ilustrador]]</f>
        <v>Gabriel Brum</v>
      </c>
      <c r="AC343" s="14">
        <v>5</v>
      </c>
      <c r="AD343" s="22" t="s">
        <v>836</v>
      </c>
      <c r="AE343" s="15" t="s">
        <v>87</v>
      </c>
      <c r="AF343" s="42" t="str">
        <f t="shared" si="5"/>
        <v>P007</v>
      </c>
    </row>
    <row r="344" spans="1:32" ht="28.8" hidden="1" x14ac:dyDescent="0.3">
      <c r="A344" s="12" t="e" cm="1">
        <f t="array" aca="1" ref="A344" ca="1">IF(STAT[[#This Row],[retranca]]="","",       RegxFunc(STAT[[#This Row],[retranca]],  "\w\d{4}\w*_\d")     )</f>
        <v>#NAME?</v>
      </c>
      <c r="B344" s="21" t="s">
        <v>849</v>
      </c>
      <c r="C344" s="14" t="s">
        <v>8</v>
      </c>
      <c r="D344" s="14" t="s">
        <v>9</v>
      </c>
      <c r="E344" s="14" t="s">
        <v>10</v>
      </c>
      <c r="F344" s="14">
        <v>41</v>
      </c>
      <c r="G344" s="14">
        <v>4</v>
      </c>
      <c r="H344" s="14">
        <v>8</v>
      </c>
      <c r="I344" s="14">
        <v>8</v>
      </c>
      <c r="J344" s="28" t="s">
        <v>55</v>
      </c>
      <c r="K344" s="36"/>
      <c r="L344" s="14"/>
      <c r="M344" s="14"/>
      <c r="N344" s="31"/>
      <c r="O344" s="14"/>
      <c r="P344" s="25" t="s">
        <v>850</v>
      </c>
      <c r="Q344" s="22"/>
      <c r="R344" s="22"/>
      <c r="S344" s="14"/>
      <c r="T344" s="27"/>
      <c r="U344" s="27"/>
      <c r="V344" s="27"/>
      <c r="W344" s="27"/>
      <c r="X344" s="27"/>
      <c r="Y344" s="14"/>
      <c r="Z344" s="40" t="str">
        <f>IF(STAT[[#This Row],[sigla]]="","",VLOOKUP(STAT[[#This Row],[sigla]],CRÉDITOS_GERAIS[[sigla]:[credito]],2,))</f>
        <v/>
      </c>
      <c r="AA344" s="14"/>
      <c r="AB344" s="14" t="str">
        <f>STAT[[#This Row],[ilustrador]]</f>
        <v/>
      </c>
      <c r="AC344" s="14"/>
      <c r="AD344" s="14"/>
      <c r="AE344" s="15"/>
      <c r="AF344" s="42" t="str">
        <f t="shared" si="5"/>
        <v>P007</v>
      </c>
    </row>
    <row r="345" spans="1:32" ht="43.2" hidden="1" x14ac:dyDescent="0.3">
      <c r="A345" s="12" t="e" cm="1">
        <f t="array" aca="1" ref="A345" ca="1">IF(STAT[[#This Row],[retranca]]="","",       RegxFunc(STAT[[#This Row],[retranca]],  "\w\d{4}\w*_\d")     )</f>
        <v>#NAME?</v>
      </c>
      <c r="B345" s="21" t="s">
        <v>851</v>
      </c>
      <c r="C345" s="14" t="s">
        <v>8</v>
      </c>
      <c r="D345" s="14" t="s">
        <v>9</v>
      </c>
      <c r="E345" s="14" t="s">
        <v>10</v>
      </c>
      <c r="F345" s="14">
        <v>1</v>
      </c>
      <c r="G345" s="14">
        <v>4</v>
      </c>
      <c r="H345" s="14">
        <v>7</v>
      </c>
      <c r="I345" s="14" t="s">
        <v>296</v>
      </c>
      <c r="J345" s="28" t="s">
        <v>55</v>
      </c>
      <c r="K345" s="36"/>
      <c r="L345" s="14"/>
      <c r="M345" s="14"/>
      <c r="N345" s="14"/>
      <c r="O345" s="14"/>
      <c r="P345" s="25" t="s">
        <v>852</v>
      </c>
      <c r="Q345" s="22"/>
      <c r="R345" s="22"/>
      <c r="S345" s="14"/>
      <c r="T345" s="27"/>
      <c r="U345" s="27"/>
      <c r="V345" s="27"/>
      <c r="W345" s="27"/>
      <c r="X345" s="27"/>
      <c r="Y345" s="14"/>
      <c r="Z345" s="40" t="str">
        <f>IF(STAT[[#This Row],[sigla]]="","",VLOOKUP(STAT[[#This Row],[sigla]],CRÉDITOS_GERAIS[[sigla]:[credito]],2,))</f>
        <v/>
      </c>
      <c r="AA345" s="14"/>
      <c r="AB345" s="14" t="str">
        <f>STAT[[#This Row],[ilustrador]]</f>
        <v/>
      </c>
      <c r="AC345" s="14"/>
      <c r="AD345" s="14"/>
      <c r="AE345" s="15"/>
      <c r="AF345" s="42" t="str">
        <f t="shared" si="5"/>
        <v>P007</v>
      </c>
    </row>
    <row r="346" spans="1:32" ht="43.2" hidden="1" x14ac:dyDescent="0.3">
      <c r="A346" s="12" t="e" cm="1">
        <f t="array" aca="1" ref="A346" ca="1">IF(STAT[[#This Row],[retranca]]="","",       RegxFunc(STAT[[#This Row],[retranca]],  "\w\d{4}\w*_\d")     )</f>
        <v>#NAME?</v>
      </c>
      <c r="B346" s="21" t="s">
        <v>853</v>
      </c>
      <c r="C346" s="14" t="s">
        <v>72</v>
      </c>
      <c r="D346" s="14" t="s">
        <v>288</v>
      </c>
      <c r="E346" s="31" t="s">
        <v>10</v>
      </c>
      <c r="F346" s="14">
        <v>2</v>
      </c>
      <c r="G346" s="14">
        <v>4</v>
      </c>
      <c r="H346" s="14">
        <v>8</v>
      </c>
      <c r="I346" s="14" t="s">
        <v>296</v>
      </c>
      <c r="J346" s="28" t="s">
        <v>55</v>
      </c>
      <c r="K346" s="36"/>
      <c r="L346" s="14"/>
      <c r="M346" s="14"/>
      <c r="N346" s="31"/>
      <c r="O346" s="14"/>
      <c r="P346" s="25" t="s">
        <v>854</v>
      </c>
      <c r="Q346" s="22"/>
      <c r="R346" s="22"/>
      <c r="S346" s="14">
        <v>41</v>
      </c>
      <c r="T346" s="26">
        <v>45856</v>
      </c>
      <c r="U346" s="27">
        <v>45856</v>
      </c>
      <c r="V346" s="27"/>
      <c r="W346" s="27"/>
      <c r="X346" s="27">
        <v>45863</v>
      </c>
      <c r="Y346" s="14" t="s">
        <v>290</v>
      </c>
      <c r="Z346" s="40" t="str">
        <f>IF(STAT[[#This Row],[sigla]]="","",VLOOKUP(STAT[[#This Row],[sigla]],CRÉDITOS_GERAIS[[sigla]:[credito]],2,))</f>
        <v>Bruna Campos</v>
      </c>
      <c r="AA346" s="14"/>
      <c r="AB346" s="14" t="str">
        <f>STAT[[#This Row],[ilustrador]]</f>
        <v>Bruna Campos</v>
      </c>
      <c r="AC346" s="14">
        <v>8</v>
      </c>
      <c r="AD346" s="14" t="s">
        <v>196</v>
      </c>
      <c r="AE346" s="15" t="s">
        <v>46</v>
      </c>
      <c r="AF346" s="42" t="str">
        <f t="shared" si="5"/>
        <v>P007</v>
      </c>
    </row>
    <row r="347" spans="1:32" ht="57.6" hidden="1" x14ac:dyDescent="0.3">
      <c r="A347" s="12" t="e" cm="1">
        <f t="array" aca="1" ref="A347" ca="1">IF(STAT[[#This Row],[retranca]]="","",       RegxFunc(STAT[[#This Row],[retranca]],  "\w\d{4}\w*_\d")     )</f>
        <v>#NAME?</v>
      </c>
      <c r="B347" s="21" t="s">
        <v>855</v>
      </c>
      <c r="C347" s="14" t="s">
        <v>72</v>
      </c>
      <c r="D347" s="14" t="s">
        <v>9</v>
      </c>
      <c r="E347" s="31" t="s">
        <v>10</v>
      </c>
      <c r="F347" s="14">
        <v>64</v>
      </c>
      <c r="G347" s="14">
        <v>4</v>
      </c>
      <c r="H347" s="14">
        <v>10</v>
      </c>
      <c r="I347" s="14">
        <v>10</v>
      </c>
      <c r="J347" s="28" t="s">
        <v>55</v>
      </c>
      <c r="K347" s="36"/>
      <c r="L347" s="14"/>
      <c r="M347" s="14"/>
      <c r="N347" s="31"/>
      <c r="O347" s="14"/>
      <c r="P347" s="25" t="s">
        <v>856</v>
      </c>
      <c r="Q347" s="22"/>
      <c r="R347" s="22"/>
      <c r="S347" s="14">
        <v>42</v>
      </c>
      <c r="T347" s="26">
        <v>45857</v>
      </c>
      <c r="U347" s="27">
        <v>45859</v>
      </c>
      <c r="V347" s="27"/>
      <c r="W347" s="27"/>
      <c r="X347" s="27">
        <v>45866</v>
      </c>
      <c r="Y347" s="14" t="s">
        <v>114</v>
      </c>
      <c r="Z347" s="40" t="str">
        <f>IF(STAT[[#This Row],[sigla]]="","",VLOOKUP(STAT[[#This Row],[sigla]],CRÉDITOS_GERAIS[[sigla]:[credito]],2,))</f>
        <v>Heloísa Pintarelli</v>
      </c>
      <c r="AA347" s="14"/>
      <c r="AB347" s="14" t="str">
        <f>STAT[[#This Row],[ilustrador]]</f>
        <v>Heloísa Pintarelli</v>
      </c>
      <c r="AC347" s="14">
        <v>7</v>
      </c>
      <c r="AD347" s="14" t="s">
        <v>857</v>
      </c>
      <c r="AE347" s="15" t="s">
        <v>87</v>
      </c>
      <c r="AF347" s="42" t="str">
        <f t="shared" si="5"/>
        <v>P007</v>
      </c>
    </row>
    <row r="348" spans="1:32" ht="43.2" hidden="1" x14ac:dyDescent="0.3">
      <c r="A348" s="12" t="e" cm="1">
        <f t="array" aca="1" ref="A348" ca="1">IF(STAT[[#This Row],[retranca]]="","",       RegxFunc(STAT[[#This Row],[retranca]],  "\w\d{4}\w*_\d")     )</f>
        <v>#NAME?</v>
      </c>
      <c r="B348" s="21" t="s">
        <v>858</v>
      </c>
      <c r="C348" s="14" t="s">
        <v>72</v>
      </c>
      <c r="D348" s="14" t="s">
        <v>288</v>
      </c>
      <c r="E348" s="31" t="s">
        <v>10</v>
      </c>
      <c r="F348" s="14">
        <v>68</v>
      </c>
      <c r="G348" s="14">
        <v>4</v>
      </c>
      <c r="H348" s="14">
        <v>10</v>
      </c>
      <c r="I348" s="14">
        <v>10</v>
      </c>
      <c r="J348" s="28" t="s">
        <v>55</v>
      </c>
      <c r="K348" s="36"/>
      <c r="L348" s="14"/>
      <c r="M348" s="14"/>
      <c r="N348" s="31"/>
      <c r="O348" s="14"/>
      <c r="P348" s="25" t="s">
        <v>859</v>
      </c>
      <c r="Q348" s="22"/>
      <c r="R348" s="22"/>
      <c r="S348" s="14">
        <v>42</v>
      </c>
      <c r="T348" s="26">
        <v>45857</v>
      </c>
      <c r="U348" s="27">
        <v>45859</v>
      </c>
      <c r="V348" s="27"/>
      <c r="W348" s="27"/>
      <c r="X348" s="27">
        <v>45866</v>
      </c>
      <c r="Y348" s="14" t="s">
        <v>114</v>
      </c>
      <c r="Z348" s="40" t="str">
        <f>IF(STAT[[#This Row],[sigla]]="","",VLOOKUP(STAT[[#This Row],[sigla]],CRÉDITOS_GERAIS[[sigla]:[credito]],2,))</f>
        <v>Heloísa Pintarelli</v>
      </c>
      <c r="AA348" s="14"/>
      <c r="AB348" s="14" t="str">
        <f>STAT[[#This Row],[ilustrador]]</f>
        <v>Heloísa Pintarelli</v>
      </c>
      <c r="AC348" s="14">
        <v>8</v>
      </c>
      <c r="AD348" s="14" t="s">
        <v>860</v>
      </c>
      <c r="AE348" s="15" t="s">
        <v>87</v>
      </c>
      <c r="AF348" s="42" t="str">
        <f t="shared" si="5"/>
        <v>P007</v>
      </c>
    </row>
    <row r="349" spans="1:32" ht="100.8" hidden="1" x14ac:dyDescent="0.3">
      <c r="A349" s="12" t="e" cm="1">
        <f t="array" aca="1" ref="A349" ca="1">IF(STAT[[#This Row],[retranca]]="","",       RegxFunc(STAT[[#This Row],[retranca]],  "\w\d{4}\w*_\d")     )</f>
        <v>#NAME?</v>
      </c>
      <c r="B349" s="33" t="s">
        <v>861</v>
      </c>
      <c r="C349" s="14" t="s">
        <v>72</v>
      </c>
      <c r="D349" s="15" t="s">
        <v>288</v>
      </c>
      <c r="E349" s="15" t="s">
        <v>10</v>
      </c>
      <c r="F349" s="15">
        <v>71</v>
      </c>
      <c r="G349" s="14">
        <v>4</v>
      </c>
      <c r="H349" s="14">
        <v>10</v>
      </c>
      <c r="I349" s="14">
        <v>10</v>
      </c>
      <c r="J349" s="28" t="s">
        <v>55</v>
      </c>
      <c r="K349" s="36"/>
      <c r="L349" s="14"/>
      <c r="M349" s="14"/>
      <c r="N349" s="14"/>
      <c r="O349" s="14"/>
      <c r="P349" s="25" t="s">
        <v>862</v>
      </c>
      <c r="Q349" s="21"/>
      <c r="R349" s="22"/>
      <c r="S349" s="14">
        <v>42</v>
      </c>
      <c r="T349" s="26">
        <v>45857</v>
      </c>
      <c r="U349" s="18">
        <v>45859</v>
      </c>
      <c r="V349" s="20"/>
      <c r="W349" s="20"/>
      <c r="X349" s="18">
        <v>45866</v>
      </c>
      <c r="Y349" s="14" t="s">
        <v>114</v>
      </c>
      <c r="Z349" s="40" t="str">
        <f>IF(STAT[[#This Row],[sigla]]="","",VLOOKUP(STAT[[#This Row],[sigla]],CRÉDITOS_GERAIS[[sigla]:[credito]],2,))</f>
        <v>Heloísa Pintarelli</v>
      </c>
      <c r="AA349" s="14"/>
      <c r="AB349" s="14" t="s">
        <v>863</v>
      </c>
      <c r="AC349" s="14">
        <v>7</v>
      </c>
      <c r="AD349" s="15" t="s">
        <v>857</v>
      </c>
      <c r="AE349" s="15" t="s">
        <v>87</v>
      </c>
      <c r="AF349" s="42" t="str">
        <f t="shared" si="5"/>
        <v>P007</v>
      </c>
    </row>
    <row r="350" spans="1:32" ht="57.6" hidden="1" x14ac:dyDescent="0.3">
      <c r="A350" s="12" t="e" cm="1">
        <f t="array" aca="1" ref="A350" ca="1">IF(STAT[[#This Row],[retranca]]="","",       RegxFunc(STAT[[#This Row],[retranca]],  "\w\d{4}\w*_\d")     )</f>
        <v>#NAME?</v>
      </c>
      <c r="B350" s="33" t="s">
        <v>864</v>
      </c>
      <c r="C350" s="14" t="s">
        <v>72</v>
      </c>
      <c r="D350" s="15" t="s">
        <v>9</v>
      </c>
      <c r="E350" s="15" t="s">
        <v>10</v>
      </c>
      <c r="F350" s="15">
        <v>75</v>
      </c>
      <c r="G350" s="14">
        <v>4</v>
      </c>
      <c r="H350" s="14">
        <v>10</v>
      </c>
      <c r="I350" s="14">
        <v>10</v>
      </c>
      <c r="J350" s="28" t="s">
        <v>55</v>
      </c>
      <c r="K350" s="36"/>
      <c r="L350" s="15"/>
      <c r="M350" s="15"/>
      <c r="N350" s="15"/>
      <c r="O350" s="14"/>
      <c r="P350" s="25" t="s">
        <v>865</v>
      </c>
      <c r="Q350" s="21"/>
      <c r="R350" s="22"/>
      <c r="S350" s="14">
        <v>42</v>
      </c>
      <c r="T350" s="26">
        <v>45857</v>
      </c>
      <c r="U350" s="18">
        <v>45859</v>
      </c>
      <c r="V350" s="37">
        <v>45861</v>
      </c>
      <c r="W350" s="37">
        <v>45862</v>
      </c>
      <c r="X350" s="18">
        <v>45866</v>
      </c>
      <c r="Y350" s="14" t="s">
        <v>583</v>
      </c>
      <c r="Z350" s="40" t="str">
        <f>IF(STAT[[#This Row],[sigla]]="","",VLOOKUP(STAT[[#This Row],[sigla]],CRÉDITOS_GERAIS[[sigla]:[credito]],2,))</f>
        <v>Karina Oliveira</v>
      </c>
      <c r="AA350" s="15"/>
      <c r="AB350" s="14" t="str">
        <f>STAT[[#This Row],[ilustrador]]</f>
        <v>Karina Oliveira</v>
      </c>
      <c r="AC350" s="14">
        <v>5</v>
      </c>
      <c r="AD350" s="16" t="s">
        <v>866</v>
      </c>
      <c r="AE350" s="15" t="s">
        <v>87</v>
      </c>
      <c r="AF350" s="42" t="str">
        <f t="shared" si="5"/>
        <v>P007</v>
      </c>
    </row>
    <row r="351" spans="1:32" ht="43.2" hidden="1" x14ac:dyDescent="0.3">
      <c r="A351" s="12" t="e" cm="1">
        <f t="array" aca="1" ref="A351" ca="1">IF(STAT[[#This Row],[retranca]]="","",       RegxFunc(STAT[[#This Row],[retranca]],  "\w\d{4}\w*_\d")     )</f>
        <v>#NAME?</v>
      </c>
      <c r="B351" s="33" t="s">
        <v>867</v>
      </c>
      <c r="C351" s="14" t="s">
        <v>72</v>
      </c>
      <c r="D351" s="15" t="s">
        <v>794</v>
      </c>
      <c r="E351" s="15" t="s">
        <v>10</v>
      </c>
      <c r="F351" s="15">
        <v>75</v>
      </c>
      <c r="G351" s="14">
        <v>4</v>
      </c>
      <c r="H351" s="14">
        <v>10</v>
      </c>
      <c r="I351" s="14">
        <v>10</v>
      </c>
      <c r="J351" s="28" t="s">
        <v>55</v>
      </c>
      <c r="K351" s="36"/>
      <c r="L351" s="15"/>
      <c r="M351" s="15"/>
      <c r="N351" s="15"/>
      <c r="O351" s="14"/>
      <c r="P351" s="25" t="s">
        <v>868</v>
      </c>
      <c r="Q351" s="21"/>
      <c r="R351" s="22"/>
      <c r="S351" s="14">
        <v>42</v>
      </c>
      <c r="T351" s="26">
        <v>45857</v>
      </c>
      <c r="U351" s="18">
        <v>45859</v>
      </c>
      <c r="V351" s="20"/>
      <c r="W351" s="20"/>
      <c r="X351" s="18">
        <v>45866</v>
      </c>
      <c r="Y351" s="14" t="s">
        <v>583</v>
      </c>
      <c r="Z351" s="40" t="str">
        <f>IF(STAT[[#This Row],[sigla]]="","",VLOOKUP(STAT[[#This Row],[sigla]],CRÉDITOS_GERAIS[[sigla]:[credito]],2,))</f>
        <v>Karina Oliveira</v>
      </c>
      <c r="AA351" s="15" t="s">
        <v>90</v>
      </c>
      <c r="AB351" s="14" t="str">
        <f>STAT[[#This Row],[ilustrador]]</f>
        <v>Karina Oliveira</v>
      </c>
      <c r="AC351" s="14">
        <v>13</v>
      </c>
      <c r="AD351" s="16" t="s">
        <v>869</v>
      </c>
      <c r="AE351" s="15" t="s">
        <v>46</v>
      </c>
      <c r="AF351" s="42" t="str">
        <f t="shared" si="5"/>
        <v>P007</v>
      </c>
    </row>
    <row r="352" spans="1:32" ht="187.2" hidden="1" x14ac:dyDescent="0.3">
      <c r="A352" s="12" t="e" cm="1">
        <f t="array" aca="1" ref="A352" ca="1">IF(STAT[[#This Row],[retranca]]="","",       RegxFunc(STAT[[#This Row],[retranca]],  "\w\d{4}\w*_\d")     )</f>
        <v>#NAME?</v>
      </c>
      <c r="B352" s="33" t="s">
        <v>870</v>
      </c>
      <c r="C352" s="14" t="s">
        <v>8</v>
      </c>
      <c r="D352" s="15" t="s">
        <v>9</v>
      </c>
      <c r="E352" s="15" t="s">
        <v>10</v>
      </c>
      <c r="F352" s="15">
        <v>76</v>
      </c>
      <c r="G352" s="14">
        <v>4</v>
      </c>
      <c r="H352" s="14">
        <v>10</v>
      </c>
      <c r="I352" s="14">
        <v>10</v>
      </c>
      <c r="J352" s="28" t="s">
        <v>55</v>
      </c>
      <c r="K352" s="36"/>
      <c r="L352" s="15"/>
      <c r="M352" s="15"/>
      <c r="N352" s="15"/>
      <c r="O352" s="14"/>
      <c r="P352" s="25" t="s">
        <v>871</v>
      </c>
      <c r="Q352" s="21"/>
      <c r="R352" s="22"/>
      <c r="S352" s="14">
        <v>42</v>
      </c>
      <c r="T352" s="26">
        <v>45857</v>
      </c>
      <c r="U352" s="18"/>
      <c r="V352" s="20"/>
      <c r="W352" s="20"/>
      <c r="X352" s="18"/>
      <c r="Y352" s="14"/>
      <c r="Z352" s="40" t="str">
        <f>IF(STAT[[#This Row],[sigla]]="","",VLOOKUP(STAT[[#This Row],[sigla]],CRÉDITOS_GERAIS[[sigla]:[credito]],2,))</f>
        <v/>
      </c>
      <c r="AA352" s="15"/>
      <c r="AB352" s="14" t="str">
        <f>STAT[[#This Row],[ilustrador]]</f>
        <v/>
      </c>
      <c r="AC352" s="14"/>
      <c r="AD352" s="16"/>
      <c r="AE352" s="15"/>
      <c r="AF352" s="42" t="str">
        <f t="shared" si="5"/>
        <v>P007</v>
      </c>
    </row>
    <row r="353" spans="1:32" ht="28.8" hidden="1" x14ac:dyDescent="0.3">
      <c r="A353" s="12" t="e" cm="1">
        <f t="array" aca="1" ref="A353" ca="1">IF(STAT[[#This Row],[retranca]]="","",       RegxFunc(STAT[[#This Row],[retranca]],  "\w\d{4}\w*_\d")     )</f>
        <v>#NAME?</v>
      </c>
      <c r="B353" s="21" t="s">
        <v>872</v>
      </c>
      <c r="C353" s="14" t="s">
        <v>72</v>
      </c>
      <c r="D353" s="14" t="s">
        <v>532</v>
      </c>
      <c r="E353" s="14" t="s">
        <v>10</v>
      </c>
      <c r="F353" s="14">
        <v>71</v>
      </c>
      <c r="G353" s="14">
        <v>4</v>
      </c>
      <c r="H353" s="14">
        <v>10</v>
      </c>
      <c r="I353" s="14">
        <v>10</v>
      </c>
      <c r="J353" s="28" t="s">
        <v>55</v>
      </c>
      <c r="K353" s="36"/>
      <c r="L353" s="14"/>
      <c r="M353" s="14"/>
      <c r="N353" s="14"/>
      <c r="O353" s="14"/>
      <c r="P353" s="25" t="s">
        <v>873</v>
      </c>
      <c r="Q353" s="22"/>
      <c r="R353" s="22"/>
      <c r="S353" s="14">
        <v>42</v>
      </c>
      <c r="T353" s="27">
        <v>45859</v>
      </c>
      <c r="U353" s="27">
        <v>45859</v>
      </c>
      <c r="V353" s="27"/>
      <c r="W353" s="27"/>
      <c r="X353" s="27">
        <v>45868</v>
      </c>
      <c r="Y353" s="14" t="s">
        <v>413</v>
      </c>
      <c r="Z353" s="40" t="e">
        <f>IF(STAT[[#This Row],[sigla]]="","",VLOOKUP(STAT[[#This Row],[sigla]],CRÉDITOS_GERAIS[[sigla]:[credito]],2,))</f>
        <v>#N/A</v>
      </c>
      <c r="AA353" s="14"/>
      <c r="AB353" s="14" t="s">
        <v>620</v>
      </c>
      <c r="AC353" s="14">
        <v>14</v>
      </c>
      <c r="AD353" s="14" t="s">
        <v>415</v>
      </c>
      <c r="AE353" s="15" t="s">
        <v>46</v>
      </c>
      <c r="AF353" s="42" t="str">
        <f t="shared" si="5"/>
        <v>P007</v>
      </c>
    </row>
    <row r="354" spans="1:32" ht="28.8" hidden="1" x14ac:dyDescent="0.3">
      <c r="A354" s="12" t="e" cm="1">
        <f t="array" aca="1" ref="A354" ca="1">IF(STAT[[#This Row],[retranca]]="","",       RegxFunc(STAT[[#This Row],[retranca]],  "\w\d{4}\w*_\d")     )</f>
        <v>#NAME?</v>
      </c>
      <c r="B354" s="21" t="s">
        <v>874</v>
      </c>
      <c r="C354" s="14" t="s">
        <v>122</v>
      </c>
      <c r="D354" s="14" t="s">
        <v>9</v>
      </c>
      <c r="E354" s="14" t="s">
        <v>10</v>
      </c>
      <c r="F354" s="14">
        <v>81</v>
      </c>
      <c r="G354" s="14">
        <v>4</v>
      </c>
      <c r="H354" s="14">
        <v>11</v>
      </c>
      <c r="I354" s="14">
        <v>11</v>
      </c>
      <c r="J354" s="28" t="s">
        <v>55</v>
      </c>
      <c r="K354" s="36"/>
      <c r="L354" s="14"/>
      <c r="M354" s="14"/>
      <c r="N354" s="14"/>
      <c r="O354" s="14"/>
      <c r="P354" s="25" t="s">
        <v>875</v>
      </c>
      <c r="Q354" s="22"/>
      <c r="R354" s="25"/>
      <c r="S354" s="14">
        <v>43</v>
      </c>
      <c r="T354" s="27">
        <v>45859</v>
      </c>
      <c r="U354" s="27">
        <v>45860</v>
      </c>
      <c r="V354" s="27">
        <v>45862</v>
      </c>
      <c r="W354" s="27">
        <v>45863</v>
      </c>
      <c r="X354" s="27">
        <v>45872</v>
      </c>
      <c r="Y354" s="14" t="s">
        <v>876</v>
      </c>
      <c r="Z354" s="40" t="str">
        <f>IF(STAT[[#This Row],[sigla]]="","",VLOOKUP(STAT[[#This Row],[sigla]],CRÉDITOS_GERAIS[[sigla]:[credito]],2,))</f>
        <v>Amanda Neves</v>
      </c>
      <c r="AA354" s="14"/>
      <c r="AB354" s="14" t="str">
        <f>STAT[[#This Row],[ilustrador]]</f>
        <v>Amanda Neves</v>
      </c>
      <c r="AC354" s="14">
        <v>3</v>
      </c>
      <c r="AD354" s="22" t="s">
        <v>877</v>
      </c>
      <c r="AE354" s="14" t="s">
        <v>87</v>
      </c>
      <c r="AF354" s="42" t="str">
        <f t="shared" si="5"/>
        <v>P007</v>
      </c>
    </row>
    <row r="355" spans="1:32" ht="28.8" hidden="1" x14ac:dyDescent="0.3">
      <c r="A355" s="12" t="e" cm="1">
        <f t="array" aca="1" ref="A355" ca="1">IF(STAT[[#This Row],[retranca]]="","",       RegxFunc(STAT[[#This Row],[retranca]],  "\w\d{4}\w*_\d")     )</f>
        <v>#NAME?</v>
      </c>
      <c r="B355" s="21" t="s">
        <v>878</v>
      </c>
      <c r="C355" s="14" t="s">
        <v>72</v>
      </c>
      <c r="D355" s="14" t="s">
        <v>9</v>
      </c>
      <c r="E355" s="14" t="s">
        <v>10</v>
      </c>
      <c r="F355" s="14">
        <v>82</v>
      </c>
      <c r="G355" s="14">
        <v>4</v>
      </c>
      <c r="H355" s="14">
        <v>11</v>
      </c>
      <c r="I355" s="14">
        <v>11</v>
      </c>
      <c r="J355" s="28" t="s">
        <v>55</v>
      </c>
      <c r="K355" s="36"/>
      <c r="L355" s="14"/>
      <c r="M355" s="14"/>
      <c r="N355" s="14"/>
      <c r="O355" s="14"/>
      <c r="P355" s="25" t="s">
        <v>879</v>
      </c>
      <c r="Q355" s="22"/>
      <c r="R355" s="22"/>
      <c r="S355" s="14">
        <v>43</v>
      </c>
      <c r="T355" s="27">
        <v>45859</v>
      </c>
      <c r="U355" s="27">
        <v>45860</v>
      </c>
      <c r="V355" s="27"/>
      <c r="W355" s="27"/>
      <c r="X355" s="27">
        <v>45867</v>
      </c>
      <c r="Y355" s="14" t="s">
        <v>755</v>
      </c>
      <c r="Z355" s="40" t="str">
        <f>IF(STAT[[#This Row],[sigla]]="","",VLOOKUP(STAT[[#This Row],[sigla]],CRÉDITOS_GERAIS[[sigla]:[credito]],2,))</f>
        <v>Sergio Lima</v>
      </c>
      <c r="AA355" s="14"/>
      <c r="AB355" s="14" t="str">
        <f>STAT[[#This Row],[ilustrador]]</f>
        <v>Sergio Lima</v>
      </c>
      <c r="AC355" s="14">
        <v>6</v>
      </c>
      <c r="AD355" s="14" t="s">
        <v>756</v>
      </c>
      <c r="AE355" s="15" t="s">
        <v>87</v>
      </c>
      <c r="AF355" s="42" t="str">
        <f t="shared" si="5"/>
        <v>P007</v>
      </c>
    </row>
    <row r="356" spans="1:32" ht="72" hidden="1" x14ac:dyDescent="0.3">
      <c r="A356" s="12" t="e" cm="1">
        <f t="array" aca="1" ref="A356" ca="1">IF(STAT[[#This Row],[retranca]]="","",       RegxFunc(STAT[[#This Row],[retranca]],  "\w\d{4}\w*_\d")     )</f>
        <v>#NAME?</v>
      </c>
      <c r="B356" s="21" t="s">
        <v>880</v>
      </c>
      <c r="C356" s="14" t="s">
        <v>122</v>
      </c>
      <c r="D356" s="14" t="s">
        <v>9</v>
      </c>
      <c r="E356" s="14" t="s">
        <v>10</v>
      </c>
      <c r="F356" s="14">
        <v>86</v>
      </c>
      <c r="G356" s="14">
        <v>4</v>
      </c>
      <c r="H356" s="14">
        <v>11</v>
      </c>
      <c r="I356" s="14">
        <v>11</v>
      </c>
      <c r="J356" s="28" t="s">
        <v>55</v>
      </c>
      <c r="K356" s="36"/>
      <c r="L356" s="14"/>
      <c r="M356" s="14"/>
      <c r="N356" s="14"/>
      <c r="O356" s="14"/>
      <c r="P356" s="25" t="s">
        <v>881</v>
      </c>
      <c r="Q356" s="21"/>
      <c r="R356" s="22"/>
      <c r="S356" s="14">
        <v>43</v>
      </c>
      <c r="T356" s="27">
        <v>45859</v>
      </c>
      <c r="U356" s="27">
        <v>45860</v>
      </c>
      <c r="V356" s="27">
        <v>45862</v>
      </c>
      <c r="W356" s="27">
        <v>45863</v>
      </c>
      <c r="X356" s="27">
        <v>45872</v>
      </c>
      <c r="Y356" s="14" t="s">
        <v>876</v>
      </c>
      <c r="Z356" s="40" t="str">
        <f>IF(STAT[[#This Row],[sigla]]="","",VLOOKUP(STAT[[#This Row],[sigla]],CRÉDITOS_GERAIS[[sigla]:[credito]],2,))</f>
        <v>Amanda Neves</v>
      </c>
      <c r="AA356" s="14"/>
      <c r="AB356" s="14" t="str">
        <f>STAT[[#This Row],[ilustrador]]</f>
        <v>Amanda Neves</v>
      </c>
      <c r="AC356" s="14">
        <v>5</v>
      </c>
      <c r="AD356" s="22" t="s">
        <v>877</v>
      </c>
      <c r="AE356" s="14" t="s">
        <v>87</v>
      </c>
      <c r="AF356" s="42" t="str">
        <f t="shared" si="5"/>
        <v>P007</v>
      </c>
    </row>
    <row r="357" spans="1:32" ht="43.2" hidden="1" x14ac:dyDescent="0.3">
      <c r="A357" s="12" t="e" cm="1">
        <f t="array" aca="1" ref="A357" ca="1">IF(STAT[[#This Row],[retranca]]="","",       RegxFunc(STAT[[#This Row],[retranca]],  "\w\d{4}\w*_\d")     )</f>
        <v>#NAME?</v>
      </c>
      <c r="B357" s="21" t="s">
        <v>882</v>
      </c>
      <c r="C357" s="14" t="s">
        <v>72</v>
      </c>
      <c r="D357" s="14" t="s">
        <v>9</v>
      </c>
      <c r="E357" s="14" t="s">
        <v>10</v>
      </c>
      <c r="F357" s="14">
        <v>88</v>
      </c>
      <c r="G357" s="14">
        <v>4</v>
      </c>
      <c r="H357" s="14">
        <v>11</v>
      </c>
      <c r="I357" s="14">
        <v>11</v>
      </c>
      <c r="J357" s="28" t="s">
        <v>55</v>
      </c>
      <c r="K357" s="36"/>
      <c r="L357" s="14"/>
      <c r="M357" s="14"/>
      <c r="N357" s="14"/>
      <c r="O357" s="14"/>
      <c r="P357" s="25" t="s">
        <v>883</v>
      </c>
      <c r="Q357" s="21"/>
      <c r="R357" s="22"/>
      <c r="S357" s="14">
        <v>43</v>
      </c>
      <c r="T357" s="27">
        <v>45859</v>
      </c>
      <c r="U357" s="27">
        <v>45860</v>
      </c>
      <c r="V357" s="27"/>
      <c r="W357" s="27"/>
      <c r="X357" s="27">
        <v>45867</v>
      </c>
      <c r="Y357" s="14" t="s">
        <v>755</v>
      </c>
      <c r="Z357" s="40" t="str">
        <f>IF(STAT[[#This Row],[sigla]]="","",VLOOKUP(STAT[[#This Row],[sigla]],CRÉDITOS_GERAIS[[sigla]:[credito]],2,))</f>
        <v>Sergio Lima</v>
      </c>
      <c r="AA357" s="14"/>
      <c r="AB357" s="14" t="str">
        <f>STAT[[#This Row],[ilustrador]]</f>
        <v>Sergio Lima</v>
      </c>
      <c r="AC357" s="14">
        <v>7</v>
      </c>
      <c r="AD357" s="22" t="s">
        <v>756</v>
      </c>
      <c r="AE357" s="15" t="s">
        <v>87</v>
      </c>
      <c r="AF357" s="42" t="str">
        <f t="shared" si="5"/>
        <v>P007</v>
      </c>
    </row>
    <row r="358" spans="1:32" hidden="1" x14ac:dyDescent="0.3">
      <c r="A358" s="12" t="e" cm="1">
        <f t="array" aca="1" ref="A358" ca="1">IF(STAT[[#This Row],[retranca]]="","",       RegxFunc(STAT[[#This Row],[retranca]],  "\w\d{4}\w*_\d")     )</f>
        <v>#NAME?</v>
      </c>
      <c r="B358" s="21" t="s">
        <v>884</v>
      </c>
      <c r="C358" s="14" t="s">
        <v>72</v>
      </c>
      <c r="D358" s="14" t="s">
        <v>9</v>
      </c>
      <c r="E358" s="14" t="s">
        <v>10</v>
      </c>
      <c r="F358" s="14">
        <v>96</v>
      </c>
      <c r="G358" s="14">
        <v>4</v>
      </c>
      <c r="H358" s="14">
        <v>11</v>
      </c>
      <c r="I358" s="14">
        <v>11</v>
      </c>
      <c r="J358" s="28" t="s">
        <v>55</v>
      </c>
      <c r="K358" s="36"/>
      <c r="L358" s="14"/>
      <c r="M358" s="14"/>
      <c r="N358" s="14"/>
      <c r="O358" s="14"/>
      <c r="P358" s="25" t="s">
        <v>885</v>
      </c>
      <c r="Q358" s="21"/>
      <c r="R358" s="22"/>
      <c r="S358" s="14">
        <v>43</v>
      </c>
      <c r="T358" s="27">
        <v>45859</v>
      </c>
      <c r="U358" s="27">
        <v>45860</v>
      </c>
      <c r="V358" s="27">
        <v>45862</v>
      </c>
      <c r="W358" s="27">
        <v>45863</v>
      </c>
      <c r="X358" s="27">
        <v>45869</v>
      </c>
      <c r="Y358" s="14" t="s">
        <v>876</v>
      </c>
      <c r="Z358" s="40" t="str">
        <f>IF(STAT[[#This Row],[sigla]]="","",VLOOKUP(STAT[[#This Row],[sigla]],CRÉDITOS_GERAIS[[sigla]:[credito]],2,))</f>
        <v>Amanda Neves</v>
      </c>
      <c r="AA358" s="14"/>
      <c r="AB358" s="14" t="str">
        <f>STAT[[#This Row],[ilustrador]]</f>
        <v>Amanda Neves</v>
      </c>
      <c r="AC358" s="14">
        <v>4</v>
      </c>
      <c r="AD358" s="22" t="s">
        <v>877</v>
      </c>
      <c r="AE358" s="15" t="s">
        <v>87</v>
      </c>
      <c r="AF358" s="42" t="str">
        <f t="shared" si="5"/>
        <v>P007</v>
      </c>
    </row>
    <row r="359" spans="1:32" ht="57.6" hidden="1" x14ac:dyDescent="0.3">
      <c r="A359" s="12" t="e" cm="1">
        <f t="array" aca="1" ref="A359" ca="1">IF(STAT[[#This Row],[retranca]]="","",       RegxFunc(STAT[[#This Row],[retranca]],  "\w\d{4}\w*_\d")     )</f>
        <v>#NAME?</v>
      </c>
      <c r="B359" s="21" t="s">
        <v>886</v>
      </c>
      <c r="C359" s="14" t="s">
        <v>72</v>
      </c>
      <c r="D359" s="14" t="s">
        <v>9</v>
      </c>
      <c r="E359" s="14" t="s">
        <v>10</v>
      </c>
      <c r="F359" s="14">
        <v>4</v>
      </c>
      <c r="G359" s="14">
        <v>4</v>
      </c>
      <c r="H359" s="14">
        <v>10</v>
      </c>
      <c r="I359" s="14" t="s">
        <v>112</v>
      </c>
      <c r="J359" s="28" t="s">
        <v>55</v>
      </c>
      <c r="K359" s="36"/>
      <c r="L359" s="14"/>
      <c r="M359" s="14"/>
      <c r="N359" s="14"/>
      <c r="O359" s="14"/>
      <c r="P359" s="25" t="s">
        <v>887</v>
      </c>
      <c r="Q359" s="21"/>
      <c r="R359" s="22"/>
      <c r="S359" s="14">
        <v>44</v>
      </c>
      <c r="T359" s="27">
        <v>45860</v>
      </c>
      <c r="U359" s="27">
        <v>45866</v>
      </c>
      <c r="V359" s="27"/>
      <c r="W359" s="27"/>
      <c r="X359" s="27">
        <v>45866</v>
      </c>
      <c r="Y359" s="14" t="s">
        <v>888</v>
      </c>
      <c r="Z359" s="40" t="str">
        <f>IF(STAT[[#This Row],[sigla]]="","",VLOOKUP(STAT[[#This Row],[sigla]],CRÉDITOS_GERAIS[[sigla]:[credito]],2,))</f>
        <v>Felipe Grigoli</v>
      </c>
      <c r="AA359" s="14"/>
      <c r="AB359" s="14" t="str">
        <f>STAT[[#This Row],[ilustrador]]</f>
        <v>Felipe Grigoli</v>
      </c>
      <c r="AC359" s="14">
        <v>3</v>
      </c>
      <c r="AD359" s="22" t="s">
        <v>653</v>
      </c>
      <c r="AE359" s="15" t="s">
        <v>46</v>
      </c>
      <c r="AF359" s="42" t="str">
        <f t="shared" si="5"/>
        <v>P007</v>
      </c>
    </row>
    <row r="360" spans="1:32" ht="43.2" hidden="1" x14ac:dyDescent="0.3">
      <c r="A360" s="12" t="e" cm="1">
        <f t="array" aca="1" ref="A360" ca="1">IF(STAT[[#This Row],[retranca]]="","",       RegxFunc(STAT[[#This Row],[retranca]],  "\w\d{4}\w*_\d")     )</f>
        <v>#NAME?</v>
      </c>
      <c r="B360" s="21" t="s">
        <v>889</v>
      </c>
      <c r="C360" s="14" t="s">
        <v>72</v>
      </c>
      <c r="D360" s="14" t="s">
        <v>9</v>
      </c>
      <c r="E360" s="14" t="s">
        <v>10</v>
      </c>
      <c r="F360" s="14">
        <v>6</v>
      </c>
      <c r="G360" s="14">
        <v>4</v>
      </c>
      <c r="H360" s="14">
        <v>11</v>
      </c>
      <c r="I360" s="14" t="s">
        <v>112</v>
      </c>
      <c r="J360" s="28" t="s">
        <v>55</v>
      </c>
      <c r="K360" s="36"/>
      <c r="L360" s="14"/>
      <c r="M360" s="14"/>
      <c r="N360" s="14"/>
      <c r="O360" s="14"/>
      <c r="P360" s="25" t="s">
        <v>890</v>
      </c>
      <c r="Q360" s="21"/>
      <c r="R360" s="22"/>
      <c r="S360" s="14">
        <v>44</v>
      </c>
      <c r="T360" s="27">
        <v>45860</v>
      </c>
      <c r="U360" s="27">
        <v>45861</v>
      </c>
      <c r="V360" s="27">
        <v>45866</v>
      </c>
      <c r="W360" s="27">
        <v>45866</v>
      </c>
      <c r="X360" s="27">
        <v>45868</v>
      </c>
      <c r="Y360" s="14" t="s">
        <v>84</v>
      </c>
      <c r="Z360" s="40" t="str">
        <f>IF(STAT[[#This Row],[sigla]]="","",VLOOKUP(STAT[[#This Row],[sigla]],CRÉDITOS_GERAIS[[sigla]:[credito]],2,))</f>
        <v>Gabriel Brum</v>
      </c>
      <c r="AA360" s="14"/>
      <c r="AB360" s="14" t="str">
        <f>STAT[[#This Row],[ilustrador]]</f>
        <v>Gabriel Brum</v>
      </c>
      <c r="AC360" s="14">
        <v>3</v>
      </c>
      <c r="AD360" s="22" t="s">
        <v>891</v>
      </c>
      <c r="AE360" s="15" t="s">
        <v>87</v>
      </c>
      <c r="AF360" s="42" t="str">
        <f t="shared" si="5"/>
        <v>P007</v>
      </c>
    </row>
    <row r="361" spans="1:32" hidden="1" x14ac:dyDescent="0.3">
      <c r="A361" s="12" t="e" cm="1">
        <f t="array" aca="1" ref="A361" ca="1">IF(STAT[[#This Row],[retranca]]="","",       RegxFunc(STAT[[#This Row],[retranca]],  "\w\d{4}\w*_\d")     )</f>
        <v>#NAME?</v>
      </c>
      <c r="B361" s="21" t="s">
        <v>892</v>
      </c>
      <c r="C361" s="14" t="s">
        <v>72</v>
      </c>
      <c r="D361" s="15" t="s">
        <v>9</v>
      </c>
      <c r="E361" s="15" t="s">
        <v>10</v>
      </c>
      <c r="F361" s="14">
        <v>7</v>
      </c>
      <c r="G361" s="15">
        <v>4</v>
      </c>
      <c r="H361" s="14">
        <v>11</v>
      </c>
      <c r="I361" s="14" t="s">
        <v>112</v>
      </c>
      <c r="J361" s="17" t="s">
        <v>18</v>
      </c>
      <c r="K361" s="36"/>
      <c r="L361" s="14"/>
      <c r="M361" s="14"/>
      <c r="N361" s="14"/>
      <c r="O361" s="14"/>
      <c r="P361" s="25" t="s">
        <v>893</v>
      </c>
      <c r="Q361" s="21"/>
      <c r="R361" s="22"/>
      <c r="S361" s="14">
        <v>44</v>
      </c>
      <c r="T361" s="27">
        <v>45860</v>
      </c>
      <c r="U361" s="27">
        <v>45866</v>
      </c>
      <c r="V361" s="27"/>
      <c r="W361" s="27"/>
      <c r="X361" s="27">
        <v>45866</v>
      </c>
      <c r="Y361" s="14" t="s">
        <v>894</v>
      </c>
      <c r="Z361" s="40" t="e">
        <f>IF(STAT[[#This Row],[sigla]]="","",VLOOKUP(STAT[[#This Row],[sigla]],CRÉDITOS_GERAIS[[sigla]:[credito]],2,))</f>
        <v>#N/A</v>
      </c>
      <c r="AA361" s="14" t="s">
        <v>609</v>
      </c>
      <c r="AB361" s="14" t="s">
        <v>609</v>
      </c>
      <c r="AC361" s="14">
        <v>13</v>
      </c>
      <c r="AD361" s="22" t="s">
        <v>895</v>
      </c>
      <c r="AE361" s="15" t="s">
        <v>46</v>
      </c>
      <c r="AF361" s="42" t="str">
        <f t="shared" si="5"/>
        <v>P007</v>
      </c>
    </row>
    <row r="362" spans="1:32" ht="28.8" hidden="1" x14ac:dyDescent="0.3">
      <c r="A362" s="12" t="e" cm="1">
        <f t="array" aca="1" ref="A362" ca="1">IF(STAT[[#This Row],[retranca]]="","",       RegxFunc(STAT[[#This Row],[retranca]],  "\w\d{4}\w*_\d")     )</f>
        <v>#NAME?</v>
      </c>
      <c r="B362" s="21" t="s">
        <v>896</v>
      </c>
      <c r="C362" s="14" t="s">
        <v>72</v>
      </c>
      <c r="D362" s="15" t="s">
        <v>9</v>
      </c>
      <c r="E362" s="15" t="s">
        <v>10</v>
      </c>
      <c r="F362" s="14">
        <v>7</v>
      </c>
      <c r="G362" s="15">
        <v>4</v>
      </c>
      <c r="H362" s="14">
        <v>11</v>
      </c>
      <c r="I362" s="15" t="s">
        <v>112</v>
      </c>
      <c r="J362" s="17" t="s">
        <v>55</v>
      </c>
      <c r="K362" s="36"/>
      <c r="L362" s="14"/>
      <c r="M362" s="14"/>
      <c r="N362" s="14"/>
      <c r="O362" s="14"/>
      <c r="P362" s="25" t="s">
        <v>897</v>
      </c>
      <c r="Q362" s="21"/>
      <c r="R362" s="22"/>
      <c r="S362" s="14">
        <v>44</v>
      </c>
      <c r="T362" s="27">
        <v>45860</v>
      </c>
      <c r="U362" s="27">
        <v>45866</v>
      </c>
      <c r="V362" s="27"/>
      <c r="W362" s="27"/>
      <c r="X362" s="27">
        <v>45866</v>
      </c>
      <c r="Y362" s="14" t="s">
        <v>894</v>
      </c>
      <c r="Z362" s="40" t="e">
        <f>IF(STAT[[#This Row],[sigla]]="","",VLOOKUP(STAT[[#This Row],[sigla]],CRÉDITOS_GERAIS[[sigla]:[credito]],2,))</f>
        <v>#N/A</v>
      </c>
      <c r="AA362" s="14" t="s">
        <v>609</v>
      </c>
      <c r="AB362" s="14" t="s">
        <v>609</v>
      </c>
      <c r="AC362" s="14">
        <v>13</v>
      </c>
      <c r="AD362" s="62" t="s">
        <v>895</v>
      </c>
      <c r="AE362" s="15" t="s">
        <v>46</v>
      </c>
      <c r="AF362" s="42" t="str">
        <f t="shared" si="5"/>
        <v>P007</v>
      </c>
    </row>
    <row r="363" spans="1:32" ht="72" hidden="1" x14ac:dyDescent="0.3">
      <c r="A363" s="12" t="e" cm="1">
        <f t="array" aca="1" ref="A363" ca="1">IF(STAT[[#This Row],[retranca]]="","",       RegxFunc(STAT[[#This Row],[retranca]],  "\w\d{4}\w*_\d")     )</f>
        <v>#NAME?</v>
      </c>
      <c r="B363" s="21" t="s">
        <v>898</v>
      </c>
      <c r="C363" s="14" t="s">
        <v>72</v>
      </c>
      <c r="D363" s="15" t="s">
        <v>288</v>
      </c>
      <c r="E363" s="15" t="s">
        <v>10</v>
      </c>
      <c r="F363" s="14">
        <v>8</v>
      </c>
      <c r="G363" s="15">
        <v>5</v>
      </c>
      <c r="H363" s="14">
        <v>7</v>
      </c>
      <c r="I363" s="14">
        <v>7</v>
      </c>
      <c r="J363" s="17" t="s">
        <v>55</v>
      </c>
      <c r="K363" s="36"/>
      <c r="L363" s="14"/>
      <c r="M363" s="14"/>
      <c r="N363" s="14"/>
      <c r="O363" s="14"/>
      <c r="P363" s="25" t="s">
        <v>899</v>
      </c>
      <c r="Q363" s="21"/>
      <c r="R363" s="22"/>
      <c r="S363" s="14">
        <v>45</v>
      </c>
      <c r="T363" s="27">
        <v>45860</v>
      </c>
      <c r="U363" s="27">
        <v>45860</v>
      </c>
      <c r="V363" s="27"/>
      <c r="W363" s="27"/>
      <c r="X363" s="27">
        <v>45861</v>
      </c>
      <c r="Y363" s="14" t="s">
        <v>290</v>
      </c>
      <c r="Z363" s="40" t="str">
        <f>IF(STAT[[#This Row],[sigla]]="","",VLOOKUP(STAT[[#This Row],[sigla]],CRÉDITOS_GERAIS[[sigla]:[credito]],2,))</f>
        <v>Bruna Campos</v>
      </c>
      <c r="AA363" s="14"/>
      <c r="AB363" s="14" t="str">
        <f>STAT[[#This Row],[ilustrador]]</f>
        <v>Bruna Campos</v>
      </c>
      <c r="AC363" s="14">
        <v>7</v>
      </c>
      <c r="AD363" s="22" t="s">
        <v>196</v>
      </c>
      <c r="AE363" s="15" t="s">
        <v>46</v>
      </c>
      <c r="AF363" s="42" t="str">
        <f t="shared" si="5"/>
        <v>P007</v>
      </c>
    </row>
    <row r="364" spans="1:32" ht="43.2" hidden="1" x14ac:dyDescent="0.3">
      <c r="A364" s="12" t="e" cm="1">
        <f t="array" aca="1" ref="A364" ca="1">IF(STAT[[#This Row],[retranca]]="","",       RegxFunc(STAT[[#This Row],[retranca]],  "\w\d{4}\w*_\d")     )</f>
        <v>#NAME?</v>
      </c>
      <c r="B364" s="21" t="s">
        <v>900</v>
      </c>
      <c r="C364" s="14" t="s">
        <v>72</v>
      </c>
      <c r="D364" s="15" t="s">
        <v>9</v>
      </c>
      <c r="E364" s="15" t="s">
        <v>10</v>
      </c>
      <c r="F364" s="14">
        <v>14</v>
      </c>
      <c r="G364" s="14">
        <v>5</v>
      </c>
      <c r="H364" s="14">
        <v>7</v>
      </c>
      <c r="I364" s="14">
        <v>7</v>
      </c>
      <c r="J364" s="17" t="s">
        <v>11</v>
      </c>
      <c r="K364" s="36"/>
      <c r="L364" s="14"/>
      <c r="M364" s="14"/>
      <c r="N364" s="14"/>
      <c r="O364" s="14"/>
      <c r="P364" s="25" t="s">
        <v>901</v>
      </c>
      <c r="Q364" s="21"/>
      <c r="R364" s="22"/>
      <c r="S364" s="14"/>
      <c r="T364" s="27"/>
      <c r="U364" s="27"/>
      <c r="V364" s="27"/>
      <c r="W364" s="27"/>
      <c r="X364" s="27"/>
      <c r="Y364" s="14" t="s">
        <v>902</v>
      </c>
      <c r="Z364" s="40" t="str">
        <f>IF(STAT[[#This Row],[sigla]]="","",VLOOKUP(STAT[[#This Row],[sigla]],CRÉDITOS_GERAIS[[sigla]:[credito]],2,))</f>
        <v>Waldomiro Neto</v>
      </c>
      <c r="AA364" s="14"/>
      <c r="AB364" s="14" t="str">
        <f>STAT[[#This Row],[ilustrador]]</f>
        <v>Waldomiro Neto</v>
      </c>
      <c r="AC364" s="14"/>
      <c r="AD364" s="22"/>
      <c r="AE364" s="15"/>
      <c r="AF364" s="42" t="str">
        <f t="shared" si="5"/>
        <v>P007</v>
      </c>
    </row>
    <row r="365" spans="1:32" ht="57.6" hidden="1" x14ac:dyDescent="0.3">
      <c r="A365" s="12" t="e" cm="1">
        <f t="array" aca="1" ref="A365" ca="1">IF(STAT[[#This Row],[retranca]]="","",       RegxFunc(STAT[[#This Row],[retranca]],  "\w\d{4}\w*_\d")     )</f>
        <v>#NAME?</v>
      </c>
      <c r="B365" s="21" t="s">
        <v>903</v>
      </c>
      <c r="C365" s="14" t="s">
        <v>72</v>
      </c>
      <c r="D365" s="15" t="s">
        <v>9</v>
      </c>
      <c r="E365" s="15" t="s">
        <v>10</v>
      </c>
      <c r="F365" s="14">
        <v>14</v>
      </c>
      <c r="G365" s="14">
        <v>5</v>
      </c>
      <c r="H365" s="14">
        <v>7</v>
      </c>
      <c r="I365" s="14">
        <v>7</v>
      </c>
      <c r="J365" s="17" t="s">
        <v>11</v>
      </c>
      <c r="K365" s="36"/>
      <c r="L365" s="14"/>
      <c r="M365" s="14"/>
      <c r="N365" s="14"/>
      <c r="O365" s="14"/>
      <c r="P365" s="25" t="s">
        <v>904</v>
      </c>
      <c r="Q365" s="21"/>
      <c r="R365" s="22"/>
      <c r="S365" s="14"/>
      <c r="T365" s="27"/>
      <c r="U365" s="27"/>
      <c r="V365" s="27"/>
      <c r="W365" s="27"/>
      <c r="X365" s="27"/>
      <c r="Y365" s="14" t="s">
        <v>902</v>
      </c>
      <c r="Z365" s="40" t="str">
        <f>IF(STAT[[#This Row],[sigla]]="","",VLOOKUP(STAT[[#This Row],[sigla]],CRÉDITOS_GERAIS[[sigla]:[credito]],2,))</f>
        <v>Waldomiro Neto</v>
      </c>
      <c r="AA365" s="14"/>
      <c r="AB365" s="14" t="str">
        <f>STAT[[#This Row],[ilustrador]]</f>
        <v>Waldomiro Neto</v>
      </c>
      <c r="AC365" s="14"/>
      <c r="AD365" s="22"/>
      <c r="AE365" s="15"/>
      <c r="AF365" s="42" t="str">
        <f t="shared" si="5"/>
        <v>P007</v>
      </c>
    </row>
    <row r="366" spans="1:32" ht="57.6" hidden="1" x14ac:dyDescent="0.3">
      <c r="A366" s="12" t="e" cm="1">
        <f t="array" aca="1" ref="A366" ca="1">IF(STAT[[#This Row],[retranca]]="","",       RegxFunc(STAT[[#This Row],[retranca]],  "\w\d{4}\w*_\d")     )</f>
        <v>#NAME?</v>
      </c>
      <c r="B366" s="21" t="s">
        <v>905</v>
      </c>
      <c r="C366" s="14" t="s">
        <v>72</v>
      </c>
      <c r="D366" s="15" t="s">
        <v>9</v>
      </c>
      <c r="E366" s="15" t="s">
        <v>10</v>
      </c>
      <c r="F366" s="14">
        <v>14</v>
      </c>
      <c r="G366" s="14">
        <v>5</v>
      </c>
      <c r="H366" s="14">
        <v>7</v>
      </c>
      <c r="I366" s="14">
        <v>7</v>
      </c>
      <c r="J366" s="17" t="s">
        <v>11</v>
      </c>
      <c r="K366" s="36"/>
      <c r="L366" s="14"/>
      <c r="M366" s="14"/>
      <c r="N366" s="14"/>
      <c r="O366" s="14"/>
      <c r="P366" s="25" t="s">
        <v>906</v>
      </c>
      <c r="Q366" s="21"/>
      <c r="R366" s="22"/>
      <c r="S366" s="14"/>
      <c r="T366" s="27"/>
      <c r="U366" s="27"/>
      <c r="V366" s="27"/>
      <c r="W366" s="27"/>
      <c r="X366" s="27"/>
      <c r="Y366" s="14" t="s">
        <v>902</v>
      </c>
      <c r="Z366" s="40" t="str">
        <f>IF(STAT[[#This Row],[sigla]]="","",VLOOKUP(STAT[[#This Row],[sigla]],CRÉDITOS_GERAIS[[sigla]:[credito]],2,))</f>
        <v>Waldomiro Neto</v>
      </c>
      <c r="AA366" s="14"/>
      <c r="AB366" s="14" t="str">
        <f>STAT[[#This Row],[ilustrador]]</f>
        <v>Waldomiro Neto</v>
      </c>
      <c r="AC366" s="14"/>
      <c r="AD366" s="22"/>
      <c r="AE366" s="15"/>
      <c r="AF366" s="42" t="str">
        <f t="shared" si="5"/>
        <v>P007</v>
      </c>
    </row>
    <row r="367" spans="1:32" ht="57.6" hidden="1" x14ac:dyDescent="0.3">
      <c r="A367" s="12" t="e" cm="1">
        <f t="array" aca="1" ref="A367" ca="1">IF(STAT[[#This Row],[retranca]]="","",       RegxFunc(STAT[[#This Row],[retranca]],  "\w\d{4}\w*_\d")     )</f>
        <v>#NAME?</v>
      </c>
      <c r="B367" s="21" t="s">
        <v>907</v>
      </c>
      <c r="C367" s="14" t="s">
        <v>72</v>
      </c>
      <c r="D367" s="15" t="s">
        <v>9</v>
      </c>
      <c r="E367" s="15" t="s">
        <v>10</v>
      </c>
      <c r="F367" s="14">
        <v>14</v>
      </c>
      <c r="G367" s="14">
        <v>5</v>
      </c>
      <c r="H367" s="14">
        <v>7</v>
      </c>
      <c r="I367" s="14">
        <v>7</v>
      </c>
      <c r="J367" s="17" t="s">
        <v>18</v>
      </c>
      <c r="K367" s="36"/>
      <c r="L367" s="14"/>
      <c r="M367" s="14"/>
      <c r="N367" s="14"/>
      <c r="O367" s="14"/>
      <c r="P367" s="25" t="s">
        <v>908</v>
      </c>
      <c r="Q367" s="21"/>
      <c r="R367" s="22"/>
      <c r="S367" s="14">
        <v>45</v>
      </c>
      <c r="T367" s="27">
        <v>45860</v>
      </c>
      <c r="U367" s="39">
        <v>45860</v>
      </c>
      <c r="V367" s="27"/>
      <c r="W367" s="27"/>
      <c r="X367" s="39">
        <v>45861</v>
      </c>
      <c r="Y367" s="14" t="s">
        <v>902</v>
      </c>
      <c r="Z367" s="40" t="str">
        <f>IF(STAT[[#This Row],[sigla]]="","",VLOOKUP(STAT[[#This Row],[sigla]],CRÉDITOS_GERAIS[[sigla]:[credito]],2,))</f>
        <v>Waldomiro Neto</v>
      </c>
      <c r="AA367" s="14" t="s">
        <v>90</v>
      </c>
      <c r="AB367" s="14" t="str">
        <f>STAT[[#This Row],[ilustrador]]</f>
        <v>Waldomiro Neto</v>
      </c>
      <c r="AC367" s="14">
        <v>14</v>
      </c>
      <c r="AD367" s="22" t="s">
        <v>909</v>
      </c>
      <c r="AE367" s="15" t="s">
        <v>46</v>
      </c>
      <c r="AF367" s="42" t="str">
        <f t="shared" si="5"/>
        <v>P007</v>
      </c>
    </row>
    <row r="368" spans="1:32" ht="43.2" hidden="1" x14ac:dyDescent="0.3">
      <c r="A368" s="12" t="e" cm="1">
        <f t="array" aca="1" ref="A368" ca="1">IF(STAT[[#This Row],[retranca]]="","",       RegxFunc(STAT[[#This Row],[retranca]],  "\w\d{4}\w*_\d")     )</f>
        <v>#NAME?</v>
      </c>
      <c r="B368" s="21" t="s">
        <v>910</v>
      </c>
      <c r="C368" s="14" t="s">
        <v>72</v>
      </c>
      <c r="D368" s="15" t="s">
        <v>9</v>
      </c>
      <c r="E368" s="15" t="s">
        <v>10</v>
      </c>
      <c r="F368" s="14">
        <v>14</v>
      </c>
      <c r="G368" s="14">
        <v>5</v>
      </c>
      <c r="H368" s="14">
        <v>7</v>
      </c>
      <c r="I368" s="14">
        <v>7</v>
      </c>
      <c r="J368" s="17" t="s">
        <v>11</v>
      </c>
      <c r="K368" s="36"/>
      <c r="L368" s="14"/>
      <c r="M368" s="14"/>
      <c r="N368" s="14"/>
      <c r="O368" s="14"/>
      <c r="P368" s="25" t="s">
        <v>911</v>
      </c>
      <c r="Q368" s="21"/>
      <c r="R368" s="22"/>
      <c r="S368" s="14"/>
      <c r="T368" s="27"/>
      <c r="U368" s="27"/>
      <c r="V368" s="27"/>
      <c r="W368" s="27"/>
      <c r="X368" s="27"/>
      <c r="Y368" s="14" t="s">
        <v>912</v>
      </c>
      <c r="Z368" s="40" t="str">
        <f>IF(STAT[[#This Row],[sigla]]="","",VLOOKUP(STAT[[#This Row],[sigla]],CRÉDITOS_GERAIS[[sigla]:[credito]],2,))</f>
        <v>Rogério Casagrande</v>
      </c>
      <c r="AA368" s="14"/>
      <c r="AB368" s="14" t="str">
        <f>STAT[[#This Row],[ilustrador]]</f>
        <v>Rogério Casagrande</v>
      </c>
      <c r="AC368" s="14"/>
      <c r="AD368" s="22"/>
      <c r="AE368" s="15"/>
      <c r="AF368" s="42" t="str">
        <f t="shared" si="5"/>
        <v>P007</v>
      </c>
    </row>
    <row r="369" spans="1:32" ht="57.6" hidden="1" x14ac:dyDescent="0.3">
      <c r="A369" s="12" t="e" cm="1">
        <f t="array" aca="1" ref="A369" ca="1">IF(STAT[[#This Row],[retranca]]="","",       RegxFunc(STAT[[#This Row],[retranca]],  "\w\d{4}\w*_\d")     )</f>
        <v>#NAME?</v>
      </c>
      <c r="B369" s="21" t="s">
        <v>913</v>
      </c>
      <c r="C369" s="14" t="s">
        <v>72</v>
      </c>
      <c r="D369" s="14" t="s">
        <v>9</v>
      </c>
      <c r="E369" s="14" t="s">
        <v>10</v>
      </c>
      <c r="F369" s="14">
        <v>26</v>
      </c>
      <c r="G369" s="14">
        <v>5</v>
      </c>
      <c r="H369" s="14">
        <v>8</v>
      </c>
      <c r="I369" s="14">
        <v>8</v>
      </c>
      <c r="J369" s="28" t="s">
        <v>55</v>
      </c>
      <c r="K369" s="36"/>
      <c r="L369" s="14"/>
      <c r="M369" s="14"/>
      <c r="N369" s="14"/>
      <c r="O369" s="14"/>
      <c r="P369" s="25" t="s">
        <v>914</v>
      </c>
      <c r="Q369" s="22"/>
      <c r="R369" s="22"/>
      <c r="S369" s="14">
        <v>46</v>
      </c>
      <c r="T369" s="27">
        <v>45861</v>
      </c>
      <c r="U369" s="27">
        <v>45866</v>
      </c>
      <c r="V369" s="27">
        <v>45869</v>
      </c>
      <c r="W369" s="27">
        <v>45870</v>
      </c>
      <c r="X369" s="27">
        <v>45875</v>
      </c>
      <c r="Y369" s="14" t="s">
        <v>915</v>
      </c>
      <c r="Z369" s="40" t="str">
        <f>IF(STAT[[#This Row],[sigla]]="","",VLOOKUP(STAT[[#This Row],[sigla]],CRÉDITOS_GERAIS[[sigla]:[credito]],2,))</f>
        <v>Isadora Zeferino</v>
      </c>
      <c r="AA369" s="14"/>
      <c r="AB369" s="14" t="str">
        <f>STAT[[#This Row],[ilustrador]]</f>
        <v>Isadora Zeferino</v>
      </c>
      <c r="AC369" s="14">
        <v>4</v>
      </c>
      <c r="AD369" s="22" t="s">
        <v>916</v>
      </c>
      <c r="AE369" s="14" t="s">
        <v>87</v>
      </c>
      <c r="AF369" s="42" t="str">
        <f t="shared" si="5"/>
        <v>P007</v>
      </c>
    </row>
    <row r="370" spans="1:32" hidden="1" x14ac:dyDescent="0.3">
      <c r="A370" s="12" t="e" cm="1">
        <f t="array" aca="1" ref="A370" ca="1">IF(STAT[[#This Row],[retranca]]="","",       RegxFunc(STAT[[#This Row],[retranca]],  "\w\d{4}\w*_\d")     )</f>
        <v>#NAME?</v>
      </c>
      <c r="B370" s="21" t="s">
        <v>917</v>
      </c>
      <c r="C370" s="14" t="s">
        <v>122</v>
      </c>
      <c r="D370" s="14" t="s">
        <v>9</v>
      </c>
      <c r="E370" s="14" t="s">
        <v>10</v>
      </c>
      <c r="F370" s="14">
        <v>28</v>
      </c>
      <c r="G370" s="14">
        <v>5</v>
      </c>
      <c r="H370" s="14">
        <v>8</v>
      </c>
      <c r="I370" s="14">
        <v>8</v>
      </c>
      <c r="J370" s="28" t="s">
        <v>55</v>
      </c>
      <c r="K370" s="36"/>
      <c r="L370" s="14"/>
      <c r="M370" s="14"/>
      <c r="N370" s="14"/>
      <c r="O370" s="14"/>
      <c r="P370" s="25" t="s">
        <v>918</v>
      </c>
      <c r="Q370" s="21"/>
      <c r="R370" s="22"/>
      <c r="S370" s="14">
        <v>46</v>
      </c>
      <c r="T370" s="27">
        <v>45861</v>
      </c>
      <c r="U370" s="27">
        <v>45863</v>
      </c>
      <c r="V370" s="27">
        <v>45868</v>
      </c>
      <c r="W370" s="27">
        <v>45869</v>
      </c>
      <c r="X370" s="27">
        <v>45876</v>
      </c>
      <c r="Y370" s="14" t="s">
        <v>919</v>
      </c>
      <c r="Z370" s="40" t="str">
        <f>IF(STAT[[#This Row],[sigla]]="","",VLOOKUP(STAT[[#This Row],[sigla]],CRÉDITOS_GERAIS[[sigla]:[credito]],2,))</f>
        <v>Raquel Teixeira</v>
      </c>
      <c r="AA370" s="14"/>
      <c r="AB370" s="14" t="str">
        <f>STAT[[#This Row],[ilustrador]]</f>
        <v>Raquel Teixeira</v>
      </c>
      <c r="AC370" s="14">
        <v>6</v>
      </c>
      <c r="AD370" s="22" t="s">
        <v>920</v>
      </c>
      <c r="AE370" s="14" t="s">
        <v>87</v>
      </c>
      <c r="AF370" s="42" t="str">
        <f t="shared" si="5"/>
        <v>P007</v>
      </c>
    </row>
    <row r="371" spans="1:32" ht="43.2" hidden="1" x14ac:dyDescent="0.3">
      <c r="A371" s="12" t="e" cm="1">
        <f t="array" aca="1" ref="A371" ca="1">IF(STAT[[#This Row],[retranca]]="","",       RegxFunc(STAT[[#This Row],[retranca]],  "\w\d{4}\w*_\d")     )</f>
        <v>#NAME?</v>
      </c>
      <c r="B371" s="21" t="s">
        <v>921</v>
      </c>
      <c r="C371" s="14" t="s">
        <v>122</v>
      </c>
      <c r="D371" s="14" t="s">
        <v>9</v>
      </c>
      <c r="E371" s="14" t="s">
        <v>10</v>
      </c>
      <c r="F371" s="14">
        <v>28</v>
      </c>
      <c r="G371" s="14">
        <v>5</v>
      </c>
      <c r="H371" s="14">
        <v>8</v>
      </c>
      <c r="I371" s="14">
        <v>8</v>
      </c>
      <c r="J371" s="28" t="s">
        <v>55</v>
      </c>
      <c r="K371" s="36"/>
      <c r="L371" s="14"/>
      <c r="M371" s="14"/>
      <c r="N371" s="14"/>
      <c r="O371" s="14"/>
      <c r="P371" s="25" t="s">
        <v>922</v>
      </c>
      <c r="Q371" s="21"/>
      <c r="R371" s="22"/>
      <c r="S371" s="14">
        <v>46</v>
      </c>
      <c r="T371" s="27">
        <v>45861</v>
      </c>
      <c r="U371" s="27">
        <v>45863</v>
      </c>
      <c r="V371" s="27">
        <v>45868</v>
      </c>
      <c r="W371" s="27">
        <v>45869</v>
      </c>
      <c r="X371" s="27">
        <v>45876</v>
      </c>
      <c r="Y371" s="14" t="s">
        <v>919</v>
      </c>
      <c r="Z371" s="40" t="str">
        <f>IF(STAT[[#This Row],[sigla]]="","",VLOOKUP(STAT[[#This Row],[sigla]],CRÉDITOS_GERAIS[[sigla]:[credito]],2,))</f>
        <v>Raquel Teixeira</v>
      </c>
      <c r="AA371" s="14"/>
      <c r="AB371" s="14" t="str">
        <f>STAT[[#This Row],[ilustrador]]</f>
        <v>Raquel Teixeira</v>
      </c>
      <c r="AC371" s="14">
        <v>5</v>
      </c>
      <c r="AD371" s="22" t="s">
        <v>920</v>
      </c>
      <c r="AE371" s="14" t="s">
        <v>87</v>
      </c>
      <c r="AF371" s="42" t="str">
        <f t="shared" si="5"/>
        <v>P007</v>
      </c>
    </row>
    <row r="372" spans="1:32" ht="28.8" hidden="1" x14ac:dyDescent="0.3">
      <c r="A372" s="12" t="e" cm="1">
        <f t="array" aca="1" ref="A372" ca="1">IF(STAT[[#This Row],[retranca]]="","",       RegxFunc(STAT[[#This Row],[retranca]],  "\w\d{4}\w*_\d")     )</f>
        <v>#NAME?</v>
      </c>
      <c r="B372" s="21" t="s">
        <v>923</v>
      </c>
      <c r="C372" s="14" t="s">
        <v>72</v>
      </c>
      <c r="D372" s="14" t="s">
        <v>9</v>
      </c>
      <c r="E372" s="14" t="s">
        <v>10</v>
      </c>
      <c r="F372" s="14">
        <v>31</v>
      </c>
      <c r="G372" s="14">
        <v>5</v>
      </c>
      <c r="H372" s="14">
        <v>8</v>
      </c>
      <c r="I372" s="14">
        <v>8</v>
      </c>
      <c r="J372" s="28" t="s">
        <v>55</v>
      </c>
      <c r="K372" s="36"/>
      <c r="L372" s="14"/>
      <c r="M372" s="14"/>
      <c r="N372" s="14"/>
      <c r="O372" s="14"/>
      <c r="P372" s="25" t="s">
        <v>924</v>
      </c>
      <c r="Q372" s="22"/>
      <c r="R372" s="22"/>
      <c r="S372" s="14">
        <v>46</v>
      </c>
      <c r="T372" s="27">
        <v>45861</v>
      </c>
      <c r="U372" s="27">
        <v>45863</v>
      </c>
      <c r="V372" s="27">
        <v>45868</v>
      </c>
      <c r="W372" s="27">
        <v>45869</v>
      </c>
      <c r="X372" s="27">
        <v>45875</v>
      </c>
      <c r="Y372" s="14" t="s">
        <v>919</v>
      </c>
      <c r="Z372" s="40" t="str">
        <f>IF(STAT[[#This Row],[sigla]]="","",VLOOKUP(STAT[[#This Row],[sigla]],CRÉDITOS_GERAIS[[sigla]:[credito]],2,))</f>
        <v>Raquel Teixeira</v>
      </c>
      <c r="AA372" s="14"/>
      <c r="AB372" s="14" t="str">
        <f>STAT[[#This Row],[ilustrador]]</f>
        <v>Raquel Teixeira</v>
      </c>
      <c r="AC372" s="14">
        <v>6</v>
      </c>
      <c r="AD372" s="22" t="s">
        <v>920</v>
      </c>
      <c r="AE372" s="14" t="s">
        <v>87</v>
      </c>
      <c r="AF372" s="42" t="str">
        <f t="shared" si="5"/>
        <v>P007</v>
      </c>
    </row>
    <row r="373" spans="1:32" ht="28.8" hidden="1" x14ac:dyDescent="0.3">
      <c r="A373" s="12" t="e" cm="1">
        <f t="array" aca="1" ref="A373" ca="1">IF(STAT[[#This Row],[retranca]]="","",       RegxFunc(STAT[[#This Row],[retranca]],  "\w\d{4}\w*_\d")     )</f>
        <v>#NAME?</v>
      </c>
      <c r="B373" s="21" t="s">
        <v>925</v>
      </c>
      <c r="C373" s="14" t="s">
        <v>72</v>
      </c>
      <c r="D373" s="14" t="s">
        <v>9</v>
      </c>
      <c r="E373" s="14" t="s">
        <v>10</v>
      </c>
      <c r="F373" s="14">
        <v>33</v>
      </c>
      <c r="G373" s="14">
        <v>5</v>
      </c>
      <c r="H373" s="14">
        <v>8</v>
      </c>
      <c r="I373" s="14">
        <v>8</v>
      </c>
      <c r="J373" s="28" t="s">
        <v>55</v>
      </c>
      <c r="K373" s="36"/>
      <c r="L373" s="14"/>
      <c r="M373" s="14"/>
      <c r="N373" s="14"/>
      <c r="O373" s="14"/>
      <c r="P373" s="25" t="s">
        <v>926</v>
      </c>
      <c r="Q373" s="21"/>
      <c r="R373" s="22"/>
      <c r="S373" s="14">
        <v>46</v>
      </c>
      <c r="T373" s="27">
        <v>45861</v>
      </c>
      <c r="U373" s="27">
        <v>45863</v>
      </c>
      <c r="V373" s="27">
        <v>45868</v>
      </c>
      <c r="W373" s="27">
        <v>45869</v>
      </c>
      <c r="X373" s="27">
        <v>45875</v>
      </c>
      <c r="Y373" s="14" t="s">
        <v>919</v>
      </c>
      <c r="Z373" s="40" t="str">
        <f>IF(STAT[[#This Row],[sigla]]="","",VLOOKUP(STAT[[#This Row],[sigla]],CRÉDITOS_GERAIS[[sigla]:[credito]],2,))</f>
        <v>Raquel Teixeira</v>
      </c>
      <c r="AA373" s="14"/>
      <c r="AB373" s="14" t="str">
        <f>STAT[[#This Row],[ilustrador]]</f>
        <v>Raquel Teixeira</v>
      </c>
      <c r="AC373" s="14">
        <v>7</v>
      </c>
      <c r="AD373" s="22" t="s">
        <v>920</v>
      </c>
      <c r="AE373" s="14" t="s">
        <v>87</v>
      </c>
      <c r="AF373" s="42" t="str">
        <f t="shared" si="5"/>
        <v>P007</v>
      </c>
    </row>
    <row r="374" spans="1:32" hidden="1" x14ac:dyDescent="0.3">
      <c r="A374" s="12" t="e" cm="1">
        <f t="array" aca="1" ref="A374" ca="1">IF(STAT[[#This Row],[retranca]]="","",       RegxFunc(STAT[[#This Row],[retranca]],  "\w\d{4}\w*_\d")     )</f>
        <v>#NAME?</v>
      </c>
      <c r="B374" s="21" t="s">
        <v>927</v>
      </c>
      <c r="C374" s="14" t="s">
        <v>72</v>
      </c>
      <c r="D374" s="14" t="s">
        <v>9</v>
      </c>
      <c r="E374" s="14" t="s">
        <v>10</v>
      </c>
      <c r="F374" s="14">
        <v>35</v>
      </c>
      <c r="G374" s="14">
        <v>5</v>
      </c>
      <c r="H374" s="14">
        <v>8</v>
      </c>
      <c r="I374" s="14">
        <v>8</v>
      </c>
      <c r="J374" s="28" t="s">
        <v>55</v>
      </c>
      <c r="K374" s="36"/>
      <c r="L374" s="14"/>
      <c r="M374" s="14"/>
      <c r="N374" s="14"/>
      <c r="O374" s="14"/>
      <c r="P374" s="25" t="s">
        <v>928</v>
      </c>
      <c r="Q374" s="21"/>
      <c r="R374" s="22"/>
      <c r="S374" s="14">
        <v>46</v>
      </c>
      <c r="T374" s="27">
        <v>45861</v>
      </c>
      <c r="U374" s="27">
        <v>45861</v>
      </c>
      <c r="V374" s="27"/>
      <c r="W374" s="27"/>
      <c r="X374" s="27">
        <v>45864</v>
      </c>
      <c r="Y374" s="14" t="s">
        <v>290</v>
      </c>
      <c r="Z374" s="40" t="str">
        <f>IF(STAT[[#This Row],[sigla]]="","",VLOOKUP(STAT[[#This Row],[sigla]],CRÉDITOS_GERAIS[[sigla]:[credito]],2,))</f>
        <v>Bruna Campos</v>
      </c>
      <c r="AA374" s="14"/>
      <c r="AB374" s="14" t="str">
        <f>STAT[[#This Row],[ilustrador]]</f>
        <v>Bruna Campos</v>
      </c>
      <c r="AC374" s="14">
        <v>8</v>
      </c>
      <c r="AD374" s="22" t="s">
        <v>196</v>
      </c>
      <c r="AE374" s="15" t="s">
        <v>46</v>
      </c>
      <c r="AF374" s="42" t="str">
        <f t="shared" si="5"/>
        <v>P007</v>
      </c>
    </row>
    <row r="375" spans="1:32" hidden="1" x14ac:dyDescent="0.3">
      <c r="A375" s="12" t="e" cm="1">
        <f t="array" aca="1" ref="A375" ca="1">IF(STAT[[#This Row],[retranca]]="","",       RegxFunc(STAT[[#This Row],[retranca]],  "\w\d{4}\w*_\d")     )</f>
        <v>#NAME?</v>
      </c>
      <c r="B375" s="21" t="s">
        <v>929</v>
      </c>
      <c r="C375" s="14" t="s">
        <v>72</v>
      </c>
      <c r="D375" s="14" t="s">
        <v>9</v>
      </c>
      <c r="E375" s="14" t="s">
        <v>10</v>
      </c>
      <c r="F375" s="14">
        <v>36</v>
      </c>
      <c r="G375" s="14">
        <v>5</v>
      </c>
      <c r="H375" s="14">
        <v>8</v>
      </c>
      <c r="I375" s="14">
        <v>8</v>
      </c>
      <c r="J375" s="28" t="s">
        <v>55</v>
      </c>
      <c r="K375" s="36"/>
      <c r="L375" s="14"/>
      <c r="M375" s="14"/>
      <c r="N375" s="14"/>
      <c r="O375" s="14"/>
      <c r="P375" s="25" t="s">
        <v>930</v>
      </c>
      <c r="Q375" s="21"/>
      <c r="R375" s="22"/>
      <c r="S375" s="14">
        <v>46</v>
      </c>
      <c r="T375" s="27">
        <v>45861</v>
      </c>
      <c r="U375" s="27">
        <v>45866</v>
      </c>
      <c r="V375" s="27">
        <v>45869</v>
      </c>
      <c r="W375" s="27">
        <v>45870</v>
      </c>
      <c r="X375" s="27">
        <v>45875</v>
      </c>
      <c r="Y375" s="14" t="s">
        <v>915</v>
      </c>
      <c r="Z375" s="40" t="str">
        <f>IF(STAT[[#This Row],[sigla]]="","",VLOOKUP(STAT[[#This Row],[sigla]],CRÉDITOS_GERAIS[[sigla]:[credito]],2,))</f>
        <v>Isadora Zeferino</v>
      </c>
      <c r="AA375" s="14"/>
      <c r="AB375" s="14" t="str">
        <f>STAT[[#This Row],[ilustrador]]</f>
        <v>Isadora Zeferino</v>
      </c>
      <c r="AC375" s="14">
        <v>5</v>
      </c>
      <c r="AD375" s="22" t="s">
        <v>916</v>
      </c>
      <c r="AE375" s="14" t="s">
        <v>87</v>
      </c>
      <c r="AF375" s="42" t="str">
        <f t="shared" si="5"/>
        <v>P007</v>
      </c>
    </row>
    <row r="376" spans="1:32" ht="28.8" hidden="1" x14ac:dyDescent="0.3">
      <c r="A376" s="12" t="e" cm="1">
        <f t="array" aca="1" ref="A376" ca="1">IF(STAT[[#This Row],[retranca]]="","",       RegxFunc(STAT[[#This Row],[retranca]],  "\w\d{4}\w*_\d")     )</f>
        <v>#NAME?</v>
      </c>
      <c r="B376" s="21" t="s">
        <v>931</v>
      </c>
      <c r="C376" s="14" t="s">
        <v>72</v>
      </c>
      <c r="D376" s="14" t="s">
        <v>9</v>
      </c>
      <c r="E376" s="14" t="s">
        <v>10</v>
      </c>
      <c r="F376" s="14">
        <v>37</v>
      </c>
      <c r="G376" s="14">
        <v>5</v>
      </c>
      <c r="H376" s="14">
        <v>8</v>
      </c>
      <c r="I376" s="14">
        <v>8</v>
      </c>
      <c r="J376" s="28" t="s">
        <v>55</v>
      </c>
      <c r="K376" s="36"/>
      <c r="L376" s="14"/>
      <c r="M376" s="14"/>
      <c r="N376" s="14"/>
      <c r="O376" s="14"/>
      <c r="P376" s="25" t="s">
        <v>932</v>
      </c>
      <c r="Q376" s="21"/>
      <c r="R376" s="22"/>
      <c r="S376" s="14">
        <v>46</v>
      </c>
      <c r="T376" s="27">
        <v>45861</v>
      </c>
      <c r="U376" s="27">
        <v>45866</v>
      </c>
      <c r="V376" s="27">
        <v>45869</v>
      </c>
      <c r="W376" s="27">
        <v>45870</v>
      </c>
      <c r="X376" s="27">
        <v>45875</v>
      </c>
      <c r="Y376" s="14" t="s">
        <v>915</v>
      </c>
      <c r="Z376" s="40" t="str">
        <f>IF(STAT[[#This Row],[sigla]]="","",VLOOKUP(STAT[[#This Row],[sigla]],CRÉDITOS_GERAIS[[sigla]:[credito]],2,))</f>
        <v>Isadora Zeferino</v>
      </c>
      <c r="AA376" s="14"/>
      <c r="AB376" s="14" t="str">
        <f>STAT[[#This Row],[ilustrador]]</f>
        <v>Isadora Zeferino</v>
      </c>
      <c r="AC376" s="14">
        <v>5</v>
      </c>
      <c r="AD376" s="22" t="s">
        <v>916</v>
      </c>
      <c r="AE376" s="14" t="s">
        <v>87</v>
      </c>
      <c r="AF376" s="42" t="str">
        <f t="shared" si="5"/>
        <v>P007</v>
      </c>
    </row>
    <row r="377" spans="1:32" hidden="1" x14ac:dyDescent="0.3">
      <c r="A377" s="12" t="e" cm="1">
        <f t="array" aca="1" ref="A377" ca="1">IF(STAT[[#This Row],[retranca]]="","",       RegxFunc(STAT[[#This Row],[retranca]],  "\w\d{4}\w*_\d")     )</f>
        <v>#NAME?</v>
      </c>
      <c r="B377" s="21" t="s">
        <v>933</v>
      </c>
      <c r="C377" s="14" t="s">
        <v>72</v>
      </c>
      <c r="D377" s="14" t="s">
        <v>9</v>
      </c>
      <c r="E377" s="14" t="s">
        <v>10</v>
      </c>
      <c r="F377" s="14">
        <v>39</v>
      </c>
      <c r="G377" s="14">
        <v>5</v>
      </c>
      <c r="H377" s="14">
        <v>8</v>
      </c>
      <c r="I377" s="14">
        <v>8</v>
      </c>
      <c r="J377" s="28" t="s">
        <v>55</v>
      </c>
      <c r="K377" s="36"/>
      <c r="L377" s="14"/>
      <c r="M377" s="14"/>
      <c r="N377" s="14"/>
      <c r="O377" s="14"/>
      <c r="P377" s="25" t="s">
        <v>934</v>
      </c>
      <c r="Q377" s="22"/>
      <c r="R377" s="22"/>
      <c r="S377" s="14">
        <v>46</v>
      </c>
      <c r="T377" s="27">
        <v>45861</v>
      </c>
      <c r="U377" s="39">
        <v>45866</v>
      </c>
      <c r="V377" s="27">
        <v>45869</v>
      </c>
      <c r="W377" s="27">
        <v>45870</v>
      </c>
      <c r="X377" s="39">
        <v>45875</v>
      </c>
      <c r="Y377" s="14" t="s">
        <v>915</v>
      </c>
      <c r="Z377" s="40" t="str">
        <f>IF(STAT[[#This Row],[sigla]]="","",VLOOKUP(STAT[[#This Row],[sigla]],CRÉDITOS_GERAIS[[sigla]:[credito]],2,))</f>
        <v>Isadora Zeferino</v>
      </c>
      <c r="AA377" s="14"/>
      <c r="AB377" s="14" t="str">
        <f>STAT[[#This Row],[ilustrador]]</f>
        <v>Isadora Zeferino</v>
      </c>
      <c r="AC377" s="14">
        <v>4</v>
      </c>
      <c r="AD377" s="22" t="s">
        <v>916</v>
      </c>
      <c r="AE377" s="14" t="s">
        <v>87</v>
      </c>
      <c r="AF377" s="42" t="str">
        <f t="shared" si="5"/>
        <v>P007</v>
      </c>
    </row>
    <row r="378" spans="1:32" hidden="1" x14ac:dyDescent="0.3">
      <c r="A378" s="12" t="e" cm="1">
        <f t="array" aca="1" ref="A378" ca="1">IF(STAT[[#This Row],[retranca]]="","",       RegxFunc(STAT[[#This Row],[retranca]],  "\w\d{4}\w*_\d")     )</f>
        <v>#NAME?</v>
      </c>
      <c r="B378" s="21" t="s">
        <v>935</v>
      </c>
      <c r="C378" s="14" t="s">
        <v>8</v>
      </c>
      <c r="D378" s="14" t="s">
        <v>9</v>
      </c>
      <c r="E378" s="14" t="s">
        <v>10</v>
      </c>
      <c r="F378" s="14">
        <v>41</v>
      </c>
      <c r="G378" s="14">
        <v>5</v>
      </c>
      <c r="H378" s="14">
        <v>8</v>
      </c>
      <c r="I378" s="14">
        <v>8</v>
      </c>
      <c r="J378" s="28" t="s">
        <v>55</v>
      </c>
      <c r="K378" s="36"/>
      <c r="L378" s="14"/>
      <c r="M378" s="14"/>
      <c r="N378" s="14"/>
      <c r="O378" s="14"/>
      <c r="P378" s="25" t="s">
        <v>936</v>
      </c>
      <c r="Q378" s="22"/>
      <c r="R378" s="22" t="s">
        <v>937</v>
      </c>
      <c r="S378" s="14">
        <v>46</v>
      </c>
      <c r="T378" s="27">
        <v>45861</v>
      </c>
      <c r="U378" s="27"/>
      <c r="V378" s="27"/>
      <c r="W378" s="27"/>
      <c r="X378" s="27"/>
      <c r="Y378" s="14"/>
      <c r="Z378" s="40" t="str">
        <f>IF(STAT[[#This Row],[sigla]]="","",VLOOKUP(STAT[[#This Row],[sigla]],CRÉDITOS_GERAIS[[sigla]:[credito]],2,))</f>
        <v/>
      </c>
      <c r="AA378" s="14"/>
      <c r="AB378" s="14" t="str">
        <f>STAT[[#This Row],[ilustrador]]</f>
        <v/>
      </c>
      <c r="AC378" s="14"/>
      <c r="AD378" s="22"/>
      <c r="AE378" s="15"/>
      <c r="AF378" s="42" t="str">
        <f t="shared" si="5"/>
        <v>P007</v>
      </c>
    </row>
    <row r="379" spans="1:32" ht="43.2" hidden="1" x14ac:dyDescent="0.3">
      <c r="A379" s="12" t="e" cm="1">
        <f t="array" aca="1" ref="A379" ca="1">IF(STAT[[#This Row],[retranca]]="","",       RegxFunc(STAT[[#This Row],[retranca]],  "\w\d{4}\w*_\d")     )</f>
        <v>#NAME?</v>
      </c>
      <c r="B379" s="21" t="s">
        <v>938</v>
      </c>
      <c r="C379" s="14" t="s">
        <v>8</v>
      </c>
      <c r="D379" s="14" t="s">
        <v>9</v>
      </c>
      <c r="E379" s="14" t="s">
        <v>10</v>
      </c>
      <c r="F379" s="14">
        <v>42</v>
      </c>
      <c r="G379" s="14">
        <v>5</v>
      </c>
      <c r="H379" s="14">
        <v>8</v>
      </c>
      <c r="I379" s="14">
        <v>8</v>
      </c>
      <c r="J379" s="28" t="s">
        <v>55</v>
      </c>
      <c r="K379" s="36"/>
      <c r="L379" s="14"/>
      <c r="M379" s="14"/>
      <c r="N379" s="14"/>
      <c r="O379" s="14"/>
      <c r="P379" s="25" t="s">
        <v>939</v>
      </c>
      <c r="Q379" s="21"/>
      <c r="R379" s="22" t="s">
        <v>937</v>
      </c>
      <c r="S379" s="14">
        <v>46</v>
      </c>
      <c r="T379" s="27">
        <v>45861</v>
      </c>
      <c r="U379" s="27"/>
      <c r="V379" s="27"/>
      <c r="W379" s="27"/>
      <c r="X379" s="27"/>
      <c r="Y379" s="14"/>
      <c r="Z379" s="40" t="str">
        <f>IF(STAT[[#This Row],[sigla]]="","",VLOOKUP(STAT[[#This Row],[sigla]],CRÉDITOS_GERAIS[[sigla]:[credito]],2,))</f>
        <v/>
      </c>
      <c r="AA379" s="14"/>
      <c r="AB379" s="14" t="str">
        <f>STAT[[#This Row],[ilustrador]]</f>
        <v/>
      </c>
      <c r="AC379" s="14"/>
      <c r="AD379" s="22"/>
      <c r="AE379" s="15"/>
      <c r="AF379" s="42" t="str">
        <f t="shared" si="5"/>
        <v>P007</v>
      </c>
    </row>
    <row r="380" spans="1:32" ht="28.8" hidden="1" x14ac:dyDescent="0.3">
      <c r="A380" s="12" t="e" cm="1">
        <f t="array" aca="1" ref="A380" ca="1">IF(STAT[[#This Row],[retranca]]="","",       RegxFunc(STAT[[#This Row],[retranca]],  "\w\d{4}\w*_\d")     )</f>
        <v>#NAME?</v>
      </c>
      <c r="B380" s="21" t="s">
        <v>940</v>
      </c>
      <c r="C380" s="14" t="s">
        <v>8</v>
      </c>
      <c r="D380" s="14" t="s">
        <v>9</v>
      </c>
      <c r="E380" s="14" t="s">
        <v>10</v>
      </c>
      <c r="F380" s="14">
        <v>42</v>
      </c>
      <c r="G380" s="14">
        <v>5</v>
      </c>
      <c r="H380" s="14">
        <v>8</v>
      </c>
      <c r="I380" s="14">
        <v>8</v>
      </c>
      <c r="J380" s="28" t="s">
        <v>55</v>
      </c>
      <c r="K380" s="36"/>
      <c r="L380" s="14"/>
      <c r="M380" s="14"/>
      <c r="N380" s="14"/>
      <c r="O380" s="14"/>
      <c r="P380" s="25" t="s">
        <v>941</v>
      </c>
      <c r="Q380" s="21"/>
      <c r="R380" s="22" t="s">
        <v>937</v>
      </c>
      <c r="S380" s="14">
        <v>46</v>
      </c>
      <c r="T380" s="27">
        <v>45861</v>
      </c>
      <c r="U380" s="27"/>
      <c r="V380" s="27"/>
      <c r="W380" s="27"/>
      <c r="X380" s="27"/>
      <c r="Y380" s="14"/>
      <c r="Z380" s="40" t="str">
        <f>IF(STAT[[#This Row],[sigla]]="","",VLOOKUP(STAT[[#This Row],[sigla]],CRÉDITOS_GERAIS[[sigla]:[credito]],2,))</f>
        <v/>
      </c>
      <c r="AA380" s="14"/>
      <c r="AB380" s="14" t="str">
        <f>STAT[[#This Row],[ilustrador]]</f>
        <v/>
      </c>
      <c r="AC380" s="14"/>
      <c r="AD380" s="22"/>
      <c r="AE380" s="15"/>
      <c r="AF380" s="42" t="str">
        <f t="shared" si="5"/>
        <v>P007</v>
      </c>
    </row>
    <row r="381" spans="1:32" hidden="1" x14ac:dyDescent="0.3">
      <c r="A381" s="12" t="e" cm="1">
        <f t="array" aca="1" ref="A381" ca="1">IF(STAT[[#This Row],[retranca]]="","",       RegxFunc(STAT[[#This Row],[retranca]],  "\w\d{4}\w*_\d")     )</f>
        <v>#NAME?</v>
      </c>
      <c r="B381" s="21" t="s">
        <v>942</v>
      </c>
      <c r="C381" s="14" t="s">
        <v>72</v>
      </c>
      <c r="D381" s="15" t="s">
        <v>9</v>
      </c>
      <c r="E381" s="15" t="s">
        <v>10</v>
      </c>
      <c r="F381" s="14">
        <v>1</v>
      </c>
      <c r="G381" s="15">
        <v>5</v>
      </c>
      <c r="H381" s="14">
        <v>8</v>
      </c>
      <c r="I381" s="14" t="s">
        <v>112</v>
      </c>
      <c r="J381" s="17" t="s">
        <v>55</v>
      </c>
      <c r="K381" s="36"/>
      <c r="L381" s="14"/>
      <c r="M381" s="14"/>
      <c r="N381" s="14"/>
      <c r="O381" s="14"/>
      <c r="P381" s="25" t="s">
        <v>943</v>
      </c>
      <c r="Q381" s="21"/>
      <c r="R381" s="22"/>
      <c r="S381" s="14">
        <v>46</v>
      </c>
      <c r="T381" s="27">
        <v>45861</v>
      </c>
      <c r="U381" s="27">
        <v>45863</v>
      </c>
      <c r="V381" s="27">
        <v>45868</v>
      </c>
      <c r="W381" s="27">
        <v>45869</v>
      </c>
      <c r="X381" s="27">
        <v>45876</v>
      </c>
      <c r="Y381" s="14" t="s">
        <v>919</v>
      </c>
      <c r="Z381" s="40" t="str">
        <f>IF(STAT[[#This Row],[sigla]]="","",VLOOKUP(STAT[[#This Row],[sigla]],CRÉDITOS_GERAIS[[sigla]:[credito]],2,))</f>
        <v>Raquel Teixeira</v>
      </c>
      <c r="AA381" s="14"/>
      <c r="AB381" s="14" t="str">
        <f>STAT[[#This Row],[ilustrador]]</f>
        <v>Raquel Teixeira</v>
      </c>
      <c r="AC381" s="14">
        <v>4</v>
      </c>
      <c r="AD381" s="22" t="s">
        <v>920</v>
      </c>
      <c r="AE381" s="14" t="s">
        <v>87</v>
      </c>
      <c r="AF381" s="42" t="str">
        <f t="shared" si="5"/>
        <v>P007</v>
      </c>
    </row>
    <row r="382" spans="1:32" ht="43.2" hidden="1" x14ac:dyDescent="0.3">
      <c r="A382" s="12" t="e" cm="1">
        <f t="array" aca="1" ref="A382" ca="1">IF(STAT[[#This Row],[retranca]]="","",       RegxFunc(STAT[[#This Row],[retranca]],  "\w\d{4}\w*_\d")     )</f>
        <v>#NAME?</v>
      </c>
      <c r="B382" s="21" t="s">
        <v>944</v>
      </c>
      <c r="C382" s="14" t="s">
        <v>72</v>
      </c>
      <c r="D382" s="15" t="s">
        <v>9</v>
      </c>
      <c r="E382" s="15" t="s">
        <v>10</v>
      </c>
      <c r="F382" s="14">
        <v>1</v>
      </c>
      <c r="G382" s="15">
        <v>5</v>
      </c>
      <c r="H382" s="14">
        <v>8</v>
      </c>
      <c r="I382" s="14" t="s">
        <v>112</v>
      </c>
      <c r="J382" s="17" t="s">
        <v>55</v>
      </c>
      <c r="K382" s="36"/>
      <c r="L382" s="14"/>
      <c r="M382" s="14"/>
      <c r="N382" s="14"/>
      <c r="O382" s="14"/>
      <c r="P382" s="25" t="s">
        <v>945</v>
      </c>
      <c r="Q382" s="21"/>
      <c r="R382" s="22"/>
      <c r="S382" s="14">
        <v>46</v>
      </c>
      <c r="T382" s="27">
        <v>45861</v>
      </c>
      <c r="U382" s="27">
        <v>45863</v>
      </c>
      <c r="V382" s="27">
        <v>45868</v>
      </c>
      <c r="W382" s="27">
        <v>45869</v>
      </c>
      <c r="X382" s="27">
        <v>45876</v>
      </c>
      <c r="Y382" s="14" t="s">
        <v>919</v>
      </c>
      <c r="Z382" s="40" t="str">
        <f>IF(STAT[[#This Row],[sigla]]="","",VLOOKUP(STAT[[#This Row],[sigla]],CRÉDITOS_GERAIS[[sigla]:[credito]],2,))</f>
        <v>Raquel Teixeira</v>
      </c>
      <c r="AA382" s="14"/>
      <c r="AB382" s="14" t="str">
        <f>STAT[[#This Row],[ilustrador]]</f>
        <v>Raquel Teixeira</v>
      </c>
      <c r="AC382" s="14">
        <v>7</v>
      </c>
      <c r="AD382" s="22" t="s">
        <v>920</v>
      </c>
      <c r="AE382" s="14" t="s">
        <v>87</v>
      </c>
      <c r="AF382" s="42" t="str">
        <f t="shared" si="5"/>
        <v>P007</v>
      </c>
    </row>
    <row r="383" spans="1:32" ht="28.8" hidden="1" x14ac:dyDescent="0.3">
      <c r="A383" s="12" t="e" cm="1">
        <f t="array" aca="1" ref="A383" ca="1">IF(STAT[[#This Row],[retranca]]="","",       RegxFunc(STAT[[#This Row],[retranca]],  "\w\d{4}\w*_\d")     )</f>
        <v>#NAME?</v>
      </c>
      <c r="B383" s="21" t="s">
        <v>946</v>
      </c>
      <c r="C383" s="14" t="s">
        <v>72</v>
      </c>
      <c r="D383" s="15" t="s">
        <v>9</v>
      </c>
      <c r="E383" s="15" t="s">
        <v>10</v>
      </c>
      <c r="F383" s="14">
        <v>46</v>
      </c>
      <c r="G383" s="15">
        <v>5</v>
      </c>
      <c r="H383" s="14">
        <v>9</v>
      </c>
      <c r="I383" s="14">
        <v>9</v>
      </c>
      <c r="J383" s="17" t="s">
        <v>55</v>
      </c>
      <c r="K383" s="36"/>
      <c r="L383" s="14"/>
      <c r="M383" s="14"/>
      <c r="N383" s="14"/>
      <c r="O383" s="14"/>
      <c r="P383" s="25" t="s">
        <v>947</v>
      </c>
      <c r="Q383" s="21"/>
      <c r="R383" s="22"/>
      <c r="S383" s="14">
        <v>47</v>
      </c>
      <c r="T383" s="27">
        <v>45861</v>
      </c>
      <c r="U383" s="27">
        <v>45864</v>
      </c>
      <c r="V383" s="27">
        <v>45866</v>
      </c>
      <c r="W383" s="27">
        <v>45867</v>
      </c>
      <c r="X383" s="27">
        <v>45869</v>
      </c>
      <c r="Y383" s="14" t="s">
        <v>94</v>
      </c>
      <c r="Z383" s="40" t="str">
        <f>IF(STAT[[#This Row],[sigla]]="","",VLOOKUP(STAT[[#This Row],[sigla]],CRÉDITOS_GERAIS[[sigla]:[credito]],2,))</f>
        <v>Thais Castro</v>
      </c>
      <c r="AA383" s="14"/>
      <c r="AB383" s="14" t="str">
        <f>STAT[[#This Row],[ilustrador]]</f>
        <v>Thais Castro</v>
      </c>
      <c r="AC383" s="14">
        <v>4</v>
      </c>
      <c r="AD383" s="22" t="s">
        <v>948</v>
      </c>
      <c r="AE383" s="15" t="s">
        <v>87</v>
      </c>
      <c r="AF383" s="42" t="str">
        <f t="shared" si="5"/>
        <v>P007</v>
      </c>
    </row>
    <row r="384" spans="1:32" hidden="1" x14ac:dyDescent="0.3">
      <c r="A384" s="12" t="e" cm="1">
        <f t="array" aca="1" ref="A384" ca="1">IF(STAT[[#This Row],[retranca]]="","",       RegxFunc(STAT[[#This Row],[retranca]],  "\w\d{4}\w*_\d")     )</f>
        <v>#NAME?</v>
      </c>
      <c r="B384" s="21" t="s">
        <v>949</v>
      </c>
      <c r="C384" s="14" t="s">
        <v>72</v>
      </c>
      <c r="D384" s="15" t="s">
        <v>9</v>
      </c>
      <c r="E384" s="15" t="s">
        <v>10</v>
      </c>
      <c r="F384" s="14">
        <v>57</v>
      </c>
      <c r="G384" s="15">
        <v>5</v>
      </c>
      <c r="H384" s="14">
        <v>9</v>
      </c>
      <c r="I384" s="14">
        <v>9</v>
      </c>
      <c r="J384" s="17" t="s">
        <v>55</v>
      </c>
      <c r="K384" s="36"/>
      <c r="L384" s="14"/>
      <c r="M384" s="14"/>
      <c r="N384" s="14"/>
      <c r="O384" s="14"/>
      <c r="P384" s="25" t="s">
        <v>950</v>
      </c>
      <c r="Q384" s="22"/>
      <c r="R384" s="22"/>
      <c r="S384" s="14">
        <v>47</v>
      </c>
      <c r="T384" s="27">
        <v>45861</v>
      </c>
      <c r="U384" s="27">
        <v>45864</v>
      </c>
      <c r="V384" s="27">
        <v>45866</v>
      </c>
      <c r="W384" s="27">
        <v>45867</v>
      </c>
      <c r="X384" s="27">
        <v>45869</v>
      </c>
      <c r="Y384" s="14" t="s">
        <v>94</v>
      </c>
      <c r="Z384" s="40" t="str">
        <f>IF(STAT[[#This Row],[sigla]]="","",VLOOKUP(STAT[[#This Row],[sigla]],CRÉDITOS_GERAIS[[sigla]:[credito]],2,))</f>
        <v>Thais Castro</v>
      </c>
      <c r="AA384" s="14"/>
      <c r="AB384" s="14" t="str">
        <f>STAT[[#This Row],[ilustrador]]</f>
        <v>Thais Castro</v>
      </c>
      <c r="AC384" s="14">
        <v>4</v>
      </c>
      <c r="AD384" s="22" t="s">
        <v>948</v>
      </c>
      <c r="AE384" s="15" t="s">
        <v>87</v>
      </c>
      <c r="AF384" s="42" t="str">
        <f t="shared" si="5"/>
        <v>P007</v>
      </c>
    </row>
    <row r="385" spans="1:32" ht="72" hidden="1" x14ac:dyDescent="0.3">
      <c r="A385" s="12" t="e" cm="1">
        <f t="array" aca="1" ref="A385" ca="1">IF(STAT[[#This Row],[retranca]]="","",       RegxFunc(STAT[[#This Row],[retranca]],  "\w\d{4}\w*_\d")     )</f>
        <v>#NAME?</v>
      </c>
      <c r="B385" s="21" t="s">
        <v>951</v>
      </c>
      <c r="C385" s="14" t="s">
        <v>72</v>
      </c>
      <c r="D385" s="15" t="s">
        <v>9</v>
      </c>
      <c r="E385" s="15" t="s">
        <v>10</v>
      </c>
      <c r="F385" s="14">
        <v>60</v>
      </c>
      <c r="G385" s="15">
        <v>5</v>
      </c>
      <c r="H385" s="14">
        <v>9</v>
      </c>
      <c r="I385" s="14">
        <v>9</v>
      </c>
      <c r="J385" s="17" t="s">
        <v>55</v>
      </c>
      <c r="K385" s="36"/>
      <c r="L385" s="14"/>
      <c r="M385" s="14"/>
      <c r="N385" s="14"/>
      <c r="O385" s="14"/>
      <c r="P385" s="25" t="s">
        <v>952</v>
      </c>
      <c r="Q385" s="21"/>
      <c r="R385" s="22"/>
      <c r="S385" s="14">
        <v>47</v>
      </c>
      <c r="T385" s="27">
        <v>45861</v>
      </c>
      <c r="U385" s="27">
        <v>45864</v>
      </c>
      <c r="V385" s="27">
        <v>45866</v>
      </c>
      <c r="W385" s="27">
        <v>45867</v>
      </c>
      <c r="X385" s="27">
        <v>45869</v>
      </c>
      <c r="Y385" s="14" t="s">
        <v>94</v>
      </c>
      <c r="Z385" s="40" t="str">
        <f>IF(STAT[[#This Row],[sigla]]="","",VLOOKUP(STAT[[#This Row],[sigla]],CRÉDITOS_GERAIS[[sigla]:[credito]],2,))</f>
        <v>Thais Castro</v>
      </c>
      <c r="AA385" s="14"/>
      <c r="AB385" s="14" t="str">
        <f>STAT[[#This Row],[ilustrador]]</f>
        <v>Thais Castro</v>
      </c>
      <c r="AC385" s="14">
        <v>4</v>
      </c>
      <c r="AD385" s="22" t="s">
        <v>948</v>
      </c>
      <c r="AE385" s="15" t="s">
        <v>87</v>
      </c>
      <c r="AF385" s="42" t="str">
        <f t="shared" si="5"/>
        <v>P007</v>
      </c>
    </row>
    <row r="386" spans="1:32" ht="43.2" hidden="1" x14ac:dyDescent="0.3">
      <c r="A386" s="12" t="e" cm="1">
        <f t="array" aca="1" ref="A386" ca="1">IF(STAT[[#This Row],[retranca]]="","",       RegxFunc(STAT[[#This Row],[retranca]],  "\w\d{4}\w*_\d")     )</f>
        <v>#NAME?</v>
      </c>
      <c r="B386" s="21" t="s">
        <v>953</v>
      </c>
      <c r="C386" s="14" t="s">
        <v>72</v>
      </c>
      <c r="D386" s="15" t="s">
        <v>9</v>
      </c>
      <c r="E386" s="15" t="s">
        <v>10</v>
      </c>
      <c r="F386" s="14">
        <v>25</v>
      </c>
      <c r="G386" s="15">
        <v>3</v>
      </c>
      <c r="H386" s="14">
        <v>2</v>
      </c>
      <c r="I386" s="14">
        <v>2</v>
      </c>
      <c r="J386" s="17" t="s">
        <v>55</v>
      </c>
      <c r="K386" s="36"/>
      <c r="L386" s="14"/>
      <c r="M386" s="14"/>
      <c r="N386" s="14"/>
      <c r="O386" s="14"/>
      <c r="P386" s="25" t="s">
        <v>954</v>
      </c>
      <c r="Q386" s="21"/>
      <c r="R386" s="22"/>
      <c r="S386" s="14">
        <v>50</v>
      </c>
      <c r="T386" s="27">
        <v>45862</v>
      </c>
      <c r="U386" s="27">
        <v>45869</v>
      </c>
      <c r="V386" s="27">
        <v>45873</v>
      </c>
      <c r="W386" s="27">
        <v>45873</v>
      </c>
      <c r="X386" s="27">
        <v>45883</v>
      </c>
      <c r="Y386" s="14" t="s">
        <v>876</v>
      </c>
      <c r="Z386" s="40" t="str">
        <f>IF(STAT[[#This Row],[sigla]]="","",VLOOKUP(STAT[[#This Row],[sigla]],CRÉDITOS_GERAIS[[sigla]:[credito]],2,))</f>
        <v>Amanda Neves</v>
      </c>
      <c r="AA386" s="14"/>
      <c r="AB386" s="14" t="str">
        <f>STAT[[#This Row],[ilustrador]]</f>
        <v>Amanda Neves</v>
      </c>
      <c r="AC386" s="14">
        <v>3</v>
      </c>
      <c r="AD386" s="22" t="s">
        <v>955</v>
      </c>
      <c r="AE386" s="14" t="s">
        <v>87</v>
      </c>
      <c r="AF386" s="42" t="str">
        <f t="shared" ref="AF386:AF449" si="6">"P007"</f>
        <v>P007</v>
      </c>
    </row>
    <row r="387" spans="1:32" ht="28.8" hidden="1" x14ac:dyDescent="0.3">
      <c r="A387" s="12" t="e" cm="1">
        <f t="array" aca="1" ref="A387" ca="1">IF(STAT[[#This Row],[retranca]]="","",       RegxFunc(STAT[[#This Row],[retranca]],  "\w\d{4}\w*_\d")     )</f>
        <v>#NAME?</v>
      </c>
      <c r="B387" s="21" t="s">
        <v>956</v>
      </c>
      <c r="C387" s="14" t="s">
        <v>122</v>
      </c>
      <c r="D387" s="15" t="s">
        <v>9</v>
      </c>
      <c r="E387" s="15" t="s">
        <v>10</v>
      </c>
      <c r="F387" s="14">
        <v>26</v>
      </c>
      <c r="G387" s="15">
        <v>3</v>
      </c>
      <c r="H387" s="14">
        <v>2</v>
      </c>
      <c r="I387" s="15">
        <v>2</v>
      </c>
      <c r="J387" s="17" t="s">
        <v>55</v>
      </c>
      <c r="K387" s="36"/>
      <c r="L387" s="14"/>
      <c r="M387" s="14"/>
      <c r="N387" s="14"/>
      <c r="O387" s="14"/>
      <c r="P387" s="25" t="s">
        <v>957</v>
      </c>
      <c r="Q387" s="21"/>
      <c r="R387" s="22"/>
      <c r="S387" s="14">
        <v>50</v>
      </c>
      <c r="T387" s="27">
        <v>45862</v>
      </c>
      <c r="U387" s="27">
        <v>45869</v>
      </c>
      <c r="V387" s="27">
        <v>45873</v>
      </c>
      <c r="W387" s="27">
        <v>45873</v>
      </c>
      <c r="X387" s="27">
        <v>45882</v>
      </c>
      <c r="Y387" s="14" t="s">
        <v>876</v>
      </c>
      <c r="Z387" s="40" t="str">
        <f>IF(STAT[[#This Row],[sigla]]="","",VLOOKUP(STAT[[#This Row],[sigla]],CRÉDITOS_GERAIS[[sigla]:[credito]],2,))</f>
        <v>Amanda Neves</v>
      </c>
      <c r="AA387" s="14"/>
      <c r="AB387" s="14" t="str">
        <f>STAT[[#This Row],[ilustrador]]</f>
        <v>Amanda Neves</v>
      </c>
      <c r="AC387" s="14">
        <v>4</v>
      </c>
      <c r="AD387" s="22" t="s">
        <v>955</v>
      </c>
      <c r="AE387" s="14" t="s">
        <v>87</v>
      </c>
      <c r="AF387" s="42" t="str">
        <f t="shared" si="6"/>
        <v>P007</v>
      </c>
    </row>
    <row r="388" spans="1:32" ht="28.8" hidden="1" x14ac:dyDescent="0.3">
      <c r="A388" s="12" t="e" cm="1">
        <f t="array" aca="1" ref="A388" ca="1">IF(STAT[[#This Row],[retranca]]="","",       RegxFunc(STAT[[#This Row],[retranca]],  "\w\d{4}\w*_\d")     )</f>
        <v>#NAME?</v>
      </c>
      <c r="B388" s="21" t="s">
        <v>958</v>
      </c>
      <c r="C388" s="14" t="s">
        <v>72</v>
      </c>
      <c r="D388" s="15" t="s">
        <v>9</v>
      </c>
      <c r="E388" s="15" t="s">
        <v>10</v>
      </c>
      <c r="F388" s="14">
        <v>26</v>
      </c>
      <c r="G388" s="15">
        <v>3</v>
      </c>
      <c r="H388" s="14">
        <v>2</v>
      </c>
      <c r="I388" s="15">
        <v>2</v>
      </c>
      <c r="J388" s="17" t="s">
        <v>55</v>
      </c>
      <c r="K388" s="36"/>
      <c r="L388" s="14"/>
      <c r="M388" s="14"/>
      <c r="N388" s="14"/>
      <c r="O388" s="14"/>
      <c r="P388" s="25" t="s">
        <v>957</v>
      </c>
      <c r="Q388" s="21"/>
      <c r="R388" s="22"/>
      <c r="S388" s="14">
        <v>50</v>
      </c>
      <c r="T388" s="27">
        <v>45862</v>
      </c>
      <c r="U388" s="27">
        <v>45869</v>
      </c>
      <c r="V388" s="27">
        <v>45873</v>
      </c>
      <c r="W388" s="27">
        <v>45873</v>
      </c>
      <c r="X388" s="27">
        <v>45882</v>
      </c>
      <c r="Y388" s="14" t="s">
        <v>876</v>
      </c>
      <c r="Z388" s="40" t="str">
        <f>IF(STAT[[#This Row],[sigla]]="","",VLOOKUP(STAT[[#This Row],[sigla]],CRÉDITOS_GERAIS[[sigla]:[credito]],2,))</f>
        <v>Amanda Neves</v>
      </c>
      <c r="AA388" s="14"/>
      <c r="AB388" s="14" t="str">
        <f>STAT[[#This Row],[ilustrador]]</f>
        <v>Amanda Neves</v>
      </c>
      <c r="AC388" s="14">
        <v>6</v>
      </c>
      <c r="AD388" s="22" t="s">
        <v>955</v>
      </c>
      <c r="AE388" s="14" t="s">
        <v>87</v>
      </c>
      <c r="AF388" s="42" t="str">
        <f t="shared" si="6"/>
        <v>P007</v>
      </c>
    </row>
    <row r="389" spans="1:32" ht="144" hidden="1" x14ac:dyDescent="0.3">
      <c r="A389" s="12" t="e" cm="1">
        <f t="array" aca="1" ref="A389" ca="1">IF(STAT[[#This Row],[retranca]]="","",       RegxFunc(STAT[[#This Row],[retranca]],  "\w\d{4}\w*_\d")     )</f>
        <v>#NAME?</v>
      </c>
      <c r="B389" s="21" t="s">
        <v>959</v>
      </c>
      <c r="C389" s="14" t="s">
        <v>72</v>
      </c>
      <c r="D389" s="15" t="s">
        <v>9</v>
      </c>
      <c r="E389" s="15" t="s">
        <v>10</v>
      </c>
      <c r="F389" s="14">
        <v>28</v>
      </c>
      <c r="G389" s="15">
        <v>3</v>
      </c>
      <c r="H389" s="14">
        <v>2</v>
      </c>
      <c r="I389" s="15">
        <v>2</v>
      </c>
      <c r="J389" s="17" t="s">
        <v>55</v>
      </c>
      <c r="K389" s="36"/>
      <c r="L389" s="14"/>
      <c r="M389" s="14"/>
      <c r="N389" s="14"/>
      <c r="O389" s="14"/>
      <c r="P389" s="25" t="s">
        <v>960</v>
      </c>
      <c r="Q389" s="22"/>
      <c r="R389" s="22"/>
      <c r="S389" s="14">
        <v>50</v>
      </c>
      <c r="T389" s="27">
        <v>45862</v>
      </c>
      <c r="U389" s="27">
        <v>45869</v>
      </c>
      <c r="V389" s="27">
        <v>45873</v>
      </c>
      <c r="W389" s="27">
        <v>45874</v>
      </c>
      <c r="X389" s="27">
        <v>45877</v>
      </c>
      <c r="Y389" s="14" t="s">
        <v>583</v>
      </c>
      <c r="Z389" s="40" t="str">
        <f>IF(STAT[[#This Row],[sigla]]="","",VLOOKUP(STAT[[#This Row],[sigla]],CRÉDITOS_GERAIS[[sigla]:[credito]],2,))</f>
        <v>Karina Oliveira</v>
      </c>
      <c r="AA389" s="14"/>
      <c r="AB389" s="14" t="str">
        <f>STAT[[#This Row],[ilustrador]]</f>
        <v>Karina Oliveira</v>
      </c>
      <c r="AC389" s="14">
        <v>2</v>
      </c>
      <c r="AD389" s="22" t="s">
        <v>961</v>
      </c>
      <c r="AE389" s="14" t="s">
        <v>87</v>
      </c>
      <c r="AF389" s="42" t="str">
        <f t="shared" si="6"/>
        <v>P007</v>
      </c>
    </row>
    <row r="390" spans="1:32" ht="100.8" hidden="1" x14ac:dyDescent="0.3">
      <c r="A390" s="12" t="e" cm="1">
        <f t="array" aca="1" ref="A390" ca="1">IF(STAT[[#This Row],[retranca]]="","",       RegxFunc(STAT[[#This Row],[retranca]],  "\w\d{4}\w*_\d")     )</f>
        <v>#NAME?</v>
      </c>
      <c r="B390" s="21" t="s">
        <v>962</v>
      </c>
      <c r="C390" s="14" t="s">
        <v>72</v>
      </c>
      <c r="D390" s="15" t="s">
        <v>288</v>
      </c>
      <c r="E390" s="15" t="s">
        <v>10</v>
      </c>
      <c r="F390" s="14">
        <v>31</v>
      </c>
      <c r="G390" s="15">
        <v>3</v>
      </c>
      <c r="H390" s="14">
        <v>2</v>
      </c>
      <c r="I390" s="15">
        <v>2</v>
      </c>
      <c r="J390" s="17" t="s">
        <v>55</v>
      </c>
      <c r="K390" s="36"/>
      <c r="L390" s="14"/>
      <c r="M390" s="14"/>
      <c r="N390" s="14"/>
      <c r="O390" s="14"/>
      <c r="P390" s="25" t="s">
        <v>963</v>
      </c>
      <c r="Q390" s="22"/>
      <c r="R390" s="22"/>
      <c r="S390" s="14">
        <v>50</v>
      </c>
      <c r="T390" s="27">
        <v>45862</v>
      </c>
      <c r="U390" s="27">
        <v>45869</v>
      </c>
      <c r="V390" s="27">
        <v>45873</v>
      </c>
      <c r="W390" s="27">
        <v>45874</v>
      </c>
      <c r="X390" s="27">
        <v>45877</v>
      </c>
      <c r="Y390" s="14" t="s">
        <v>583</v>
      </c>
      <c r="Z390" s="40" t="str">
        <f>IF(STAT[[#This Row],[sigla]]="","",VLOOKUP(STAT[[#This Row],[sigla]],CRÉDITOS_GERAIS[[sigla]:[credito]],2,))</f>
        <v>Karina Oliveira</v>
      </c>
      <c r="AA390" s="14"/>
      <c r="AB390" s="14" t="str">
        <f>STAT[[#This Row],[ilustrador]]</f>
        <v>Karina Oliveira</v>
      </c>
      <c r="AC390" s="14">
        <v>8</v>
      </c>
      <c r="AD390" s="22" t="s">
        <v>961</v>
      </c>
      <c r="AE390" s="14" t="s">
        <v>87</v>
      </c>
      <c r="AF390" s="42" t="str">
        <f t="shared" si="6"/>
        <v>P007</v>
      </c>
    </row>
    <row r="391" spans="1:32" ht="43.2" hidden="1" x14ac:dyDescent="0.3">
      <c r="A391" s="12" t="e" cm="1">
        <f t="array" aca="1" ref="A391" ca="1">IF(STAT[[#This Row],[retranca]]="","",       RegxFunc(STAT[[#This Row],[retranca]],  "\w\d{4}\w*_\d")     )</f>
        <v>#NAME?</v>
      </c>
      <c r="B391" s="21" t="s">
        <v>964</v>
      </c>
      <c r="C391" s="14" t="s">
        <v>72</v>
      </c>
      <c r="D391" s="15" t="s">
        <v>9</v>
      </c>
      <c r="E391" s="15" t="s">
        <v>10</v>
      </c>
      <c r="F391" s="14">
        <v>40</v>
      </c>
      <c r="G391" s="15">
        <v>4</v>
      </c>
      <c r="H391" s="14">
        <v>8</v>
      </c>
      <c r="I391" s="14">
        <v>8</v>
      </c>
      <c r="J391" s="17" t="s">
        <v>55</v>
      </c>
      <c r="K391" s="36"/>
      <c r="L391" s="14"/>
      <c r="M391" s="14"/>
      <c r="N391" s="14"/>
      <c r="O391" s="14"/>
      <c r="P391" s="25" t="s">
        <v>965</v>
      </c>
      <c r="Q391" s="21"/>
      <c r="R391" s="22"/>
      <c r="S391" s="14"/>
      <c r="T391" s="27"/>
      <c r="U391" s="27"/>
      <c r="V391" s="27"/>
      <c r="W391" s="27"/>
      <c r="X391" s="27"/>
      <c r="Y391" s="14" t="s">
        <v>43</v>
      </c>
      <c r="Z391" s="40" t="e">
        <f>IF(STAT[[#This Row],[sigla]]="","",VLOOKUP(STAT[[#This Row],[sigla]],CRÉDITOS_GERAIS[[sigla]:[credito]],2,))</f>
        <v>#N/A</v>
      </c>
      <c r="AA391" s="14"/>
      <c r="AB391" s="14" t="e">
        <f>STAT[[#This Row],[ilustrador]]</f>
        <v>#N/A</v>
      </c>
      <c r="AC391" s="14"/>
      <c r="AD391" s="22"/>
      <c r="AE391" s="15"/>
      <c r="AF391" s="42" t="str">
        <f t="shared" si="6"/>
        <v>P007</v>
      </c>
    </row>
    <row r="392" spans="1:32" ht="43.2" hidden="1" x14ac:dyDescent="0.3">
      <c r="A392" s="12" t="e" cm="1">
        <f t="array" aca="1" ref="A392" ca="1">IF(STAT[[#This Row],[retranca]]="","",       RegxFunc(STAT[[#This Row],[retranca]],  "\w\d{4}\w*_\d")     )</f>
        <v>#NAME?</v>
      </c>
      <c r="B392" s="21" t="s">
        <v>966</v>
      </c>
      <c r="C392" s="14" t="s">
        <v>72</v>
      </c>
      <c r="D392" s="15" t="s">
        <v>9</v>
      </c>
      <c r="E392" s="15" t="s">
        <v>10</v>
      </c>
      <c r="F392" s="14">
        <v>40</v>
      </c>
      <c r="G392" s="15">
        <v>4</v>
      </c>
      <c r="H392" s="14">
        <v>8</v>
      </c>
      <c r="I392" s="14">
        <v>8</v>
      </c>
      <c r="J392" s="17" t="s">
        <v>55</v>
      </c>
      <c r="K392" s="36"/>
      <c r="L392" s="14"/>
      <c r="M392" s="14"/>
      <c r="N392" s="14"/>
      <c r="O392" s="14"/>
      <c r="P392" s="25" t="s">
        <v>967</v>
      </c>
      <c r="Q392" s="21"/>
      <c r="R392" s="22"/>
      <c r="S392" s="14">
        <v>76</v>
      </c>
      <c r="T392" s="27">
        <v>45890</v>
      </c>
      <c r="U392" s="27"/>
      <c r="V392" s="27"/>
      <c r="W392" s="27"/>
      <c r="X392" s="27"/>
      <c r="Y392" s="14" t="s">
        <v>43</v>
      </c>
      <c r="Z392" s="40" t="e">
        <f>IF(STAT[[#This Row],[sigla]]="","",VLOOKUP(STAT[[#This Row],[sigla]],CRÉDITOS_GERAIS[[sigla]:[credito]],2,))</f>
        <v>#N/A</v>
      </c>
      <c r="AA392" s="14"/>
      <c r="AB392" s="14" t="e">
        <f>STAT[[#This Row],[ilustrador]]</f>
        <v>#N/A</v>
      </c>
      <c r="AC392" s="14"/>
      <c r="AD392" s="22"/>
      <c r="AE392" s="15"/>
      <c r="AF392" s="42" t="str">
        <f t="shared" si="6"/>
        <v>P007</v>
      </c>
    </row>
    <row r="393" spans="1:32" ht="43.2" hidden="1" x14ac:dyDescent="0.3">
      <c r="A393" s="12" t="e" cm="1">
        <f t="array" aca="1" ref="A393" ca="1">IF(STAT[[#This Row],[retranca]]="","",       RegxFunc(STAT[[#This Row],[retranca]],  "\w\d{4}\w*_\d")     )</f>
        <v>#NAME?</v>
      </c>
      <c r="B393" s="21" t="s">
        <v>968</v>
      </c>
      <c r="C393" s="14" t="s">
        <v>72</v>
      </c>
      <c r="D393" s="15" t="s">
        <v>9</v>
      </c>
      <c r="E393" s="15" t="s">
        <v>10</v>
      </c>
      <c r="F393" s="14">
        <v>40</v>
      </c>
      <c r="G393" s="15">
        <v>4</v>
      </c>
      <c r="H393" s="14">
        <v>8</v>
      </c>
      <c r="I393" s="14">
        <v>8</v>
      </c>
      <c r="J393" s="17" t="s">
        <v>55</v>
      </c>
      <c r="K393" s="36"/>
      <c r="L393" s="14"/>
      <c r="M393" s="14"/>
      <c r="N393" s="14"/>
      <c r="O393" s="14"/>
      <c r="P393" s="25" t="s">
        <v>969</v>
      </c>
      <c r="Q393" s="21"/>
      <c r="R393" s="22"/>
      <c r="S393" s="14"/>
      <c r="T393" s="27"/>
      <c r="U393" s="27"/>
      <c r="V393" s="27"/>
      <c r="W393" s="27"/>
      <c r="X393" s="27"/>
      <c r="Y393" s="14" t="s">
        <v>43</v>
      </c>
      <c r="Z393" s="40" t="e">
        <f>IF(STAT[[#This Row],[sigla]]="","",VLOOKUP(STAT[[#This Row],[sigla]],CRÉDITOS_GERAIS[[sigla]:[credito]],2,))</f>
        <v>#N/A</v>
      </c>
      <c r="AA393" s="14"/>
      <c r="AB393" s="14" t="e">
        <f>STAT[[#This Row],[ilustrador]]</f>
        <v>#N/A</v>
      </c>
      <c r="AC393" s="14"/>
      <c r="AD393" s="22"/>
      <c r="AE393" s="15"/>
      <c r="AF393" s="42" t="str">
        <f t="shared" si="6"/>
        <v>P007</v>
      </c>
    </row>
    <row r="394" spans="1:32" ht="43.2" hidden="1" x14ac:dyDescent="0.3">
      <c r="A394" s="12" t="e" cm="1">
        <f t="array" aca="1" ref="A394" ca="1">IF(STAT[[#This Row],[retranca]]="","",       RegxFunc(STAT[[#This Row],[retranca]],  "\w\d{4}\w*_\d")     )</f>
        <v>#NAME?</v>
      </c>
      <c r="B394" s="21" t="s">
        <v>970</v>
      </c>
      <c r="C394" s="14" t="s">
        <v>72</v>
      </c>
      <c r="D394" s="15" t="s">
        <v>9</v>
      </c>
      <c r="E394" s="15" t="s">
        <v>10</v>
      </c>
      <c r="F394" s="14">
        <v>40</v>
      </c>
      <c r="G394" s="15">
        <v>4</v>
      </c>
      <c r="H394" s="14">
        <v>8</v>
      </c>
      <c r="I394" s="14">
        <v>8</v>
      </c>
      <c r="J394" s="17" t="s">
        <v>55</v>
      </c>
      <c r="K394" s="36"/>
      <c r="L394" s="14"/>
      <c r="M394" s="14"/>
      <c r="N394" s="14"/>
      <c r="O394" s="14"/>
      <c r="P394" s="25" t="s">
        <v>971</v>
      </c>
      <c r="Q394" s="21"/>
      <c r="R394" s="22"/>
      <c r="S394" s="14"/>
      <c r="T394" s="27"/>
      <c r="U394" s="27"/>
      <c r="V394" s="27"/>
      <c r="W394" s="27"/>
      <c r="X394" s="27"/>
      <c r="Y394" s="14" t="s">
        <v>43</v>
      </c>
      <c r="Z394" s="40" t="e">
        <f>IF(STAT[[#This Row],[sigla]]="","",VLOOKUP(STAT[[#This Row],[sigla]],CRÉDITOS_GERAIS[[sigla]:[credito]],2,))</f>
        <v>#N/A</v>
      </c>
      <c r="AA394" s="14"/>
      <c r="AB394" s="14" t="e">
        <f>STAT[[#This Row],[ilustrador]]</f>
        <v>#N/A</v>
      </c>
      <c r="AC394" s="14"/>
      <c r="AD394" s="22"/>
      <c r="AE394" s="15"/>
      <c r="AF394" s="42" t="str">
        <f t="shared" si="6"/>
        <v>P007</v>
      </c>
    </row>
    <row r="395" spans="1:32" ht="43.2" hidden="1" x14ac:dyDescent="0.3">
      <c r="A395" s="12" t="e" cm="1">
        <f t="array" aca="1" ref="A395" ca="1">IF(STAT[[#This Row],[retranca]]="","",       RegxFunc(STAT[[#This Row],[retranca]],  "\w\d{4}\w*_\d")     )</f>
        <v>#NAME?</v>
      </c>
      <c r="B395" s="21" t="s">
        <v>972</v>
      </c>
      <c r="C395" s="14" t="s">
        <v>72</v>
      </c>
      <c r="D395" s="15" t="s">
        <v>9</v>
      </c>
      <c r="E395" s="15" t="s">
        <v>10</v>
      </c>
      <c r="F395" s="14">
        <v>40</v>
      </c>
      <c r="G395" s="15">
        <v>4</v>
      </c>
      <c r="H395" s="14">
        <v>8</v>
      </c>
      <c r="I395" s="14">
        <v>8</v>
      </c>
      <c r="J395" s="17" t="s">
        <v>55</v>
      </c>
      <c r="K395" s="36"/>
      <c r="L395" s="14"/>
      <c r="M395" s="14"/>
      <c r="N395" s="14"/>
      <c r="O395" s="14"/>
      <c r="P395" s="25" t="s">
        <v>973</v>
      </c>
      <c r="Q395" s="21"/>
      <c r="R395" s="22"/>
      <c r="S395" s="14"/>
      <c r="T395" s="27"/>
      <c r="U395" s="27"/>
      <c r="V395" s="27"/>
      <c r="W395" s="27"/>
      <c r="X395" s="27"/>
      <c r="Y395" s="14" t="s">
        <v>43</v>
      </c>
      <c r="Z395" s="40" t="e">
        <f>IF(STAT[[#This Row],[sigla]]="","",VLOOKUP(STAT[[#This Row],[sigla]],CRÉDITOS_GERAIS[[sigla]:[credito]],2,))</f>
        <v>#N/A</v>
      </c>
      <c r="AA395" s="14"/>
      <c r="AB395" s="14" t="e">
        <f>STAT[[#This Row],[ilustrador]]</f>
        <v>#N/A</v>
      </c>
      <c r="AC395" s="14"/>
      <c r="AD395" s="22"/>
      <c r="AE395" s="15"/>
      <c r="AF395" s="42" t="str">
        <f t="shared" si="6"/>
        <v>P007</v>
      </c>
    </row>
    <row r="396" spans="1:32" ht="43.2" hidden="1" x14ac:dyDescent="0.3">
      <c r="A396" s="12" t="e" cm="1">
        <f t="array" aca="1" ref="A396" ca="1">IF(STAT[[#This Row],[retranca]]="","",       RegxFunc(STAT[[#This Row],[retranca]],  "\w\d{4}\w*_\d")     )</f>
        <v>#NAME?</v>
      </c>
      <c r="B396" s="21" t="s">
        <v>974</v>
      </c>
      <c r="C396" s="14" t="s">
        <v>72</v>
      </c>
      <c r="D396" s="15" t="s">
        <v>9</v>
      </c>
      <c r="E396" s="15" t="s">
        <v>10</v>
      </c>
      <c r="F396" s="14">
        <v>40</v>
      </c>
      <c r="G396" s="15">
        <v>4</v>
      </c>
      <c r="H396" s="14">
        <v>8</v>
      </c>
      <c r="I396" s="14">
        <v>8</v>
      </c>
      <c r="J396" s="17" t="s">
        <v>55</v>
      </c>
      <c r="K396" s="36"/>
      <c r="L396" s="14"/>
      <c r="M396" s="14"/>
      <c r="N396" s="14"/>
      <c r="O396" s="14"/>
      <c r="P396" s="25" t="s">
        <v>975</v>
      </c>
      <c r="Q396" s="21"/>
      <c r="R396" s="22"/>
      <c r="S396" s="14">
        <v>76</v>
      </c>
      <c r="T396" s="27">
        <v>45890</v>
      </c>
      <c r="U396" s="27"/>
      <c r="V396" s="27"/>
      <c r="W396" s="27"/>
      <c r="X396" s="27"/>
      <c r="Y396" s="14" t="s">
        <v>43</v>
      </c>
      <c r="Z396" s="40" t="e">
        <f>IF(STAT[[#This Row],[sigla]]="","",VLOOKUP(STAT[[#This Row],[sigla]],CRÉDITOS_GERAIS[[sigla]:[credito]],2,))</f>
        <v>#N/A</v>
      </c>
      <c r="AA396" s="14"/>
      <c r="AB396" s="14" t="e">
        <f>STAT[[#This Row],[ilustrador]]</f>
        <v>#N/A</v>
      </c>
      <c r="AC396" s="14"/>
      <c r="AD396" s="22"/>
      <c r="AE396" s="15"/>
      <c r="AF396" s="42" t="str">
        <f t="shared" si="6"/>
        <v>P007</v>
      </c>
    </row>
    <row r="397" spans="1:32" ht="43.2" hidden="1" x14ac:dyDescent="0.3">
      <c r="A397" s="12" t="e" cm="1">
        <f t="array" aca="1" ref="A397" ca="1">IF(STAT[[#This Row],[retranca]]="","",       RegxFunc(STAT[[#This Row],[retranca]],  "\w\d{4}\w*_\d")     )</f>
        <v>#NAME?</v>
      </c>
      <c r="B397" s="21" t="s">
        <v>976</v>
      </c>
      <c r="C397" s="14" t="s">
        <v>72</v>
      </c>
      <c r="D397" s="15" t="s">
        <v>9</v>
      </c>
      <c r="E397" s="15" t="s">
        <v>10</v>
      </c>
      <c r="F397" s="14">
        <v>40</v>
      </c>
      <c r="G397" s="15">
        <v>4</v>
      </c>
      <c r="H397" s="14">
        <v>8</v>
      </c>
      <c r="I397" s="14">
        <v>8</v>
      </c>
      <c r="J397" s="17" t="s">
        <v>55</v>
      </c>
      <c r="K397" s="36"/>
      <c r="L397" s="14"/>
      <c r="M397" s="14"/>
      <c r="N397" s="14"/>
      <c r="O397" s="14"/>
      <c r="P397" s="25" t="s">
        <v>977</v>
      </c>
      <c r="Q397" s="21"/>
      <c r="R397" s="22"/>
      <c r="S397" s="14">
        <v>71</v>
      </c>
      <c r="T397" s="27">
        <v>45882</v>
      </c>
      <c r="U397" s="27">
        <v>45882</v>
      </c>
      <c r="V397" s="27"/>
      <c r="W397" s="27"/>
      <c r="X397" s="27">
        <v>45884</v>
      </c>
      <c r="Y397" s="14" t="s">
        <v>43</v>
      </c>
      <c r="Z397" s="40" t="e">
        <f>IF(STAT[[#This Row],[sigla]]="","",VLOOKUP(STAT[[#This Row],[sigla]],CRÉDITOS_GERAIS[[sigla]:[credito]],2,))</f>
        <v>#N/A</v>
      </c>
      <c r="AA397" s="14" t="s">
        <v>44</v>
      </c>
      <c r="AB397" s="14" t="e">
        <f>STAT[[#This Row],[ilustrador]]</f>
        <v>#N/A</v>
      </c>
      <c r="AC397" s="14">
        <v>13</v>
      </c>
      <c r="AD397" s="14" t="s">
        <v>978</v>
      </c>
      <c r="AE397" s="14" t="s">
        <v>46</v>
      </c>
      <c r="AF397" s="42" t="str">
        <f t="shared" si="6"/>
        <v>P007</v>
      </c>
    </row>
    <row r="398" spans="1:32" ht="43.2" hidden="1" x14ac:dyDescent="0.3">
      <c r="A398" s="12" t="e" cm="1">
        <f t="array" aca="1" ref="A398" ca="1">IF(STAT[[#This Row],[retranca]]="","",       RegxFunc(STAT[[#This Row],[retranca]],  "\w\d{4}\w*_\d")     )</f>
        <v>#NAME?</v>
      </c>
      <c r="B398" s="21" t="s">
        <v>979</v>
      </c>
      <c r="C398" s="14" t="s">
        <v>72</v>
      </c>
      <c r="D398" s="15" t="s">
        <v>288</v>
      </c>
      <c r="E398" s="15" t="s">
        <v>10</v>
      </c>
      <c r="F398" s="14">
        <v>5</v>
      </c>
      <c r="G398" s="15">
        <v>5</v>
      </c>
      <c r="H398" s="14">
        <v>7</v>
      </c>
      <c r="I398" s="14">
        <v>7</v>
      </c>
      <c r="J398" s="17" t="s">
        <v>55</v>
      </c>
      <c r="K398" s="36"/>
      <c r="L398" s="14"/>
      <c r="M398" s="14"/>
      <c r="N398" s="14"/>
      <c r="O398" s="14"/>
      <c r="P398" s="25" t="s">
        <v>980</v>
      </c>
      <c r="Q398" s="21"/>
      <c r="R398" s="22"/>
      <c r="S398" s="14">
        <v>51</v>
      </c>
      <c r="T398" s="27">
        <v>45864</v>
      </c>
      <c r="U398" s="27">
        <v>45868</v>
      </c>
      <c r="V398" s="27"/>
      <c r="W398" s="27"/>
      <c r="X398" s="27">
        <v>45868</v>
      </c>
      <c r="Y398" s="14" t="s">
        <v>741</v>
      </c>
      <c r="Z398" s="40" t="str">
        <f>IF(STAT[[#This Row],[sigla]]="","",VLOOKUP(STAT[[#This Row],[sigla]],CRÉDITOS_GERAIS[[sigla]:[credito]],2,))</f>
        <v>Felipe Grigoli</v>
      </c>
      <c r="AA398" s="14"/>
      <c r="AB398" s="14" t="str">
        <f>STAT[[#This Row],[ilustrador]]</f>
        <v>Felipe Grigoli</v>
      </c>
      <c r="AC398" s="14">
        <v>5</v>
      </c>
      <c r="AD398" s="14" t="s">
        <v>653</v>
      </c>
      <c r="AE398" s="15" t="s">
        <v>46</v>
      </c>
      <c r="AF398" s="42" t="str">
        <f t="shared" si="6"/>
        <v>P007</v>
      </c>
    </row>
    <row r="399" spans="1:32" ht="158.4" hidden="1" x14ac:dyDescent="0.3">
      <c r="A399" s="12" t="e" cm="1">
        <f t="array" aca="1" ref="A399" ca="1">IF(STAT[[#This Row],[retranca]]="","",       RegxFunc(STAT[[#This Row],[retranca]],  "\w\d{4}\w*_\d")     )</f>
        <v>#NAME?</v>
      </c>
      <c r="B399" s="34" t="s">
        <v>981</v>
      </c>
      <c r="C399" s="14" t="s">
        <v>72</v>
      </c>
      <c r="D399" s="15" t="s">
        <v>9</v>
      </c>
      <c r="E399" s="15" t="s">
        <v>10</v>
      </c>
      <c r="F399" s="14">
        <v>19</v>
      </c>
      <c r="G399" s="15">
        <v>5</v>
      </c>
      <c r="H399" s="14">
        <v>7</v>
      </c>
      <c r="I399" s="14">
        <v>7</v>
      </c>
      <c r="J399" s="17" t="s">
        <v>55</v>
      </c>
      <c r="K399" s="36"/>
      <c r="L399" s="14"/>
      <c r="M399" s="14"/>
      <c r="N399" s="14"/>
      <c r="O399" s="14"/>
      <c r="P399" s="25" t="s">
        <v>982</v>
      </c>
      <c r="Q399" s="21"/>
      <c r="R399" s="22"/>
      <c r="S399" s="14">
        <v>51</v>
      </c>
      <c r="T399" s="27">
        <v>45864</v>
      </c>
      <c r="U399" s="27">
        <v>45867</v>
      </c>
      <c r="V399" s="27">
        <v>45871</v>
      </c>
      <c r="W399" s="27">
        <v>45873</v>
      </c>
      <c r="X399" s="27">
        <v>45874</v>
      </c>
      <c r="Y399" s="14" t="s">
        <v>552</v>
      </c>
      <c r="Z399" s="40" t="str">
        <f>IF(STAT[[#This Row],[sigla]]="","",VLOOKUP(STAT[[#This Row],[sigla]],CRÉDITOS_GERAIS[[sigla]:[credito]],2,))</f>
        <v>Rafaela Villela</v>
      </c>
      <c r="AA399" s="14"/>
      <c r="AB399" s="14" t="str">
        <f>STAT[[#This Row],[ilustrador]]</f>
        <v>Rafaela Villela</v>
      </c>
      <c r="AC399" s="14">
        <v>3</v>
      </c>
      <c r="AD399" s="14" t="s">
        <v>983</v>
      </c>
      <c r="AE399" s="14" t="s">
        <v>87</v>
      </c>
      <c r="AF399" s="42" t="str">
        <f t="shared" si="6"/>
        <v>P007</v>
      </c>
    </row>
    <row r="400" spans="1:32" ht="57.6" hidden="1" x14ac:dyDescent="0.3">
      <c r="A400" s="12" t="e" cm="1">
        <f t="array" aca="1" ref="A400" ca="1">IF(STAT[[#This Row],[retranca]]="","",       RegxFunc(STAT[[#This Row],[retranca]],  "\w\d{4}\w*_\d")     )</f>
        <v>#NAME?</v>
      </c>
      <c r="B400" s="21" t="s">
        <v>984</v>
      </c>
      <c r="C400" s="14" t="s">
        <v>72</v>
      </c>
      <c r="D400" s="15" t="s">
        <v>9</v>
      </c>
      <c r="E400" s="15" t="s">
        <v>10</v>
      </c>
      <c r="F400" s="14">
        <v>21</v>
      </c>
      <c r="G400" s="15">
        <v>5</v>
      </c>
      <c r="H400" s="14">
        <v>7</v>
      </c>
      <c r="I400" s="14">
        <v>7</v>
      </c>
      <c r="J400" s="17" t="s">
        <v>55</v>
      </c>
      <c r="K400" s="36"/>
      <c r="L400" s="14"/>
      <c r="M400" s="14"/>
      <c r="N400" s="14"/>
      <c r="O400" s="14"/>
      <c r="P400" s="25" t="s">
        <v>985</v>
      </c>
      <c r="Q400" s="21"/>
      <c r="R400" s="22"/>
      <c r="S400" s="14">
        <v>51</v>
      </c>
      <c r="T400" s="27">
        <v>45864</v>
      </c>
      <c r="U400" s="27">
        <v>45867</v>
      </c>
      <c r="V400" s="27">
        <v>45871</v>
      </c>
      <c r="W400" s="27">
        <v>45873</v>
      </c>
      <c r="X400" s="27">
        <v>45874</v>
      </c>
      <c r="Y400" s="14" t="s">
        <v>552</v>
      </c>
      <c r="Z400" s="40" t="str">
        <f>IF(STAT[[#This Row],[sigla]]="","",VLOOKUP(STAT[[#This Row],[sigla]],CRÉDITOS_GERAIS[[sigla]:[credito]],2,))</f>
        <v>Rafaela Villela</v>
      </c>
      <c r="AA400" s="14"/>
      <c r="AB400" s="14" t="str">
        <f>STAT[[#This Row],[ilustrador]]</f>
        <v>Rafaela Villela</v>
      </c>
      <c r="AC400" s="14">
        <v>5</v>
      </c>
      <c r="AD400" s="22" t="s">
        <v>983</v>
      </c>
      <c r="AE400" s="14" t="s">
        <v>87</v>
      </c>
      <c r="AF400" s="42" t="str">
        <f t="shared" si="6"/>
        <v>P007</v>
      </c>
    </row>
    <row r="401" spans="1:32" ht="43.2" hidden="1" x14ac:dyDescent="0.3">
      <c r="A401" s="12" t="e" cm="1">
        <f t="array" aca="1" ref="A401" ca="1">IF(STAT[[#This Row],[retranca]]="","",       RegxFunc(STAT[[#This Row],[retranca]],  "\w\d{4}\w*_\d")     )</f>
        <v>#NAME?</v>
      </c>
      <c r="B401" s="21" t="s">
        <v>986</v>
      </c>
      <c r="C401" s="14" t="s">
        <v>122</v>
      </c>
      <c r="D401" s="15" t="s">
        <v>9</v>
      </c>
      <c r="E401" s="15" t="s">
        <v>10</v>
      </c>
      <c r="F401" s="14">
        <v>21</v>
      </c>
      <c r="G401" s="15">
        <v>5</v>
      </c>
      <c r="H401" s="14">
        <v>7</v>
      </c>
      <c r="I401" s="14">
        <v>7</v>
      </c>
      <c r="J401" s="17" t="s">
        <v>55</v>
      </c>
      <c r="K401" s="36"/>
      <c r="L401" s="14"/>
      <c r="M401" s="14"/>
      <c r="N401" s="14"/>
      <c r="O401" s="14"/>
      <c r="P401" s="25" t="s">
        <v>987</v>
      </c>
      <c r="Q401" s="21"/>
      <c r="R401" s="22"/>
      <c r="S401" s="14">
        <v>51</v>
      </c>
      <c r="T401" s="27">
        <v>45864</v>
      </c>
      <c r="U401" s="27">
        <v>45867</v>
      </c>
      <c r="V401" s="27">
        <v>45871</v>
      </c>
      <c r="W401" s="27">
        <v>45873</v>
      </c>
      <c r="X401" s="27">
        <v>45874</v>
      </c>
      <c r="Y401" s="14" t="s">
        <v>552</v>
      </c>
      <c r="Z401" s="40" t="str">
        <f>IF(STAT[[#This Row],[sigla]]="","",VLOOKUP(STAT[[#This Row],[sigla]],CRÉDITOS_GERAIS[[sigla]:[credito]],2,))</f>
        <v>Rafaela Villela</v>
      </c>
      <c r="AA401" s="14"/>
      <c r="AB401" s="14" t="str">
        <f>STAT[[#This Row],[ilustrador]]</f>
        <v>Rafaela Villela</v>
      </c>
      <c r="AC401" s="14">
        <v>8</v>
      </c>
      <c r="AD401" s="22" t="s">
        <v>983</v>
      </c>
      <c r="AE401" s="14" t="s">
        <v>87</v>
      </c>
      <c r="AF401" s="42" t="str">
        <f t="shared" si="6"/>
        <v>P007</v>
      </c>
    </row>
    <row r="402" spans="1:32" ht="28.8" hidden="1" x14ac:dyDescent="0.3">
      <c r="A402" s="12" t="e" cm="1">
        <f t="array" aca="1" ref="A402" ca="1">IF(STAT[[#This Row],[retranca]]="","",       RegxFunc(STAT[[#This Row],[retranca]],  "\w\d{4}\w*_\d")     )</f>
        <v>#NAME?</v>
      </c>
      <c r="B402" s="21" t="s">
        <v>988</v>
      </c>
      <c r="C402" s="14" t="s">
        <v>72</v>
      </c>
      <c r="D402" s="15" t="s">
        <v>9</v>
      </c>
      <c r="E402" s="15" t="s">
        <v>10</v>
      </c>
      <c r="F402" s="14">
        <v>1</v>
      </c>
      <c r="G402" s="15">
        <v>5</v>
      </c>
      <c r="H402" s="14">
        <v>7</v>
      </c>
      <c r="I402" s="14" t="s">
        <v>112</v>
      </c>
      <c r="J402" s="17" t="s">
        <v>55</v>
      </c>
      <c r="K402" s="36"/>
      <c r="L402" s="14"/>
      <c r="M402" s="14"/>
      <c r="N402" s="14"/>
      <c r="O402" s="14"/>
      <c r="P402" s="25" t="s">
        <v>989</v>
      </c>
      <c r="Q402" s="21"/>
      <c r="R402" s="22"/>
      <c r="S402" s="14">
        <v>51</v>
      </c>
      <c r="T402" s="27">
        <v>45864</v>
      </c>
      <c r="U402" s="27">
        <v>45867</v>
      </c>
      <c r="V402" s="27">
        <v>45871</v>
      </c>
      <c r="W402" s="27">
        <v>45873</v>
      </c>
      <c r="X402" s="27">
        <v>45874</v>
      </c>
      <c r="Y402" s="14" t="s">
        <v>552</v>
      </c>
      <c r="Z402" s="40" t="str">
        <f>IF(STAT[[#This Row],[sigla]]="","",VLOOKUP(STAT[[#This Row],[sigla]],CRÉDITOS_GERAIS[[sigla]:[credito]],2,))</f>
        <v>Rafaela Villela</v>
      </c>
      <c r="AA402" s="14"/>
      <c r="AB402" s="14" t="str">
        <f>STAT[[#This Row],[ilustrador]]</f>
        <v>Rafaela Villela</v>
      </c>
      <c r="AC402" s="14">
        <v>4</v>
      </c>
      <c r="AD402" s="22" t="s">
        <v>983</v>
      </c>
      <c r="AE402" s="14" t="s">
        <v>87</v>
      </c>
      <c r="AF402" s="42" t="str">
        <f t="shared" si="6"/>
        <v>P007</v>
      </c>
    </row>
    <row r="403" spans="1:32" hidden="1" x14ac:dyDescent="0.3">
      <c r="A403" s="12" t="e" cm="1">
        <f t="array" aca="1" ref="A403" ca="1">IF(STAT[[#This Row],[retranca]]="","",       RegxFunc(STAT[[#This Row],[retranca]],  "\w\d{4}\w*_\d")     )</f>
        <v>#NAME?</v>
      </c>
      <c r="B403" s="21" t="s">
        <v>990</v>
      </c>
      <c r="C403" s="14" t="s">
        <v>8</v>
      </c>
      <c r="D403" s="15" t="s">
        <v>9</v>
      </c>
      <c r="E403" s="15" t="s">
        <v>10</v>
      </c>
      <c r="F403" s="14">
        <v>102</v>
      </c>
      <c r="G403" s="14">
        <v>5</v>
      </c>
      <c r="H403" s="14">
        <v>12</v>
      </c>
      <c r="I403" s="14">
        <v>12</v>
      </c>
      <c r="J403" s="17" t="s">
        <v>55</v>
      </c>
      <c r="K403" s="36"/>
      <c r="L403" s="14"/>
      <c r="M403" s="14"/>
      <c r="N403" s="14"/>
      <c r="O403" s="14"/>
      <c r="P403" s="25" t="s">
        <v>991</v>
      </c>
      <c r="Q403" s="21"/>
      <c r="R403" s="22"/>
      <c r="S403" s="14"/>
      <c r="T403" s="27"/>
      <c r="U403" s="27"/>
      <c r="V403" s="27"/>
      <c r="W403" s="27"/>
      <c r="X403" s="27"/>
      <c r="Y403" s="14" t="s">
        <v>43</v>
      </c>
      <c r="Z403" s="40" t="e">
        <f>IF(STAT[[#This Row],[sigla]]="","",VLOOKUP(STAT[[#This Row],[sigla]],CRÉDITOS_GERAIS[[sigla]:[credito]],2,))</f>
        <v>#N/A</v>
      </c>
      <c r="AA403" s="14"/>
      <c r="AB403" s="14" t="e">
        <f>STAT[[#This Row],[ilustrador]]</f>
        <v>#N/A</v>
      </c>
      <c r="AC403" s="14"/>
      <c r="AD403" s="22"/>
      <c r="AE403" s="15"/>
      <c r="AF403" s="42" t="str">
        <f t="shared" si="6"/>
        <v>P007</v>
      </c>
    </row>
    <row r="404" spans="1:32" ht="28.8" hidden="1" x14ac:dyDescent="0.3">
      <c r="A404" s="12" t="e" cm="1">
        <f t="array" aca="1" ref="A404" ca="1">IF(STAT[[#This Row],[retranca]]="","",       RegxFunc(STAT[[#This Row],[retranca]],  "\w\d{4}\w*_\d")     )</f>
        <v>#NAME?</v>
      </c>
      <c r="B404" s="21" t="s">
        <v>992</v>
      </c>
      <c r="C404" s="14" t="s">
        <v>72</v>
      </c>
      <c r="D404" s="15" t="s">
        <v>143</v>
      </c>
      <c r="E404" s="15" t="s">
        <v>10</v>
      </c>
      <c r="F404" s="14">
        <v>107</v>
      </c>
      <c r="G404" s="14">
        <v>5</v>
      </c>
      <c r="H404" s="14">
        <v>12</v>
      </c>
      <c r="I404" s="14">
        <v>12</v>
      </c>
      <c r="J404" s="17" t="s">
        <v>55</v>
      </c>
      <c r="K404" s="36"/>
      <c r="L404" s="14"/>
      <c r="M404" s="14"/>
      <c r="N404" s="14"/>
      <c r="O404" s="14"/>
      <c r="P404" s="25" t="s">
        <v>993</v>
      </c>
      <c r="Q404" s="21"/>
      <c r="R404" s="22"/>
      <c r="S404" s="14">
        <v>52</v>
      </c>
      <c r="T404" s="27">
        <v>45864</v>
      </c>
      <c r="U404" s="27">
        <v>45868</v>
      </c>
      <c r="V404" s="27"/>
      <c r="W404" s="27"/>
      <c r="X404" s="27">
        <v>45868</v>
      </c>
      <c r="Y404" s="14" t="s">
        <v>994</v>
      </c>
      <c r="Z404" s="40" t="str">
        <f>IF(STAT[[#This Row],[sigla]]="","",VLOOKUP(STAT[[#This Row],[sigla]],CRÉDITOS_GERAIS[[sigla]:[credito]],2,))</f>
        <v>Nicolas Furtado</v>
      </c>
      <c r="AA404" s="14"/>
      <c r="AB404" s="14" t="str">
        <f>STAT[[#This Row],[ilustrador]]</f>
        <v>Nicolas Furtado</v>
      </c>
      <c r="AC404" s="14">
        <v>8</v>
      </c>
      <c r="AD404" s="22" t="s">
        <v>146</v>
      </c>
      <c r="AE404" s="15" t="s">
        <v>46</v>
      </c>
      <c r="AF404" s="42" t="str">
        <f t="shared" si="6"/>
        <v>P007</v>
      </c>
    </row>
    <row r="405" spans="1:32" ht="129.6" hidden="1" x14ac:dyDescent="0.3">
      <c r="A405" s="12" t="e" cm="1">
        <f t="array" aca="1" ref="A405" ca="1">IF(STAT[[#This Row],[retranca]]="","",       RegxFunc(STAT[[#This Row],[retranca]],  "\w\d{4}\w*_\d")     )</f>
        <v>#NAME?</v>
      </c>
      <c r="B405" s="21" t="s">
        <v>995</v>
      </c>
      <c r="C405" s="14" t="s">
        <v>72</v>
      </c>
      <c r="D405" s="15" t="s">
        <v>9</v>
      </c>
      <c r="E405" s="15" t="s">
        <v>10</v>
      </c>
      <c r="F405" s="14">
        <v>41</v>
      </c>
      <c r="G405" s="15">
        <v>2</v>
      </c>
      <c r="H405" s="14">
        <v>3</v>
      </c>
      <c r="I405" s="14">
        <v>3</v>
      </c>
      <c r="J405" s="17" t="s">
        <v>55</v>
      </c>
      <c r="K405" s="36"/>
      <c r="L405" s="14"/>
      <c r="M405" s="14"/>
      <c r="N405" s="14"/>
      <c r="O405" s="14"/>
      <c r="P405" s="25" t="s">
        <v>996</v>
      </c>
      <c r="Q405" s="21"/>
      <c r="R405" s="22"/>
      <c r="S405" s="14">
        <v>53</v>
      </c>
      <c r="T405" s="27">
        <v>45866</v>
      </c>
      <c r="U405" s="27">
        <v>45869</v>
      </c>
      <c r="V405" s="27">
        <v>45870</v>
      </c>
      <c r="W405" s="27">
        <v>45870</v>
      </c>
      <c r="X405" s="27">
        <v>45874</v>
      </c>
      <c r="Y405" s="14" t="s">
        <v>119</v>
      </c>
      <c r="Z405" s="40" t="str">
        <f>IF(STAT[[#This Row],[sigla]]="","",VLOOKUP(STAT[[#This Row],[sigla]],CRÉDITOS_GERAIS[[sigla]:[credito]],2,))</f>
        <v>Bianca Tavares</v>
      </c>
      <c r="AA405" s="14"/>
      <c r="AB405" s="14" t="str">
        <f>STAT[[#This Row],[ilustrador]]</f>
        <v>Bianca Tavares</v>
      </c>
      <c r="AC405" s="14">
        <v>5</v>
      </c>
      <c r="AD405" s="22" t="s">
        <v>997</v>
      </c>
      <c r="AE405" s="14" t="s">
        <v>87</v>
      </c>
      <c r="AF405" s="42" t="str">
        <f t="shared" si="6"/>
        <v>P007</v>
      </c>
    </row>
    <row r="406" spans="1:32" ht="28.8" hidden="1" x14ac:dyDescent="0.3">
      <c r="A406" s="12" t="e" cm="1">
        <f t="array" aca="1" ref="A406" ca="1">IF(STAT[[#This Row],[retranca]]="","",       RegxFunc(STAT[[#This Row],[retranca]],  "\w\d{4}\w*_\d")     )</f>
        <v>#NAME?</v>
      </c>
      <c r="B406" s="21" t="s">
        <v>998</v>
      </c>
      <c r="C406" s="14" t="s">
        <v>72</v>
      </c>
      <c r="D406" s="15" t="s">
        <v>9</v>
      </c>
      <c r="E406" s="15" t="s">
        <v>10</v>
      </c>
      <c r="F406" s="14">
        <v>49</v>
      </c>
      <c r="G406" s="15">
        <v>5</v>
      </c>
      <c r="H406" s="14">
        <v>9</v>
      </c>
      <c r="I406" s="14">
        <v>9</v>
      </c>
      <c r="J406" s="17" t="s">
        <v>55</v>
      </c>
      <c r="K406" s="36"/>
      <c r="L406" s="14"/>
      <c r="M406" s="14"/>
      <c r="N406" s="14"/>
      <c r="O406" s="14"/>
      <c r="P406" s="25" t="s">
        <v>999</v>
      </c>
      <c r="Q406" s="21"/>
      <c r="R406" s="22"/>
      <c r="S406" s="14">
        <v>54</v>
      </c>
      <c r="T406" s="27">
        <v>45866</v>
      </c>
      <c r="U406" s="27">
        <v>45866</v>
      </c>
      <c r="V406" s="27"/>
      <c r="W406" s="27"/>
      <c r="X406" s="27">
        <v>45869</v>
      </c>
      <c r="Y406" s="14" t="s">
        <v>43</v>
      </c>
      <c r="Z406" s="40" t="e">
        <f>IF(STAT[[#This Row],[sigla]]="","",VLOOKUP(STAT[[#This Row],[sigla]],CRÉDITOS_GERAIS[[sigla]:[credito]],2,))</f>
        <v>#N/A</v>
      </c>
      <c r="AA406" s="14" t="s">
        <v>90</v>
      </c>
      <c r="AB406" s="14" t="e">
        <f>STAT[[#This Row],[ilustrador]]</f>
        <v>#N/A</v>
      </c>
      <c r="AC406" s="14">
        <v>13</v>
      </c>
      <c r="AD406" s="22" t="s">
        <v>978</v>
      </c>
      <c r="AE406" s="15" t="s">
        <v>46</v>
      </c>
      <c r="AF406" s="42" t="str">
        <f t="shared" si="6"/>
        <v>P007</v>
      </c>
    </row>
    <row r="407" spans="1:32" ht="43.2" hidden="1" x14ac:dyDescent="0.3">
      <c r="A407" s="12" t="e" cm="1">
        <f t="array" aca="1" ref="A407" ca="1">IF(STAT[[#This Row],[retranca]]="","",       RegxFunc(STAT[[#This Row],[retranca]],  "\w\d{4}\w*_\d")     )</f>
        <v>#NAME?</v>
      </c>
      <c r="B407" s="21" t="s">
        <v>1000</v>
      </c>
      <c r="C407" s="14" t="s">
        <v>72</v>
      </c>
      <c r="D407" s="15" t="s">
        <v>9</v>
      </c>
      <c r="E407" s="15" t="s">
        <v>10</v>
      </c>
      <c r="F407" s="14">
        <v>49</v>
      </c>
      <c r="G407" s="15">
        <v>5</v>
      </c>
      <c r="H407" s="14">
        <v>9</v>
      </c>
      <c r="I407" s="14">
        <v>9</v>
      </c>
      <c r="J407" s="17" t="s">
        <v>55</v>
      </c>
      <c r="K407" s="36"/>
      <c r="L407" s="14"/>
      <c r="M407" s="14"/>
      <c r="N407" s="14"/>
      <c r="O407" s="14"/>
      <c r="P407" s="25" t="s">
        <v>1001</v>
      </c>
      <c r="Q407" s="21"/>
      <c r="R407" s="22"/>
      <c r="S407" s="14">
        <v>54</v>
      </c>
      <c r="T407" s="27">
        <v>45866</v>
      </c>
      <c r="U407" s="27">
        <v>45866</v>
      </c>
      <c r="V407" s="27"/>
      <c r="W407" s="27"/>
      <c r="X407" s="27">
        <v>45869</v>
      </c>
      <c r="Y407" s="14" t="s">
        <v>43</v>
      </c>
      <c r="Z407" s="40" t="e">
        <f>IF(STAT[[#This Row],[sigla]]="","",VLOOKUP(STAT[[#This Row],[sigla]],CRÉDITOS_GERAIS[[sigla]:[credito]],2,))</f>
        <v>#N/A</v>
      </c>
      <c r="AA407" s="14" t="s">
        <v>90</v>
      </c>
      <c r="AB407" s="14" t="e">
        <f>STAT[[#This Row],[ilustrador]]</f>
        <v>#N/A</v>
      </c>
      <c r="AC407" s="14">
        <v>13</v>
      </c>
      <c r="AD407" s="22" t="s">
        <v>978</v>
      </c>
      <c r="AE407" s="15" t="s">
        <v>46</v>
      </c>
      <c r="AF407" s="42" t="str">
        <f t="shared" si="6"/>
        <v>P007</v>
      </c>
    </row>
    <row r="408" spans="1:32" hidden="1" x14ac:dyDescent="0.3">
      <c r="A408" s="12" t="e" cm="1">
        <f t="array" aca="1" ref="A408" ca="1">IF(STAT[[#This Row],[retranca]]="","",       RegxFunc(STAT[[#This Row],[retranca]],  "\w\d{4}\w*_\d")     )</f>
        <v>#NAME?</v>
      </c>
      <c r="B408" s="34" t="s">
        <v>1002</v>
      </c>
      <c r="C408" s="14" t="s">
        <v>72</v>
      </c>
      <c r="D408" s="15" t="s">
        <v>9</v>
      </c>
      <c r="E408" s="15" t="s">
        <v>10</v>
      </c>
      <c r="F408" s="14">
        <v>49</v>
      </c>
      <c r="G408" s="15">
        <v>5</v>
      </c>
      <c r="H408" s="14">
        <v>9</v>
      </c>
      <c r="I408" s="14">
        <v>9</v>
      </c>
      <c r="J408" s="17" t="s">
        <v>55</v>
      </c>
      <c r="K408" s="36"/>
      <c r="L408" s="14"/>
      <c r="M408" s="14"/>
      <c r="N408" s="14"/>
      <c r="O408" s="14"/>
      <c r="P408" s="25" t="s">
        <v>1003</v>
      </c>
      <c r="Q408" s="21"/>
      <c r="R408" s="22"/>
      <c r="S408" s="14"/>
      <c r="T408" s="27"/>
      <c r="U408" s="27"/>
      <c r="V408" s="27"/>
      <c r="W408" s="27"/>
      <c r="X408" s="27"/>
      <c r="Y408" s="14" t="s">
        <v>43</v>
      </c>
      <c r="Z408" s="40" t="e">
        <f>IF(STAT[[#This Row],[sigla]]="","",VLOOKUP(STAT[[#This Row],[sigla]],CRÉDITOS_GERAIS[[sigla]:[credito]],2,))</f>
        <v>#N/A</v>
      </c>
      <c r="AA408" s="14"/>
      <c r="AB408" s="14" t="e">
        <f>STAT[[#This Row],[ilustrador]]</f>
        <v>#N/A</v>
      </c>
      <c r="AC408" s="14"/>
      <c r="AD408" s="14"/>
      <c r="AE408" s="15"/>
      <c r="AF408" s="42" t="str">
        <f t="shared" si="6"/>
        <v>P007</v>
      </c>
    </row>
    <row r="409" spans="1:32" ht="43.2" hidden="1" x14ac:dyDescent="0.3">
      <c r="A409" s="12" t="e" cm="1">
        <f t="array" aca="1" ref="A409" ca="1">IF(STAT[[#This Row],[retranca]]="","",       RegxFunc(STAT[[#This Row],[retranca]],  "\w\d{4}\w*_\d")     )</f>
        <v>#NAME?</v>
      </c>
      <c r="B409" s="34" t="s">
        <v>1004</v>
      </c>
      <c r="C409" s="14" t="s">
        <v>72</v>
      </c>
      <c r="D409" s="15" t="s">
        <v>9</v>
      </c>
      <c r="E409" s="15" t="s">
        <v>10</v>
      </c>
      <c r="F409" s="14">
        <v>49</v>
      </c>
      <c r="G409" s="15">
        <v>5</v>
      </c>
      <c r="H409" s="14">
        <v>9</v>
      </c>
      <c r="I409" s="14">
        <v>9</v>
      </c>
      <c r="J409" s="17" t="s">
        <v>55</v>
      </c>
      <c r="K409" s="36"/>
      <c r="L409" s="14"/>
      <c r="M409" s="14"/>
      <c r="N409" s="14"/>
      <c r="O409" s="14"/>
      <c r="P409" s="25" t="s">
        <v>1005</v>
      </c>
      <c r="Q409" s="21"/>
      <c r="R409" s="22"/>
      <c r="S409" s="14">
        <v>54</v>
      </c>
      <c r="T409" s="27">
        <v>45866</v>
      </c>
      <c r="U409" s="27">
        <v>45866</v>
      </c>
      <c r="V409" s="27"/>
      <c r="W409" s="27"/>
      <c r="X409" s="27">
        <v>45869</v>
      </c>
      <c r="Y409" s="14" t="s">
        <v>43</v>
      </c>
      <c r="Z409" s="40" t="e">
        <f>IF(STAT[[#This Row],[sigla]]="","",VLOOKUP(STAT[[#This Row],[sigla]],CRÉDITOS_GERAIS[[sigla]:[credito]],2,))</f>
        <v>#N/A</v>
      </c>
      <c r="AA409" s="14" t="s">
        <v>90</v>
      </c>
      <c r="AB409" s="14" t="e">
        <f>STAT[[#This Row],[ilustrador]]</f>
        <v>#N/A</v>
      </c>
      <c r="AC409" s="14">
        <v>13</v>
      </c>
      <c r="AD409" s="14" t="s">
        <v>978</v>
      </c>
      <c r="AE409" s="15" t="s">
        <v>46</v>
      </c>
      <c r="AF409" s="42" t="str">
        <f t="shared" si="6"/>
        <v>P007</v>
      </c>
    </row>
    <row r="410" spans="1:32" ht="43.2" hidden="1" x14ac:dyDescent="0.3">
      <c r="A410" s="12" t="e" cm="1">
        <f t="array" aca="1" ref="A410" ca="1">IF(STAT[[#This Row],[retranca]]="","",       RegxFunc(STAT[[#This Row],[retranca]],  "\w\d{4}\w*_\d")     )</f>
        <v>#NAME?</v>
      </c>
      <c r="B410" s="34" t="s">
        <v>1006</v>
      </c>
      <c r="C410" s="14" t="s">
        <v>72</v>
      </c>
      <c r="D410" s="15" t="s">
        <v>9</v>
      </c>
      <c r="E410" s="15" t="s">
        <v>10</v>
      </c>
      <c r="F410" s="14">
        <v>49</v>
      </c>
      <c r="G410" s="15">
        <v>5</v>
      </c>
      <c r="H410" s="14">
        <v>9</v>
      </c>
      <c r="I410" s="14">
        <v>9</v>
      </c>
      <c r="J410" s="17" t="s">
        <v>55</v>
      </c>
      <c r="K410" s="36"/>
      <c r="L410" s="14"/>
      <c r="M410" s="14"/>
      <c r="N410" s="14"/>
      <c r="O410" s="14"/>
      <c r="P410" s="25" t="s">
        <v>1007</v>
      </c>
      <c r="Q410" s="21"/>
      <c r="R410" s="22"/>
      <c r="S410" s="14">
        <v>54</v>
      </c>
      <c r="T410" s="27">
        <v>45866</v>
      </c>
      <c r="U410" s="27">
        <v>45866</v>
      </c>
      <c r="V410" s="27"/>
      <c r="W410" s="27"/>
      <c r="X410" s="27">
        <v>45869</v>
      </c>
      <c r="Y410" s="14" t="s">
        <v>43</v>
      </c>
      <c r="Z410" s="40" t="e">
        <f>IF(STAT[[#This Row],[sigla]]="","",VLOOKUP(STAT[[#This Row],[sigla]],CRÉDITOS_GERAIS[[sigla]:[credito]],2,))</f>
        <v>#N/A</v>
      </c>
      <c r="AA410" s="14" t="s">
        <v>90</v>
      </c>
      <c r="AB410" s="14" t="e">
        <f>STAT[[#This Row],[ilustrador]]</f>
        <v>#N/A</v>
      </c>
      <c r="AC410" s="14">
        <v>13</v>
      </c>
      <c r="AD410" s="22" t="s">
        <v>978</v>
      </c>
      <c r="AE410" s="15" t="s">
        <v>46</v>
      </c>
      <c r="AF410" s="42" t="str">
        <f t="shared" si="6"/>
        <v>P007</v>
      </c>
    </row>
    <row r="411" spans="1:32" hidden="1" x14ac:dyDescent="0.3">
      <c r="A411" s="12" t="e" cm="1">
        <f t="array" aca="1" ref="A411" ca="1">IF(STAT[[#This Row],[retranca]]="","",       RegxFunc(STAT[[#This Row],[retranca]],  "\w\d{4}\w*_\d")     )</f>
        <v>#NAME?</v>
      </c>
      <c r="B411" s="34" t="s">
        <v>1008</v>
      </c>
      <c r="C411" s="14" t="s">
        <v>72</v>
      </c>
      <c r="D411" s="15" t="s">
        <v>9</v>
      </c>
      <c r="E411" s="15" t="s">
        <v>10</v>
      </c>
      <c r="F411" s="14">
        <v>49</v>
      </c>
      <c r="G411" s="15">
        <v>5</v>
      </c>
      <c r="H411" s="14">
        <v>9</v>
      </c>
      <c r="I411" s="14">
        <v>9</v>
      </c>
      <c r="J411" s="17" t="s">
        <v>55</v>
      </c>
      <c r="K411" s="36"/>
      <c r="L411" s="14"/>
      <c r="M411" s="14"/>
      <c r="N411" s="14"/>
      <c r="O411" s="14"/>
      <c r="P411" s="25" t="s">
        <v>1003</v>
      </c>
      <c r="Q411" s="21"/>
      <c r="R411" s="22"/>
      <c r="S411" s="14"/>
      <c r="T411" s="27"/>
      <c r="U411" s="27"/>
      <c r="V411" s="27"/>
      <c r="W411" s="27"/>
      <c r="X411" s="27"/>
      <c r="Y411" s="14" t="s">
        <v>43</v>
      </c>
      <c r="Z411" s="40" t="e">
        <f>IF(STAT[[#This Row],[sigla]]="","",VLOOKUP(STAT[[#This Row],[sigla]],CRÉDITOS_GERAIS[[sigla]:[credito]],2,))</f>
        <v>#N/A</v>
      </c>
      <c r="AA411" s="14"/>
      <c r="AB411" s="14" t="e">
        <f>STAT[[#This Row],[ilustrador]]</f>
        <v>#N/A</v>
      </c>
      <c r="AC411" s="14"/>
      <c r="AD411" s="22"/>
      <c r="AE411" s="15"/>
      <c r="AF411" s="42" t="str">
        <f t="shared" si="6"/>
        <v>P007</v>
      </c>
    </row>
    <row r="412" spans="1:32" ht="43.2" hidden="1" x14ac:dyDescent="0.3">
      <c r="A412" s="12" t="e" cm="1">
        <f t="array" aca="1" ref="A412" ca="1">IF(STAT[[#This Row],[retranca]]="","",       RegxFunc(STAT[[#This Row],[retranca]],  "\w\d{4}\w*_\d")     )</f>
        <v>#NAME?</v>
      </c>
      <c r="B412" s="34" t="s">
        <v>1009</v>
      </c>
      <c r="C412" s="14" t="s">
        <v>72</v>
      </c>
      <c r="D412" s="15" t="s">
        <v>9</v>
      </c>
      <c r="E412" s="15" t="s">
        <v>10</v>
      </c>
      <c r="F412" s="14">
        <v>50</v>
      </c>
      <c r="G412" s="15">
        <v>5</v>
      </c>
      <c r="H412" s="14">
        <v>9</v>
      </c>
      <c r="I412" s="14">
        <v>9</v>
      </c>
      <c r="J412" s="17" t="s">
        <v>55</v>
      </c>
      <c r="K412" s="36"/>
      <c r="L412" s="14"/>
      <c r="M412" s="14"/>
      <c r="N412" s="14"/>
      <c r="O412" s="14"/>
      <c r="P412" s="25" t="s">
        <v>1010</v>
      </c>
      <c r="Q412" s="21"/>
      <c r="R412" s="22"/>
      <c r="S412" s="14">
        <v>54</v>
      </c>
      <c r="T412" s="27">
        <v>45866</v>
      </c>
      <c r="U412" s="27">
        <v>45866</v>
      </c>
      <c r="V412" s="27"/>
      <c r="W412" s="27"/>
      <c r="X412" s="27">
        <v>45869</v>
      </c>
      <c r="Y412" s="14" t="s">
        <v>290</v>
      </c>
      <c r="Z412" s="40" t="str">
        <f>IF(STAT[[#This Row],[sigla]]="","",VLOOKUP(STAT[[#This Row],[sigla]],CRÉDITOS_GERAIS[[sigla]:[credito]],2,))</f>
        <v>Bruna Campos</v>
      </c>
      <c r="AA412" s="14"/>
      <c r="AB412" s="14" t="str">
        <f>STAT[[#This Row],[ilustrador]]</f>
        <v>Bruna Campos</v>
      </c>
      <c r="AC412" s="14">
        <v>8</v>
      </c>
      <c r="AD412" s="14" t="s">
        <v>196</v>
      </c>
      <c r="AE412" s="15" t="s">
        <v>46</v>
      </c>
      <c r="AF412" s="42" t="str">
        <f t="shared" si="6"/>
        <v>P007</v>
      </c>
    </row>
    <row r="413" spans="1:32" ht="115.2" hidden="1" x14ac:dyDescent="0.3">
      <c r="A413" s="12" t="e" cm="1">
        <f t="array" aca="1" ref="A413" ca="1">IF(STAT[[#This Row],[retranca]]="","",       RegxFunc(STAT[[#This Row],[retranca]],  "\w\d{4}\w*_\d")     )</f>
        <v>#NAME?</v>
      </c>
      <c r="B413" s="34" t="s">
        <v>1011</v>
      </c>
      <c r="C413" s="14" t="s">
        <v>72</v>
      </c>
      <c r="D413" s="15" t="s">
        <v>9</v>
      </c>
      <c r="E413" s="15" t="s">
        <v>10</v>
      </c>
      <c r="F413" s="14">
        <v>51</v>
      </c>
      <c r="G413" s="15">
        <v>5</v>
      </c>
      <c r="H413" s="14">
        <v>9</v>
      </c>
      <c r="I413" s="14">
        <v>9</v>
      </c>
      <c r="J413" s="17" t="s">
        <v>55</v>
      </c>
      <c r="K413" s="36"/>
      <c r="L413" s="14"/>
      <c r="M413" s="14"/>
      <c r="N413" s="14"/>
      <c r="O413" s="14"/>
      <c r="P413" s="25" t="s">
        <v>1012</v>
      </c>
      <c r="Q413" s="21"/>
      <c r="R413" s="22"/>
      <c r="S413" s="14">
        <v>54</v>
      </c>
      <c r="T413" s="27">
        <v>45866</v>
      </c>
      <c r="U413" s="27">
        <v>45868</v>
      </c>
      <c r="V413" s="27">
        <v>45873</v>
      </c>
      <c r="W413" s="27">
        <v>45874</v>
      </c>
      <c r="X413" s="27">
        <v>45875</v>
      </c>
      <c r="Y413" s="14" t="s">
        <v>84</v>
      </c>
      <c r="Z413" s="40" t="str">
        <f>IF(STAT[[#This Row],[sigla]]="","",VLOOKUP(STAT[[#This Row],[sigla]],CRÉDITOS_GERAIS[[sigla]:[credito]],2,))</f>
        <v>Gabriel Brum</v>
      </c>
      <c r="AA413" s="14"/>
      <c r="AB413" s="14" t="str">
        <f>STAT[[#This Row],[ilustrador]]</f>
        <v>Gabriel Brum</v>
      </c>
      <c r="AC413" s="14">
        <v>5</v>
      </c>
      <c r="AD413" s="22" t="s">
        <v>1013</v>
      </c>
      <c r="AE413" s="14" t="s">
        <v>87</v>
      </c>
      <c r="AF413" s="42" t="str">
        <f t="shared" si="6"/>
        <v>P007</v>
      </c>
    </row>
    <row r="414" spans="1:32" ht="57.6" hidden="1" x14ac:dyDescent="0.3">
      <c r="A414" s="12" t="e" cm="1">
        <f t="array" aca="1" ref="A414" ca="1">IF(STAT[[#This Row],[retranca]]="","",       RegxFunc(STAT[[#This Row],[retranca]],  "\w\d{4}\w*_\d")     )</f>
        <v>#NAME?</v>
      </c>
      <c r="B414" s="21" t="s">
        <v>1014</v>
      </c>
      <c r="C414" s="14" t="s">
        <v>72</v>
      </c>
      <c r="D414" s="15" t="s">
        <v>9</v>
      </c>
      <c r="E414" s="15" t="s">
        <v>10</v>
      </c>
      <c r="F414" s="14">
        <v>52</v>
      </c>
      <c r="G414" s="15">
        <v>5</v>
      </c>
      <c r="H414" s="14">
        <v>9</v>
      </c>
      <c r="I414" s="14">
        <v>9</v>
      </c>
      <c r="J414" s="17" t="s">
        <v>55</v>
      </c>
      <c r="K414" s="36"/>
      <c r="L414" s="14"/>
      <c r="M414" s="14"/>
      <c r="N414" s="14"/>
      <c r="O414" s="14"/>
      <c r="P414" s="25" t="s">
        <v>1015</v>
      </c>
      <c r="Q414" s="21"/>
      <c r="R414" s="22"/>
      <c r="S414" s="14">
        <v>54</v>
      </c>
      <c r="T414" s="27">
        <v>45866</v>
      </c>
      <c r="U414" s="27">
        <v>45868</v>
      </c>
      <c r="V414" s="27">
        <v>45873</v>
      </c>
      <c r="W414" s="27">
        <v>45874</v>
      </c>
      <c r="X414" s="27">
        <v>45875</v>
      </c>
      <c r="Y414" s="14" t="s">
        <v>84</v>
      </c>
      <c r="Z414" s="40" t="str">
        <f>IF(STAT[[#This Row],[sigla]]="","",VLOOKUP(STAT[[#This Row],[sigla]],CRÉDITOS_GERAIS[[sigla]:[credito]],2,))</f>
        <v>Gabriel Brum</v>
      </c>
      <c r="AA414" s="14"/>
      <c r="AB414" s="14" t="str">
        <f>STAT[[#This Row],[ilustrador]]</f>
        <v>Gabriel Brum</v>
      </c>
      <c r="AC414" s="14">
        <v>6</v>
      </c>
      <c r="AD414" s="22" t="s">
        <v>1013</v>
      </c>
      <c r="AE414" s="14" t="s">
        <v>87</v>
      </c>
      <c r="AF414" s="42" t="str">
        <f t="shared" si="6"/>
        <v>P007</v>
      </c>
    </row>
    <row r="415" spans="1:32" ht="57.6" hidden="1" x14ac:dyDescent="0.3">
      <c r="A415" s="12" t="e" cm="1">
        <f t="array" aca="1" ref="A415" ca="1">IF(STAT[[#This Row],[retranca]]="","",       RegxFunc(STAT[[#This Row],[retranca]],  "\w\d{4}\w*_\d")     )</f>
        <v>#NAME?</v>
      </c>
      <c r="B415" s="34" t="s">
        <v>1016</v>
      </c>
      <c r="C415" s="14" t="s">
        <v>72</v>
      </c>
      <c r="D415" s="15" t="s">
        <v>9</v>
      </c>
      <c r="E415" s="15" t="s">
        <v>10</v>
      </c>
      <c r="F415" s="14">
        <v>52</v>
      </c>
      <c r="G415" s="15">
        <v>5</v>
      </c>
      <c r="H415" s="14">
        <v>9</v>
      </c>
      <c r="I415" s="14">
        <v>9</v>
      </c>
      <c r="J415" s="17" t="s">
        <v>55</v>
      </c>
      <c r="K415" s="36"/>
      <c r="L415" s="14"/>
      <c r="M415" s="14"/>
      <c r="N415" s="14"/>
      <c r="O415" s="14"/>
      <c r="P415" s="25" t="s">
        <v>1017</v>
      </c>
      <c r="Q415" s="21"/>
      <c r="R415" s="22"/>
      <c r="S415" s="14">
        <v>54</v>
      </c>
      <c r="T415" s="27">
        <v>45866</v>
      </c>
      <c r="U415" s="27">
        <v>45868</v>
      </c>
      <c r="V415" s="27">
        <v>45873</v>
      </c>
      <c r="W415" s="27">
        <v>45874</v>
      </c>
      <c r="X415" s="27">
        <v>45875</v>
      </c>
      <c r="Y415" s="14" t="s">
        <v>84</v>
      </c>
      <c r="Z415" s="40" t="str">
        <f>IF(STAT[[#This Row],[sigla]]="","",VLOOKUP(STAT[[#This Row],[sigla]],CRÉDITOS_GERAIS[[sigla]:[credito]],2,))</f>
        <v>Gabriel Brum</v>
      </c>
      <c r="AA415" s="14"/>
      <c r="AB415" s="14" t="str">
        <f>STAT[[#This Row],[ilustrador]]</f>
        <v>Gabriel Brum</v>
      </c>
      <c r="AC415" s="14">
        <v>6</v>
      </c>
      <c r="AD415" s="22" t="s">
        <v>1013</v>
      </c>
      <c r="AE415" s="14" t="s">
        <v>87</v>
      </c>
      <c r="AF415" s="42" t="str">
        <f t="shared" si="6"/>
        <v>P007</v>
      </c>
    </row>
    <row r="416" spans="1:32" ht="129.6" hidden="1" x14ac:dyDescent="0.3">
      <c r="A416" s="12" t="e" cm="1">
        <f t="array" aca="1" ref="A416" ca="1">IF(STAT[[#This Row],[retranca]]="","",       RegxFunc(STAT[[#This Row],[retranca]],  "\w\d{4}\w*_\d")     )</f>
        <v>#NAME?</v>
      </c>
      <c r="B416" s="34" t="s">
        <v>1018</v>
      </c>
      <c r="C416" s="14" t="s">
        <v>72</v>
      </c>
      <c r="D416" s="15" t="s">
        <v>9</v>
      </c>
      <c r="E416" s="15" t="s">
        <v>10</v>
      </c>
      <c r="F416" s="14">
        <v>58</v>
      </c>
      <c r="G416" s="15">
        <v>5</v>
      </c>
      <c r="H416" s="14">
        <v>9</v>
      </c>
      <c r="I416" s="14">
        <v>9</v>
      </c>
      <c r="J416" s="17" t="s">
        <v>55</v>
      </c>
      <c r="K416" s="36"/>
      <c r="L416" s="14"/>
      <c r="M416" s="14"/>
      <c r="N416" s="14"/>
      <c r="O416" s="14"/>
      <c r="P416" s="25" t="s">
        <v>1019</v>
      </c>
      <c r="Q416" s="21"/>
      <c r="R416" s="22"/>
      <c r="S416" s="14">
        <v>54</v>
      </c>
      <c r="T416" s="27">
        <v>45866</v>
      </c>
      <c r="U416" s="27">
        <v>45868</v>
      </c>
      <c r="V416" s="27">
        <v>45873</v>
      </c>
      <c r="W416" s="27">
        <v>45874</v>
      </c>
      <c r="X416" s="27">
        <v>45875</v>
      </c>
      <c r="Y416" s="14" t="s">
        <v>84</v>
      </c>
      <c r="Z416" s="40" t="str">
        <f>IF(STAT[[#This Row],[sigla]]="","",VLOOKUP(STAT[[#This Row],[sigla]],CRÉDITOS_GERAIS[[sigla]:[credito]],2,))</f>
        <v>Gabriel Brum</v>
      </c>
      <c r="AA416" s="14"/>
      <c r="AB416" s="14" t="str">
        <f>STAT[[#This Row],[ilustrador]]</f>
        <v>Gabriel Brum</v>
      </c>
      <c r="AC416" s="14">
        <v>5</v>
      </c>
      <c r="AD416" s="22" t="s">
        <v>1013</v>
      </c>
      <c r="AE416" s="14" t="s">
        <v>87</v>
      </c>
      <c r="AF416" s="42" t="str">
        <f t="shared" si="6"/>
        <v>P007</v>
      </c>
    </row>
    <row r="417" spans="1:32" ht="144" hidden="1" x14ac:dyDescent="0.3">
      <c r="A417" s="12" t="e" cm="1">
        <f t="array" aca="1" ref="A417" ca="1">IF(STAT[[#This Row],[retranca]]="","",       RegxFunc(STAT[[#This Row],[retranca]],  "\w\d{4}\w*_\d")     )</f>
        <v>#NAME?</v>
      </c>
      <c r="B417" s="21" t="s">
        <v>1020</v>
      </c>
      <c r="C417" s="14" t="s">
        <v>122</v>
      </c>
      <c r="D417" s="15" t="s">
        <v>288</v>
      </c>
      <c r="E417" s="15" t="s">
        <v>10</v>
      </c>
      <c r="F417" s="14">
        <v>79</v>
      </c>
      <c r="G417" s="15">
        <v>5</v>
      </c>
      <c r="H417" s="14">
        <v>11</v>
      </c>
      <c r="I417" s="14">
        <v>11</v>
      </c>
      <c r="J417" s="17" t="s">
        <v>55</v>
      </c>
      <c r="K417" s="36"/>
      <c r="L417" s="14"/>
      <c r="M417" s="14"/>
      <c r="N417" s="14"/>
      <c r="O417" s="14"/>
      <c r="P417" s="25" t="s">
        <v>1021</v>
      </c>
      <c r="Q417" s="22"/>
      <c r="R417" s="22"/>
      <c r="S417" s="14">
        <v>55</v>
      </c>
      <c r="T417" s="27">
        <v>45867</v>
      </c>
      <c r="U417" s="27">
        <v>45880</v>
      </c>
      <c r="V417" s="27"/>
      <c r="W417" s="27"/>
      <c r="X417" s="27">
        <v>45880</v>
      </c>
      <c r="Y417" s="14" t="s">
        <v>290</v>
      </c>
      <c r="Z417" s="40" t="str">
        <f>IF(STAT[[#This Row],[sigla]]="","",VLOOKUP(STAT[[#This Row],[sigla]],CRÉDITOS_GERAIS[[sigla]:[credito]],2,))</f>
        <v>Bruna Campos</v>
      </c>
      <c r="AA417" s="14"/>
      <c r="AB417" s="14" t="str">
        <f>STAT[[#This Row],[ilustrador]]</f>
        <v>Bruna Campos</v>
      </c>
      <c r="AC417" s="14">
        <v>7</v>
      </c>
      <c r="AD417" s="22" t="s">
        <v>196</v>
      </c>
      <c r="AE417" s="14" t="s">
        <v>46</v>
      </c>
      <c r="AF417" s="42" t="str">
        <f t="shared" si="6"/>
        <v>P007</v>
      </c>
    </row>
    <row r="418" spans="1:32" ht="172.8" hidden="1" x14ac:dyDescent="0.3">
      <c r="A418" s="12" t="e" cm="1">
        <f t="array" aca="1" ref="A418" ca="1">IF(STAT[[#This Row],[retranca]]="","",       RegxFunc(STAT[[#This Row],[retranca]],  "\w\d{4}\w*_\d")     )</f>
        <v>#NAME?</v>
      </c>
      <c r="B418" s="21" t="s">
        <v>1022</v>
      </c>
      <c r="C418" s="14" t="s">
        <v>72</v>
      </c>
      <c r="D418" s="15" t="s">
        <v>9</v>
      </c>
      <c r="E418" s="15" t="s">
        <v>10</v>
      </c>
      <c r="F418" s="14">
        <v>84</v>
      </c>
      <c r="G418" s="15">
        <v>5</v>
      </c>
      <c r="H418" s="14">
        <v>11</v>
      </c>
      <c r="I418" s="14">
        <v>11</v>
      </c>
      <c r="J418" s="17" t="s">
        <v>55</v>
      </c>
      <c r="K418" s="36"/>
      <c r="L418" s="14"/>
      <c r="M418" s="14"/>
      <c r="N418" s="14"/>
      <c r="O418" s="14"/>
      <c r="P418" s="25" t="s">
        <v>1023</v>
      </c>
      <c r="Q418" s="22"/>
      <c r="R418" s="22"/>
      <c r="S418" s="14">
        <v>55</v>
      </c>
      <c r="T418" s="27">
        <v>45867</v>
      </c>
      <c r="U418" s="27">
        <v>45869</v>
      </c>
      <c r="V418" s="27">
        <v>45873</v>
      </c>
      <c r="W418" s="27">
        <v>45874</v>
      </c>
      <c r="X418" s="27">
        <v>45876</v>
      </c>
      <c r="Y418" s="14" t="s">
        <v>109</v>
      </c>
      <c r="Z418" s="40" t="str">
        <f>IF(STAT[[#This Row],[sigla]]="","",VLOOKUP(STAT[[#This Row],[sigla]],CRÉDITOS_GERAIS[[sigla]:[credito]],2,))</f>
        <v>Clarice Baracho</v>
      </c>
      <c r="AA418" s="14"/>
      <c r="AB418" s="14" t="str">
        <f>STAT[[#This Row],[ilustrador]]</f>
        <v>Clarice Baracho</v>
      </c>
      <c r="AC418" s="14">
        <v>3</v>
      </c>
      <c r="AD418" s="14" t="s">
        <v>1024</v>
      </c>
      <c r="AE418" s="14" t="s">
        <v>87</v>
      </c>
      <c r="AF418" s="42" t="str">
        <f t="shared" si="6"/>
        <v>P007</v>
      </c>
    </row>
    <row r="419" spans="1:32" ht="28.8" hidden="1" x14ac:dyDescent="0.3">
      <c r="A419" s="12" t="e" cm="1">
        <f t="array" aca="1" ref="A419" ca="1">IF(STAT[[#This Row],[retranca]]="","",       RegxFunc(STAT[[#This Row],[retranca]],  "\w\d{4}\w*_\d")     )</f>
        <v>#NAME?</v>
      </c>
      <c r="B419" s="21" t="s">
        <v>1025</v>
      </c>
      <c r="C419" s="14" t="s">
        <v>72</v>
      </c>
      <c r="D419" s="15" t="s">
        <v>9</v>
      </c>
      <c r="E419" s="15" t="s">
        <v>10</v>
      </c>
      <c r="F419" s="14">
        <v>87</v>
      </c>
      <c r="G419" s="15">
        <v>5</v>
      </c>
      <c r="H419" s="14">
        <v>11</v>
      </c>
      <c r="I419" s="14">
        <v>11</v>
      </c>
      <c r="J419" s="17" t="s">
        <v>55</v>
      </c>
      <c r="K419" s="36"/>
      <c r="L419" s="14"/>
      <c r="M419" s="14"/>
      <c r="N419" s="14"/>
      <c r="O419" s="14"/>
      <c r="P419" s="25" t="s">
        <v>1026</v>
      </c>
      <c r="Q419" s="22"/>
      <c r="R419" s="22"/>
      <c r="S419" s="14">
        <v>55</v>
      </c>
      <c r="T419" s="27">
        <v>45867</v>
      </c>
      <c r="U419" s="27">
        <v>45869</v>
      </c>
      <c r="V419" s="27">
        <v>45873</v>
      </c>
      <c r="W419" s="27">
        <v>45874</v>
      </c>
      <c r="X419" s="27">
        <v>45876</v>
      </c>
      <c r="Y419" s="14" t="s">
        <v>109</v>
      </c>
      <c r="Z419" s="40" t="str">
        <f>IF(STAT[[#This Row],[sigla]]="","",VLOOKUP(STAT[[#This Row],[sigla]],CRÉDITOS_GERAIS[[sigla]:[credito]],2,))</f>
        <v>Clarice Baracho</v>
      </c>
      <c r="AA419" s="14"/>
      <c r="AB419" s="14" t="str">
        <f>STAT[[#This Row],[ilustrador]]</f>
        <v>Clarice Baracho</v>
      </c>
      <c r="AC419" s="14">
        <v>4</v>
      </c>
      <c r="AD419" s="22" t="s">
        <v>1024</v>
      </c>
      <c r="AE419" s="14" t="s">
        <v>87</v>
      </c>
      <c r="AF419" s="42" t="str">
        <f t="shared" si="6"/>
        <v>P007</v>
      </c>
    </row>
    <row r="420" spans="1:32" hidden="1" x14ac:dyDescent="0.3">
      <c r="A420" s="12" t="e" cm="1">
        <f t="array" aca="1" ref="A420" ca="1">IF(STAT[[#This Row],[retranca]]="","",       RegxFunc(STAT[[#This Row],[retranca]],  "\w\d{4}\w*_\d")     )</f>
        <v>#NAME?</v>
      </c>
      <c r="B420" s="21" t="s">
        <v>1027</v>
      </c>
      <c r="C420" s="14" t="s">
        <v>72</v>
      </c>
      <c r="D420" s="15" t="s">
        <v>143</v>
      </c>
      <c r="E420" s="15" t="s">
        <v>10</v>
      </c>
      <c r="F420" s="14">
        <v>89</v>
      </c>
      <c r="G420" s="15">
        <v>5</v>
      </c>
      <c r="H420" s="14">
        <v>11</v>
      </c>
      <c r="I420" s="14">
        <v>11</v>
      </c>
      <c r="J420" s="17" t="s">
        <v>55</v>
      </c>
      <c r="K420" s="36"/>
      <c r="L420" s="14"/>
      <c r="M420" s="14"/>
      <c r="N420" s="14"/>
      <c r="O420" s="14"/>
      <c r="P420" s="25" t="s">
        <v>1028</v>
      </c>
      <c r="Q420" s="22"/>
      <c r="R420" s="22"/>
      <c r="S420" s="14">
        <v>55</v>
      </c>
      <c r="T420" s="27">
        <v>45867</v>
      </c>
      <c r="U420" s="27">
        <v>45867</v>
      </c>
      <c r="V420" s="27"/>
      <c r="W420" s="27"/>
      <c r="X420" s="27">
        <v>45869</v>
      </c>
      <c r="Y420" s="14" t="s">
        <v>290</v>
      </c>
      <c r="Z420" s="40" t="str">
        <f>IF(STAT[[#This Row],[sigla]]="","",VLOOKUP(STAT[[#This Row],[sigla]],CRÉDITOS_GERAIS[[sigla]:[credito]],2,))</f>
        <v>Bruna Campos</v>
      </c>
      <c r="AA420" s="14"/>
      <c r="AB420" s="14" t="str">
        <f>STAT[[#This Row],[ilustrador]]</f>
        <v>Bruna Campos</v>
      </c>
      <c r="AC420" s="14">
        <v>8</v>
      </c>
      <c r="AD420" s="22" t="s">
        <v>196</v>
      </c>
      <c r="AE420" s="15" t="s">
        <v>46</v>
      </c>
      <c r="AF420" s="42" t="str">
        <f t="shared" si="6"/>
        <v>P007</v>
      </c>
    </row>
    <row r="421" spans="1:32" hidden="1" x14ac:dyDescent="0.3">
      <c r="A421" s="12" t="e" cm="1">
        <f t="array" aca="1" ref="A421" ca="1">IF(STAT[[#This Row],[retranca]]="","",       RegxFunc(STAT[[#This Row],[retranca]],  "\w\d{4}\w*_\d")     )</f>
        <v>#NAME?</v>
      </c>
      <c r="B421" s="21" t="s">
        <v>1029</v>
      </c>
      <c r="C421" s="14" t="s">
        <v>72</v>
      </c>
      <c r="D421" s="15" t="s">
        <v>143</v>
      </c>
      <c r="E421" s="15" t="s">
        <v>10</v>
      </c>
      <c r="F421" s="14">
        <v>89</v>
      </c>
      <c r="G421" s="15">
        <v>5</v>
      </c>
      <c r="H421" s="14">
        <v>11</v>
      </c>
      <c r="I421" s="14">
        <v>11</v>
      </c>
      <c r="J421" s="17" t="s">
        <v>55</v>
      </c>
      <c r="K421" s="36"/>
      <c r="L421" s="14"/>
      <c r="M421" s="14"/>
      <c r="N421" s="14"/>
      <c r="O421" s="14"/>
      <c r="P421" s="25" t="s">
        <v>1030</v>
      </c>
      <c r="Q421" s="22"/>
      <c r="R421" s="22"/>
      <c r="S421" s="14">
        <v>55</v>
      </c>
      <c r="T421" s="27">
        <v>45867</v>
      </c>
      <c r="U421" s="27">
        <v>45867</v>
      </c>
      <c r="V421" s="27"/>
      <c r="W421" s="27"/>
      <c r="X421" s="27">
        <v>45869</v>
      </c>
      <c r="Y421" s="14" t="s">
        <v>290</v>
      </c>
      <c r="Z421" s="40" t="str">
        <f>IF(STAT[[#This Row],[sigla]]="","",VLOOKUP(STAT[[#This Row],[sigla]],CRÉDITOS_GERAIS[[sigla]:[credito]],2,))</f>
        <v>Bruna Campos</v>
      </c>
      <c r="AA421" s="14"/>
      <c r="AB421" s="14" t="str">
        <f>STAT[[#This Row],[ilustrador]]</f>
        <v>Bruna Campos</v>
      </c>
      <c r="AC421" s="14">
        <v>8</v>
      </c>
      <c r="AD421" s="22" t="s">
        <v>196</v>
      </c>
      <c r="AE421" s="15" t="s">
        <v>46</v>
      </c>
      <c r="AF421" s="42" t="str">
        <f t="shared" si="6"/>
        <v>P007</v>
      </c>
    </row>
    <row r="422" spans="1:32" hidden="1" x14ac:dyDescent="0.3">
      <c r="A422" s="12" t="e" cm="1">
        <f t="array" aca="1" ref="A422" ca="1">IF(STAT[[#This Row],[retranca]]="","",       RegxFunc(STAT[[#This Row],[retranca]],  "\w\d{4}\w*_\d")     )</f>
        <v>#NAME?</v>
      </c>
      <c r="B422" s="21" t="s">
        <v>1031</v>
      </c>
      <c r="C422" s="14" t="s">
        <v>122</v>
      </c>
      <c r="D422" s="14" t="s">
        <v>9</v>
      </c>
      <c r="E422" s="14" t="s">
        <v>10</v>
      </c>
      <c r="F422" s="14">
        <v>91</v>
      </c>
      <c r="G422" s="14">
        <v>5</v>
      </c>
      <c r="H422" s="14">
        <v>11</v>
      </c>
      <c r="I422" s="14">
        <v>11</v>
      </c>
      <c r="J422" s="28" t="s">
        <v>55</v>
      </c>
      <c r="K422" s="36"/>
      <c r="L422" s="14"/>
      <c r="M422" s="14"/>
      <c r="N422" s="14"/>
      <c r="O422" s="14"/>
      <c r="P422" s="25" t="s">
        <v>1032</v>
      </c>
      <c r="Q422" s="22"/>
      <c r="R422" s="22"/>
      <c r="S422" s="14">
        <v>64</v>
      </c>
      <c r="T422" s="27">
        <v>45874</v>
      </c>
      <c r="U422" s="27">
        <v>45876</v>
      </c>
      <c r="V422" s="27">
        <v>45880</v>
      </c>
      <c r="W422" s="27">
        <v>45881</v>
      </c>
      <c r="X422" s="27">
        <v>45882</v>
      </c>
      <c r="Y422" s="14" t="s">
        <v>915</v>
      </c>
      <c r="Z422" s="40" t="str">
        <f>IF(STAT[[#This Row],[sigla]]="","",VLOOKUP(STAT[[#This Row],[sigla]],CRÉDITOS_GERAIS[[sigla]:[credito]],2,))</f>
        <v>Isadora Zeferino</v>
      </c>
      <c r="AA422" s="14"/>
      <c r="AB422" s="14" t="str">
        <f>STAT[[#This Row],[ilustrador]]</f>
        <v>Isadora Zeferino</v>
      </c>
      <c r="AC422" s="14">
        <v>8</v>
      </c>
      <c r="AD422" s="22" t="s">
        <v>1033</v>
      </c>
      <c r="AE422" s="14" t="s">
        <v>87</v>
      </c>
      <c r="AF422" s="42" t="str">
        <f t="shared" si="6"/>
        <v>P007</v>
      </c>
    </row>
    <row r="423" spans="1:32" ht="28.8" hidden="1" x14ac:dyDescent="0.3">
      <c r="A423" s="12" t="e" cm="1">
        <f t="array" aca="1" ref="A423" ca="1">IF(STAT[[#This Row],[retranca]]="","",       RegxFunc(STAT[[#This Row],[retranca]],  "\w\d{4}\w*_\d")     )</f>
        <v>#NAME?</v>
      </c>
      <c r="B423" s="21" t="s">
        <v>1034</v>
      </c>
      <c r="C423" s="14" t="s">
        <v>72</v>
      </c>
      <c r="D423" s="14" t="s">
        <v>9</v>
      </c>
      <c r="E423" s="14" t="s">
        <v>10</v>
      </c>
      <c r="F423" s="14">
        <v>105</v>
      </c>
      <c r="G423" s="14">
        <v>4</v>
      </c>
      <c r="H423" s="14">
        <v>12</v>
      </c>
      <c r="I423" s="14">
        <v>12</v>
      </c>
      <c r="J423" s="28" t="s">
        <v>55</v>
      </c>
      <c r="K423" s="36"/>
      <c r="L423" s="14"/>
      <c r="M423" s="14"/>
      <c r="N423" s="14"/>
      <c r="O423" s="14"/>
      <c r="P423" s="25" t="s">
        <v>1035</v>
      </c>
      <c r="Q423" s="22"/>
      <c r="R423" s="22"/>
      <c r="S423" s="14">
        <v>56</v>
      </c>
      <c r="T423" s="27">
        <v>45868</v>
      </c>
      <c r="U423" s="27">
        <v>45868</v>
      </c>
      <c r="V423" s="27"/>
      <c r="W423" s="27"/>
      <c r="X423" s="27">
        <v>45868</v>
      </c>
      <c r="Y423" s="14" t="s">
        <v>207</v>
      </c>
      <c r="Z423" s="40" t="str">
        <f>IF(STAT[[#This Row],[sigla]]="","",VLOOKUP(STAT[[#This Row],[sigla]],CRÉDITOS_GERAIS[[sigla]:[credito]],2,))</f>
        <v>Vinícius Costa</v>
      </c>
      <c r="AA423" s="14"/>
      <c r="AB423" s="14" t="str">
        <f>STAT[[#This Row],[ilustrador]]</f>
        <v>Vinícius Costa</v>
      </c>
      <c r="AC423" s="14">
        <v>8</v>
      </c>
      <c r="AD423" s="22" t="s">
        <v>196</v>
      </c>
      <c r="AE423" s="15" t="s">
        <v>46</v>
      </c>
      <c r="AF423" s="42" t="str">
        <f t="shared" si="6"/>
        <v>P007</v>
      </c>
    </row>
    <row r="424" spans="1:32" hidden="1" x14ac:dyDescent="0.3">
      <c r="A424" s="12" t="e" cm="1">
        <f t="array" aca="1" ref="A424" ca="1">IF(STAT[[#This Row],[retranca]]="","",       RegxFunc(STAT[[#This Row],[retranca]],  "\w\d{4}\w*_\d")     )</f>
        <v>#NAME?</v>
      </c>
      <c r="B424" s="21" t="s">
        <v>1036</v>
      </c>
      <c r="C424" s="14" t="s">
        <v>72</v>
      </c>
      <c r="D424" s="14" t="s">
        <v>9</v>
      </c>
      <c r="E424" s="14" t="s">
        <v>10</v>
      </c>
      <c r="F424" s="14">
        <v>40</v>
      </c>
      <c r="G424" s="14">
        <v>5</v>
      </c>
      <c r="H424" s="14">
        <v>2</v>
      </c>
      <c r="I424" s="14">
        <v>2</v>
      </c>
      <c r="J424" s="28" t="s">
        <v>55</v>
      </c>
      <c r="K424" s="36"/>
      <c r="L424" s="14"/>
      <c r="M424" s="14"/>
      <c r="N424" s="14"/>
      <c r="O424" s="14"/>
      <c r="P424" s="25" t="s">
        <v>1037</v>
      </c>
      <c r="Q424" s="22"/>
      <c r="R424" s="22"/>
      <c r="S424" s="14">
        <v>57</v>
      </c>
      <c r="T424" s="27">
        <v>45870</v>
      </c>
      <c r="U424" s="27">
        <v>45873</v>
      </c>
      <c r="V424" s="27">
        <v>45875</v>
      </c>
      <c r="W424" s="27">
        <v>45875</v>
      </c>
      <c r="X424" s="27">
        <v>45877</v>
      </c>
      <c r="Y424" s="14" t="s">
        <v>552</v>
      </c>
      <c r="Z424" s="40" t="str">
        <f>IF(STAT[[#This Row],[sigla]]="","",VLOOKUP(STAT[[#This Row],[sigla]],CRÉDITOS_GERAIS[[sigla]:[credito]],2,))</f>
        <v>Rafaela Villela</v>
      </c>
      <c r="AA424" s="14"/>
      <c r="AB424" s="14" t="str">
        <f>STAT[[#This Row],[ilustrador]]</f>
        <v>Rafaela Villela</v>
      </c>
      <c r="AC424" s="14">
        <v>6</v>
      </c>
      <c r="AD424" s="22" t="s">
        <v>1038</v>
      </c>
      <c r="AE424" s="14" t="s">
        <v>87</v>
      </c>
      <c r="AF424" s="42" t="str">
        <f t="shared" si="6"/>
        <v>P007</v>
      </c>
    </row>
    <row r="425" spans="1:32" hidden="1" x14ac:dyDescent="0.3">
      <c r="A425" s="12" t="e" cm="1">
        <f t="array" aca="1" ref="A425" ca="1">IF(STAT[[#This Row],[retranca]]="","",       RegxFunc(STAT[[#This Row],[retranca]],  "\w\d{4}\w*_\d")     )</f>
        <v>#NAME?</v>
      </c>
      <c r="B425" s="21" t="s">
        <v>1039</v>
      </c>
      <c r="C425" s="14" t="s">
        <v>72</v>
      </c>
      <c r="D425" s="14" t="s">
        <v>9</v>
      </c>
      <c r="E425" s="14" t="s">
        <v>10</v>
      </c>
      <c r="F425" s="14">
        <v>42</v>
      </c>
      <c r="G425" s="14">
        <v>5</v>
      </c>
      <c r="H425" s="14">
        <v>2</v>
      </c>
      <c r="I425" s="14">
        <v>2</v>
      </c>
      <c r="J425" s="28" t="s">
        <v>55</v>
      </c>
      <c r="K425" s="36"/>
      <c r="L425" s="14"/>
      <c r="M425" s="14"/>
      <c r="N425" s="14"/>
      <c r="O425" s="14"/>
      <c r="P425" s="25" t="s">
        <v>1040</v>
      </c>
      <c r="Q425" s="22"/>
      <c r="R425" s="22"/>
      <c r="S425" s="14">
        <v>58</v>
      </c>
      <c r="T425" s="27">
        <v>45870</v>
      </c>
      <c r="U425" s="27">
        <v>45870</v>
      </c>
      <c r="V425" s="27"/>
      <c r="W425" s="27"/>
      <c r="X425" s="27">
        <v>45873</v>
      </c>
      <c r="Y425" s="14" t="s">
        <v>43</v>
      </c>
      <c r="Z425" s="40" t="e">
        <f>IF(STAT[[#This Row],[sigla]]="","",VLOOKUP(STAT[[#This Row],[sigla]],CRÉDITOS_GERAIS[[sigla]:[credito]],2,))</f>
        <v>#N/A</v>
      </c>
      <c r="AA425" s="14" t="s">
        <v>90</v>
      </c>
      <c r="AB425" s="14" t="e">
        <f>STAT[[#This Row],[ilustrador]]</f>
        <v>#N/A</v>
      </c>
      <c r="AC425" s="14">
        <v>13</v>
      </c>
      <c r="AD425" s="22" t="s">
        <v>1041</v>
      </c>
      <c r="AE425" s="14" t="s">
        <v>46</v>
      </c>
      <c r="AF425" s="42" t="str">
        <f t="shared" si="6"/>
        <v>P007</v>
      </c>
    </row>
    <row r="426" spans="1:32" ht="57.6" hidden="1" x14ac:dyDescent="0.3">
      <c r="A426" s="12" t="e" cm="1">
        <f t="array" aca="1" ref="A426" ca="1">IF(STAT[[#This Row],[retranca]]="","",       RegxFunc(STAT[[#This Row],[retranca]],  "\w\d{4}\w*_\d")     )</f>
        <v>#NAME?</v>
      </c>
      <c r="B426" s="21" t="s">
        <v>1042</v>
      </c>
      <c r="C426" s="14" t="s">
        <v>72</v>
      </c>
      <c r="D426" s="14" t="s">
        <v>288</v>
      </c>
      <c r="E426" s="14" t="s">
        <v>10</v>
      </c>
      <c r="F426" s="14">
        <v>58</v>
      </c>
      <c r="G426" s="14">
        <v>5</v>
      </c>
      <c r="H426" s="14">
        <v>3</v>
      </c>
      <c r="I426" s="14" t="s">
        <v>296</v>
      </c>
      <c r="J426" s="28" t="s">
        <v>55</v>
      </c>
      <c r="K426" s="36"/>
      <c r="L426" s="14"/>
      <c r="M426" s="14"/>
      <c r="N426" s="14"/>
      <c r="O426" s="14"/>
      <c r="P426" s="25" t="s">
        <v>1043</v>
      </c>
      <c r="Q426" s="22"/>
      <c r="R426" s="22"/>
      <c r="S426" s="14">
        <v>59</v>
      </c>
      <c r="T426" s="27">
        <v>45870</v>
      </c>
      <c r="U426" s="27">
        <v>45870</v>
      </c>
      <c r="V426" s="27"/>
      <c r="W426" s="27"/>
      <c r="X426" s="27">
        <v>45873</v>
      </c>
      <c r="Y426" s="14" t="s">
        <v>207</v>
      </c>
      <c r="Z426" s="40" t="str">
        <f>IF(STAT[[#This Row],[sigla]]="","",VLOOKUP(STAT[[#This Row],[sigla]],CRÉDITOS_GERAIS[[sigla]:[credito]],2,))</f>
        <v>Vinícius Costa</v>
      </c>
      <c r="AA426" s="14"/>
      <c r="AB426" s="14" t="str">
        <f>STAT[[#This Row],[ilustrador]]</f>
        <v>Vinícius Costa</v>
      </c>
      <c r="AC426" s="14">
        <v>8</v>
      </c>
      <c r="AD426" s="22" t="s">
        <v>196</v>
      </c>
      <c r="AE426" s="14" t="s">
        <v>46</v>
      </c>
      <c r="AF426" s="42" t="str">
        <f t="shared" si="6"/>
        <v>P007</v>
      </c>
    </row>
    <row r="427" spans="1:32" ht="57.6" hidden="1" x14ac:dyDescent="0.3">
      <c r="A427" s="12" t="e" cm="1">
        <f t="array" aca="1" ref="A427" ca="1">IF(STAT[[#This Row],[retranca]]="","",       RegxFunc(STAT[[#This Row],[retranca]],  "\w\d{4}\w*_\d")     )</f>
        <v>#NAME?</v>
      </c>
      <c r="B427" s="21" t="s">
        <v>1044</v>
      </c>
      <c r="C427" s="14" t="s">
        <v>72</v>
      </c>
      <c r="D427" s="14" t="s">
        <v>288</v>
      </c>
      <c r="E427" s="14" t="s">
        <v>10</v>
      </c>
      <c r="F427" s="14">
        <v>58</v>
      </c>
      <c r="G427" s="14">
        <v>5</v>
      </c>
      <c r="H427" s="14">
        <v>3</v>
      </c>
      <c r="I427" s="14" t="s">
        <v>296</v>
      </c>
      <c r="J427" s="28" t="s">
        <v>55</v>
      </c>
      <c r="K427" s="36"/>
      <c r="L427" s="14"/>
      <c r="M427" s="14"/>
      <c r="N427" s="14"/>
      <c r="O427" s="14"/>
      <c r="P427" s="25" t="s">
        <v>1045</v>
      </c>
      <c r="Q427" s="22"/>
      <c r="R427" s="22"/>
      <c r="S427" s="14">
        <v>60</v>
      </c>
      <c r="T427" s="27">
        <v>45871</v>
      </c>
      <c r="U427" s="27">
        <v>45870</v>
      </c>
      <c r="V427" s="27"/>
      <c r="W427" s="27"/>
      <c r="X427" s="27">
        <v>45873</v>
      </c>
      <c r="Y427" s="14" t="s">
        <v>207</v>
      </c>
      <c r="Z427" s="40" t="str">
        <f>IF(STAT[[#This Row],[sigla]]="","",VLOOKUP(STAT[[#This Row],[sigla]],CRÉDITOS_GERAIS[[sigla]:[credito]],2,))</f>
        <v>Vinícius Costa</v>
      </c>
      <c r="AA427" s="14"/>
      <c r="AB427" s="14" t="str">
        <f>STAT[[#This Row],[ilustrador]]</f>
        <v>Vinícius Costa</v>
      </c>
      <c r="AC427" s="14">
        <v>8</v>
      </c>
      <c r="AD427" s="22" t="s">
        <v>196</v>
      </c>
      <c r="AE427" s="14" t="s">
        <v>46</v>
      </c>
      <c r="AF427" s="42" t="str">
        <f t="shared" si="6"/>
        <v>P007</v>
      </c>
    </row>
    <row r="428" spans="1:32" hidden="1" x14ac:dyDescent="0.3">
      <c r="A428" s="12" t="e" cm="1">
        <f t="array" aca="1" ref="A428" ca="1">IF(STAT[[#This Row],[retranca]]="","",       RegxFunc(STAT[[#This Row],[retranca]],  "\w\d{4}\w*_\d")     )</f>
        <v>#NAME?</v>
      </c>
      <c r="B428" s="21" t="s">
        <v>1046</v>
      </c>
      <c r="C428" s="14" t="s">
        <v>72</v>
      </c>
      <c r="D428" s="15" t="s">
        <v>9</v>
      </c>
      <c r="E428" s="15" t="s">
        <v>10</v>
      </c>
      <c r="F428" s="14">
        <v>76</v>
      </c>
      <c r="G428" s="15">
        <v>5</v>
      </c>
      <c r="H428" s="14">
        <v>4</v>
      </c>
      <c r="I428" s="14">
        <v>4</v>
      </c>
      <c r="J428" s="17" t="s">
        <v>55</v>
      </c>
      <c r="K428" s="36"/>
      <c r="L428" s="14"/>
      <c r="M428" s="14"/>
      <c r="N428" s="14"/>
      <c r="O428" s="14"/>
      <c r="P428" s="25" t="s">
        <v>1047</v>
      </c>
      <c r="Q428" s="21"/>
      <c r="R428" s="47"/>
      <c r="S428" s="14">
        <v>61</v>
      </c>
      <c r="T428" s="27">
        <v>45873</v>
      </c>
      <c r="U428" s="27">
        <v>45873</v>
      </c>
      <c r="V428" s="27"/>
      <c r="W428" s="27"/>
      <c r="X428" s="27">
        <v>45873</v>
      </c>
      <c r="Y428" s="14" t="s">
        <v>413</v>
      </c>
      <c r="Z428" s="40" t="e">
        <f>IF(STAT[[#This Row],[sigla]]="","",VLOOKUP(STAT[[#This Row],[sigla]],CRÉDITOS_GERAIS[[sigla]:[credito]],2,))</f>
        <v>#N/A</v>
      </c>
      <c r="AA428" s="14" t="s">
        <v>90</v>
      </c>
      <c r="AB428" s="14" t="s">
        <v>1048</v>
      </c>
      <c r="AC428" s="14">
        <v>14</v>
      </c>
      <c r="AD428" s="22" t="s">
        <v>1041</v>
      </c>
      <c r="AE428" s="14" t="s">
        <v>46</v>
      </c>
      <c r="AF428" s="42" t="str">
        <f t="shared" si="6"/>
        <v>P007</v>
      </c>
    </row>
    <row r="429" spans="1:32" hidden="1" x14ac:dyDescent="0.3">
      <c r="A429" s="12" t="e" cm="1">
        <f t="array" aca="1" ref="A429" ca="1">IF(STAT[[#This Row],[retranca]]="","",       RegxFunc(STAT[[#This Row],[retranca]],  "\w\d{4}\w*_\d")     )</f>
        <v>#NAME?</v>
      </c>
      <c r="B429" s="21" t="s">
        <v>1049</v>
      </c>
      <c r="C429" s="14" t="s">
        <v>122</v>
      </c>
      <c r="D429" s="14" t="s">
        <v>532</v>
      </c>
      <c r="E429" s="14" t="s">
        <v>10</v>
      </c>
      <c r="F429" s="14">
        <v>62</v>
      </c>
      <c r="G429" s="14">
        <v>4</v>
      </c>
      <c r="H429" s="14">
        <v>10</v>
      </c>
      <c r="I429" s="14">
        <v>10</v>
      </c>
      <c r="J429" s="28" t="s">
        <v>55</v>
      </c>
      <c r="K429" s="36"/>
      <c r="L429" s="14"/>
      <c r="M429" s="14"/>
      <c r="N429" s="14"/>
      <c r="O429" s="14"/>
      <c r="P429" s="25" t="s">
        <v>1050</v>
      </c>
      <c r="Q429" s="22"/>
      <c r="R429" s="22"/>
      <c r="S429" s="14"/>
      <c r="T429" s="27">
        <v>45873</v>
      </c>
      <c r="U429" s="27"/>
      <c r="V429" s="27"/>
      <c r="W429" s="27"/>
      <c r="X429" s="27">
        <v>45873</v>
      </c>
      <c r="Y429" s="14" t="s">
        <v>413</v>
      </c>
      <c r="Z429" s="40" t="e">
        <f>IF(STAT[[#This Row],[sigla]]="","",VLOOKUP(STAT[[#This Row],[sigla]],CRÉDITOS_GERAIS[[sigla]:[credito]],2,))</f>
        <v>#N/A</v>
      </c>
      <c r="AA429" s="14" t="s">
        <v>44</v>
      </c>
      <c r="AB429" s="14" t="s">
        <v>620</v>
      </c>
      <c r="AC429" s="14">
        <v>13</v>
      </c>
      <c r="AD429" s="22" t="s">
        <v>1051</v>
      </c>
      <c r="AE429" s="14" t="s">
        <v>46</v>
      </c>
      <c r="AF429" s="42" t="str">
        <f t="shared" si="6"/>
        <v>P007</v>
      </c>
    </row>
    <row r="430" spans="1:32" hidden="1" x14ac:dyDescent="0.3">
      <c r="A430" s="12" t="e" cm="1">
        <f t="array" aca="1" ref="A430" ca="1">IF(STAT[[#This Row],[retranca]]="","",       RegxFunc(STAT[[#This Row],[retranca]],  "\w\d{4}\w*_\d")     )</f>
        <v>#NAME?</v>
      </c>
      <c r="B430" s="21" t="s">
        <v>1052</v>
      </c>
      <c r="C430" s="14" t="s">
        <v>122</v>
      </c>
      <c r="D430" s="14" t="s">
        <v>532</v>
      </c>
      <c r="E430" s="14" t="s">
        <v>10</v>
      </c>
      <c r="F430" s="14">
        <v>62</v>
      </c>
      <c r="G430" s="14">
        <v>4</v>
      </c>
      <c r="H430" s="14">
        <v>10</v>
      </c>
      <c r="I430" s="14">
        <v>10</v>
      </c>
      <c r="J430" s="28" t="s">
        <v>55</v>
      </c>
      <c r="K430" s="36"/>
      <c r="L430" s="14"/>
      <c r="M430" s="14"/>
      <c r="N430" s="14"/>
      <c r="O430" s="14"/>
      <c r="P430" s="25" t="s">
        <v>1053</v>
      </c>
      <c r="Q430" s="21"/>
      <c r="R430" s="47"/>
      <c r="S430" s="14"/>
      <c r="T430" s="27">
        <v>45873</v>
      </c>
      <c r="U430" s="27"/>
      <c r="V430" s="27"/>
      <c r="W430" s="27"/>
      <c r="X430" s="27">
        <v>45873</v>
      </c>
      <c r="Y430" s="14" t="s">
        <v>413</v>
      </c>
      <c r="Z430" s="40" t="e">
        <f>IF(STAT[[#This Row],[sigla]]="","",VLOOKUP(STAT[[#This Row],[sigla]],CRÉDITOS_GERAIS[[sigla]:[credito]],2,))</f>
        <v>#N/A</v>
      </c>
      <c r="AA430" s="14" t="s">
        <v>44</v>
      </c>
      <c r="AB430" s="14" t="s">
        <v>620</v>
      </c>
      <c r="AC430" s="14">
        <v>13</v>
      </c>
      <c r="AD430" s="22" t="s">
        <v>1051</v>
      </c>
      <c r="AE430" s="14" t="s">
        <v>46</v>
      </c>
      <c r="AF430" s="42" t="str">
        <f t="shared" si="6"/>
        <v>P007</v>
      </c>
    </row>
    <row r="431" spans="1:32" ht="72" hidden="1" x14ac:dyDescent="0.3">
      <c r="A431" s="12" t="e" cm="1">
        <f t="array" aca="1" ref="A431" ca="1">IF(STAT[[#This Row],[retranca]]="","",       RegxFunc(STAT[[#This Row],[retranca]],  "\w\d{4}\w*_\d")     )</f>
        <v>#NAME?</v>
      </c>
      <c r="B431" s="21" t="s">
        <v>1054</v>
      </c>
      <c r="C431" s="14" t="s">
        <v>72</v>
      </c>
      <c r="D431" s="14" t="s">
        <v>9</v>
      </c>
      <c r="E431" s="14" t="s">
        <v>10</v>
      </c>
      <c r="F431" s="14">
        <v>65</v>
      </c>
      <c r="G431" s="14">
        <v>5</v>
      </c>
      <c r="H431" s="14">
        <v>10</v>
      </c>
      <c r="I431" s="14">
        <v>10</v>
      </c>
      <c r="J431" s="28" t="s">
        <v>55</v>
      </c>
      <c r="K431" s="36"/>
      <c r="L431" s="14"/>
      <c r="M431" s="14"/>
      <c r="N431" s="14"/>
      <c r="O431" s="14"/>
      <c r="P431" s="25" t="s">
        <v>1055</v>
      </c>
      <c r="Q431" s="22"/>
      <c r="R431" s="22"/>
      <c r="S431" s="14">
        <v>62</v>
      </c>
      <c r="T431" s="27">
        <v>45873</v>
      </c>
      <c r="U431" s="27">
        <v>45873</v>
      </c>
      <c r="V431" s="27"/>
      <c r="W431" s="27"/>
      <c r="X431" s="27">
        <v>45874</v>
      </c>
      <c r="Y431" s="14" t="s">
        <v>43</v>
      </c>
      <c r="Z431" s="40" t="e">
        <f>IF(STAT[[#This Row],[sigla]]="","",VLOOKUP(STAT[[#This Row],[sigla]],CRÉDITOS_GERAIS[[sigla]:[credito]],2,))</f>
        <v>#N/A</v>
      </c>
      <c r="AA431" s="14" t="s">
        <v>90</v>
      </c>
      <c r="AB431" s="14" t="e">
        <f>STAT[[#This Row],[ilustrador]]</f>
        <v>#N/A</v>
      </c>
      <c r="AC431" s="14">
        <v>13</v>
      </c>
      <c r="AD431" s="22" t="s">
        <v>1041</v>
      </c>
      <c r="AE431" s="14" t="s">
        <v>46</v>
      </c>
      <c r="AF431" s="42" t="str">
        <f t="shared" si="6"/>
        <v>P007</v>
      </c>
    </row>
    <row r="432" spans="1:32" hidden="1" x14ac:dyDescent="0.3">
      <c r="A432" s="12" t="e" cm="1">
        <f t="array" aca="1" ref="A432" ca="1">IF(STAT[[#This Row],[retranca]]="","",       RegxFunc(STAT[[#This Row],[retranca]],  "\w\d{4}\w*_\d")     )</f>
        <v>#NAME?</v>
      </c>
      <c r="B432" s="21" t="s">
        <v>1056</v>
      </c>
      <c r="C432" s="14" t="s">
        <v>72</v>
      </c>
      <c r="D432" s="15" t="s">
        <v>9</v>
      </c>
      <c r="E432" s="15" t="s">
        <v>10</v>
      </c>
      <c r="F432" s="14">
        <v>67</v>
      </c>
      <c r="G432" s="15">
        <v>5</v>
      </c>
      <c r="H432" s="14">
        <v>10</v>
      </c>
      <c r="I432" s="14">
        <v>10</v>
      </c>
      <c r="J432" s="17" t="s">
        <v>55</v>
      </c>
      <c r="K432" s="36"/>
      <c r="L432" s="14"/>
      <c r="M432" s="14"/>
      <c r="N432" s="14"/>
      <c r="O432" s="14"/>
      <c r="P432" s="25" t="s">
        <v>1057</v>
      </c>
      <c r="Q432" s="21"/>
      <c r="R432" s="22"/>
      <c r="S432" s="14"/>
      <c r="T432" s="27"/>
      <c r="U432" s="27"/>
      <c r="V432" s="27"/>
      <c r="W432" s="27"/>
      <c r="X432" s="27"/>
      <c r="Y432" s="14" t="s">
        <v>43</v>
      </c>
      <c r="Z432" s="40" t="e">
        <f>IF(STAT[[#This Row],[sigla]]="","",VLOOKUP(STAT[[#This Row],[sigla]],CRÉDITOS_GERAIS[[sigla]:[credito]],2,))</f>
        <v>#N/A</v>
      </c>
      <c r="AA432" s="14"/>
      <c r="AB432" s="14" t="e">
        <f>STAT[[#This Row],[ilustrador]]</f>
        <v>#N/A</v>
      </c>
      <c r="AC432" s="14"/>
      <c r="AD432" s="22"/>
      <c r="AE432" s="15"/>
      <c r="AF432" s="42" t="str">
        <f t="shared" si="6"/>
        <v>P007</v>
      </c>
    </row>
    <row r="433" spans="1:32" ht="100.8" hidden="1" x14ac:dyDescent="0.3">
      <c r="A433" s="12" t="e" cm="1">
        <f t="array" aca="1" ref="A433" ca="1">IF(STAT[[#This Row],[retranca]]="","",       RegxFunc(STAT[[#This Row],[retranca]],  "\w\d{4}\w*_\d")     )</f>
        <v>#NAME?</v>
      </c>
      <c r="B433" s="21" t="s">
        <v>1058</v>
      </c>
      <c r="C433" s="14" t="s">
        <v>122</v>
      </c>
      <c r="D433" s="15" t="s">
        <v>9</v>
      </c>
      <c r="E433" s="15" t="s">
        <v>10</v>
      </c>
      <c r="F433" s="14">
        <v>70</v>
      </c>
      <c r="G433" s="15">
        <v>5</v>
      </c>
      <c r="H433" s="14">
        <v>10</v>
      </c>
      <c r="I433" s="14">
        <v>10</v>
      </c>
      <c r="J433" s="17" t="s">
        <v>55</v>
      </c>
      <c r="K433" s="36"/>
      <c r="L433" s="14"/>
      <c r="M433" s="14"/>
      <c r="N433" s="14"/>
      <c r="O433" s="14"/>
      <c r="P433" s="25" t="s">
        <v>1059</v>
      </c>
      <c r="Q433" s="21"/>
      <c r="R433" s="47"/>
      <c r="S433" s="14">
        <v>62</v>
      </c>
      <c r="T433" s="27">
        <v>45873</v>
      </c>
      <c r="U433" s="27">
        <v>45875</v>
      </c>
      <c r="V433" s="27">
        <v>45880</v>
      </c>
      <c r="W433" s="27">
        <v>45880</v>
      </c>
      <c r="X433" s="27">
        <v>45884</v>
      </c>
      <c r="Y433" s="14" t="s">
        <v>99</v>
      </c>
      <c r="Z433" s="40" t="str">
        <f>IF(STAT[[#This Row],[sigla]]="","",VLOOKUP(STAT[[#This Row],[sigla]],CRÉDITOS_GERAIS[[sigla]:[credito]],2,))</f>
        <v>Débora Mini</v>
      </c>
      <c r="AA433" s="14"/>
      <c r="AB433" s="14" t="str">
        <f>STAT[[#This Row],[ilustrador]]</f>
        <v>Débora Mini</v>
      </c>
      <c r="AC433" s="14">
        <v>4</v>
      </c>
      <c r="AD433" s="22" t="s">
        <v>1060</v>
      </c>
      <c r="AE433" s="14" t="s">
        <v>87</v>
      </c>
      <c r="AF433" s="42" t="str">
        <f t="shared" si="6"/>
        <v>P007</v>
      </c>
    </row>
    <row r="434" spans="1:32" ht="43.2" hidden="1" x14ac:dyDescent="0.3">
      <c r="A434" s="12" t="e" cm="1">
        <f t="array" aca="1" ref="A434" ca="1">IF(STAT[[#This Row],[retranca]]="","",       RegxFunc(STAT[[#This Row],[retranca]],  "\w\d{4}\w*_\d")     )</f>
        <v>#NAME?</v>
      </c>
      <c r="B434" s="21" t="s">
        <v>1061</v>
      </c>
      <c r="C434" s="14" t="s">
        <v>122</v>
      </c>
      <c r="D434" s="14" t="s">
        <v>9</v>
      </c>
      <c r="E434" s="14" t="s">
        <v>10</v>
      </c>
      <c r="F434" s="14">
        <v>71</v>
      </c>
      <c r="G434" s="15">
        <v>5</v>
      </c>
      <c r="H434" s="14">
        <v>10</v>
      </c>
      <c r="I434" s="14">
        <v>10</v>
      </c>
      <c r="J434" s="17" t="s">
        <v>55</v>
      </c>
      <c r="K434" s="36"/>
      <c r="L434" s="14"/>
      <c r="M434" s="14"/>
      <c r="N434" s="14"/>
      <c r="O434" s="14"/>
      <c r="P434" s="25" t="s">
        <v>1062</v>
      </c>
      <c r="Q434" s="22"/>
      <c r="R434" s="22"/>
      <c r="S434" s="14">
        <v>62</v>
      </c>
      <c r="T434" s="27">
        <v>45873</v>
      </c>
      <c r="U434" s="27">
        <v>45875</v>
      </c>
      <c r="V434" s="27">
        <v>45880</v>
      </c>
      <c r="W434" s="27">
        <v>45880</v>
      </c>
      <c r="X434" s="27">
        <v>45884</v>
      </c>
      <c r="Y434" s="14" t="s">
        <v>99</v>
      </c>
      <c r="Z434" s="40" t="str">
        <f>IF(STAT[[#This Row],[sigla]]="","",VLOOKUP(STAT[[#This Row],[sigla]],CRÉDITOS_GERAIS[[sigla]:[credito]],2,))</f>
        <v>Débora Mini</v>
      </c>
      <c r="AA434" s="14"/>
      <c r="AB434" s="14" t="str">
        <f>STAT[[#This Row],[ilustrador]]</f>
        <v>Débora Mini</v>
      </c>
      <c r="AC434" s="14">
        <v>4</v>
      </c>
      <c r="AD434" s="22" t="s">
        <v>1060</v>
      </c>
      <c r="AE434" s="14" t="s">
        <v>87</v>
      </c>
      <c r="AF434" s="42" t="str">
        <f t="shared" si="6"/>
        <v>P007</v>
      </c>
    </row>
    <row r="435" spans="1:32" ht="57.6" hidden="1" x14ac:dyDescent="0.3">
      <c r="A435" s="12" t="e" cm="1">
        <f t="array" aca="1" ref="A435" ca="1">IF(STAT[[#This Row],[retranca]]="","",       RegxFunc(STAT[[#This Row],[retranca]],  "\w\d{4}\w*_\d")     )</f>
        <v>#NAME?</v>
      </c>
      <c r="B435" s="21" t="s">
        <v>1063</v>
      </c>
      <c r="C435" s="14" t="s">
        <v>122</v>
      </c>
      <c r="D435" s="14" t="s">
        <v>288</v>
      </c>
      <c r="E435" s="14" t="s">
        <v>10</v>
      </c>
      <c r="F435" s="14">
        <v>72</v>
      </c>
      <c r="G435" s="15">
        <v>5</v>
      </c>
      <c r="H435" s="14">
        <v>10</v>
      </c>
      <c r="I435" s="14">
        <v>10</v>
      </c>
      <c r="J435" s="17" t="s">
        <v>55</v>
      </c>
      <c r="K435" s="36"/>
      <c r="L435" s="14"/>
      <c r="M435" s="14"/>
      <c r="N435" s="14"/>
      <c r="O435" s="14"/>
      <c r="P435" s="25" t="s">
        <v>1064</v>
      </c>
      <c r="Q435" s="22"/>
      <c r="R435" s="22"/>
      <c r="S435" s="14">
        <v>62</v>
      </c>
      <c r="T435" s="27">
        <v>45873</v>
      </c>
      <c r="U435" s="27">
        <v>45873</v>
      </c>
      <c r="V435" s="27"/>
      <c r="W435" s="27"/>
      <c r="X435" s="27">
        <v>45877</v>
      </c>
      <c r="Y435" s="14" t="s">
        <v>207</v>
      </c>
      <c r="Z435" s="40" t="str">
        <f>IF(STAT[[#This Row],[sigla]]="","",VLOOKUP(STAT[[#This Row],[sigla]],CRÉDITOS_GERAIS[[sigla]:[credito]],2,))</f>
        <v>Vinícius Costa</v>
      </c>
      <c r="AA435" s="14"/>
      <c r="AB435" s="14" t="str">
        <f>STAT[[#This Row],[ilustrador]]</f>
        <v>Vinícius Costa</v>
      </c>
      <c r="AC435" s="14">
        <v>8</v>
      </c>
      <c r="AD435" s="22" t="s">
        <v>196</v>
      </c>
      <c r="AE435" s="14" t="s">
        <v>46</v>
      </c>
      <c r="AF435" s="42" t="str">
        <f t="shared" si="6"/>
        <v>P007</v>
      </c>
    </row>
    <row r="436" spans="1:32" ht="57.6" hidden="1" x14ac:dyDescent="0.3">
      <c r="A436" s="12" t="e" cm="1">
        <f t="array" aca="1" ref="A436" ca="1">IF(STAT[[#This Row],[retranca]]="","",       RegxFunc(STAT[[#This Row],[retranca]],  "\w\d{4}\w*_\d")     )</f>
        <v>#NAME?</v>
      </c>
      <c r="B436" s="21" t="s">
        <v>1065</v>
      </c>
      <c r="C436" s="14" t="s">
        <v>72</v>
      </c>
      <c r="D436" s="14" t="s">
        <v>9</v>
      </c>
      <c r="E436" s="14" t="s">
        <v>10</v>
      </c>
      <c r="F436" s="14">
        <v>74</v>
      </c>
      <c r="G436" s="15">
        <v>5</v>
      </c>
      <c r="H436" s="14">
        <v>10</v>
      </c>
      <c r="I436" s="14">
        <v>10</v>
      </c>
      <c r="J436" s="17" t="s">
        <v>55</v>
      </c>
      <c r="K436" s="36"/>
      <c r="L436" s="14"/>
      <c r="M436" s="14"/>
      <c r="N436" s="14"/>
      <c r="O436" s="14"/>
      <c r="P436" s="25" t="s">
        <v>1066</v>
      </c>
      <c r="Q436" s="22"/>
      <c r="R436" s="22"/>
      <c r="S436" s="14">
        <v>62</v>
      </c>
      <c r="T436" s="27">
        <v>45873</v>
      </c>
      <c r="U436" s="27">
        <v>45873</v>
      </c>
      <c r="V436" s="27"/>
      <c r="W436" s="27"/>
      <c r="X436" s="27">
        <v>45874</v>
      </c>
      <c r="Y436" s="14" t="s">
        <v>43</v>
      </c>
      <c r="Z436" s="40" t="e">
        <f>IF(STAT[[#This Row],[sigla]]="","",VLOOKUP(STAT[[#This Row],[sigla]],CRÉDITOS_GERAIS[[sigla]:[credito]],2,))</f>
        <v>#N/A</v>
      </c>
      <c r="AA436" s="14" t="s">
        <v>90</v>
      </c>
      <c r="AB436" s="14" t="e">
        <f>STAT[[#This Row],[ilustrador]]</f>
        <v>#N/A</v>
      </c>
      <c r="AC436" s="14">
        <v>13</v>
      </c>
      <c r="AD436" s="22" t="s">
        <v>1041</v>
      </c>
      <c r="AE436" s="14" t="s">
        <v>46</v>
      </c>
      <c r="AF436" s="42" t="str">
        <f t="shared" si="6"/>
        <v>P007</v>
      </c>
    </row>
    <row r="437" spans="1:32" ht="57.6" hidden="1" x14ac:dyDescent="0.3">
      <c r="A437" s="12" t="e" cm="1">
        <f t="array" aca="1" ref="A437" ca="1">IF(STAT[[#This Row],[retranca]]="","",       RegxFunc(STAT[[#This Row],[retranca]],  "\w\d{4}\w*_\d")     )</f>
        <v>#NAME?</v>
      </c>
      <c r="B437" s="21" t="s">
        <v>1067</v>
      </c>
      <c r="C437" s="14" t="s">
        <v>72</v>
      </c>
      <c r="D437" s="15" t="s">
        <v>9</v>
      </c>
      <c r="E437" s="15" t="s">
        <v>10</v>
      </c>
      <c r="F437" s="14">
        <v>77</v>
      </c>
      <c r="G437" s="15">
        <v>5</v>
      </c>
      <c r="H437" s="14">
        <v>10</v>
      </c>
      <c r="I437" s="14">
        <v>10</v>
      </c>
      <c r="J437" s="17" t="s">
        <v>55</v>
      </c>
      <c r="K437" s="36"/>
      <c r="L437" s="14"/>
      <c r="M437" s="14"/>
      <c r="N437" s="14"/>
      <c r="O437" s="14"/>
      <c r="P437" s="25" t="s">
        <v>1068</v>
      </c>
      <c r="Q437" s="21"/>
      <c r="R437" s="22"/>
      <c r="S437" s="14">
        <v>62</v>
      </c>
      <c r="T437" s="27">
        <v>45873</v>
      </c>
      <c r="U437" s="27">
        <v>45873</v>
      </c>
      <c r="V437" s="27"/>
      <c r="W437" s="27"/>
      <c r="X437" s="27">
        <v>45874</v>
      </c>
      <c r="Y437" s="14" t="s">
        <v>43</v>
      </c>
      <c r="Z437" s="40" t="e">
        <f>IF(STAT[[#This Row],[sigla]]="","",VLOOKUP(STAT[[#This Row],[sigla]],CRÉDITOS_GERAIS[[sigla]:[credito]],2,))</f>
        <v>#N/A</v>
      </c>
      <c r="AA437" s="14" t="s">
        <v>90</v>
      </c>
      <c r="AB437" s="14" t="e">
        <f>STAT[[#This Row],[ilustrador]]</f>
        <v>#N/A</v>
      </c>
      <c r="AC437" s="14">
        <v>13</v>
      </c>
      <c r="AD437" s="22" t="s">
        <v>1041</v>
      </c>
      <c r="AE437" s="14" t="s">
        <v>46</v>
      </c>
      <c r="AF437" s="42" t="str">
        <f t="shared" si="6"/>
        <v>P007</v>
      </c>
    </row>
    <row r="438" spans="1:32" ht="57.6" hidden="1" x14ac:dyDescent="0.3">
      <c r="A438" s="12" t="e" cm="1">
        <f t="array" aca="1" ref="A438" ca="1">IF(STAT[[#This Row],[retranca]]="","",       RegxFunc(STAT[[#This Row],[retranca]],  "\w\d{4}\w*_\d")     )</f>
        <v>#NAME?</v>
      </c>
      <c r="B438" s="21" t="s">
        <v>1069</v>
      </c>
      <c r="C438" s="14" t="s">
        <v>8</v>
      </c>
      <c r="D438" s="15" t="s">
        <v>9</v>
      </c>
      <c r="E438" s="15" t="s">
        <v>10</v>
      </c>
      <c r="F438" s="14">
        <v>78</v>
      </c>
      <c r="G438" s="15">
        <v>5</v>
      </c>
      <c r="H438" s="14">
        <v>10</v>
      </c>
      <c r="I438" s="14">
        <v>10</v>
      </c>
      <c r="J438" s="17" t="s">
        <v>55</v>
      </c>
      <c r="K438" s="36"/>
      <c r="L438" s="14"/>
      <c r="M438" s="14"/>
      <c r="N438" s="14"/>
      <c r="O438" s="14"/>
      <c r="P438" s="25" t="s">
        <v>1070</v>
      </c>
      <c r="Q438" s="21"/>
      <c r="R438" s="22" t="s">
        <v>937</v>
      </c>
      <c r="S438" s="14">
        <v>62</v>
      </c>
      <c r="T438" s="27">
        <v>45873</v>
      </c>
      <c r="U438" s="27"/>
      <c r="V438" s="27"/>
      <c r="W438" s="27"/>
      <c r="X438" s="27"/>
      <c r="Y438" s="14"/>
      <c r="Z438" s="40" t="str">
        <f>IF(STAT[[#This Row],[sigla]]="","",VLOOKUP(STAT[[#This Row],[sigla]],CRÉDITOS_GERAIS[[sigla]:[credito]],2,))</f>
        <v/>
      </c>
      <c r="AA438" s="14"/>
      <c r="AB438" s="14" t="str">
        <f>STAT[[#This Row],[ilustrador]]</f>
        <v/>
      </c>
      <c r="AC438" s="14"/>
      <c r="AD438" s="22"/>
      <c r="AE438" s="15"/>
      <c r="AF438" s="42" t="str">
        <f t="shared" si="6"/>
        <v>P007</v>
      </c>
    </row>
    <row r="439" spans="1:32" ht="115.2" hidden="1" x14ac:dyDescent="0.3">
      <c r="A439" s="12" t="e" cm="1">
        <f t="array" aca="1" ref="A439" ca="1">IF(STAT[[#This Row],[retranca]]="","",       RegxFunc(STAT[[#This Row],[retranca]],  "\w\d{4}\w*_\d")     )</f>
        <v>#NAME?</v>
      </c>
      <c r="B439" s="21" t="s">
        <v>1071</v>
      </c>
      <c r="C439" s="14" t="s">
        <v>72</v>
      </c>
      <c r="D439" s="15" t="s">
        <v>9</v>
      </c>
      <c r="E439" s="15" t="s">
        <v>10</v>
      </c>
      <c r="F439" s="14">
        <v>2</v>
      </c>
      <c r="G439" s="15">
        <v>5</v>
      </c>
      <c r="H439" s="14">
        <v>10</v>
      </c>
      <c r="I439" s="14" t="s">
        <v>112</v>
      </c>
      <c r="J439" s="17" t="s">
        <v>55</v>
      </c>
      <c r="K439" s="36"/>
      <c r="L439" s="14"/>
      <c r="M439" s="14"/>
      <c r="N439" s="14"/>
      <c r="O439" s="14"/>
      <c r="P439" s="25" t="s">
        <v>1072</v>
      </c>
      <c r="Q439" s="21"/>
      <c r="R439" s="22"/>
      <c r="S439" s="14">
        <v>62</v>
      </c>
      <c r="T439" s="27">
        <v>45873</v>
      </c>
      <c r="U439" s="27">
        <v>45873</v>
      </c>
      <c r="V439" s="27"/>
      <c r="W439" s="27"/>
      <c r="X439" s="27">
        <v>45877</v>
      </c>
      <c r="Y439" s="14" t="s">
        <v>207</v>
      </c>
      <c r="Z439" s="40" t="str">
        <f>IF(STAT[[#This Row],[sigla]]="","",VLOOKUP(STAT[[#This Row],[sigla]],CRÉDITOS_GERAIS[[sigla]:[credito]],2,))</f>
        <v>Vinícius Costa</v>
      </c>
      <c r="AA439" s="14"/>
      <c r="AB439" s="14" t="str">
        <f>STAT[[#This Row],[ilustrador]]</f>
        <v>Vinícius Costa</v>
      </c>
      <c r="AC439" s="14">
        <v>8</v>
      </c>
      <c r="AD439" s="22" t="s">
        <v>196</v>
      </c>
      <c r="AE439" s="14" t="s">
        <v>46</v>
      </c>
      <c r="AF439" s="42" t="str">
        <f t="shared" si="6"/>
        <v>P007</v>
      </c>
    </row>
    <row r="440" spans="1:32" ht="43.2" hidden="1" x14ac:dyDescent="0.3">
      <c r="A440" s="12" t="e" cm="1">
        <f t="array" aca="1" ref="A440" ca="1">IF(STAT[[#This Row],[retranca]]="","",       RegxFunc(STAT[[#This Row],[retranca]],  "\w\d{4}\w*_\d")     )</f>
        <v>#NAME?</v>
      </c>
      <c r="B440" s="21" t="s">
        <v>1073</v>
      </c>
      <c r="C440" s="14" t="s">
        <v>122</v>
      </c>
      <c r="D440" s="15" t="s">
        <v>532</v>
      </c>
      <c r="E440" s="15" t="s">
        <v>10</v>
      </c>
      <c r="F440" s="14">
        <v>72</v>
      </c>
      <c r="G440" s="15">
        <v>5</v>
      </c>
      <c r="H440" s="14">
        <v>10</v>
      </c>
      <c r="I440" s="14">
        <v>10</v>
      </c>
      <c r="J440" s="17" t="s">
        <v>55</v>
      </c>
      <c r="K440" s="36"/>
      <c r="L440" s="14"/>
      <c r="M440" s="14"/>
      <c r="N440" s="14"/>
      <c r="O440" s="14"/>
      <c r="P440" s="25" t="s">
        <v>1074</v>
      </c>
      <c r="Q440" s="21"/>
      <c r="R440" s="22"/>
      <c r="S440" s="14">
        <v>62</v>
      </c>
      <c r="T440" s="27">
        <v>45873</v>
      </c>
      <c r="U440" s="27">
        <v>45873</v>
      </c>
      <c r="V440" s="27"/>
      <c r="W440" s="27"/>
      <c r="X440" s="27">
        <v>45877</v>
      </c>
      <c r="Y440" s="14" t="s">
        <v>207</v>
      </c>
      <c r="Z440" s="40" t="str">
        <f>IF(STAT[[#This Row],[sigla]]="","",VLOOKUP(STAT[[#This Row],[sigla]],CRÉDITOS_GERAIS[[sigla]:[credito]],2,))</f>
        <v>Vinícius Costa</v>
      </c>
      <c r="AA440" s="14"/>
      <c r="AB440" s="14" t="str">
        <f>STAT[[#This Row],[ilustrador]]</f>
        <v>Vinícius Costa</v>
      </c>
      <c r="AC440" s="14">
        <v>8</v>
      </c>
      <c r="AD440" s="22" t="s">
        <v>196</v>
      </c>
      <c r="AE440" s="14" t="s">
        <v>46</v>
      </c>
      <c r="AF440" s="42" t="str">
        <f t="shared" si="6"/>
        <v>P007</v>
      </c>
    </row>
    <row r="441" spans="1:32" ht="43.2" hidden="1" x14ac:dyDescent="0.3">
      <c r="A441" s="12" t="e" cm="1">
        <f t="array" aca="1" ref="A441" ca="1">IF(STAT[[#This Row],[retranca]]="","",       RegxFunc(STAT[[#This Row],[retranca]],  "\w\d{4}\w*_\d")     )</f>
        <v>#NAME?</v>
      </c>
      <c r="B441" s="21" t="s">
        <v>1075</v>
      </c>
      <c r="C441" s="14" t="s">
        <v>72</v>
      </c>
      <c r="D441" s="15" t="s">
        <v>9</v>
      </c>
      <c r="E441" s="15" t="s">
        <v>10</v>
      </c>
      <c r="F441" s="14">
        <v>6</v>
      </c>
      <c r="G441" s="15">
        <v>5</v>
      </c>
      <c r="H441" s="14">
        <v>0</v>
      </c>
      <c r="I441" s="14" t="s">
        <v>112</v>
      </c>
      <c r="J441" s="17" t="s">
        <v>55</v>
      </c>
      <c r="K441" s="36"/>
      <c r="L441" s="14"/>
      <c r="M441" s="14"/>
      <c r="N441" s="14"/>
      <c r="O441" s="14"/>
      <c r="P441" s="25" t="s">
        <v>1076</v>
      </c>
      <c r="Q441" s="21"/>
      <c r="R441" s="22"/>
      <c r="S441" s="14">
        <v>63</v>
      </c>
      <c r="T441" s="27">
        <v>45873</v>
      </c>
      <c r="U441" s="27">
        <v>45875</v>
      </c>
      <c r="V441" s="27"/>
      <c r="W441" s="27"/>
      <c r="X441" s="27">
        <v>45875</v>
      </c>
      <c r="Y441" s="14" t="s">
        <v>94</v>
      </c>
      <c r="Z441" s="40" t="str">
        <f>IF(STAT[[#This Row],[sigla]]="","",VLOOKUP(STAT[[#This Row],[sigla]],CRÉDITOS_GERAIS[[sigla]:[credito]],2,))</f>
        <v>Thais Castro</v>
      </c>
      <c r="AA441" s="14" t="s">
        <v>609</v>
      </c>
      <c r="AB441" s="14" t="str">
        <f>STAT[[#This Row],[ilustrador]]</f>
        <v>Thais Castro</v>
      </c>
      <c r="AC441" s="14">
        <v>13</v>
      </c>
      <c r="AD441" s="22" t="s">
        <v>1077</v>
      </c>
      <c r="AE441" s="14" t="s">
        <v>46</v>
      </c>
      <c r="AF441" s="42" t="str">
        <f t="shared" si="6"/>
        <v>P007</v>
      </c>
    </row>
    <row r="442" spans="1:32" ht="129.6" hidden="1" x14ac:dyDescent="0.3">
      <c r="A442" s="12" t="e" cm="1">
        <f t="array" aca="1" ref="A442" ca="1">IF(STAT[[#This Row],[retranca]]="","",       RegxFunc(STAT[[#This Row],[retranca]],  "\w\d{4}\w*_\d")     )</f>
        <v>#NAME?</v>
      </c>
      <c r="B442" s="21" t="s">
        <v>1078</v>
      </c>
      <c r="C442" s="14" t="s">
        <v>72</v>
      </c>
      <c r="D442" s="15" t="s">
        <v>9</v>
      </c>
      <c r="E442" s="15" t="s">
        <v>10</v>
      </c>
      <c r="F442" s="14">
        <v>8</v>
      </c>
      <c r="G442" s="15">
        <v>5</v>
      </c>
      <c r="H442" s="14">
        <v>0</v>
      </c>
      <c r="I442" s="14" t="s">
        <v>112</v>
      </c>
      <c r="J442" s="17" t="s">
        <v>55</v>
      </c>
      <c r="K442" s="36"/>
      <c r="L442" s="14"/>
      <c r="M442" s="14"/>
      <c r="N442" s="14"/>
      <c r="O442" s="14"/>
      <c r="P442" s="25" t="s">
        <v>1079</v>
      </c>
      <c r="Q442" s="21"/>
      <c r="R442" s="22"/>
      <c r="S442" s="14">
        <v>63</v>
      </c>
      <c r="T442" s="27">
        <v>45873</v>
      </c>
      <c r="U442" s="27">
        <v>45875</v>
      </c>
      <c r="V442" s="27"/>
      <c r="W442" s="27"/>
      <c r="X442" s="27">
        <v>45875</v>
      </c>
      <c r="Y442" s="14" t="s">
        <v>741</v>
      </c>
      <c r="Z442" s="40" t="str">
        <f>IF(STAT[[#This Row],[sigla]]="","",VLOOKUP(STAT[[#This Row],[sigla]],CRÉDITOS_GERAIS[[sigla]:[credito]],2,))</f>
        <v>Felipe Grigoli</v>
      </c>
      <c r="AA442" s="14"/>
      <c r="AB442" s="14" t="str">
        <f>STAT[[#This Row],[ilustrador]]</f>
        <v>Felipe Grigoli</v>
      </c>
      <c r="AC442" s="14">
        <v>5</v>
      </c>
      <c r="AD442" s="22" t="s">
        <v>653</v>
      </c>
      <c r="AE442" s="14" t="s">
        <v>46</v>
      </c>
      <c r="AF442" s="42" t="str">
        <f t="shared" si="6"/>
        <v>P007</v>
      </c>
    </row>
    <row r="443" spans="1:32" ht="28.8" hidden="1" x14ac:dyDescent="0.3">
      <c r="A443" s="12" t="e" cm="1">
        <f t="array" aca="1" ref="A443" ca="1">IF(STAT[[#This Row],[retranca]]="","",       RegxFunc(STAT[[#This Row],[retranca]],  "\w\d{4}\w*_\d")     )</f>
        <v>#NAME?</v>
      </c>
      <c r="B443" s="21" t="s">
        <v>1080</v>
      </c>
      <c r="C443" s="14" t="s">
        <v>72</v>
      </c>
      <c r="D443" s="15" t="s">
        <v>532</v>
      </c>
      <c r="E443" s="15" t="s">
        <v>10</v>
      </c>
      <c r="F443" s="14">
        <v>2</v>
      </c>
      <c r="G443" s="15">
        <v>5</v>
      </c>
      <c r="H443" s="14">
        <v>0</v>
      </c>
      <c r="I443" s="14" t="s">
        <v>112</v>
      </c>
      <c r="J443" s="17" t="s">
        <v>18</v>
      </c>
      <c r="K443" s="36"/>
      <c r="L443" s="14"/>
      <c r="M443" s="14"/>
      <c r="N443" s="14"/>
      <c r="O443" s="14"/>
      <c r="P443" s="25" t="s">
        <v>1081</v>
      </c>
      <c r="Q443" s="21"/>
      <c r="R443" s="22"/>
      <c r="S443" s="14">
        <v>63</v>
      </c>
      <c r="T443" s="27">
        <v>45873</v>
      </c>
      <c r="U443" s="27">
        <v>45875</v>
      </c>
      <c r="V443" s="27"/>
      <c r="W443" s="27"/>
      <c r="X443" s="27">
        <v>45875</v>
      </c>
      <c r="Y443" s="14" t="s">
        <v>413</v>
      </c>
      <c r="Z443" s="40" t="e">
        <f>IF(STAT[[#This Row],[sigla]]="","",VLOOKUP(STAT[[#This Row],[sigla]],CRÉDITOS_GERAIS[[sigla]:[credito]],2,))</f>
        <v>#N/A</v>
      </c>
      <c r="AA443" s="14"/>
      <c r="AB443" s="14" t="s">
        <v>1082</v>
      </c>
      <c r="AC443" s="14">
        <v>13</v>
      </c>
      <c r="AD443" s="22" t="s">
        <v>653</v>
      </c>
      <c r="AE443" s="14" t="s">
        <v>46</v>
      </c>
      <c r="AF443" s="42" t="str">
        <f t="shared" si="6"/>
        <v>P007</v>
      </c>
    </row>
    <row r="444" spans="1:32" ht="28.8" hidden="1" x14ac:dyDescent="0.3">
      <c r="A444" s="12" t="e" cm="1">
        <f t="array" aca="1" ref="A444" ca="1">IF(STAT[[#This Row],[retranca]]="","",       RegxFunc(STAT[[#This Row],[retranca]],  "\w\d{4}\w*_\d")     )</f>
        <v>#NAME?</v>
      </c>
      <c r="B444" s="21" t="s">
        <v>1083</v>
      </c>
      <c r="C444" s="14" t="s">
        <v>1084</v>
      </c>
      <c r="D444" s="15" t="s">
        <v>9</v>
      </c>
      <c r="E444" s="15" t="s">
        <v>10</v>
      </c>
      <c r="F444" s="14">
        <v>86</v>
      </c>
      <c r="G444" s="15">
        <v>5</v>
      </c>
      <c r="H444" s="14">
        <v>11</v>
      </c>
      <c r="I444" s="14">
        <v>11</v>
      </c>
      <c r="J444" s="17" t="s">
        <v>55</v>
      </c>
      <c r="K444" s="36"/>
      <c r="L444" s="14"/>
      <c r="M444" s="14"/>
      <c r="N444" s="14"/>
      <c r="O444" s="14"/>
      <c r="P444" s="25" t="s">
        <v>1085</v>
      </c>
      <c r="Q444" s="21"/>
      <c r="R444" s="22"/>
      <c r="S444" s="14">
        <v>64</v>
      </c>
      <c r="T444" s="27">
        <v>45874</v>
      </c>
      <c r="U444" s="27">
        <v>45876</v>
      </c>
      <c r="V444" s="27">
        <v>45880</v>
      </c>
      <c r="W444" s="27">
        <v>45881</v>
      </c>
      <c r="X444" s="27">
        <v>45882</v>
      </c>
      <c r="Y444" s="14" t="s">
        <v>915</v>
      </c>
      <c r="Z444" s="40" t="str">
        <f>IF(STAT[[#This Row],[sigla]]="","",VLOOKUP(STAT[[#This Row],[sigla]],CRÉDITOS_GERAIS[[sigla]:[credito]],2,))</f>
        <v>Isadora Zeferino</v>
      </c>
      <c r="AA444" s="14"/>
      <c r="AB444" s="14" t="str">
        <f>STAT[[#This Row],[ilustrador]]</f>
        <v>Isadora Zeferino</v>
      </c>
      <c r="AC444" s="14">
        <v>4</v>
      </c>
      <c r="AD444" s="22" t="s">
        <v>1033</v>
      </c>
      <c r="AE444" s="14" t="s">
        <v>87</v>
      </c>
      <c r="AF444" s="42" t="str">
        <f t="shared" si="6"/>
        <v>P007</v>
      </c>
    </row>
    <row r="445" spans="1:32" hidden="1" x14ac:dyDescent="0.3">
      <c r="A445" s="12" t="e" cm="1">
        <f t="array" aca="1" ref="A445" ca="1">IF(STAT[[#This Row],[retranca]]="","",       RegxFunc(STAT[[#This Row],[retranca]],  "\w\d{4}\w*_\d")     )</f>
        <v>#NAME?</v>
      </c>
      <c r="B445" s="21" t="s">
        <v>1086</v>
      </c>
      <c r="C445" s="14" t="s">
        <v>122</v>
      </c>
      <c r="D445" s="15" t="s">
        <v>9</v>
      </c>
      <c r="E445" s="15" t="s">
        <v>10</v>
      </c>
      <c r="F445" s="14">
        <v>88</v>
      </c>
      <c r="G445" s="15">
        <v>5</v>
      </c>
      <c r="H445" s="14">
        <v>11</v>
      </c>
      <c r="I445" s="14">
        <v>11</v>
      </c>
      <c r="J445" s="17" t="s">
        <v>55</v>
      </c>
      <c r="K445" s="36"/>
      <c r="L445" s="14"/>
      <c r="M445" s="14"/>
      <c r="N445" s="14"/>
      <c r="O445" s="14"/>
      <c r="P445" s="25" t="s">
        <v>1087</v>
      </c>
      <c r="Q445" s="21"/>
      <c r="R445" s="22"/>
      <c r="S445" s="14">
        <v>64</v>
      </c>
      <c r="T445" s="27">
        <v>45874</v>
      </c>
      <c r="U445" s="27">
        <v>45876</v>
      </c>
      <c r="V445" s="27">
        <v>45880</v>
      </c>
      <c r="W445" s="27">
        <v>45881</v>
      </c>
      <c r="X445" s="27">
        <v>45882</v>
      </c>
      <c r="Y445" s="14" t="s">
        <v>915</v>
      </c>
      <c r="Z445" s="40" t="str">
        <f>IF(STAT[[#This Row],[sigla]]="","",VLOOKUP(STAT[[#This Row],[sigla]],CRÉDITOS_GERAIS[[sigla]:[credito]],2,))</f>
        <v>Isadora Zeferino</v>
      </c>
      <c r="AA445" s="14"/>
      <c r="AB445" s="14" t="str">
        <f>STAT[[#This Row],[ilustrador]]</f>
        <v>Isadora Zeferino</v>
      </c>
      <c r="AC445" s="14">
        <v>4</v>
      </c>
      <c r="AD445" s="22" t="s">
        <v>1033</v>
      </c>
      <c r="AE445" s="14" t="s">
        <v>87</v>
      </c>
      <c r="AF445" s="42" t="str">
        <f t="shared" si="6"/>
        <v>P007</v>
      </c>
    </row>
    <row r="446" spans="1:32" hidden="1" x14ac:dyDescent="0.3">
      <c r="A446" s="12" t="e" cm="1">
        <f t="array" aca="1" ref="A446" ca="1">IF(STAT[[#This Row],[retranca]]="","",       RegxFunc(STAT[[#This Row],[retranca]],  "\w\d{4}\w*_\d")     )</f>
        <v>#NAME?</v>
      </c>
      <c r="B446" s="21" t="s">
        <v>1088</v>
      </c>
      <c r="C446" s="14" t="s">
        <v>72</v>
      </c>
      <c r="D446" s="15" t="s">
        <v>9</v>
      </c>
      <c r="E446" s="15" t="s">
        <v>10</v>
      </c>
      <c r="F446" s="14">
        <v>96</v>
      </c>
      <c r="G446" s="15">
        <v>5</v>
      </c>
      <c r="H446" s="14">
        <v>11</v>
      </c>
      <c r="I446" s="14">
        <v>11</v>
      </c>
      <c r="J446" s="17" t="s">
        <v>55</v>
      </c>
      <c r="K446" s="36"/>
      <c r="L446" s="14"/>
      <c r="M446" s="14"/>
      <c r="N446" s="14"/>
      <c r="O446" s="14"/>
      <c r="P446" s="25" t="s">
        <v>1089</v>
      </c>
      <c r="Q446" s="21"/>
      <c r="R446" s="22"/>
      <c r="S446" s="14">
        <v>64</v>
      </c>
      <c r="T446" s="27">
        <v>45874</v>
      </c>
      <c r="U446" s="27">
        <v>45874</v>
      </c>
      <c r="V446" s="27"/>
      <c r="W446" s="27"/>
      <c r="X446" s="27">
        <v>45875</v>
      </c>
      <c r="Y446" s="14" t="s">
        <v>290</v>
      </c>
      <c r="Z446" s="40" t="str">
        <f>IF(STAT[[#This Row],[sigla]]="","",VLOOKUP(STAT[[#This Row],[sigla]],CRÉDITOS_GERAIS[[sigla]:[credito]],2,))</f>
        <v>Bruna Campos</v>
      </c>
      <c r="AA446" s="14"/>
      <c r="AB446" s="14" t="str">
        <f>STAT[[#This Row],[ilustrador]]</f>
        <v>Bruna Campos</v>
      </c>
      <c r="AC446" s="14">
        <v>8</v>
      </c>
      <c r="AD446" s="22" t="s">
        <v>196</v>
      </c>
      <c r="AE446" s="14" t="s">
        <v>46</v>
      </c>
      <c r="AF446" s="42" t="str">
        <f t="shared" si="6"/>
        <v>P007</v>
      </c>
    </row>
    <row r="447" spans="1:32" ht="43.2" hidden="1" x14ac:dyDescent="0.3">
      <c r="A447" s="12" t="e" cm="1">
        <f t="array" aca="1" ref="A447" ca="1">IF(STAT[[#This Row],[retranca]]="","",       RegxFunc(STAT[[#This Row],[retranca]],  "\w\d{4}\w*_\d")     )</f>
        <v>#NAME?</v>
      </c>
      <c r="B447" s="21" t="s">
        <v>1090</v>
      </c>
      <c r="C447" s="14" t="s">
        <v>72</v>
      </c>
      <c r="D447" s="14" t="s">
        <v>9</v>
      </c>
      <c r="E447" s="14" t="s">
        <v>10</v>
      </c>
      <c r="F447" s="14">
        <v>102</v>
      </c>
      <c r="G447" s="14">
        <v>5</v>
      </c>
      <c r="H447" s="14">
        <v>12</v>
      </c>
      <c r="I447" s="14">
        <v>12</v>
      </c>
      <c r="J447" s="28" t="s">
        <v>55</v>
      </c>
      <c r="K447" s="36"/>
      <c r="L447" s="14"/>
      <c r="M447" s="14"/>
      <c r="N447" s="14"/>
      <c r="O447" s="14"/>
      <c r="P447" s="25" t="s">
        <v>1091</v>
      </c>
      <c r="Q447" s="22"/>
      <c r="R447" s="22"/>
      <c r="S447" s="14">
        <v>65</v>
      </c>
      <c r="T447" s="27">
        <v>45875</v>
      </c>
      <c r="U447" s="27">
        <v>45876</v>
      </c>
      <c r="V447" s="27">
        <v>45880</v>
      </c>
      <c r="W447" s="27">
        <v>45880</v>
      </c>
      <c r="X447" s="27">
        <v>45882</v>
      </c>
      <c r="Y447" s="14" t="s">
        <v>375</v>
      </c>
      <c r="Z447" s="40" t="str">
        <f>IF(STAT[[#This Row],[sigla]]="","",VLOOKUP(STAT[[#This Row],[sigla]],CRÉDITOS_GERAIS[[sigla]:[credito]],2,))</f>
        <v>Lídia Farias</v>
      </c>
      <c r="AA447" s="14"/>
      <c r="AB447" s="14" t="str">
        <f>STAT[[#This Row],[ilustrador]]</f>
        <v>Lídia Farias</v>
      </c>
      <c r="AC447" s="14">
        <v>4</v>
      </c>
      <c r="AD447" s="22" t="s">
        <v>1033</v>
      </c>
      <c r="AE447" s="14" t="s">
        <v>87</v>
      </c>
      <c r="AF447" s="42" t="str">
        <f t="shared" si="6"/>
        <v>P007</v>
      </c>
    </row>
    <row r="448" spans="1:32" ht="43.2" hidden="1" x14ac:dyDescent="0.3">
      <c r="A448" s="12" t="e" cm="1">
        <f t="array" aca="1" ref="A448" ca="1">IF(STAT[[#This Row],[retranca]]="","",       RegxFunc(STAT[[#This Row],[retranca]],  "\w\d{4}\w*_\d")     )</f>
        <v>#NAME?</v>
      </c>
      <c r="B448" s="21" t="s">
        <v>1092</v>
      </c>
      <c r="C448" s="14" t="s">
        <v>72</v>
      </c>
      <c r="D448" s="14" t="s">
        <v>9</v>
      </c>
      <c r="E448" s="14" t="s">
        <v>10</v>
      </c>
      <c r="F448" s="14">
        <v>102</v>
      </c>
      <c r="G448" s="14">
        <v>5</v>
      </c>
      <c r="H448" s="14">
        <v>12</v>
      </c>
      <c r="I448" s="14">
        <v>12</v>
      </c>
      <c r="J448" s="28" t="s">
        <v>55</v>
      </c>
      <c r="K448" s="36"/>
      <c r="L448" s="14"/>
      <c r="M448" s="14"/>
      <c r="N448" s="14"/>
      <c r="O448" s="14"/>
      <c r="P448" s="25" t="s">
        <v>1093</v>
      </c>
      <c r="Q448" s="22"/>
      <c r="R448" s="22"/>
      <c r="S448" s="14">
        <v>65</v>
      </c>
      <c r="T448" s="27">
        <v>45875</v>
      </c>
      <c r="U448" s="27">
        <v>45875</v>
      </c>
      <c r="V448" s="27"/>
      <c r="W448" s="27"/>
      <c r="X448" s="27">
        <v>45877</v>
      </c>
      <c r="Y448" s="14" t="s">
        <v>43</v>
      </c>
      <c r="Z448" s="40" t="e">
        <f>IF(STAT[[#This Row],[sigla]]="","",VLOOKUP(STAT[[#This Row],[sigla]],CRÉDITOS_GERAIS[[sigla]:[credito]],2,))</f>
        <v>#N/A</v>
      </c>
      <c r="AA448" s="14" t="s">
        <v>610</v>
      </c>
      <c r="AB448" s="14" t="e">
        <f>STAT[[#This Row],[ilustrador]]</f>
        <v>#N/A</v>
      </c>
      <c r="AC448" s="14">
        <v>13</v>
      </c>
      <c r="AD448" s="22" t="s">
        <v>196</v>
      </c>
      <c r="AE448" s="14" t="s">
        <v>46</v>
      </c>
      <c r="AF448" s="42" t="str">
        <f t="shared" si="6"/>
        <v>P007</v>
      </c>
    </row>
    <row r="449" spans="1:32" hidden="1" x14ac:dyDescent="0.3">
      <c r="A449" s="12" t="e" cm="1">
        <f t="array" aca="1" ref="A449" ca="1">IF(STAT[[#This Row],[retranca]]="","",       RegxFunc(STAT[[#This Row],[retranca]],  "\w\d{4}\w*_\d")     )</f>
        <v>#NAME?</v>
      </c>
      <c r="B449" s="21" t="s">
        <v>1094</v>
      </c>
      <c r="C449" s="14" t="s">
        <v>72</v>
      </c>
      <c r="D449" s="14" t="s">
        <v>9</v>
      </c>
      <c r="E449" s="14" t="s">
        <v>10</v>
      </c>
      <c r="F449" s="14">
        <v>103</v>
      </c>
      <c r="G449" s="14">
        <v>5</v>
      </c>
      <c r="H449" s="14">
        <v>12</v>
      </c>
      <c r="I449" s="14">
        <v>12</v>
      </c>
      <c r="J449" s="28" t="s">
        <v>55</v>
      </c>
      <c r="K449" s="36"/>
      <c r="L449" s="14"/>
      <c r="M449" s="14"/>
      <c r="N449" s="14"/>
      <c r="O449" s="14"/>
      <c r="P449" s="25" t="s">
        <v>1095</v>
      </c>
      <c r="Q449" s="21"/>
      <c r="R449" s="22"/>
      <c r="S449" s="14">
        <v>65</v>
      </c>
      <c r="T449" s="27">
        <v>45875</v>
      </c>
      <c r="U449" s="39">
        <v>45876</v>
      </c>
      <c r="V449" s="27">
        <v>45880</v>
      </c>
      <c r="W449" s="27">
        <v>45880</v>
      </c>
      <c r="X449" s="27">
        <v>45882</v>
      </c>
      <c r="Y449" s="14" t="s">
        <v>375</v>
      </c>
      <c r="Z449" s="40" t="str">
        <f>IF(STAT[[#This Row],[sigla]]="","",VLOOKUP(STAT[[#This Row],[sigla]],CRÉDITOS_GERAIS[[sigla]:[credito]],2,))</f>
        <v>Lídia Farias</v>
      </c>
      <c r="AA449" s="14"/>
      <c r="AB449" s="14" t="str">
        <f>STAT[[#This Row],[ilustrador]]</f>
        <v>Lídia Farias</v>
      </c>
      <c r="AC449" s="24">
        <v>3</v>
      </c>
      <c r="AD449" s="22" t="s">
        <v>1033</v>
      </c>
      <c r="AE449" s="14" t="s">
        <v>87</v>
      </c>
      <c r="AF449" s="42" t="str">
        <f t="shared" si="6"/>
        <v>P007</v>
      </c>
    </row>
    <row r="450" spans="1:32" ht="43.2" hidden="1" x14ac:dyDescent="0.3">
      <c r="A450" s="12" t="e" cm="1">
        <f t="array" aca="1" ref="A450" ca="1">IF(STAT[[#This Row],[retranca]]="","",       RegxFunc(STAT[[#This Row],[retranca]],  "\w\d{4}\w*_\d")     )</f>
        <v>#NAME?</v>
      </c>
      <c r="B450" s="21" t="s">
        <v>1096</v>
      </c>
      <c r="C450" s="14" t="s">
        <v>72</v>
      </c>
      <c r="D450" s="14" t="s">
        <v>9</v>
      </c>
      <c r="E450" s="14" t="s">
        <v>10</v>
      </c>
      <c r="F450" s="14">
        <v>112</v>
      </c>
      <c r="G450" s="14">
        <v>5</v>
      </c>
      <c r="H450" s="14">
        <v>12</v>
      </c>
      <c r="I450" s="14">
        <v>12</v>
      </c>
      <c r="J450" s="28" t="s">
        <v>55</v>
      </c>
      <c r="K450" s="36"/>
      <c r="L450" s="14"/>
      <c r="M450" s="14"/>
      <c r="N450" s="14"/>
      <c r="O450" s="14"/>
      <c r="P450" s="25" t="s">
        <v>1097</v>
      </c>
      <c r="Q450" s="22"/>
      <c r="R450" s="22"/>
      <c r="S450" s="14">
        <v>65</v>
      </c>
      <c r="T450" s="27">
        <v>45875</v>
      </c>
      <c r="U450" s="27">
        <v>45876</v>
      </c>
      <c r="V450" s="27">
        <v>45880</v>
      </c>
      <c r="W450" s="27">
        <v>45880</v>
      </c>
      <c r="X450" s="27">
        <v>45882</v>
      </c>
      <c r="Y450" s="14" t="s">
        <v>375</v>
      </c>
      <c r="Z450" s="40" t="str">
        <f>IF(STAT[[#This Row],[sigla]]="","",VLOOKUP(STAT[[#This Row],[sigla]],CRÉDITOS_GERAIS[[sigla]:[credito]],2,))</f>
        <v>Lídia Farias</v>
      </c>
      <c r="AA450" s="14"/>
      <c r="AB450" s="14" t="str">
        <f>STAT[[#This Row],[ilustrador]]</f>
        <v>Lídia Farias</v>
      </c>
      <c r="AC450" s="24">
        <v>7</v>
      </c>
      <c r="AD450" s="22" t="s">
        <v>1033</v>
      </c>
      <c r="AE450" s="14" t="s">
        <v>87</v>
      </c>
      <c r="AF450" s="42" t="str">
        <f t="shared" ref="AF450:AF513" si="7">"P007"</f>
        <v>P007</v>
      </c>
    </row>
    <row r="451" spans="1:32" ht="28.8" hidden="1" x14ac:dyDescent="0.3">
      <c r="A451" s="12" t="e" cm="1">
        <f t="array" aca="1" ref="A451" ca="1">IF(STAT[[#This Row],[retranca]]="","",       RegxFunc(STAT[[#This Row],[retranca]],  "\w\d{4}\w*_\d")     )</f>
        <v>#NAME?</v>
      </c>
      <c r="B451" s="21" t="s">
        <v>1098</v>
      </c>
      <c r="C451" s="14" t="s">
        <v>72</v>
      </c>
      <c r="D451" s="14" t="s">
        <v>143</v>
      </c>
      <c r="E451" s="14" t="s">
        <v>10</v>
      </c>
      <c r="F451" s="14">
        <v>113</v>
      </c>
      <c r="G451" s="14">
        <v>5</v>
      </c>
      <c r="H451" s="14">
        <v>12</v>
      </c>
      <c r="I451" s="14">
        <v>12</v>
      </c>
      <c r="J451" s="28" t="s">
        <v>55</v>
      </c>
      <c r="K451" s="36"/>
      <c r="L451" s="14"/>
      <c r="M451" s="14"/>
      <c r="N451" s="14"/>
      <c r="O451" s="14"/>
      <c r="P451" s="25" t="s">
        <v>1099</v>
      </c>
      <c r="Q451" s="21"/>
      <c r="R451" s="22"/>
      <c r="S451" s="14">
        <v>65</v>
      </c>
      <c r="T451" s="27">
        <v>45875</v>
      </c>
      <c r="U451" s="27">
        <v>45875</v>
      </c>
      <c r="V451" s="27"/>
      <c r="W451" s="27"/>
      <c r="X451" s="27">
        <v>45877</v>
      </c>
      <c r="Y451" s="14" t="s">
        <v>207</v>
      </c>
      <c r="Z451" s="40" t="str">
        <f>IF(STAT[[#This Row],[sigla]]="","",VLOOKUP(STAT[[#This Row],[sigla]],CRÉDITOS_GERAIS[[sigla]:[credito]],2,))</f>
        <v>Vinícius Costa</v>
      </c>
      <c r="AA451" s="14"/>
      <c r="AB451" s="14" t="str">
        <f>STAT[[#This Row],[ilustrador]]</f>
        <v>Vinícius Costa</v>
      </c>
      <c r="AC451" s="24">
        <v>8</v>
      </c>
      <c r="AD451" s="22" t="s">
        <v>196</v>
      </c>
      <c r="AE451" s="14" t="s">
        <v>46</v>
      </c>
      <c r="AF451" s="42" t="str">
        <f t="shared" si="7"/>
        <v>P007</v>
      </c>
    </row>
    <row r="452" spans="1:32" ht="28.8" hidden="1" x14ac:dyDescent="0.3">
      <c r="A452" s="12" t="e" cm="1">
        <f t="array" aca="1" ref="A452" ca="1">IF(STAT[[#This Row],[retranca]]="","",       RegxFunc(STAT[[#This Row],[retranca]],  "\w\d{4}\w*_\d")     )</f>
        <v>#NAME?</v>
      </c>
      <c r="B452" s="21" t="s">
        <v>1100</v>
      </c>
      <c r="C452" s="14" t="s">
        <v>72</v>
      </c>
      <c r="D452" s="14" t="s">
        <v>143</v>
      </c>
      <c r="E452" s="14" t="s">
        <v>10</v>
      </c>
      <c r="F452" s="14">
        <v>113</v>
      </c>
      <c r="G452" s="14">
        <v>5</v>
      </c>
      <c r="H452" s="14">
        <v>12</v>
      </c>
      <c r="I452" s="14">
        <v>12</v>
      </c>
      <c r="J452" s="28" t="s">
        <v>55</v>
      </c>
      <c r="K452" s="36"/>
      <c r="L452" s="14"/>
      <c r="M452" s="14"/>
      <c r="N452" s="14"/>
      <c r="O452" s="14"/>
      <c r="P452" s="25" t="s">
        <v>1101</v>
      </c>
      <c r="Q452" s="21"/>
      <c r="R452" s="22"/>
      <c r="S452" s="14">
        <v>65</v>
      </c>
      <c r="T452" s="27">
        <v>45875</v>
      </c>
      <c r="U452" s="27">
        <v>45875</v>
      </c>
      <c r="V452" s="27"/>
      <c r="W452" s="27"/>
      <c r="X452" s="27">
        <v>45877</v>
      </c>
      <c r="Y452" s="14" t="s">
        <v>207</v>
      </c>
      <c r="Z452" s="40" t="str">
        <f>IF(STAT[[#This Row],[sigla]]="","",VLOOKUP(STAT[[#This Row],[sigla]],CRÉDITOS_GERAIS[[sigla]:[credito]],2,))</f>
        <v>Vinícius Costa</v>
      </c>
      <c r="AA452" s="14"/>
      <c r="AB452" s="14" t="str">
        <f>STAT[[#This Row],[ilustrador]]</f>
        <v>Vinícius Costa</v>
      </c>
      <c r="AC452" s="24">
        <v>8</v>
      </c>
      <c r="AD452" s="22" t="s">
        <v>196</v>
      </c>
      <c r="AE452" s="14" t="s">
        <v>46</v>
      </c>
      <c r="AF452" s="42" t="str">
        <f t="shared" si="7"/>
        <v>P007</v>
      </c>
    </row>
    <row r="453" spans="1:32" ht="28.8" hidden="1" x14ac:dyDescent="0.3">
      <c r="A453" s="12" t="e" cm="1">
        <f t="array" aca="1" ref="A453" ca="1">IF(STAT[[#This Row],[retranca]]="","",       RegxFunc(STAT[[#This Row],[retranca]],  "\w\d{4}\w*_\d")     )</f>
        <v>#NAME?</v>
      </c>
      <c r="B453" s="21" t="s">
        <v>1102</v>
      </c>
      <c r="C453" s="14" t="s">
        <v>72</v>
      </c>
      <c r="D453" s="14" t="s">
        <v>9</v>
      </c>
      <c r="E453" s="14" t="s">
        <v>10</v>
      </c>
      <c r="F453" s="14">
        <v>114</v>
      </c>
      <c r="G453" s="14">
        <v>5</v>
      </c>
      <c r="H453" s="14">
        <v>12</v>
      </c>
      <c r="I453" s="14">
        <v>12</v>
      </c>
      <c r="J453" s="28" t="s">
        <v>55</v>
      </c>
      <c r="K453" s="36"/>
      <c r="L453" s="14"/>
      <c r="M453" s="14"/>
      <c r="N453" s="14"/>
      <c r="O453" s="14"/>
      <c r="P453" s="25" t="s">
        <v>1103</v>
      </c>
      <c r="Q453" s="21"/>
      <c r="R453" s="22"/>
      <c r="S453" s="14">
        <v>65</v>
      </c>
      <c r="T453" s="27">
        <v>45875</v>
      </c>
      <c r="U453" s="27">
        <v>45876</v>
      </c>
      <c r="V453" s="27">
        <v>45880</v>
      </c>
      <c r="W453" s="27">
        <v>45880</v>
      </c>
      <c r="X453" s="27">
        <v>45882</v>
      </c>
      <c r="Y453" s="14" t="s">
        <v>375</v>
      </c>
      <c r="Z453" s="40" t="str">
        <f>IF(STAT[[#This Row],[sigla]]="","",VLOOKUP(STAT[[#This Row],[sigla]],CRÉDITOS_GERAIS[[sigla]:[credito]],2,))</f>
        <v>Lídia Farias</v>
      </c>
      <c r="AA453" s="14"/>
      <c r="AB453" s="14" t="str">
        <f>STAT[[#This Row],[ilustrador]]</f>
        <v>Lídia Farias</v>
      </c>
      <c r="AC453" s="14">
        <v>6</v>
      </c>
      <c r="AD453" s="22" t="s">
        <v>1033</v>
      </c>
      <c r="AE453" s="14" t="s">
        <v>87</v>
      </c>
      <c r="AF453" s="42" t="str">
        <f t="shared" si="7"/>
        <v>P007</v>
      </c>
    </row>
    <row r="454" spans="1:32" hidden="1" x14ac:dyDescent="0.3">
      <c r="A454" s="12" t="e" cm="1">
        <f t="array" aca="1" ref="A454" ca="1">IF(STAT[[#This Row],[retranca]]="","",       RegxFunc(STAT[[#This Row],[retranca]],  "\w\d{4}\w*_\d")     )</f>
        <v>#NAME?</v>
      </c>
      <c r="B454" s="21" t="s">
        <v>1104</v>
      </c>
      <c r="C454" s="14" t="s">
        <v>72</v>
      </c>
      <c r="D454" s="14" t="s">
        <v>9</v>
      </c>
      <c r="E454" s="14" t="s">
        <v>10</v>
      </c>
      <c r="F454" s="14">
        <v>3</v>
      </c>
      <c r="G454" s="14">
        <v>5</v>
      </c>
      <c r="H454" s="14">
        <v>12</v>
      </c>
      <c r="I454" s="14" t="s">
        <v>112</v>
      </c>
      <c r="J454" s="28" t="s">
        <v>55</v>
      </c>
      <c r="K454" s="36"/>
      <c r="L454" s="14"/>
      <c r="M454" s="14"/>
      <c r="N454" s="14"/>
      <c r="O454" s="14"/>
      <c r="P454" s="25" t="s">
        <v>1105</v>
      </c>
      <c r="Q454" s="22"/>
      <c r="R454" s="22"/>
      <c r="S454" s="14">
        <v>65</v>
      </c>
      <c r="T454" s="27">
        <v>45875</v>
      </c>
      <c r="U454" s="27">
        <v>45876</v>
      </c>
      <c r="V454" s="27">
        <v>45880</v>
      </c>
      <c r="W454" s="27">
        <v>45880</v>
      </c>
      <c r="X454" s="27">
        <v>45882</v>
      </c>
      <c r="Y454" s="14" t="s">
        <v>375</v>
      </c>
      <c r="Z454" s="40" t="str">
        <f>IF(STAT[[#This Row],[sigla]]="","",VLOOKUP(STAT[[#This Row],[sigla]],CRÉDITOS_GERAIS[[sigla]:[credito]],2,))</f>
        <v>Lídia Farias</v>
      </c>
      <c r="AA454" s="14"/>
      <c r="AB454" s="14" t="str">
        <f>STAT[[#This Row],[ilustrador]]</f>
        <v>Lídia Farias</v>
      </c>
      <c r="AC454" s="14">
        <v>7</v>
      </c>
      <c r="AD454" s="22" t="s">
        <v>1033</v>
      </c>
      <c r="AE454" s="14" t="s">
        <v>87</v>
      </c>
      <c r="AF454" s="42" t="str">
        <f t="shared" si="7"/>
        <v>P007</v>
      </c>
    </row>
    <row r="455" spans="1:32" ht="43.2" hidden="1" x14ac:dyDescent="0.3">
      <c r="A455" s="12" t="e" cm="1">
        <f t="array" aca="1" ref="A455" ca="1">IF(STAT[[#This Row],[retranca]]="","",       RegxFunc(STAT[[#This Row],[retranca]],  "\w\d{4}\w*_\d")     )</f>
        <v>#NAME?</v>
      </c>
      <c r="B455" s="21" t="s">
        <v>1106</v>
      </c>
      <c r="C455" s="14" t="s">
        <v>72</v>
      </c>
      <c r="D455" s="14" t="s">
        <v>143</v>
      </c>
      <c r="E455" s="14" t="s">
        <v>10</v>
      </c>
      <c r="F455" s="14">
        <v>4</v>
      </c>
      <c r="G455" s="14">
        <v>5</v>
      </c>
      <c r="H455" s="14">
        <v>12</v>
      </c>
      <c r="I455" s="14" t="s">
        <v>112</v>
      </c>
      <c r="J455" s="28" t="s">
        <v>55</v>
      </c>
      <c r="K455" s="36"/>
      <c r="L455" s="14"/>
      <c r="M455" s="14"/>
      <c r="N455" s="14"/>
      <c r="O455" s="14"/>
      <c r="P455" s="25" t="s">
        <v>1107</v>
      </c>
      <c r="Q455" s="22"/>
      <c r="R455" s="22"/>
      <c r="S455" s="14">
        <v>65</v>
      </c>
      <c r="T455" s="27">
        <v>45875</v>
      </c>
      <c r="U455" s="27">
        <v>45875</v>
      </c>
      <c r="V455" s="27"/>
      <c r="W455" s="27"/>
      <c r="X455" s="27">
        <v>45877</v>
      </c>
      <c r="Y455" s="14" t="s">
        <v>207</v>
      </c>
      <c r="Z455" s="40" t="str">
        <f>IF(STAT[[#This Row],[sigla]]="","",VLOOKUP(STAT[[#This Row],[sigla]],CRÉDITOS_GERAIS[[sigla]:[credito]],2,))</f>
        <v>Vinícius Costa</v>
      </c>
      <c r="AA455" s="14"/>
      <c r="AB455" s="14" t="str">
        <f>STAT[[#This Row],[ilustrador]]</f>
        <v>Vinícius Costa</v>
      </c>
      <c r="AC455" s="24">
        <v>8</v>
      </c>
      <c r="AD455" s="22" t="s">
        <v>196</v>
      </c>
      <c r="AE455" s="14" t="s">
        <v>46</v>
      </c>
      <c r="AF455" s="42" t="str">
        <f t="shared" si="7"/>
        <v>P007</v>
      </c>
    </row>
    <row r="456" spans="1:32" hidden="1" x14ac:dyDescent="0.3">
      <c r="A456" s="12" t="e" cm="1">
        <f t="array" aca="1" ref="A456" ca="1">IF(STAT[[#This Row],[retranca]]="","",       RegxFunc(STAT[[#This Row],[retranca]],  "\w\d{4}\w*_\d")     )</f>
        <v>#NAME?</v>
      </c>
      <c r="B456" s="21" t="s">
        <v>1108</v>
      </c>
      <c r="C456" s="14" t="s">
        <v>72</v>
      </c>
      <c r="D456" s="14" t="s">
        <v>9</v>
      </c>
      <c r="E456" s="14" t="s">
        <v>10</v>
      </c>
      <c r="F456" s="14">
        <v>4</v>
      </c>
      <c r="G456" s="14">
        <v>5</v>
      </c>
      <c r="H456" s="14">
        <v>12</v>
      </c>
      <c r="I456" s="14" t="s">
        <v>112</v>
      </c>
      <c r="J456" s="28" t="s">
        <v>55</v>
      </c>
      <c r="K456" s="36"/>
      <c r="L456" s="14"/>
      <c r="M456" s="14"/>
      <c r="N456" s="14"/>
      <c r="O456" s="14"/>
      <c r="P456" s="25" t="s">
        <v>1109</v>
      </c>
      <c r="Q456" s="22"/>
      <c r="R456" s="22"/>
      <c r="S456" s="14"/>
      <c r="T456" s="27"/>
      <c r="U456" s="27"/>
      <c r="V456" s="27"/>
      <c r="W456" s="27"/>
      <c r="X456" s="27"/>
      <c r="Y456" s="14" t="s">
        <v>43</v>
      </c>
      <c r="Z456" s="40" t="e">
        <f>IF(STAT[[#This Row],[sigla]]="","",VLOOKUP(STAT[[#This Row],[sigla]],CRÉDITOS_GERAIS[[sigla]:[credito]],2,))</f>
        <v>#N/A</v>
      </c>
      <c r="AA456" s="14"/>
      <c r="AB456" s="14" t="e">
        <f>STAT[[#This Row],[ilustrador]]</f>
        <v>#N/A</v>
      </c>
      <c r="AC456" s="14"/>
      <c r="AD456" s="22"/>
      <c r="AE456" s="14"/>
      <c r="AF456" s="42" t="str">
        <f t="shared" si="7"/>
        <v>P007</v>
      </c>
    </row>
    <row r="457" spans="1:32" hidden="1" x14ac:dyDescent="0.3">
      <c r="A457" s="12" t="e" cm="1">
        <f t="array" aca="1" ref="A457" ca="1">IF(STAT[[#This Row],[retranca]]="","",       RegxFunc(STAT[[#This Row],[retranca]],  "\w\d{4}\w*_\d")     )</f>
        <v>#NAME?</v>
      </c>
      <c r="B457" s="21" t="s">
        <v>1110</v>
      </c>
      <c r="C457" s="14" t="s">
        <v>72</v>
      </c>
      <c r="D457" s="14" t="s">
        <v>9</v>
      </c>
      <c r="E457" s="14" t="s">
        <v>10</v>
      </c>
      <c r="F457" s="14">
        <v>4</v>
      </c>
      <c r="G457" s="14">
        <v>5</v>
      </c>
      <c r="H457" s="14">
        <v>12</v>
      </c>
      <c r="I457" s="14" t="s">
        <v>112</v>
      </c>
      <c r="J457" s="28" t="s">
        <v>55</v>
      </c>
      <c r="K457" s="36"/>
      <c r="L457" s="14"/>
      <c r="M457" s="14"/>
      <c r="N457" s="14"/>
      <c r="O457" s="14"/>
      <c r="P457" s="25" t="s">
        <v>1111</v>
      </c>
      <c r="Q457" s="22"/>
      <c r="R457" s="22"/>
      <c r="S457" s="14"/>
      <c r="T457" s="27"/>
      <c r="U457" s="39"/>
      <c r="V457" s="27"/>
      <c r="W457" s="27"/>
      <c r="X457" s="39"/>
      <c r="Y457" s="14" t="s">
        <v>43</v>
      </c>
      <c r="Z457" s="40" t="e">
        <f>IF(STAT[[#This Row],[sigla]]="","",VLOOKUP(STAT[[#This Row],[sigla]],CRÉDITOS_GERAIS[[sigla]:[credito]],2,))</f>
        <v>#N/A</v>
      </c>
      <c r="AA457" s="14"/>
      <c r="AB457" s="14" t="e">
        <f>STAT[[#This Row],[ilustrador]]</f>
        <v>#N/A</v>
      </c>
      <c r="AC457" s="24"/>
      <c r="AD457" s="22"/>
      <c r="AE457" s="14"/>
      <c r="AF457" s="42" t="str">
        <f t="shared" si="7"/>
        <v>P007</v>
      </c>
    </row>
    <row r="458" spans="1:32" hidden="1" x14ac:dyDescent="0.3">
      <c r="A458" s="12" t="e" cm="1">
        <f t="array" aca="1" ref="A458" ca="1">IF(STAT[[#This Row],[retranca]]="","",       RegxFunc(STAT[[#This Row],[retranca]],  "\w\d{4}\w*_\d")     )</f>
        <v>#NAME?</v>
      </c>
      <c r="B458" s="21" t="s">
        <v>1112</v>
      </c>
      <c r="C458" s="14" t="s">
        <v>8</v>
      </c>
      <c r="D458" s="14" t="s">
        <v>9</v>
      </c>
      <c r="E458" s="14" t="s">
        <v>10</v>
      </c>
      <c r="F458" s="14">
        <v>4</v>
      </c>
      <c r="G458" s="14">
        <v>5</v>
      </c>
      <c r="H458" s="14">
        <v>12</v>
      </c>
      <c r="I458" s="14" t="s">
        <v>112</v>
      </c>
      <c r="J458" s="28" t="s">
        <v>55</v>
      </c>
      <c r="K458" s="36"/>
      <c r="L458" s="14"/>
      <c r="M458" s="14"/>
      <c r="N458" s="14"/>
      <c r="O458" s="14"/>
      <c r="P458" s="25" t="s">
        <v>1113</v>
      </c>
      <c r="Q458" s="21"/>
      <c r="R458" s="22"/>
      <c r="S458" s="14"/>
      <c r="T458" s="27"/>
      <c r="U458" s="39"/>
      <c r="V458" s="27"/>
      <c r="W458" s="27"/>
      <c r="X458" s="39"/>
      <c r="Y458" s="14" t="s">
        <v>43</v>
      </c>
      <c r="Z458" s="40" t="e">
        <f>IF(STAT[[#This Row],[sigla]]="","",VLOOKUP(STAT[[#This Row],[sigla]],CRÉDITOS_GERAIS[[sigla]:[credito]],2,))</f>
        <v>#N/A</v>
      </c>
      <c r="AA458" s="14"/>
      <c r="AB458" s="14" t="e">
        <f>STAT[[#This Row],[ilustrador]]</f>
        <v>#N/A</v>
      </c>
      <c r="AC458" s="24"/>
      <c r="AD458" s="22"/>
      <c r="AE458" s="15"/>
      <c r="AF458" s="42" t="str">
        <f t="shared" si="7"/>
        <v>P007</v>
      </c>
    </row>
    <row r="459" spans="1:32" hidden="1" x14ac:dyDescent="0.3">
      <c r="A459" s="12" t="e" cm="1">
        <f t="array" aca="1" ref="A459" ca="1">IF(STAT[[#This Row],[retranca]]="","",       RegxFunc(STAT[[#This Row],[retranca]],  "\w\d{4}\w*_\d")     )</f>
        <v>#NAME?</v>
      </c>
      <c r="B459" s="21" t="s">
        <v>1114</v>
      </c>
      <c r="C459" s="14" t="s">
        <v>72</v>
      </c>
      <c r="D459" s="14" t="s">
        <v>9</v>
      </c>
      <c r="E459" s="14" t="s">
        <v>10</v>
      </c>
      <c r="F459" s="14">
        <v>4</v>
      </c>
      <c r="G459" s="14">
        <v>5</v>
      </c>
      <c r="H459" s="14">
        <v>12</v>
      </c>
      <c r="I459" s="14" t="s">
        <v>112</v>
      </c>
      <c r="J459" s="28" t="s">
        <v>55</v>
      </c>
      <c r="K459" s="36"/>
      <c r="L459" s="14"/>
      <c r="M459" s="14"/>
      <c r="N459" s="14"/>
      <c r="O459" s="14"/>
      <c r="P459" s="25" t="s">
        <v>1115</v>
      </c>
      <c r="Q459" s="22"/>
      <c r="R459" s="22"/>
      <c r="S459" s="14"/>
      <c r="T459" s="27"/>
      <c r="U459" s="39"/>
      <c r="V459" s="27"/>
      <c r="W459" s="27"/>
      <c r="X459" s="39"/>
      <c r="Y459" s="14" t="s">
        <v>43</v>
      </c>
      <c r="Z459" s="40" t="e">
        <f>IF(STAT[[#This Row],[sigla]]="","",VLOOKUP(STAT[[#This Row],[sigla]],CRÉDITOS_GERAIS[[sigla]:[credito]],2,))</f>
        <v>#N/A</v>
      </c>
      <c r="AA459" s="14"/>
      <c r="AB459" s="14" t="e">
        <f>STAT[[#This Row],[ilustrador]]</f>
        <v>#N/A</v>
      </c>
      <c r="AC459" s="24"/>
      <c r="AD459" s="22"/>
      <c r="AE459" s="14"/>
      <c r="AF459" s="42" t="str">
        <f t="shared" si="7"/>
        <v>P007</v>
      </c>
    </row>
    <row r="460" spans="1:32" hidden="1" x14ac:dyDescent="0.3">
      <c r="A460" s="12" t="e" cm="1">
        <f t="array" aca="1" ref="A460" ca="1">IF(STAT[[#This Row],[retranca]]="","",       RegxFunc(STAT[[#This Row],[retranca]],  "\w\d{4}\w*_\d")     )</f>
        <v>#NAME?</v>
      </c>
      <c r="B460" s="21" t="s">
        <v>1116</v>
      </c>
      <c r="C460" s="14" t="s">
        <v>72</v>
      </c>
      <c r="D460" s="14" t="s">
        <v>9</v>
      </c>
      <c r="E460" s="14" t="s">
        <v>10</v>
      </c>
      <c r="F460" s="14">
        <v>40</v>
      </c>
      <c r="G460" s="14">
        <v>4</v>
      </c>
      <c r="H460" s="14">
        <v>2</v>
      </c>
      <c r="I460" s="14">
        <v>2</v>
      </c>
      <c r="J460" s="28" t="s">
        <v>55</v>
      </c>
      <c r="K460" s="36"/>
      <c r="L460" s="14"/>
      <c r="M460" s="14"/>
      <c r="N460" s="14"/>
      <c r="O460" s="14"/>
      <c r="P460" s="25" t="s">
        <v>1117</v>
      </c>
      <c r="Q460" s="22"/>
      <c r="R460" s="22"/>
      <c r="S460" s="14"/>
      <c r="T460" s="27"/>
      <c r="U460" s="39"/>
      <c r="V460" s="27"/>
      <c r="W460" s="27"/>
      <c r="X460" s="39"/>
      <c r="Y460" s="14" t="s">
        <v>43</v>
      </c>
      <c r="Z460" s="40" t="e">
        <f>IF(STAT[[#This Row],[sigla]]="","",VLOOKUP(STAT[[#This Row],[sigla]],CRÉDITOS_GERAIS[[sigla]:[credito]],2,))</f>
        <v>#N/A</v>
      </c>
      <c r="AA460" s="14"/>
      <c r="AB460" s="14" t="e">
        <f>STAT[[#This Row],[ilustrador]]</f>
        <v>#N/A</v>
      </c>
      <c r="AC460" s="14"/>
      <c r="AD460" s="22"/>
      <c r="AE460" s="15"/>
      <c r="AF460" s="42" t="str">
        <f t="shared" si="7"/>
        <v>P007</v>
      </c>
    </row>
    <row r="461" spans="1:32" hidden="1" x14ac:dyDescent="0.3">
      <c r="A461" s="12" t="e" cm="1">
        <f t="array" aca="1" ref="A461" ca="1">IF(STAT[[#This Row],[retranca]]="","",       RegxFunc(STAT[[#This Row],[retranca]],  "\w\d{4}\w*_\d")     )</f>
        <v>#NAME?</v>
      </c>
      <c r="B461" s="21" t="s">
        <v>1118</v>
      </c>
      <c r="C461" s="14" t="s">
        <v>72</v>
      </c>
      <c r="D461" s="14" t="s">
        <v>9</v>
      </c>
      <c r="E461" s="14" t="s">
        <v>10</v>
      </c>
      <c r="F461" s="14">
        <v>40</v>
      </c>
      <c r="G461" s="14">
        <v>4</v>
      </c>
      <c r="H461" s="14">
        <v>2</v>
      </c>
      <c r="I461" s="14">
        <v>2</v>
      </c>
      <c r="J461" s="28" t="s">
        <v>55</v>
      </c>
      <c r="K461" s="36"/>
      <c r="L461" s="14"/>
      <c r="M461" s="14"/>
      <c r="N461" s="14"/>
      <c r="O461" s="14"/>
      <c r="P461" s="25" t="s">
        <v>1119</v>
      </c>
      <c r="Q461" s="22"/>
      <c r="R461" s="22"/>
      <c r="S461" s="14"/>
      <c r="T461" s="27"/>
      <c r="U461" s="27"/>
      <c r="V461" s="27"/>
      <c r="W461" s="27"/>
      <c r="X461" s="27"/>
      <c r="Y461" s="14" t="s">
        <v>43</v>
      </c>
      <c r="Z461" s="40" t="e">
        <f>IF(STAT[[#This Row],[sigla]]="","",VLOOKUP(STAT[[#This Row],[sigla]],CRÉDITOS_GERAIS[[sigla]:[credito]],2,))</f>
        <v>#N/A</v>
      </c>
      <c r="AA461" s="14"/>
      <c r="AB461" s="14" t="e">
        <f>STAT[[#This Row],[ilustrador]]</f>
        <v>#N/A</v>
      </c>
      <c r="AC461" s="14"/>
      <c r="AD461" s="22"/>
      <c r="AE461" s="15"/>
      <c r="AF461" s="42" t="str">
        <f t="shared" si="7"/>
        <v>P007</v>
      </c>
    </row>
    <row r="462" spans="1:32" hidden="1" x14ac:dyDescent="0.3">
      <c r="A462" s="12" t="e" cm="1">
        <f t="array" aca="1" ref="A462" ca="1">IF(STAT[[#This Row],[retranca]]="","",       RegxFunc(STAT[[#This Row],[retranca]],  "\w\d{4}\w*_\d")     )</f>
        <v>#NAME?</v>
      </c>
      <c r="B462" s="21" t="s">
        <v>1120</v>
      </c>
      <c r="C462" s="14" t="s">
        <v>72</v>
      </c>
      <c r="D462" s="14" t="s">
        <v>9</v>
      </c>
      <c r="E462" s="14" t="s">
        <v>10</v>
      </c>
      <c r="F462" s="14">
        <v>40</v>
      </c>
      <c r="G462" s="14">
        <v>4</v>
      </c>
      <c r="H462" s="14">
        <v>2</v>
      </c>
      <c r="I462" s="14">
        <v>2</v>
      </c>
      <c r="J462" s="28" t="s">
        <v>55</v>
      </c>
      <c r="K462" s="36"/>
      <c r="L462" s="14"/>
      <c r="M462" s="14"/>
      <c r="N462" s="14"/>
      <c r="O462" s="14"/>
      <c r="P462" s="25" t="s">
        <v>1121</v>
      </c>
      <c r="Q462" s="22"/>
      <c r="R462" s="22"/>
      <c r="S462" s="14"/>
      <c r="T462" s="27"/>
      <c r="U462" s="27"/>
      <c r="V462" s="27"/>
      <c r="W462" s="27"/>
      <c r="X462" s="27"/>
      <c r="Y462" s="14" t="s">
        <v>43</v>
      </c>
      <c r="Z462" s="40" t="e">
        <f>IF(STAT[[#This Row],[sigla]]="","",VLOOKUP(STAT[[#This Row],[sigla]],CRÉDITOS_GERAIS[[sigla]:[credito]],2,))</f>
        <v>#N/A</v>
      </c>
      <c r="AA462" s="14"/>
      <c r="AB462" s="14" t="e">
        <f>STAT[[#This Row],[ilustrador]]</f>
        <v>#N/A</v>
      </c>
      <c r="AC462" s="14"/>
      <c r="AD462" s="22"/>
      <c r="AE462" s="15"/>
      <c r="AF462" s="42" t="str">
        <f t="shared" si="7"/>
        <v>P007</v>
      </c>
    </row>
    <row r="463" spans="1:32" hidden="1" x14ac:dyDescent="0.3">
      <c r="A463" s="12" t="e" cm="1">
        <f t="array" aca="1" ref="A463" ca="1">IF(STAT[[#This Row],[retranca]]="","",       RegxFunc(STAT[[#This Row],[retranca]],  "\w\d{4}\w*_\d")     )</f>
        <v>#NAME?</v>
      </c>
      <c r="B463" s="21" t="s">
        <v>1122</v>
      </c>
      <c r="C463" s="14" t="s">
        <v>72</v>
      </c>
      <c r="D463" s="14" t="s">
        <v>9</v>
      </c>
      <c r="E463" s="14" t="s">
        <v>10</v>
      </c>
      <c r="F463" s="14">
        <v>76</v>
      </c>
      <c r="G463" s="14">
        <v>4</v>
      </c>
      <c r="H463" s="14">
        <v>4</v>
      </c>
      <c r="I463" s="14">
        <v>4</v>
      </c>
      <c r="J463" s="28" t="s">
        <v>55</v>
      </c>
      <c r="K463" s="36"/>
      <c r="L463" s="14"/>
      <c r="M463" s="14"/>
      <c r="N463" s="14"/>
      <c r="O463" s="14"/>
      <c r="P463" s="25" t="s">
        <v>1123</v>
      </c>
      <c r="Q463" s="22"/>
      <c r="R463" s="25"/>
      <c r="S463" s="14"/>
      <c r="T463" s="27"/>
      <c r="U463" s="27"/>
      <c r="V463" s="27"/>
      <c r="W463" s="27"/>
      <c r="X463" s="27"/>
      <c r="Y463" s="14" t="s">
        <v>43</v>
      </c>
      <c r="Z463" s="40" t="e">
        <f>IF(STAT[[#This Row],[sigla]]="","",VLOOKUP(STAT[[#This Row],[sigla]],CRÉDITOS_GERAIS[[sigla]:[credito]],2,))</f>
        <v>#N/A</v>
      </c>
      <c r="AA463" s="14"/>
      <c r="AB463" s="14" t="e">
        <f>STAT[[#This Row],[ilustrador]]</f>
        <v>#N/A</v>
      </c>
      <c r="AC463" s="14"/>
      <c r="AD463" s="22"/>
      <c r="AE463" s="15"/>
      <c r="AF463" s="42" t="str">
        <f t="shared" si="7"/>
        <v>P007</v>
      </c>
    </row>
    <row r="464" spans="1:32" hidden="1" x14ac:dyDescent="0.3">
      <c r="A464" s="12" t="e" cm="1">
        <f t="array" aca="1" ref="A464" ca="1">IF(STAT[[#This Row],[retranca]]="","",       RegxFunc(STAT[[#This Row],[retranca]],  "\w\d{4}\w*_\d")     )</f>
        <v>#NAME?</v>
      </c>
      <c r="B464" s="21" t="s">
        <v>1124</v>
      </c>
      <c r="C464" s="14" t="s">
        <v>72</v>
      </c>
      <c r="D464" s="14" t="s">
        <v>9</v>
      </c>
      <c r="E464" s="14" t="s">
        <v>10</v>
      </c>
      <c r="F464" s="14">
        <v>76</v>
      </c>
      <c r="G464" s="14">
        <v>4</v>
      </c>
      <c r="H464" s="14">
        <v>4</v>
      </c>
      <c r="I464" s="14">
        <v>4</v>
      </c>
      <c r="J464" s="28" t="s">
        <v>55</v>
      </c>
      <c r="K464" s="36"/>
      <c r="L464" s="14"/>
      <c r="M464" s="14"/>
      <c r="N464" s="14"/>
      <c r="O464" s="14"/>
      <c r="P464" s="25" t="s">
        <v>1125</v>
      </c>
      <c r="Q464" s="22"/>
      <c r="R464" s="22"/>
      <c r="S464" s="14"/>
      <c r="T464" s="27"/>
      <c r="U464" s="27"/>
      <c r="V464" s="27"/>
      <c r="W464" s="27"/>
      <c r="X464" s="27"/>
      <c r="Y464" s="14" t="s">
        <v>43</v>
      </c>
      <c r="Z464" s="40" t="e">
        <f>IF(STAT[[#This Row],[sigla]]="","",VLOOKUP(STAT[[#This Row],[sigla]],CRÉDITOS_GERAIS[[sigla]:[credito]],2,))</f>
        <v>#N/A</v>
      </c>
      <c r="AA464" s="14"/>
      <c r="AB464" s="14" t="e">
        <f>STAT[[#This Row],[ilustrador]]</f>
        <v>#N/A</v>
      </c>
      <c r="AC464" s="14"/>
      <c r="AD464" s="22"/>
      <c r="AE464" s="14"/>
      <c r="AF464" s="42" t="str">
        <f t="shared" si="7"/>
        <v>P007</v>
      </c>
    </row>
    <row r="465" spans="1:32" hidden="1" x14ac:dyDescent="0.3">
      <c r="A465" s="12" t="e" cm="1">
        <f t="array" aca="1" ref="A465" ca="1">IF(STAT[[#This Row],[retranca]]="","",       RegxFunc(STAT[[#This Row],[retranca]],  "\w\d{4}\w*_\d")     )</f>
        <v>#NAME?</v>
      </c>
      <c r="B465" s="21" t="s">
        <v>1126</v>
      </c>
      <c r="C465" s="14" t="s">
        <v>72</v>
      </c>
      <c r="D465" s="14" t="s">
        <v>9</v>
      </c>
      <c r="E465" s="14" t="s">
        <v>10</v>
      </c>
      <c r="F465" s="14">
        <v>76</v>
      </c>
      <c r="G465" s="14">
        <v>4</v>
      </c>
      <c r="H465" s="14">
        <v>4</v>
      </c>
      <c r="I465" s="14">
        <v>4</v>
      </c>
      <c r="J465" s="28" t="s">
        <v>55</v>
      </c>
      <c r="K465" s="36"/>
      <c r="L465" s="14"/>
      <c r="M465" s="14"/>
      <c r="N465" s="14"/>
      <c r="O465" s="14"/>
      <c r="P465" s="25" t="s">
        <v>1127</v>
      </c>
      <c r="Q465" s="22"/>
      <c r="R465" s="22"/>
      <c r="S465" s="14"/>
      <c r="T465" s="27"/>
      <c r="U465" s="27"/>
      <c r="V465" s="27"/>
      <c r="W465" s="27"/>
      <c r="X465" s="27"/>
      <c r="Y465" s="14" t="s">
        <v>43</v>
      </c>
      <c r="Z465" s="40" t="e">
        <f>IF(STAT[[#This Row],[sigla]]="","",VLOOKUP(STAT[[#This Row],[sigla]],CRÉDITOS_GERAIS[[sigla]:[credito]],2,))</f>
        <v>#N/A</v>
      </c>
      <c r="AA465" s="14"/>
      <c r="AB465" s="14" t="e">
        <f>STAT[[#This Row],[ilustrador]]</f>
        <v>#N/A</v>
      </c>
      <c r="AC465" s="14"/>
      <c r="AD465" s="22"/>
      <c r="AE465" s="14"/>
      <c r="AF465" s="42" t="str">
        <f t="shared" si="7"/>
        <v>P007</v>
      </c>
    </row>
    <row r="466" spans="1:32" hidden="1" x14ac:dyDescent="0.3">
      <c r="A466" s="12" t="e" cm="1">
        <f t="array" aca="1" ref="A466" ca="1">IF(STAT[[#This Row],[retranca]]="","",       RegxFunc(STAT[[#This Row],[retranca]],  "\w\d{4}\w*_\d")     )</f>
        <v>#NAME?</v>
      </c>
      <c r="B466" s="21" t="s">
        <v>1128</v>
      </c>
      <c r="C466" s="14" t="s">
        <v>72</v>
      </c>
      <c r="D466" s="14" t="s">
        <v>9</v>
      </c>
      <c r="E466" s="14" t="s">
        <v>10</v>
      </c>
      <c r="F466" s="14">
        <v>76</v>
      </c>
      <c r="G466" s="14">
        <v>4</v>
      </c>
      <c r="H466" s="14">
        <v>4</v>
      </c>
      <c r="I466" s="14">
        <v>4</v>
      </c>
      <c r="J466" s="28" t="s">
        <v>55</v>
      </c>
      <c r="K466" s="36"/>
      <c r="L466" s="14"/>
      <c r="M466" s="14"/>
      <c r="N466" s="14"/>
      <c r="O466" s="14"/>
      <c r="P466" s="25" t="s">
        <v>1129</v>
      </c>
      <c r="Q466" s="22"/>
      <c r="R466" s="22"/>
      <c r="S466" s="14"/>
      <c r="T466" s="27"/>
      <c r="U466" s="27"/>
      <c r="V466" s="27"/>
      <c r="W466" s="27"/>
      <c r="X466" s="27"/>
      <c r="Y466" s="14" t="s">
        <v>43</v>
      </c>
      <c r="Z466" s="40" t="e">
        <f>IF(STAT[[#This Row],[sigla]]="","",VLOOKUP(STAT[[#This Row],[sigla]],CRÉDITOS_GERAIS[[sigla]:[credito]],2,))</f>
        <v>#N/A</v>
      </c>
      <c r="AA466" s="14"/>
      <c r="AB466" s="14" t="e">
        <f>STAT[[#This Row],[ilustrador]]</f>
        <v>#N/A</v>
      </c>
      <c r="AC466" s="14"/>
      <c r="AD466" s="22"/>
      <c r="AE466" s="14"/>
      <c r="AF466" s="42" t="str">
        <f t="shared" si="7"/>
        <v>P007</v>
      </c>
    </row>
    <row r="467" spans="1:32" hidden="1" x14ac:dyDescent="0.3">
      <c r="A467" s="12" t="e" cm="1">
        <f t="array" aca="1" ref="A467" ca="1">IF(STAT[[#This Row],[retranca]]="","",       RegxFunc(STAT[[#This Row],[retranca]],  "\w\d{4}\w*_\d")     )</f>
        <v>#NAME?</v>
      </c>
      <c r="B467" s="21" t="s">
        <v>1130</v>
      </c>
      <c r="C467" s="14" t="s">
        <v>72</v>
      </c>
      <c r="D467" s="14" t="s">
        <v>9</v>
      </c>
      <c r="E467" s="14" t="s">
        <v>10</v>
      </c>
      <c r="F467" s="14">
        <v>76</v>
      </c>
      <c r="G467" s="14">
        <v>4</v>
      </c>
      <c r="H467" s="14">
        <v>4</v>
      </c>
      <c r="I467" s="14">
        <v>4</v>
      </c>
      <c r="J467" s="28" t="s">
        <v>55</v>
      </c>
      <c r="K467" s="36"/>
      <c r="L467" s="14"/>
      <c r="M467" s="14"/>
      <c r="N467" s="14"/>
      <c r="O467" s="14"/>
      <c r="P467" s="25" t="s">
        <v>1131</v>
      </c>
      <c r="Q467" s="22"/>
      <c r="R467" s="22"/>
      <c r="S467" s="14"/>
      <c r="T467" s="27"/>
      <c r="U467" s="27"/>
      <c r="V467" s="27"/>
      <c r="W467" s="27"/>
      <c r="X467" s="27"/>
      <c r="Y467" s="14" t="s">
        <v>43</v>
      </c>
      <c r="Z467" s="40" t="e">
        <f>IF(STAT[[#This Row],[sigla]]="","",VLOOKUP(STAT[[#This Row],[sigla]],CRÉDITOS_GERAIS[[sigla]:[credito]],2,))</f>
        <v>#N/A</v>
      </c>
      <c r="AA467" s="14"/>
      <c r="AB467" s="14" t="e">
        <f>STAT[[#This Row],[ilustrador]]</f>
        <v>#N/A</v>
      </c>
      <c r="AC467" s="14"/>
      <c r="AD467" s="22"/>
      <c r="AE467" s="14"/>
      <c r="AF467" s="42" t="str">
        <f t="shared" si="7"/>
        <v>P007</v>
      </c>
    </row>
    <row r="468" spans="1:32" hidden="1" x14ac:dyDescent="0.3">
      <c r="A468" s="12" t="e" cm="1">
        <f t="array" aca="1" ref="A468" ca="1">IF(STAT[[#This Row],[retranca]]="","",       RegxFunc(STAT[[#This Row],[retranca]],  "\w\d{4}\w*_\d")     )</f>
        <v>#NAME?</v>
      </c>
      <c r="B468" s="21" t="s">
        <v>1132</v>
      </c>
      <c r="C468" s="14" t="s">
        <v>72</v>
      </c>
      <c r="D468" s="14" t="s">
        <v>9</v>
      </c>
      <c r="E468" s="14" t="s">
        <v>10</v>
      </c>
      <c r="F468" s="14">
        <v>76</v>
      </c>
      <c r="G468" s="14">
        <v>4</v>
      </c>
      <c r="H468" s="14">
        <v>4</v>
      </c>
      <c r="I468" s="14">
        <v>4</v>
      </c>
      <c r="J468" s="28" t="s">
        <v>55</v>
      </c>
      <c r="K468" s="36"/>
      <c r="L468" s="14"/>
      <c r="M468" s="14"/>
      <c r="N468" s="14"/>
      <c r="O468" s="14"/>
      <c r="P468" s="25" t="s">
        <v>1133</v>
      </c>
      <c r="Q468" s="21"/>
      <c r="R468" s="22"/>
      <c r="S468" s="14"/>
      <c r="T468" s="27"/>
      <c r="U468" s="27"/>
      <c r="V468" s="27"/>
      <c r="W468" s="27"/>
      <c r="X468" s="27"/>
      <c r="Y468" s="14" t="s">
        <v>43</v>
      </c>
      <c r="Z468" s="40" t="e">
        <f>IF(STAT[[#This Row],[sigla]]="","",VLOOKUP(STAT[[#This Row],[sigla]],CRÉDITOS_GERAIS[[sigla]:[credito]],2,))</f>
        <v>#N/A</v>
      </c>
      <c r="AA468" s="14"/>
      <c r="AB468" s="14" t="e">
        <f>STAT[[#This Row],[ilustrador]]</f>
        <v>#N/A</v>
      </c>
      <c r="AC468" s="14"/>
      <c r="AD468" s="22"/>
      <c r="AE468" s="15"/>
      <c r="AF468" s="42" t="str">
        <f t="shared" si="7"/>
        <v>P007</v>
      </c>
    </row>
    <row r="469" spans="1:32" ht="28.8" hidden="1" x14ac:dyDescent="0.3">
      <c r="A469" s="12" t="e" cm="1">
        <f t="array" aca="1" ref="A469" ca="1">IF(STAT[[#This Row],[retranca]]="","",       RegxFunc(STAT[[#This Row],[retranca]],  "\w\d{4}\w*_\d")     )</f>
        <v>#NAME?</v>
      </c>
      <c r="B469" s="21" t="s">
        <v>1134</v>
      </c>
      <c r="C469" s="14" t="s">
        <v>72</v>
      </c>
      <c r="D469" s="14" t="s">
        <v>9</v>
      </c>
      <c r="E469" s="14" t="s">
        <v>10</v>
      </c>
      <c r="F469" s="14">
        <v>94</v>
      </c>
      <c r="G469" s="14">
        <v>4</v>
      </c>
      <c r="H469" s="14">
        <v>5</v>
      </c>
      <c r="I469" s="14">
        <v>5</v>
      </c>
      <c r="J469" s="28" t="s">
        <v>55</v>
      </c>
      <c r="K469" s="36"/>
      <c r="L469" s="14"/>
      <c r="M469" s="14"/>
      <c r="N469" s="14"/>
      <c r="O469" s="14"/>
      <c r="P469" s="25" t="s">
        <v>1135</v>
      </c>
      <c r="Q469" s="22"/>
      <c r="R469" s="22"/>
      <c r="S469" s="14">
        <v>66</v>
      </c>
      <c r="T469" s="27">
        <v>45875</v>
      </c>
      <c r="U469" s="27">
        <v>45875</v>
      </c>
      <c r="V469" s="27"/>
      <c r="W469" s="27"/>
      <c r="X469" s="27">
        <v>45875</v>
      </c>
      <c r="Y469" s="14" t="s">
        <v>207</v>
      </c>
      <c r="Z469" s="40" t="str">
        <f>IF(STAT[[#This Row],[sigla]]="","",VLOOKUP(STAT[[#This Row],[sigla]],CRÉDITOS_GERAIS[[sigla]:[credito]],2,))</f>
        <v>Vinícius Costa</v>
      </c>
      <c r="AA469" s="14"/>
      <c r="AB469" s="14" t="str">
        <f>STAT[[#This Row],[ilustrador]]</f>
        <v>Vinícius Costa</v>
      </c>
      <c r="AC469" s="14">
        <v>8</v>
      </c>
      <c r="AD469" s="22" t="s">
        <v>146</v>
      </c>
      <c r="AE469" s="14" t="s">
        <v>46</v>
      </c>
      <c r="AF469" s="42" t="str">
        <f t="shared" si="7"/>
        <v>P007</v>
      </c>
    </row>
    <row r="470" spans="1:32" ht="57.6" hidden="1" x14ac:dyDescent="0.3">
      <c r="A470" s="12" t="e" cm="1">
        <f t="array" aca="1" ref="A470" ca="1">IF(STAT[[#This Row],[retranca]]="","",       RegxFunc(STAT[[#This Row],[retranca]],  "\w\d{4}\w*_\d")     )</f>
        <v>#NAME?</v>
      </c>
      <c r="B470" s="21" t="s">
        <v>1136</v>
      </c>
      <c r="C470" s="14" t="s">
        <v>72</v>
      </c>
      <c r="D470" s="14" t="s">
        <v>9</v>
      </c>
      <c r="E470" s="14" t="s">
        <v>10</v>
      </c>
      <c r="F470" s="14">
        <v>36</v>
      </c>
      <c r="G470" s="14">
        <v>3</v>
      </c>
      <c r="H470" s="14">
        <v>3</v>
      </c>
      <c r="I470" s="14">
        <v>3</v>
      </c>
      <c r="J470" s="28" t="s">
        <v>55</v>
      </c>
      <c r="K470" s="36"/>
      <c r="L470" s="14"/>
      <c r="M470" s="14"/>
      <c r="N470" s="14"/>
      <c r="O470" s="14"/>
      <c r="P470" s="25" t="s">
        <v>1137</v>
      </c>
      <c r="Q470" s="22"/>
      <c r="R470" s="22"/>
      <c r="S470" s="14">
        <v>68</v>
      </c>
      <c r="T470" s="27">
        <v>45877</v>
      </c>
      <c r="U470" s="27">
        <v>45880</v>
      </c>
      <c r="V470" s="27">
        <v>45883</v>
      </c>
      <c r="W470" s="27">
        <v>45885</v>
      </c>
      <c r="X470" s="27">
        <v>45887</v>
      </c>
      <c r="Y470" s="14" t="s">
        <v>552</v>
      </c>
      <c r="Z470" s="40" t="str">
        <f>IF(STAT[[#This Row],[sigla]]="","",VLOOKUP(STAT[[#This Row],[sigla]],CRÉDITOS_GERAIS[[sigla]:[credito]],2,))</f>
        <v>Rafaela Villela</v>
      </c>
      <c r="AA470" s="14"/>
      <c r="AB470" s="14" t="str">
        <f>STAT[[#This Row],[ilustrador]]</f>
        <v>Rafaela Villela</v>
      </c>
      <c r="AC470" s="14">
        <v>5</v>
      </c>
      <c r="AD470" s="22" t="s">
        <v>1138</v>
      </c>
      <c r="AE470" s="14" t="s">
        <v>87</v>
      </c>
      <c r="AF470" s="42" t="str">
        <f t="shared" si="7"/>
        <v>P007</v>
      </c>
    </row>
    <row r="471" spans="1:32" ht="28.8" hidden="1" x14ac:dyDescent="0.3">
      <c r="A471" s="12" t="e" cm="1">
        <f t="array" aca="1" ref="A471" ca="1">IF(STAT[[#This Row],[retranca]]="","",       RegxFunc(STAT[[#This Row],[retranca]],  "\w\d{4}\w*_\d")     )</f>
        <v>#NAME?</v>
      </c>
      <c r="B471" s="21" t="s">
        <v>1139</v>
      </c>
      <c r="C471" s="14" t="s">
        <v>72</v>
      </c>
      <c r="D471" s="14" t="s">
        <v>9</v>
      </c>
      <c r="E471" s="14" t="s">
        <v>10</v>
      </c>
      <c r="F471" s="14">
        <v>38</v>
      </c>
      <c r="G471" s="14">
        <v>3</v>
      </c>
      <c r="H471" s="14">
        <v>3</v>
      </c>
      <c r="I471" s="14">
        <v>3</v>
      </c>
      <c r="J471" s="28" t="s">
        <v>55</v>
      </c>
      <c r="K471" s="36"/>
      <c r="L471" s="14"/>
      <c r="M471" s="14"/>
      <c r="N471" s="14"/>
      <c r="O471" s="14"/>
      <c r="P471" s="25" t="s">
        <v>1140</v>
      </c>
      <c r="Q471" s="22"/>
      <c r="R471" s="22"/>
      <c r="S471" s="14">
        <v>68</v>
      </c>
      <c r="T471" s="27">
        <v>45877</v>
      </c>
      <c r="U471" s="27">
        <v>45880</v>
      </c>
      <c r="V471" s="27">
        <v>45883</v>
      </c>
      <c r="W471" s="27">
        <v>45885</v>
      </c>
      <c r="X471" s="27">
        <v>45887</v>
      </c>
      <c r="Y471" s="14" t="s">
        <v>552</v>
      </c>
      <c r="Z471" s="40" t="str">
        <f>IF(STAT[[#This Row],[sigla]]="","",VLOOKUP(STAT[[#This Row],[sigla]],CRÉDITOS_GERAIS[[sigla]:[credito]],2,))</f>
        <v>Rafaela Villela</v>
      </c>
      <c r="AA471" s="14"/>
      <c r="AB471" s="14" t="str">
        <f>STAT[[#This Row],[ilustrador]]</f>
        <v>Rafaela Villela</v>
      </c>
      <c r="AC471" s="14">
        <v>4</v>
      </c>
      <c r="AD471" s="22" t="s">
        <v>1138</v>
      </c>
      <c r="AE471" s="14" t="s">
        <v>87</v>
      </c>
      <c r="AF471" s="42" t="str">
        <f t="shared" si="7"/>
        <v>P007</v>
      </c>
    </row>
    <row r="472" spans="1:32" ht="230.4" hidden="1" x14ac:dyDescent="0.3">
      <c r="A472" s="12" t="e" cm="1">
        <f t="array" aca="1" ref="A472" ca="1">IF(STAT[[#This Row],[retranca]]="","",       RegxFunc(STAT[[#This Row],[retranca]],  "\w\d{4}\w*_\d")     )</f>
        <v>#NAME?</v>
      </c>
      <c r="B472" s="21" t="s">
        <v>1141</v>
      </c>
      <c r="C472" s="14" t="s">
        <v>72</v>
      </c>
      <c r="D472" s="14" t="s">
        <v>9</v>
      </c>
      <c r="E472" s="14" t="s">
        <v>10</v>
      </c>
      <c r="F472" s="14">
        <v>39</v>
      </c>
      <c r="G472" s="14">
        <v>3</v>
      </c>
      <c r="H472" s="14">
        <v>3</v>
      </c>
      <c r="I472" s="14">
        <v>3</v>
      </c>
      <c r="J472" s="28" t="s">
        <v>55</v>
      </c>
      <c r="K472" s="36"/>
      <c r="L472" s="14"/>
      <c r="M472" s="14"/>
      <c r="N472" s="14"/>
      <c r="O472" s="14"/>
      <c r="P472" s="25" t="s">
        <v>1142</v>
      </c>
      <c r="Q472" s="22"/>
      <c r="R472" s="22"/>
      <c r="S472" s="14">
        <v>68</v>
      </c>
      <c r="T472" s="27">
        <v>45877</v>
      </c>
      <c r="U472" s="27">
        <v>45880</v>
      </c>
      <c r="V472" s="27">
        <v>45883</v>
      </c>
      <c r="W472" s="27">
        <v>45885</v>
      </c>
      <c r="X472" s="27">
        <v>45887</v>
      </c>
      <c r="Y472" s="14" t="s">
        <v>552</v>
      </c>
      <c r="Z472" s="40" t="str">
        <f>IF(STAT[[#This Row],[sigla]]="","",VLOOKUP(STAT[[#This Row],[sigla]],CRÉDITOS_GERAIS[[sigla]:[credito]],2,))</f>
        <v>Rafaela Villela</v>
      </c>
      <c r="AA472" s="14"/>
      <c r="AB472" s="14" t="str">
        <f>STAT[[#This Row],[ilustrador]]</f>
        <v>Rafaela Villela</v>
      </c>
      <c r="AC472" s="14">
        <v>6</v>
      </c>
      <c r="AD472" s="22" t="s">
        <v>1138</v>
      </c>
      <c r="AE472" s="14" t="s">
        <v>87</v>
      </c>
      <c r="AF472" s="42" t="str">
        <f t="shared" si="7"/>
        <v>P007</v>
      </c>
    </row>
    <row r="473" spans="1:32" ht="28.8" hidden="1" x14ac:dyDescent="0.3">
      <c r="A473" s="12" t="e" cm="1">
        <f t="array" aca="1" ref="A473" ca="1">IF(STAT[[#This Row],[retranca]]="","",       RegxFunc(STAT[[#This Row],[retranca]],  "\w\d{4}\w*_\d")     )</f>
        <v>#NAME?</v>
      </c>
      <c r="B473" s="21" t="s">
        <v>1143</v>
      </c>
      <c r="C473" s="14" t="s">
        <v>72</v>
      </c>
      <c r="D473" s="14" t="s">
        <v>9</v>
      </c>
      <c r="E473" s="14" t="s">
        <v>10</v>
      </c>
      <c r="F473" s="14">
        <v>40</v>
      </c>
      <c r="G473" s="14">
        <v>3</v>
      </c>
      <c r="H473" s="14">
        <v>3</v>
      </c>
      <c r="I473" s="14">
        <v>3</v>
      </c>
      <c r="J473" s="28" t="s">
        <v>55</v>
      </c>
      <c r="K473" s="36"/>
      <c r="L473" s="14"/>
      <c r="M473" s="14"/>
      <c r="N473" s="14"/>
      <c r="O473" s="14"/>
      <c r="P473" s="25" t="s">
        <v>1144</v>
      </c>
      <c r="Q473" s="22"/>
      <c r="R473" s="22"/>
      <c r="S473" s="14">
        <v>68</v>
      </c>
      <c r="T473" s="27">
        <v>45877</v>
      </c>
      <c r="U473" s="27">
        <v>45880</v>
      </c>
      <c r="V473" s="27">
        <v>45883</v>
      </c>
      <c r="W473" s="27">
        <v>45885</v>
      </c>
      <c r="X473" s="27">
        <v>45887</v>
      </c>
      <c r="Y473" s="14" t="s">
        <v>552</v>
      </c>
      <c r="Z473" s="40" t="str">
        <f>IF(STAT[[#This Row],[sigla]]="","",VLOOKUP(STAT[[#This Row],[sigla]],CRÉDITOS_GERAIS[[sigla]:[credito]],2,))</f>
        <v>Rafaela Villela</v>
      </c>
      <c r="AA473" s="14"/>
      <c r="AB473" s="14" t="str">
        <f>STAT[[#This Row],[ilustrador]]</f>
        <v>Rafaela Villela</v>
      </c>
      <c r="AC473" s="14">
        <v>5</v>
      </c>
      <c r="AD473" s="22" t="s">
        <v>1138</v>
      </c>
      <c r="AE473" s="14" t="s">
        <v>87</v>
      </c>
      <c r="AF473" s="42" t="str">
        <f t="shared" si="7"/>
        <v>P007</v>
      </c>
    </row>
    <row r="474" spans="1:32" ht="72" hidden="1" x14ac:dyDescent="0.3">
      <c r="A474" s="12" t="e" cm="1">
        <f t="array" aca="1" ref="A474" ca="1">IF(STAT[[#This Row],[retranca]]="","",       RegxFunc(STAT[[#This Row],[retranca]],  "\w\d{4}\w*_\d")     )</f>
        <v>#NAME?</v>
      </c>
      <c r="B474" s="21" t="s">
        <v>1145</v>
      </c>
      <c r="C474" s="14" t="s">
        <v>72</v>
      </c>
      <c r="D474" s="14" t="s">
        <v>9</v>
      </c>
      <c r="E474" s="14" t="s">
        <v>10</v>
      </c>
      <c r="F474" s="14">
        <v>43</v>
      </c>
      <c r="G474" s="14">
        <v>3</v>
      </c>
      <c r="H474" s="14">
        <v>3</v>
      </c>
      <c r="I474" s="14">
        <v>3</v>
      </c>
      <c r="J474" s="28" t="s">
        <v>55</v>
      </c>
      <c r="K474" s="36"/>
      <c r="L474" s="14"/>
      <c r="M474" s="14"/>
      <c r="N474" s="14"/>
      <c r="O474" s="14"/>
      <c r="P474" s="25" t="s">
        <v>1146</v>
      </c>
      <c r="Q474" s="22"/>
      <c r="R474" s="22"/>
      <c r="S474" s="14">
        <v>68</v>
      </c>
      <c r="T474" s="27">
        <v>45877</v>
      </c>
      <c r="U474" s="27">
        <v>45880</v>
      </c>
      <c r="V474" s="27">
        <v>45883</v>
      </c>
      <c r="W474" s="27">
        <v>45885</v>
      </c>
      <c r="X474" s="27">
        <v>45888</v>
      </c>
      <c r="Y474" s="14" t="s">
        <v>552</v>
      </c>
      <c r="Z474" s="40" t="str">
        <f>IF(STAT[[#This Row],[sigla]]="","",VLOOKUP(STAT[[#This Row],[sigla]],CRÉDITOS_GERAIS[[sigla]:[credito]],2,))</f>
        <v>Rafaela Villela</v>
      </c>
      <c r="AA474" s="14"/>
      <c r="AB474" s="14" t="str">
        <f>STAT[[#This Row],[ilustrador]]</f>
        <v>Rafaela Villela</v>
      </c>
      <c r="AC474" s="14">
        <v>1</v>
      </c>
      <c r="AD474" s="22" t="s">
        <v>1138</v>
      </c>
      <c r="AE474" s="14" t="s">
        <v>87</v>
      </c>
      <c r="AF474" s="42" t="str">
        <f t="shared" si="7"/>
        <v>P007</v>
      </c>
    </row>
    <row r="475" spans="1:32" ht="72" hidden="1" x14ac:dyDescent="0.3">
      <c r="A475" s="12" t="e" cm="1">
        <f t="array" aca="1" ref="A475" ca="1">IF(STAT[[#This Row],[retranca]]="","",       RegxFunc(STAT[[#This Row],[retranca]],  "\w\d{4}\w*_\d")     )</f>
        <v>#NAME?</v>
      </c>
      <c r="B475" s="21" t="s">
        <v>1147</v>
      </c>
      <c r="C475" s="14" t="s">
        <v>72</v>
      </c>
      <c r="D475" s="14" t="s">
        <v>9</v>
      </c>
      <c r="E475" s="14" t="s">
        <v>10</v>
      </c>
      <c r="F475" s="14">
        <v>43</v>
      </c>
      <c r="G475" s="14">
        <v>3</v>
      </c>
      <c r="H475" s="14">
        <v>3</v>
      </c>
      <c r="I475" s="14">
        <v>3</v>
      </c>
      <c r="J475" s="28" t="s">
        <v>55</v>
      </c>
      <c r="K475" s="36"/>
      <c r="L475" s="14"/>
      <c r="M475" s="14"/>
      <c r="N475" s="14"/>
      <c r="O475" s="14"/>
      <c r="P475" s="25" t="s">
        <v>1148</v>
      </c>
      <c r="Q475" s="22"/>
      <c r="R475" s="22"/>
      <c r="S475" s="14">
        <v>68</v>
      </c>
      <c r="T475" s="27">
        <v>45877</v>
      </c>
      <c r="U475" s="27">
        <v>45880</v>
      </c>
      <c r="V475" s="27">
        <v>45883</v>
      </c>
      <c r="W475" s="27">
        <v>45885</v>
      </c>
      <c r="X475" s="27">
        <v>45888</v>
      </c>
      <c r="Y475" s="14" t="s">
        <v>552</v>
      </c>
      <c r="Z475" s="40" t="str">
        <f>IF(STAT[[#This Row],[sigla]]="","",VLOOKUP(STAT[[#This Row],[sigla]],CRÉDITOS_GERAIS[[sigla]:[credito]],2,))</f>
        <v>Rafaela Villela</v>
      </c>
      <c r="AA475" s="14"/>
      <c r="AB475" s="14" t="str">
        <f>STAT[[#This Row],[ilustrador]]</f>
        <v>Rafaela Villela</v>
      </c>
      <c r="AC475" s="14">
        <v>4</v>
      </c>
      <c r="AD475" s="22" t="s">
        <v>1138</v>
      </c>
      <c r="AE475" s="14" t="s">
        <v>87</v>
      </c>
      <c r="AF475" s="42" t="str">
        <f t="shared" si="7"/>
        <v>P007</v>
      </c>
    </row>
    <row r="476" spans="1:32" hidden="1" x14ac:dyDescent="0.3">
      <c r="A476" s="12" t="e" cm="1">
        <f t="array" aca="1" ref="A476" ca="1">IF(STAT[[#This Row],[retranca]]="","",       RegxFunc(STAT[[#This Row],[retranca]],  "\w\d{4}\w*_\d")     )</f>
        <v>#NAME?</v>
      </c>
      <c r="B476" s="21" t="s">
        <v>1149</v>
      </c>
      <c r="C476" s="14" t="s">
        <v>122</v>
      </c>
      <c r="D476" s="14" t="s">
        <v>9</v>
      </c>
      <c r="E476" s="14" t="s">
        <v>10</v>
      </c>
      <c r="F476" s="14">
        <v>44</v>
      </c>
      <c r="G476" s="14">
        <v>3</v>
      </c>
      <c r="H476" s="14">
        <v>3</v>
      </c>
      <c r="I476" s="14">
        <v>3</v>
      </c>
      <c r="J476" s="28" t="s">
        <v>55</v>
      </c>
      <c r="K476" s="36"/>
      <c r="L476" s="14"/>
      <c r="M476" s="14"/>
      <c r="N476" s="14"/>
      <c r="O476" s="14"/>
      <c r="P476" s="25" t="s">
        <v>1150</v>
      </c>
      <c r="Q476" s="22"/>
      <c r="R476" s="22"/>
      <c r="S476" s="14">
        <v>68</v>
      </c>
      <c r="T476" s="27">
        <v>45877</v>
      </c>
      <c r="U476" s="27">
        <v>45880</v>
      </c>
      <c r="V476" s="27">
        <v>45883</v>
      </c>
      <c r="W476" s="27">
        <v>45887</v>
      </c>
      <c r="X476" s="27">
        <v>45889</v>
      </c>
      <c r="Y476" s="14" t="s">
        <v>919</v>
      </c>
      <c r="Z476" s="40" t="str">
        <f>IF(STAT[[#This Row],[sigla]]="","",VLOOKUP(STAT[[#This Row],[sigla]],CRÉDITOS_GERAIS[[sigla]:[credito]],2,))</f>
        <v>Raquel Teixeira</v>
      </c>
      <c r="AA476" s="14"/>
      <c r="AB476" s="14" t="str">
        <f>STAT[[#This Row],[ilustrador]]</f>
        <v>Raquel Teixeira</v>
      </c>
      <c r="AC476" s="14">
        <v>8</v>
      </c>
      <c r="AD476" s="22" t="s">
        <v>1151</v>
      </c>
      <c r="AE476" s="14" t="s">
        <v>87</v>
      </c>
      <c r="AF476" s="42" t="str">
        <f t="shared" si="7"/>
        <v>P007</v>
      </c>
    </row>
    <row r="477" spans="1:32" ht="86.4" hidden="1" x14ac:dyDescent="0.3">
      <c r="A477" s="12" t="e" cm="1">
        <f t="array" aca="1" ref="A477" ca="1">IF(STAT[[#This Row],[retranca]]="","",       RegxFunc(STAT[[#This Row],[retranca]],  "\w\d{4}\w*_\d")     )</f>
        <v>#NAME?</v>
      </c>
      <c r="B477" s="21" t="s">
        <v>1152</v>
      </c>
      <c r="C477" s="14" t="s">
        <v>1084</v>
      </c>
      <c r="D477" s="14" t="s">
        <v>9</v>
      </c>
      <c r="E477" s="14" t="s">
        <v>10</v>
      </c>
      <c r="F477" s="14">
        <v>44</v>
      </c>
      <c r="G477" s="14">
        <v>3</v>
      </c>
      <c r="H477" s="14">
        <v>3</v>
      </c>
      <c r="I477" s="14">
        <v>3</v>
      </c>
      <c r="J477" s="28" t="s">
        <v>55</v>
      </c>
      <c r="K477" s="36"/>
      <c r="L477" s="14"/>
      <c r="M477" s="14"/>
      <c r="N477" s="14"/>
      <c r="O477" s="14"/>
      <c r="P477" s="25" t="s">
        <v>1153</v>
      </c>
      <c r="Q477" s="22"/>
      <c r="R477" s="22"/>
      <c r="S477" s="14">
        <v>68</v>
      </c>
      <c r="T477" s="27">
        <v>45877</v>
      </c>
      <c r="U477" s="27">
        <v>45880</v>
      </c>
      <c r="V477" s="27">
        <v>45883</v>
      </c>
      <c r="W477" s="27">
        <v>45887</v>
      </c>
      <c r="X477" s="27">
        <v>45889</v>
      </c>
      <c r="Y477" s="14" t="s">
        <v>919</v>
      </c>
      <c r="Z477" s="40" t="str">
        <f>IF(STAT[[#This Row],[sigla]]="","",VLOOKUP(STAT[[#This Row],[sigla]],CRÉDITOS_GERAIS[[sigla]:[credito]],2,))</f>
        <v>Raquel Teixeira</v>
      </c>
      <c r="AA477" s="14"/>
      <c r="AB477" s="14" t="str">
        <f>STAT[[#This Row],[ilustrador]]</f>
        <v>Raquel Teixeira</v>
      </c>
      <c r="AC477" s="14">
        <v>4</v>
      </c>
      <c r="AD477" s="22" t="s">
        <v>1151</v>
      </c>
      <c r="AE477" s="14" t="s">
        <v>87</v>
      </c>
      <c r="AF477" s="42" t="str">
        <f t="shared" si="7"/>
        <v>P007</v>
      </c>
    </row>
    <row r="478" spans="1:32" ht="72" hidden="1" x14ac:dyDescent="0.3">
      <c r="A478" s="12" t="e" cm="1">
        <f t="array" aca="1" ref="A478" ca="1">IF(STAT[[#This Row],[retranca]]="","",       RegxFunc(STAT[[#This Row],[retranca]],  "\w\d{4}\w*_\d")     )</f>
        <v>#NAME?</v>
      </c>
      <c r="B478" s="21" t="s">
        <v>1154</v>
      </c>
      <c r="C478" s="14" t="s">
        <v>122</v>
      </c>
      <c r="D478" s="14" t="s">
        <v>9</v>
      </c>
      <c r="E478" s="14" t="s">
        <v>10</v>
      </c>
      <c r="F478" s="14">
        <v>47</v>
      </c>
      <c r="G478" s="14">
        <v>3</v>
      </c>
      <c r="H478" s="14">
        <v>3</v>
      </c>
      <c r="I478" s="14">
        <v>3</v>
      </c>
      <c r="J478" s="28" t="s">
        <v>55</v>
      </c>
      <c r="K478" s="36"/>
      <c r="L478" s="14"/>
      <c r="M478" s="14"/>
      <c r="N478" s="14"/>
      <c r="O478" s="14"/>
      <c r="P478" s="25" t="s">
        <v>1155</v>
      </c>
      <c r="Q478" s="22"/>
      <c r="R478" s="22"/>
      <c r="S478" s="14">
        <v>68</v>
      </c>
      <c r="T478" s="27">
        <v>45877</v>
      </c>
      <c r="U478" s="27">
        <v>45880</v>
      </c>
      <c r="V478" s="27">
        <v>45883</v>
      </c>
      <c r="W478" s="27">
        <v>45887</v>
      </c>
      <c r="X478" s="27">
        <v>45890</v>
      </c>
      <c r="Y478" s="14" t="s">
        <v>919</v>
      </c>
      <c r="Z478" s="40" t="str">
        <f>IF(STAT[[#This Row],[sigla]]="","",VLOOKUP(STAT[[#This Row],[sigla]],CRÉDITOS_GERAIS[[sigla]:[credito]],2,))</f>
        <v>Raquel Teixeira</v>
      </c>
      <c r="AA478" s="14"/>
      <c r="AB478" s="14" t="str">
        <f>STAT[[#This Row],[ilustrador]]</f>
        <v>Raquel Teixeira</v>
      </c>
      <c r="AC478" s="14">
        <v>5</v>
      </c>
      <c r="AD478" s="22" t="s">
        <v>1151</v>
      </c>
      <c r="AE478" s="14" t="s">
        <v>87</v>
      </c>
      <c r="AF478" s="42" t="str">
        <f t="shared" si="7"/>
        <v>P007</v>
      </c>
    </row>
    <row r="479" spans="1:32" ht="43.2" hidden="1" x14ac:dyDescent="0.3">
      <c r="A479" s="12" t="e" cm="1">
        <f t="array" aca="1" ref="A479" ca="1">IF(STAT[[#This Row],[retranca]]="","",       RegxFunc(STAT[[#This Row],[retranca]],  "\w\d{4}\w*_\d")     )</f>
        <v>#NAME?</v>
      </c>
      <c r="B479" s="21" t="s">
        <v>1156</v>
      </c>
      <c r="C479" s="14" t="s">
        <v>72</v>
      </c>
      <c r="D479" s="14" t="s">
        <v>9</v>
      </c>
      <c r="E479" s="14" t="s">
        <v>10</v>
      </c>
      <c r="F479" s="14">
        <v>48</v>
      </c>
      <c r="G479" s="14">
        <v>3</v>
      </c>
      <c r="H479" s="14">
        <v>3</v>
      </c>
      <c r="I479" s="14">
        <v>3</v>
      </c>
      <c r="J479" s="28" t="s">
        <v>55</v>
      </c>
      <c r="K479" s="36"/>
      <c r="L479" s="14"/>
      <c r="M479" s="14"/>
      <c r="N479" s="14"/>
      <c r="O479" s="14"/>
      <c r="P479" s="25" t="s">
        <v>1157</v>
      </c>
      <c r="Q479" s="22"/>
      <c r="R479" s="22"/>
      <c r="S479" s="14">
        <v>68</v>
      </c>
      <c r="T479" s="27">
        <v>45877</v>
      </c>
      <c r="U479" s="27">
        <v>45880</v>
      </c>
      <c r="V479" s="27">
        <v>45883</v>
      </c>
      <c r="W479" s="27">
        <v>45885</v>
      </c>
      <c r="X479" s="27">
        <v>45887</v>
      </c>
      <c r="Y479" s="14" t="s">
        <v>552</v>
      </c>
      <c r="Z479" s="40" t="str">
        <f>IF(STAT[[#This Row],[sigla]]="","",VLOOKUP(STAT[[#This Row],[sigla]],CRÉDITOS_GERAIS[[sigla]:[credito]],2,))</f>
        <v>Rafaela Villela</v>
      </c>
      <c r="AA479" s="14"/>
      <c r="AB479" s="14" t="str">
        <f>STAT[[#This Row],[ilustrador]]</f>
        <v>Rafaela Villela</v>
      </c>
      <c r="AC479" s="14">
        <v>6</v>
      </c>
      <c r="AD479" s="22" t="s">
        <v>1138</v>
      </c>
      <c r="AE479" s="14" t="s">
        <v>87</v>
      </c>
      <c r="AF479" s="42" t="str">
        <f t="shared" si="7"/>
        <v>P007</v>
      </c>
    </row>
    <row r="480" spans="1:32" ht="28.8" hidden="1" x14ac:dyDescent="0.3">
      <c r="A480" s="12" t="e" cm="1">
        <f t="array" aca="1" ref="A480" ca="1">IF(STAT[[#This Row],[retranca]]="","",       RegxFunc(STAT[[#This Row],[retranca]],  "\w\d{4}\w*_\d")     )</f>
        <v>#NAME?</v>
      </c>
      <c r="B480" s="21" t="s">
        <v>1158</v>
      </c>
      <c r="C480" s="14" t="s">
        <v>72</v>
      </c>
      <c r="D480" s="14" t="s">
        <v>9</v>
      </c>
      <c r="E480" s="14" t="s">
        <v>10</v>
      </c>
      <c r="F480" s="14">
        <v>3</v>
      </c>
      <c r="G480" s="14">
        <v>3</v>
      </c>
      <c r="H480" s="14">
        <v>3</v>
      </c>
      <c r="I480" s="14" t="s">
        <v>112</v>
      </c>
      <c r="J480" s="28" t="s">
        <v>55</v>
      </c>
      <c r="K480" s="36"/>
      <c r="L480" s="14"/>
      <c r="M480" s="14"/>
      <c r="N480" s="14"/>
      <c r="O480" s="14"/>
      <c r="P480" s="25" t="s">
        <v>1159</v>
      </c>
      <c r="Q480" s="22"/>
      <c r="R480" s="22"/>
      <c r="S480" s="14">
        <v>68</v>
      </c>
      <c r="T480" s="27">
        <v>45877</v>
      </c>
      <c r="U480" s="27">
        <v>45880</v>
      </c>
      <c r="V480" s="27">
        <v>45883</v>
      </c>
      <c r="W480" s="27">
        <v>45885</v>
      </c>
      <c r="X480" s="27">
        <v>45887</v>
      </c>
      <c r="Y480" s="14" t="s">
        <v>552</v>
      </c>
      <c r="Z480" s="40" t="str">
        <f>IF(STAT[[#This Row],[sigla]]="","",VLOOKUP(STAT[[#This Row],[sigla]],CRÉDITOS_GERAIS[[sigla]:[credito]],2,))</f>
        <v>Rafaela Villela</v>
      </c>
      <c r="AA480" s="14"/>
      <c r="AB480" s="14" t="str">
        <f>STAT[[#This Row],[ilustrador]]</f>
        <v>Rafaela Villela</v>
      </c>
      <c r="AC480" s="14">
        <v>6</v>
      </c>
      <c r="AD480" s="22" t="s">
        <v>1138</v>
      </c>
      <c r="AE480" s="14" t="s">
        <v>87</v>
      </c>
      <c r="AF480" s="42" t="str">
        <f t="shared" si="7"/>
        <v>P007</v>
      </c>
    </row>
    <row r="481" spans="1:32" ht="72" hidden="1" x14ac:dyDescent="0.3">
      <c r="A481" s="12" t="e" cm="1">
        <f t="array" aca="1" ref="A481" ca="1">IF(STAT[[#This Row],[retranca]]="","",       RegxFunc(STAT[[#This Row],[retranca]],  "\w\d{4}\w*_\d")     )</f>
        <v>#NAME?</v>
      </c>
      <c r="B481" s="21" t="s">
        <v>1160</v>
      </c>
      <c r="C481" s="14" t="s">
        <v>8</v>
      </c>
      <c r="D481" s="14" t="s">
        <v>9</v>
      </c>
      <c r="E481" s="14" t="s">
        <v>10</v>
      </c>
      <c r="F481" s="14">
        <v>3</v>
      </c>
      <c r="G481" s="14">
        <v>3</v>
      </c>
      <c r="H481" s="14">
        <v>3</v>
      </c>
      <c r="I481" s="14" t="s">
        <v>112</v>
      </c>
      <c r="J481" s="28" t="s">
        <v>55</v>
      </c>
      <c r="K481" s="36"/>
      <c r="L481" s="14"/>
      <c r="M481" s="14"/>
      <c r="N481" s="14"/>
      <c r="O481" s="14"/>
      <c r="P481" s="25" t="s">
        <v>1161</v>
      </c>
      <c r="Q481" s="22"/>
      <c r="R481" s="22"/>
      <c r="S481" s="14">
        <v>68</v>
      </c>
      <c r="T481" s="27">
        <v>45877</v>
      </c>
      <c r="U481" s="27"/>
      <c r="V481" s="27"/>
      <c r="W481" s="27"/>
      <c r="X481" s="27"/>
      <c r="Y481" s="14"/>
      <c r="Z481" s="40" t="str">
        <f>IF(STAT[[#This Row],[sigla]]="","",VLOOKUP(STAT[[#This Row],[sigla]],CRÉDITOS_GERAIS[[sigla]:[credito]],2,))</f>
        <v/>
      </c>
      <c r="AA481" s="14"/>
      <c r="AB481" s="14" t="str">
        <f>STAT[[#This Row],[ilustrador]]</f>
        <v/>
      </c>
      <c r="AC481" s="14"/>
      <c r="AD481" s="22"/>
      <c r="AE481" s="14"/>
      <c r="AF481" s="42" t="str">
        <f t="shared" si="7"/>
        <v>P007</v>
      </c>
    </row>
    <row r="482" spans="1:32" ht="28.8" hidden="1" x14ac:dyDescent="0.3">
      <c r="A482" s="12" t="e" cm="1">
        <f t="array" aca="1" ref="A482" ca="1">IF(STAT[[#This Row],[retranca]]="","",       RegxFunc(STAT[[#This Row],[retranca]],  "\w\d{4}\w*_\d")     )</f>
        <v>#NAME?</v>
      </c>
      <c r="B482" s="21" t="s">
        <v>1162</v>
      </c>
      <c r="C482" s="14" t="s">
        <v>72</v>
      </c>
      <c r="D482" s="14" t="s">
        <v>9</v>
      </c>
      <c r="E482" s="14" t="s">
        <v>10</v>
      </c>
      <c r="F482" s="14">
        <v>6</v>
      </c>
      <c r="G482" s="14">
        <v>2</v>
      </c>
      <c r="H482" s="14">
        <v>5</v>
      </c>
      <c r="I482" s="14">
        <v>5</v>
      </c>
      <c r="J482" s="28" t="s">
        <v>55</v>
      </c>
      <c r="K482" s="36"/>
      <c r="L482" s="14"/>
      <c r="M482" s="14"/>
      <c r="N482" s="14"/>
      <c r="O482" s="14"/>
      <c r="P482" s="25" t="s">
        <v>1163</v>
      </c>
      <c r="Q482" s="22"/>
      <c r="R482" s="22"/>
      <c r="S482" s="14"/>
      <c r="T482" s="27"/>
      <c r="U482" s="27"/>
      <c r="V482" s="27"/>
      <c r="W482" s="27"/>
      <c r="X482" s="27"/>
      <c r="Y482" s="14" t="s">
        <v>43</v>
      </c>
      <c r="Z482" s="40" t="e">
        <f>IF(STAT[[#This Row],[sigla]]="","",VLOOKUP(STAT[[#This Row],[sigla]],CRÉDITOS_GERAIS[[sigla]:[credito]],2,))</f>
        <v>#N/A</v>
      </c>
      <c r="AA482" s="14"/>
      <c r="AB482" s="14" t="e">
        <f>STAT[[#This Row],[ilustrador]]</f>
        <v>#N/A</v>
      </c>
      <c r="AC482" s="14"/>
      <c r="AD482" s="22"/>
      <c r="AE482" s="14"/>
      <c r="AF482" s="42" t="str">
        <f t="shared" si="7"/>
        <v>P007</v>
      </c>
    </row>
    <row r="483" spans="1:32" hidden="1" x14ac:dyDescent="0.3">
      <c r="A483" s="12" t="e" cm="1">
        <f t="array" aca="1" ref="A483" ca="1">IF(STAT[[#This Row],[retranca]]="","",       RegxFunc(STAT[[#This Row],[retranca]],  "\w\d{4}\w*_\d")     )</f>
        <v>#NAME?</v>
      </c>
      <c r="B483" s="21" t="s">
        <v>1164</v>
      </c>
      <c r="C483" s="14" t="s">
        <v>72</v>
      </c>
      <c r="D483" s="14" t="s">
        <v>9</v>
      </c>
      <c r="E483" s="14" t="s">
        <v>10</v>
      </c>
      <c r="F483" s="14">
        <v>6</v>
      </c>
      <c r="G483" s="14">
        <v>2</v>
      </c>
      <c r="H483" s="14">
        <v>5</v>
      </c>
      <c r="I483" s="14">
        <v>5</v>
      </c>
      <c r="J483" s="28" t="s">
        <v>55</v>
      </c>
      <c r="K483" s="36"/>
      <c r="L483" s="14"/>
      <c r="M483" s="14"/>
      <c r="N483" s="14"/>
      <c r="O483" s="14"/>
      <c r="P483" s="25" t="s">
        <v>1165</v>
      </c>
      <c r="Q483" s="22"/>
      <c r="R483" s="22"/>
      <c r="S483" s="14"/>
      <c r="T483" s="27"/>
      <c r="U483" s="27"/>
      <c r="V483" s="27"/>
      <c r="W483" s="27"/>
      <c r="X483" s="27"/>
      <c r="Y483" s="14" t="s">
        <v>43</v>
      </c>
      <c r="Z483" s="40" t="e">
        <f>IF(STAT[[#This Row],[sigla]]="","",VLOOKUP(STAT[[#This Row],[sigla]],CRÉDITOS_GERAIS[[sigla]:[credito]],2,))</f>
        <v>#N/A</v>
      </c>
      <c r="AA483" s="14"/>
      <c r="AB483" s="14" t="e">
        <f>STAT[[#This Row],[ilustrador]]</f>
        <v>#N/A</v>
      </c>
      <c r="AC483" s="14"/>
      <c r="AD483" s="22"/>
      <c r="AE483" s="14"/>
      <c r="AF483" s="42" t="str">
        <f t="shared" si="7"/>
        <v>P007</v>
      </c>
    </row>
    <row r="484" spans="1:32" hidden="1" x14ac:dyDescent="0.3">
      <c r="A484" s="12" t="e" cm="1">
        <f t="array" aca="1" ref="A484" ca="1">IF(STAT[[#This Row],[retranca]]="","",       RegxFunc(STAT[[#This Row],[retranca]],  "\w\d{4}\w*_\d")     )</f>
        <v>#NAME?</v>
      </c>
      <c r="B484" s="21" t="s">
        <v>1166</v>
      </c>
      <c r="C484" s="14" t="s">
        <v>72</v>
      </c>
      <c r="D484" s="14" t="s">
        <v>9</v>
      </c>
      <c r="E484" s="14" t="s">
        <v>10</v>
      </c>
      <c r="F484" s="14">
        <v>6</v>
      </c>
      <c r="G484" s="14">
        <v>2</v>
      </c>
      <c r="H484" s="14">
        <v>5</v>
      </c>
      <c r="I484" s="14">
        <v>5</v>
      </c>
      <c r="J484" s="28" t="s">
        <v>55</v>
      </c>
      <c r="K484" s="36"/>
      <c r="L484" s="14"/>
      <c r="M484" s="14"/>
      <c r="N484" s="14"/>
      <c r="O484" s="14"/>
      <c r="P484" s="25" t="s">
        <v>1167</v>
      </c>
      <c r="Q484" s="22"/>
      <c r="R484" s="22"/>
      <c r="S484" s="14"/>
      <c r="T484" s="27"/>
      <c r="U484" s="27"/>
      <c r="V484" s="27"/>
      <c r="W484" s="27"/>
      <c r="X484" s="27"/>
      <c r="Y484" s="14" t="s">
        <v>43</v>
      </c>
      <c r="Z484" s="40" t="e">
        <f>IF(STAT[[#This Row],[sigla]]="","",VLOOKUP(STAT[[#This Row],[sigla]],CRÉDITOS_GERAIS[[sigla]:[credito]],2,))</f>
        <v>#N/A</v>
      </c>
      <c r="AA484" s="14"/>
      <c r="AB484" s="14" t="e">
        <f>STAT[[#This Row],[ilustrador]]</f>
        <v>#N/A</v>
      </c>
      <c r="AC484" s="14"/>
      <c r="AD484" s="22"/>
      <c r="AE484" s="14"/>
      <c r="AF484" s="42" t="str">
        <f t="shared" si="7"/>
        <v>P007</v>
      </c>
    </row>
    <row r="485" spans="1:32" hidden="1" x14ac:dyDescent="0.3">
      <c r="A485" s="12" t="e" cm="1">
        <f t="array" aca="1" ref="A485" ca="1">IF(STAT[[#This Row],[retranca]]="","",       RegxFunc(STAT[[#This Row],[retranca]],  "\w\d{4}\w*_\d")     )</f>
        <v>#NAME?</v>
      </c>
      <c r="B485" s="21" t="s">
        <v>1168</v>
      </c>
      <c r="C485" s="14" t="s">
        <v>72</v>
      </c>
      <c r="D485" s="14" t="s">
        <v>9</v>
      </c>
      <c r="E485" s="14" t="s">
        <v>10</v>
      </c>
      <c r="F485" s="14">
        <v>6</v>
      </c>
      <c r="G485" s="14">
        <v>2</v>
      </c>
      <c r="H485" s="14">
        <v>5</v>
      </c>
      <c r="I485" s="14">
        <v>5</v>
      </c>
      <c r="J485" s="28" t="s">
        <v>55</v>
      </c>
      <c r="K485" s="36"/>
      <c r="L485" s="14"/>
      <c r="M485" s="14"/>
      <c r="N485" s="14"/>
      <c r="O485" s="14"/>
      <c r="P485" s="25" t="s">
        <v>1169</v>
      </c>
      <c r="Q485" s="22"/>
      <c r="R485" s="22"/>
      <c r="S485" s="14"/>
      <c r="T485" s="27"/>
      <c r="U485" s="27"/>
      <c r="V485" s="27"/>
      <c r="W485" s="27"/>
      <c r="X485" s="27"/>
      <c r="Y485" s="14" t="s">
        <v>43</v>
      </c>
      <c r="Z485" s="40" t="e">
        <f>IF(STAT[[#This Row],[sigla]]="","",VLOOKUP(STAT[[#This Row],[sigla]],CRÉDITOS_GERAIS[[sigla]:[credito]],2,))</f>
        <v>#N/A</v>
      </c>
      <c r="AA485" s="14"/>
      <c r="AB485" s="14" t="e">
        <f>STAT[[#This Row],[ilustrador]]</f>
        <v>#N/A</v>
      </c>
      <c r="AC485" s="14"/>
      <c r="AD485" s="22"/>
      <c r="AE485" s="14"/>
      <c r="AF485" s="42" t="str">
        <f t="shared" si="7"/>
        <v>P007</v>
      </c>
    </row>
    <row r="486" spans="1:32" hidden="1" x14ac:dyDescent="0.3">
      <c r="A486" s="12" t="e" cm="1">
        <f t="array" aca="1" ref="A486" ca="1">IF(STAT[[#This Row],[retranca]]="","",       RegxFunc(STAT[[#This Row],[retranca]],  "\w\d{4}\w*_\d")     )</f>
        <v>#NAME?</v>
      </c>
      <c r="B486" s="21" t="s">
        <v>1170</v>
      </c>
      <c r="C486" s="14" t="s">
        <v>72</v>
      </c>
      <c r="D486" s="14" t="s">
        <v>9</v>
      </c>
      <c r="E486" s="14" t="s">
        <v>10</v>
      </c>
      <c r="F486" s="14">
        <v>6</v>
      </c>
      <c r="G486" s="14">
        <v>2</v>
      </c>
      <c r="H486" s="14">
        <v>5</v>
      </c>
      <c r="I486" s="14">
        <v>5</v>
      </c>
      <c r="J486" s="28" t="s">
        <v>55</v>
      </c>
      <c r="K486" s="36"/>
      <c r="L486" s="14"/>
      <c r="M486" s="14"/>
      <c r="N486" s="14"/>
      <c r="O486" s="14"/>
      <c r="P486" s="25" t="s">
        <v>1171</v>
      </c>
      <c r="Q486" s="22"/>
      <c r="R486" s="22"/>
      <c r="S486" s="14"/>
      <c r="T486" s="27"/>
      <c r="U486" s="27"/>
      <c r="V486" s="27"/>
      <c r="W486" s="27"/>
      <c r="X486" s="27"/>
      <c r="Y486" s="14" t="s">
        <v>43</v>
      </c>
      <c r="Z486" s="40" t="e">
        <f>IF(STAT[[#This Row],[sigla]]="","",VLOOKUP(STAT[[#This Row],[sigla]],CRÉDITOS_GERAIS[[sigla]:[credito]],2,))</f>
        <v>#N/A</v>
      </c>
      <c r="AA486" s="14"/>
      <c r="AB486" s="14" t="e">
        <f>STAT[[#This Row],[ilustrador]]</f>
        <v>#N/A</v>
      </c>
      <c r="AC486" s="14"/>
      <c r="AD486" s="22"/>
      <c r="AE486" s="14"/>
      <c r="AF486" s="42" t="str">
        <f t="shared" si="7"/>
        <v>P007</v>
      </c>
    </row>
    <row r="487" spans="1:32" hidden="1" x14ac:dyDescent="0.3">
      <c r="A487" s="12" t="e" cm="1">
        <f t="array" aca="1" ref="A487" ca="1">IF(STAT[[#This Row],[retranca]]="","",       RegxFunc(STAT[[#This Row],[retranca]],  "\w\d{4}\w*_\d")     )</f>
        <v>#NAME?</v>
      </c>
      <c r="B487" s="21" t="s">
        <v>1172</v>
      </c>
      <c r="C487" s="14" t="s">
        <v>72</v>
      </c>
      <c r="D487" s="14" t="s">
        <v>9</v>
      </c>
      <c r="E487" s="14" t="s">
        <v>10</v>
      </c>
      <c r="F487" s="14">
        <v>6</v>
      </c>
      <c r="G487" s="14">
        <v>2</v>
      </c>
      <c r="H487" s="14">
        <v>5</v>
      </c>
      <c r="I487" s="14">
        <v>5</v>
      </c>
      <c r="J487" s="28" t="s">
        <v>55</v>
      </c>
      <c r="K487" s="36"/>
      <c r="L487" s="14"/>
      <c r="M487" s="14"/>
      <c r="N487" s="14"/>
      <c r="O487" s="14"/>
      <c r="P487" s="25" t="s">
        <v>1173</v>
      </c>
      <c r="Q487" s="22"/>
      <c r="R487" s="22"/>
      <c r="S487" s="14"/>
      <c r="T487" s="27"/>
      <c r="U487" s="27"/>
      <c r="V487" s="27"/>
      <c r="W487" s="27"/>
      <c r="X487" s="27"/>
      <c r="Y487" s="14" t="s">
        <v>43</v>
      </c>
      <c r="Z487" s="40" t="e">
        <f>IF(STAT[[#This Row],[sigla]]="","",VLOOKUP(STAT[[#This Row],[sigla]],CRÉDITOS_GERAIS[[sigla]:[credito]],2,))</f>
        <v>#N/A</v>
      </c>
      <c r="AA487" s="14"/>
      <c r="AB487" s="14" t="e">
        <f>STAT[[#This Row],[ilustrador]]</f>
        <v>#N/A</v>
      </c>
      <c r="AC487" s="14"/>
      <c r="AD487" s="22"/>
      <c r="AE487" s="14"/>
      <c r="AF487" s="42" t="str">
        <f t="shared" si="7"/>
        <v>P007</v>
      </c>
    </row>
    <row r="488" spans="1:32" hidden="1" x14ac:dyDescent="0.3">
      <c r="A488" s="12" t="e" cm="1">
        <f t="array" aca="1" ref="A488" ca="1">IF(STAT[[#This Row],[retranca]]="","",       RegxFunc(STAT[[#This Row],[retranca]],  "\w\d{4}\w*_\d")     )</f>
        <v>#NAME?</v>
      </c>
      <c r="B488" s="21" t="s">
        <v>1174</v>
      </c>
      <c r="C488" s="14" t="s">
        <v>72</v>
      </c>
      <c r="D488" s="14" t="s">
        <v>9</v>
      </c>
      <c r="E488" s="14" t="s">
        <v>10</v>
      </c>
      <c r="F488" s="14">
        <v>6</v>
      </c>
      <c r="G488" s="14">
        <v>2</v>
      </c>
      <c r="H488" s="14">
        <v>5</v>
      </c>
      <c r="I488" s="14">
        <v>5</v>
      </c>
      <c r="J488" s="28" t="s">
        <v>55</v>
      </c>
      <c r="K488" s="36"/>
      <c r="L488" s="14"/>
      <c r="M488" s="14"/>
      <c r="N488" s="14"/>
      <c r="O488" s="14"/>
      <c r="P488" s="25" t="s">
        <v>1175</v>
      </c>
      <c r="Q488" s="22"/>
      <c r="R488" s="22"/>
      <c r="S488" s="14"/>
      <c r="T488" s="27"/>
      <c r="U488" s="27"/>
      <c r="V488" s="27"/>
      <c r="W488" s="27"/>
      <c r="X488" s="27"/>
      <c r="Y488" s="14" t="s">
        <v>43</v>
      </c>
      <c r="Z488" s="40" t="e">
        <f>IF(STAT[[#This Row],[sigla]]="","",VLOOKUP(STAT[[#This Row],[sigla]],CRÉDITOS_GERAIS[[sigla]:[credito]],2,))</f>
        <v>#N/A</v>
      </c>
      <c r="AA488" s="14"/>
      <c r="AB488" s="14" t="e">
        <f>STAT[[#This Row],[ilustrador]]</f>
        <v>#N/A</v>
      </c>
      <c r="AC488" s="14"/>
      <c r="AD488" s="22"/>
      <c r="AE488" s="14"/>
      <c r="AF488" s="42" t="str">
        <f t="shared" si="7"/>
        <v>P007</v>
      </c>
    </row>
    <row r="489" spans="1:32" hidden="1" x14ac:dyDescent="0.3">
      <c r="A489" s="12" t="e" cm="1">
        <f t="array" aca="1" ref="A489" ca="1">IF(STAT[[#This Row],[retranca]]="","",       RegxFunc(STAT[[#This Row],[retranca]],  "\w\d{4}\w*_\d")     )</f>
        <v>#NAME?</v>
      </c>
      <c r="B489" s="21" t="s">
        <v>1176</v>
      </c>
      <c r="C489" s="14" t="s">
        <v>72</v>
      </c>
      <c r="D489" s="14" t="s">
        <v>9</v>
      </c>
      <c r="E489" s="14" t="s">
        <v>10</v>
      </c>
      <c r="F489" s="14">
        <v>6</v>
      </c>
      <c r="G489" s="14">
        <v>2</v>
      </c>
      <c r="H489" s="14">
        <v>5</v>
      </c>
      <c r="I489" s="14">
        <v>5</v>
      </c>
      <c r="J489" s="28" t="s">
        <v>55</v>
      </c>
      <c r="K489" s="36"/>
      <c r="L489" s="14"/>
      <c r="M489" s="14"/>
      <c r="N489" s="14"/>
      <c r="O489" s="14"/>
      <c r="P489" s="25" t="s">
        <v>1177</v>
      </c>
      <c r="Q489" s="22"/>
      <c r="R489" s="22"/>
      <c r="S489" s="14"/>
      <c r="T489" s="27"/>
      <c r="U489" s="27"/>
      <c r="V489" s="27"/>
      <c r="W489" s="27"/>
      <c r="X489" s="27"/>
      <c r="Y489" s="14" t="s">
        <v>43</v>
      </c>
      <c r="Z489" s="40" t="e">
        <f>IF(STAT[[#This Row],[sigla]]="","",VLOOKUP(STAT[[#This Row],[sigla]],CRÉDITOS_GERAIS[[sigla]:[credito]],2,))</f>
        <v>#N/A</v>
      </c>
      <c r="AA489" s="14"/>
      <c r="AB489" s="14" t="e">
        <f>STAT[[#This Row],[ilustrador]]</f>
        <v>#N/A</v>
      </c>
      <c r="AC489" s="14"/>
      <c r="AD489" s="22"/>
      <c r="AE489" s="14"/>
      <c r="AF489" s="42" t="str">
        <f t="shared" si="7"/>
        <v>P007</v>
      </c>
    </row>
    <row r="490" spans="1:32" hidden="1" x14ac:dyDescent="0.3">
      <c r="A490" s="12" t="e" cm="1">
        <f t="array" aca="1" ref="A490" ca="1">IF(STAT[[#This Row],[retranca]]="","",       RegxFunc(STAT[[#This Row],[retranca]],  "\w\d{4}\w*_\d")     )</f>
        <v>#NAME?</v>
      </c>
      <c r="B490" s="21" t="s">
        <v>1178</v>
      </c>
      <c r="C490" s="14" t="s">
        <v>72</v>
      </c>
      <c r="D490" s="14" t="s">
        <v>9</v>
      </c>
      <c r="E490" s="14" t="s">
        <v>10</v>
      </c>
      <c r="F490" s="14">
        <v>6</v>
      </c>
      <c r="G490" s="14">
        <v>2</v>
      </c>
      <c r="H490" s="14">
        <v>5</v>
      </c>
      <c r="I490" s="14">
        <v>5</v>
      </c>
      <c r="J490" s="28" t="s">
        <v>55</v>
      </c>
      <c r="K490" s="36"/>
      <c r="L490" s="14"/>
      <c r="M490" s="14"/>
      <c r="N490" s="14"/>
      <c r="O490" s="14"/>
      <c r="P490" s="25" t="s">
        <v>1179</v>
      </c>
      <c r="Q490" s="22"/>
      <c r="R490" s="22"/>
      <c r="S490" s="14"/>
      <c r="T490" s="27"/>
      <c r="U490" s="27"/>
      <c r="V490" s="27"/>
      <c r="W490" s="27"/>
      <c r="X490" s="27"/>
      <c r="Y490" s="14" t="s">
        <v>43</v>
      </c>
      <c r="Z490" s="40" t="e">
        <f>IF(STAT[[#This Row],[sigla]]="","",VLOOKUP(STAT[[#This Row],[sigla]],CRÉDITOS_GERAIS[[sigla]:[credito]],2,))</f>
        <v>#N/A</v>
      </c>
      <c r="AA490" s="14"/>
      <c r="AB490" s="14" t="e">
        <f>STAT[[#This Row],[ilustrador]]</f>
        <v>#N/A</v>
      </c>
      <c r="AC490" s="14"/>
      <c r="AD490" s="22"/>
      <c r="AE490" s="14"/>
      <c r="AF490" s="42" t="str">
        <f t="shared" si="7"/>
        <v>P007</v>
      </c>
    </row>
    <row r="491" spans="1:32" ht="57.6" hidden="1" x14ac:dyDescent="0.3">
      <c r="A491" s="12" t="e" cm="1">
        <f t="array" aca="1" ref="A491" ca="1">IF(STAT[[#This Row],[retranca]]="","",       RegxFunc(STAT[[#This Row],[retranca]],  "\w\d{4}\w*_\d")     )</f>
        <v>#NAME?</v>
      </c>
      <c r="B491" s="21" t="s">
        <v>1180</v>
      </c>
      <c r="C491" s="14" t="s">
        <v>72</v>
      </c>
      <c r="D491" s="14" t="s">
        <v>9</v>
      </c>
      <c r="E491" s="14" t="s">
        <v>10</v>
      </c>
      <c r="F491" s="14">
        <v>8</v>
      </c>
      <c r="G491" s="14">
        <v>2</v>
      </c>
      <c r="H491" s="14">
        <v>5</v>
      </c>
      <c r="I491" s="14">
        <v>5</v>
      </c>
      <c r="J491" s="28" t="s">
        <v>55</v>
      </c>
      <c r="K491" s="36"/>
      <c r="L491" s="14"/>
      <c r="M491" s="14"/>
      <c r="N491" s="14"/>
      <c r="O491" s="14"/>
      <c r="P491" s="25" t="s">
        <v>1181</v>
      </c>
      <c r="Q491" s="22"/>
      <c r="R491" s="22"/>
      <c r="S491" s="14">
        <v>69</v>
      </c>
      <c r="T491" s="27">
        <v>45877</v>
      </c>
      <c r="U491" s="27">
        <v>45882</v>
      </c>
      <c r="V491" s="27">
        <v>45884</v>
      </c>
      <c r="W491" s="27">
        <v>45884</v>
      </c>
      <c r="X491" s="27">
        <v>45889</v>
      </c>
      <c r="Y491" s="14" t="s">
        <v>84</v>
      </c>
      <c r="Z491" s="40" t="str">
        <f>IF(STAT[[#This Row],[sigla]]="","",VLOOKUP(STAT[[#This Row],[sigla]],CRÉDITOS_GERAIS[[sigla]:[credito]],2,))</f>
        <v>Gabriel Brum</v>
      </c>
      <c r="AA491" s="14"/>
      <c r="AB491" s="14" t="str">
        <f>STAT[[#This Row],[ilustrador]]</f>
        <v>Gabriel Brum</v>
      </c>
      <c r="AC491" s="14">
        <v>5</v>
      </c>
      <c r="AD491" s="22" t="s">
        <v>1182</v>
      </c>
      <c r="AE491" s="14" t="s">
        <v>87</v>
      </c>
      <c r="AF491" s="42" t="str">
        <f t="shared" si="7"/>
        <v>P007</v>
      </c>
    </row>
    <row r="492" spans="1:32" ht="100.8" hidden="1" x14ac:dyDescent="0.3">
      <c r="A492" s="12" t="e" cm="1">
        <f t="array" aca="1" ref="A492" ca="1">IF(STAT[[#This Row],[retranca]]="","",       RegxFunc(STAT[[#This Row],[retranca]],  "\w\d{4}\w*_\d")     )</f>
        <v>#NAME?</v>
      </c>
      <c r="B492" s="21" t="s">
        <v>1183</v>
      </c>
      <c r="C492" s="14" t="s">
        <v>72</v>
      </c>
      <c r="D492" s="14" t="s">
        <v>9</v>
      </c>
      <c r="E492" s="14" t="s">
        <v>10</v>
      </c>
      <c r="F492" s="14">
        <v>12</v>
      </c>
      <c r="G492" s="14">
        <v>2</v>
      </c>
      <c r="H492" s="14">
        <v>5</v>
      </c>
      <c r="I492" s="14">
        <v>5</v>
      </c>
      <c r="J492" s="28" t="s">
        <v>55</v>
      </c>
      <c r="K492" s="36"/>
      <c r="L492" s="14"/>
      <c r="M492" s="14"/>
      <c r="N492" s="14"/>
      <c r="O492" s="14"/>
      <c r="P492" s="25" t="s">
        <v>1184</v>
      </c>
      <c r="Q492" s="22"/>
      <c r="R492" s="22"/>
      <c r="S492" s="14">
        <v>69</v>
      </c>
      <c r="T492" s="27">
        <v>45877</v>
      </c>
      <c r="U492" s="39">
        <v>45881</v>
      </c>
      <c r="V492" s="27">
        <v>45883</v>
      </c>
      <c r="W492" s="27">
        <v>45884</v>
      </c>
      <c r="X492" s="39">
        <v>45887</v>
      </c>
      <c r="Y492" s="14" t="s">
        <v>583</v>
      </c>
      <c r="Z492" s="40" t="str">
        <f>IF(STAT[[#This Row],[sigla]]="","",VLOOKUP(STAT[[#This Row],[sigla]],CRÉDITOS_GERAIS[[sigla]:[credito]],2,))</f>
        <v>Karina Oliveira</v>
      </c>
      <c r="AA492" s="14"/>
      <c r="AB492" s="14" t="str">
        <f>STAT[[#This Row],[ilustrador]]</f>
        <v>Karina Oliveira</v>
      </c>
      <c r="AC492" s="24">
        <v>6</v>
      </c>
      <c r="AD492" s="22" t="s">
        <v>1138</v>
      </c>
      <c r="AE492" s="14" t="s">
        <v>87</v>
      </c>
      <c r="AF492" s="42" t="str">
        <f t="shared" si="7"/>
        <v>P007</v>
      </c>
    </row>
    <row r="493" spans="1:32" hidden="1" x14ac:dyDescent="0.3">
      <c r="A493" s="12" t="e" cm="1">
        <f t="array" aca="1" ref="A493" ca="1">IF(STAT[[#This Row],[retranca]]="","",       RegxFunc(STAT[[#This Row],[retranca]],  "\w\d{4}\w*_\d")     )</f>
        <v>#NAME?</v>
      </c>
      <c r="B493" s="21" t="s">
        <v>1185</v>
      </c>
      <c r="C493" s="14" t="s">
        <v>72</v>
      </c>
      <c r="D493" s="14" t="s">
        <v>9</v>
      </c>
      <c r="E493" s="14" t="s">
        <v>10</v>
      </c>
      <c r="F493" s="14">
        <v>16</v>
      </c>
      <c r="G493" s="14">
        <v>2</v>
      </c>
      <c r="H493" s="14">
        <v>5</v>
      </c>
      <c r="I493" s="14">
        <v>5</v>
      </c>
      <c r="J493" s="28" t="s">
        <v>55</v>
      </c>
      <c r="K493" s="36"/>
      <c r="L493" s="14"/>
      <c r="M493" s="14"/>
      <c r="N493" s="14"/>
      <c r="O493" s="14"/>
      <c r="P493" s="25" t="s">
        <v>1186</v>
      </c>
      <c r="Q493" s="22"/>
      <c r="R493" s="22"/>
      <c r="S493" s="14">
        <v>69</v>
      </c>
      <c r="T493" s="27">
        <v>45877</v>
      </c>
      <c r="U493" s="27">
        <v>45882</v>
      </c>
      <c r="V493" s="27">
        <v>45884</v>
      </c>
      <c r="W493" s="27">
        <v>45884</v>
      </c>
      <c r="X493" s="27">
        <v>45889</v>
      </c>
      <c r="Y493" s="14" t="s">
        <v>84</v>
      </c>
      <c r="Z493" s="40" t="str">
        <f>IF(STAT[[#This Row],[sigla]]="","",VLOOKUP(STAT[[#This Row],[sigla]],CRÉDITOS_GERAIS[[sigla]:[credito]],2,))</f>
        <v>Gabriel Brum</v>
      </c>
      <c r="AA493" s="14"/>
      <c r="AB493" s="14" t="str">
        <f>STAT[[#This Row],[ilustrador]]</f>
        <v>Gabriel Brum</v>
      </c>
      <c r="AC493" s="24">
        <v>4</v>
      </c>
      <c r="AD493" s="22" t="s">
        <v>1182</v>
      </c>
      <c r="AE493" s="14" t="s">
        <v>87</v>
      </c>
      <c r="AF493" s="42" t="str">
        <f t="shared" si="7"/>
        <v>P007</v>
      </c>
    </row>
    <row r="494" spans="1:32" ht="43.2" hidden="1" x14ac:dyDescent="0.3">
      <c r="A494" s="12" t="e" cm="1">
        <f t="array" aca="1" ref="A494" ca="1">IF(STAT[[#This Row],[retranca]]="","",       RegxFunc(STAT[[#This Row],[retranca]],  "\w\d{4}\w*_\d")     )</f>
        <v>#NAME?</v>
      </c>
      <c r="B494" s="21" t="s">
        <v>1187</v>
      </c>
      <c r="C494" s="14" t="s">
        <v>72</v>
      </c>
      <c r="D494" s="14" t="s">
        <v>532</v>
      </c>
      <c r="E494" s="14" t="s">
        <v>10</v>
      </c>
      <c r="F494" s="14">
        <v>2</v>
      </c>
      <c r="G494" s="14">
        <v>5</v>
      </c>
      <c r="H494" s="14">
        <v>0</v>
      </c>
      <c r="I494" s="14" t="s">
        <v>296</v>
      </c>
      <c r="J494" s="28" t="s">
        <v>11</v>
      </c>
      <c r="K494" s="36"/>
      <c r="L494" s="14"/>
      <c r="M494" s="14"/>
      <c r="N494" s="14"/>
      <c r="O494" s="14"/>
      <c r="P494" s="25" t="s">
        <v>1188</v>
      </c>
      <c r="Q494" s="22"/>
      <c r="R494" s="22"/>
      <c r="S494" s="14"/>
      <c r="T494" s="27"/>
      <c r="U494" s="27"/>
      <c r="V494" s="27"/>
      <c r="W494" s="27"/>
      <c r="X494" s="27"/>
      <c r="Y494" s="14" t="s">
        <v>413</v>
      </c>
      <c r="Z494" s="40" t="e">
        <f>IF(STAT[[#This Row],[sigla]]="","",VLOOKUP(STAT[[#This Row],[sigla]],CRÉDITOS_GERAIS[[sigla]:[credito]],2,))</f>
        <v>#N/A</v>
      </c>
      <c r="AA494" s="14"/>
      <c r="AB494" s="14" t="s">
        <v>609</v>
      </c>
      <c r="AC494" s="14"/>
      <c r="AD494" s="22"/>
      <c r="AE494" s="14"/>
      <c r="AF494" s="42" t="str">
        <f t="shared" si="7"/>
        <v>P007</v>
      </c>
    </row>
    <row r="495" spans="1:32" ht="43.2" hidden="1" x14ac:dyDescent="0.3">
      <c r="A495" s="12" t="e" cm="1">
        <f t="array" aca="1" ref="A495" ca="1">IF(STAT[[#This Row],[retranca]]="","",       RegxFunc(STAT[[#This Row],[retranca]],  "\w\d{4}\w*_\d")     )</f>
        <v>#NAME?</v>
      </c>
      <c r="B495" s="21" t="s">
        <v>1189</v>
      </c>
      <c r="C495" s="14" t="s">
        <v>72</v>
      </c>
      <c r="D495" s="14" t="s">
        <v>532</v>
      </c>
      <c r="E495" s="14" t="s">
        <v>10</v>
      </c>
      <c r="F495" s="14">
        <v>2</v>
      </c>
      <c r="G495" s="14">
        <v>5</v>
      </c>
      <c r="H495" s="14">
        <v>0</v>
      </c>
      <c r="I495" s="14" t="s">
        <v>296</v>
      </c>
      <c r="J495" s="28" t="s">
        <v>11</v>
      </c>
      <c r="K495" s="36"/>
      <c r="L495" s="14"/>
      <c r="M495" s="14"/>
      <c r="N495" s="14"/>
      <c r="O495" s="14"/>
      <c r="P495" s="25" t="s">
        <v>1190</v>
      </c>
      <c r="Q495" s="21"/>
      <c r="R495" s="22"/>
      <c r="S495" s="14"/>
      <c r="T495" s="27"/>
      <c r="U495" s="27"/>
      <c r="V495" s="27"/>
      <c r="W495" s="27"/>
      <c r="X495" s="27"/>
      <c r="Y495" s="14" t="s">
        <v>413</v>
      </c>
      <c r="Z495" s="40" t="e">
        <f>IF(STAT[[#This Row],[sigla]]="","",VLOOKUP(STAT[[#This Row],[sigla]],CRÉDITOS_GERAIS[[sigla]:[credito]],2,))</f>
        <v>#N/A</v>
      </c>
      <c r="AA495" s="14"/>
      <c r="AB495" s="14" t="s">
        <v>609</v>
      </c>
      <c r="AC495" s="14"/>
      <c r="AD495" s="22"/>
      <c r="AE495" s="15"/>
      <c r="AF495" s="42" t="str">
        <f t="shared" si="7"/>
        <v>P007</v>
      </c>
    </row>
    <row r="496" spans="1:32" ht="43.2" hidden="1" x14ac:dyDescent="0.3">
      <c r="A496" s="12" t="e" cm="1">
        <f t="array" aca="1" ref="A496" ca="1">IF(STAT[[#This Row],[retranca]]="","",       RegxFunc(STAT[[#This Row],[retranca]],  "\w\d{4}\w*_\d")     )</f>
        <v>#NAME?</v>
      </c>
      <c r="B496" s="21" t="s">
        <v>1191</v>
      </c>
      <c r="C496" s="14" t="s">
        <v>72</v>
      </c>
      <c r="D496" s="14" t="s">
        <v>532</v>
      </c>
      <c r="E496" s="14" t="s">
        <v>10</v>
      </c>
      <c r="F496" s="14">
        <v>2</v>
      </c>
      <c r="G496" s="14">
        <v>5</v>
      </c>
      <c r="H496" s="14">
        <v>0</v>
      </c>
      <c r="I496" s="14" t="s">
        <v>296</v>
      </c>
      <c r="J496" s="28" t="s">
        <v>11</v>
      </c>
      <c r="K496" s="36"/>
      <c r="L496" s="14"/>
      <c r="M496" s="14"/>
      <c r="N496" s="14"/>
      <c r="O496" s="14"/>
      <c r="P496" s="25" t="s">
        <v>1192</v>
      </c>
      <c r="Q496" s="21"/>
      <c r="R496" s="22"/>
      <c r="S496" s="14"/>
      <c r="T496" s="27"/>
      <c r="U496" s="27"/>
      <c r="V496" s="27"/>
      <c r="W496" s="27"/>
      <c r="X496" s="27"/>
      <c r="Y496" s="14" t="s">
        <v>413</v>
      </c>
      <c r="Z496" s="40" t="e">
        <f>IF(STAT[[#This Row],[sigla]]="","",VLOOKUP(STAT[[#This Row],[sigla]],CRÉDITOS_GERAIS[[sigla]:[credito]],2,))</f>
        <v>#N/A</v>
      </c>
      <c r="AA496" s="14"/>
      <c r="AB496" s="14" t="s">
        <v>609</v>
      </c>
      <c r="AC496" s="14"/>
      <c r="AD496" s="22"/>
      <c r="AE496" s="15"/>
      <c r="AF496" s="42" t="str">
        <f t="shared" si="7"/>
        <v>P007</v>
      </c>
    </row>
    <row r="497" spans="1:32" ht="28.8" hidden="1" x14ac:dyDescent="0.3">
      <c r="A497" s="12" t="e" cm="1">
        <f t="array" aca="1" ref="A497" ca="1">IF(STAT[[#This Row],[retranca]]="","",       RegxFunc(STAT[[#This Row],[retranca]],  "\w\d{4}\w*_\d")     )</f>
        <v>#NAME?</v>
      </c>
      <c r="B497" s="21" t="s">
        <v>1193</v>
      </c>
      <c r="C497" s="14" t="s">
        <v>72</v>
      </c>
      <c r="D497" s="14" t="s">
        <v>532</v>
      </c>
      <c r="E497" s="14" t="s">
        <v>10</v>
      </c>
      <c r="F497" s="14">
        <v>2</v>
      </c>
      <c r="G497" s="14">
        <v>5</v>
      </c>
      <c r="H497" s="14">
        <v>0</v>
      </c>
      <c r="I497" s="14" t="s">
        <v>296</v>
      </c>
      <c r="J497" s="28" t="s">
        <v>11</v>
      </c>
      <c r="K497" s="36"/>
      <c r="L497" s="14"/>
      <c r="M497" s="14"/>
      <c r="N497" s="14"/>
      <c r="O497" s="14"/>
      <c r="P497" s="25" t="s">
        <v>1194</v>
      </c>
      <c r="Q497" s="21"/>
      <c r="R497" s="22"/>
      <c r="S497" s="14"/>
      <c r="T497" s="27"/>
      <c r="U497" s="27"/>
      <c r="V497" s="27"/>
      <c r="W497" s="27"/>
      <c r="X497" s="27"/>
      <c r="Y497" s="14" t="s">
        <v>413</v>
      </c>
      <c r="Z497" s="40" t="e">
        <f>IF(STAT[[#This Row],[sigla]]="","",VLOOKUP(STAT[[#This Row],[sigla]],CRÉDITOS_GERAIS[[sigla]:[credito]],2,))</f>
        <v>#N/A</v>
      </c>
      <c r="AA497" s="14"/>
      <c r="AB497" s="14" t="s">
        <v>609</v>
      </c>
      <c r="AC497" s="14"/>
      <c r="AD497" s="22"/>
      <c r="AE497" s="15"/>
      <c r="AF497" s="42" t="str">
        <f t="shared" si="7"/>
        <v>P007</v>
      </c>
    </row>
    <row r="498" spans="1:32" ht="43.2" hidden="1" x14ac:dyDescent="0.3">
      <c r="A498" s="12" t="e" cm="1">
        <f t="array" aca="1" ref="A498" ca="1">IF(STAT[[#This Row],[retranca]]="","",       RegxFunc(STAT[[#This Row],[retranca]],  "\w\d{4}\w*_\d")     )</f>
        <v>#NAME?</v>
      </c>
      <c r="B498" s="21" t="s">
        <v>1195</v>
      </c>
      <c r="C498" s="14" t="s">
        <v>72</v>
      </c>
      <c r="D498" s="14" t="s">
        <v>9</v>
      </c>
      <c r="E498" s="14" t="s">
        <v>10</v>
      </c>
      <c r="F498" s="14">
        <v>3</v>
      </c>
      <c r="G498" s="14">
        <v>5</v>
      </c>
      <c r="H498" s="14">
        <v>0</v>
      </c>
      <c r="I498" s="14" t="s">
        <v>296</v>
      </c>
      <c r="J498" s="28" t="s">
        <v>11</v>
      </c>
      <c r="K498" s="36"/>
      <c r="L498" s="14"/>
      <c r="M498" s="14"/>
      <c r="N498" s="14"/>
      <c r="O498" s="14"/>
      <c r="P498" s="25" t="s">
        <v>1196</v>
      </c>
      <c r="Q498" s="22"/>
      <c r="R498" s="22"/>
      <c r="S498" s="14"/>
      <c r="T498" s="27"/>
      <c r="U498" s="27"/>
      <c r="V498" s="27"/>
      <c r="W498" s="27"/>
      <c r="X498" s="27"/>
      <c r="Y498" s="14" t="s">
        <v>375</v>
      </c>
      <c r="Z498" s="40" t="str">
        <f>IF(STAT[[#This Row],[sigla]]="","",VLOOKUP(STAT[[#This Row],[sigla]],CRÉDITOS_GERAIS[[sigla]:[credito]],2,))</f>
        <v>Lídia Farias</v>
      </c>
      <c r="AA498" s="14"/>
      <c r="AB498" s="14" t="str">
        <f>STAT[[#This Row],[ilustrador]]</f>
        <v>Lídia Farias</v>
      </c>
      <c r="AC498" s="14"/>
      <c r="AD498" s="22"/>
      <c r="AE498" s="14"/>
      <c r="AF498" s="42" t="str">
        <f t="shared" si="7"/>
        <v>P007</v>
      </c>
    </row>
    <row r="499" spans="1:32" ht="72" hidden="1" x14ac:dyDescent="0.3">
      <c r="A499" s="12" t="e" cm="1">
        <f t="array" aca="1" ref="A499" ca="1">IF(STAT[[#This Row],[retranca]]="","",       RegxFunc(STAT[[#This Row],[retranca]],  "\w\d{4}\w*_\d")     )</f>
        <v>#NAME?</v>
      </c>
      <c r="B499" s="21" t="s">
        <v>1197</v>
      </c>
      <c r="C499" s="14" t="s">
        <v>72</v>
      </c>
      <c r="D499" s="14" t="s">
        <v>9</v>
      </c>
      <c r="E499" s="14" t="s">
        <v>10</v>
      </c>
      <c r="F499" s="14">
        <v>3</v>
      </c>
      <c r="G499" s="14">
        <v>5</v>
      </c>
      <c r="H499" s="14">
        <v>0</v>
      </c>
      <c r="I499" s="14" t="s">
        <v>296</v>
      </c>
      <c r="J499" s="28" t="s">
        <v>11</v>
      </c>
      <c r="K499" s="36"/>
      <c r="L499" s="14"/>
      <c r="M499" s="14"/>
      <c r="N499" s="14"/>
      <c r="O499" s="14"/>
      <c r="P499" s="25" t="s">
        <v>1198</v>
      </c>
      <c r="Q499" s="21"/>
      <c r="R499" s="22"/>
      <c r="S499" s="14"/>
      <c r="T499" s="27"/>
      <c r="U499" s="27"/>
      <c r="V499" s="27"/>
      <c r="W499" s="27"/>
      <c r="X499" s="27"/>
      <c r="Y499" s="14" t="s">
        <v>375</v>
      </c>
      <c r="Z499" s="40" t="str">
        <f>IF(STAT[[#This Row],[sigla]]="","",VLOOKUP(STAT[[#This Row],[sigla]],CRÉDITOS_GERAIS[[sigla]:[credito]],2,))</f>
        <v>Lídia Farias</v>
      </c>
      <c r="AA499" s="14"/>
      <c r="AB499" s="14" t="str">
        <f>STAT[[#This Row],[ilustrador]]</f>
        <v>Lídia Farias</v>
      </c>
      <c r="AC499" s="14"/>
      <c r="AD499" s="22"/>
      <c r="AE499" s="15"/>
      <c r="AF499" s="42" t="str">
        <f t="shared" si="7"/>
        <v>P007</v>
      </c>
    </row>
    <row r="500" spans="1:32" ht="57.6" hidden="1" x14ac:dyDescent="0.3">
      <c r="A500" s="12" t="e" cm="1">
        <f t="array" aca="1" ref="A500" ca="1">IF(STAT[[#This Row],[retranca]]="","",       RegxFunc(STAT[[#This Row],[retranca]],  "\w\d{4}\w*_\d")     )</f>
        <v>#NAME?</v>
      </c>
      <c r="B500" s="21" t="s">
        <v>1199</v>
      </c>
      <c r="C500" s="14" t="s">
        <v>72</v>
      </c>
      <c r="D500" s="14" t="s">
        <v>9</v>
      </c>
      <c r="E500" s="14" t="s">
        <v>10</v>
      </c>
      <c r="F500" s="14">
        <v>3</v>
      </c>
      <c r="G500" s="14">
        <v>5</v>
      </c>
      <c r="H500" s="14">
        <v>0</v>
      </c>
      <c r="I500" s="14" t="s">
        <v>296</v>
      </c>
      <c r="J500" s="28" t="s">
        <v>11</v>
      </c>
      <c r="K500" s="36"/>
      <c r="L500" s="14"/>
      <c r="M500" s="14"/>
      <c r="N500" s="14"/>
      <c r="O500" s="14"/>
      <c r="P500" s="25" t="s">
        <v>1200</v>
      </c>
      <c r="Q500" s="22"/>
      <c r="R500" s="22"/>
      <c r="S500" s="14"/>
      <c r="T500" s="27"/>
      <c r="U500" s="27"/>
      <c r="V500" s="27"/>
      <c r="W500" s="27"/>
      <c r="X500" s="27"/>
      <c r="Y500" s="14" t="s">
        <v>375</v>
      </c>
      <c r="Z500" s="40" t="str">
        <f>IF(STAT[[#This Row],[sigla]]="","",VLOOKUP(STAT[[#This Row],[sigla]],CRÉDITOS_GERAIS[[sigla]:[credito]],2,))</f>
        <v>Lídia Farias</v>
      </c>
      <c r="AA500" s="14"/>
      <c r="AB500" s="14" t="str">
        <f>STAT[[#This Row],[ilustrador]]</f>
        <v>Lídia Farias</v>
      </c>
      <c r="AC500" s="14"/>
      <c r="AD500" s="22"/>
      <c r="AE500" s="15"/>
      <c r="AF500" s="42" t="str">
        <f t="shared" si="7"/>
        <v>P007</v>
      </c>
    </row>
    <row r="501" spans="1:32" ht="72" hidden="1" x14ac:dyDescent="0.3">
      <c r="A501" s="12" t="e" cm="1">
        <f t="array" aca="1" ref="A501" ca="1">IF(STAT[[#This Row],[retranca]]="","",       RegxFunc(STAT[[#This Row],[retranca]],  "\w\d{4}\w*_\d")     )</f>
        <v>#NAME?</v>
      </c>
      <c r="B501" s="21" t="s">
        <v>1201</v>
      </c>
      <c r="C501" s="14" t="s">
        <v>72</v>
      </c>
      <c r="D501" s="14" t="s">
        <v>9</v>
      </c>
      <c r="E501" s="14" t="s">
        <v>10</v>
      </c>
      <c r="F501" s="14">
        <v>3</v>
      </c>
      <c r="G501" s="14">
        <v>5</v>
      </c>
      <c r="H501" s="14">
        <v>0</v>
      </c>
      <c r="I501" s="14" t="s">
        <v>296</v>
      </c>
      <c r="J501" s="28" t="s">
        <v>11</v>
      </c>
      <c r="K501" s="36"/>
      <c r="L501" s="14"/>
      <c r="M501" s="14"/>
      <c r="N501" s="14"/>
      <c r="O501" s="14"/>
      <c r="P501" s="25" t="s">
        <v>1202</v>
      </c>
      <c r="Q501" s="21"/>
      <c r="R501" s="22"/>
      <c r="S501" s="14"/>
      <c r="T501" s="27"/>
      <c r="U501" s="39"/>
      <c r="V501" s="27"/>
      <c r="W501" s="27"/>
      <c r="X501" s="39"/>
      <c r="Y501" s="14" t="s">
        <v>375</v>
      </c>
      <c r="Z501" s="40" t="str">
        <f>IF(STAT[[#This Row],[sigla]]="","",VLOOKUP(STAT[[#This Row],[sigla]],CRÉDITOS_GERAIS[[sigla]:[credito]],2,))</f>
        <v>Lídia Farias</v>
      </c>
      <c r="AA501" s="14"/>
      <c r="AB501" s="14" t="str">
        <f>STAT[[#This Row],[ilustrador]]</f>
        <v>Lídia Farias</v>
      </c>
      <c r="AC501" s="24"/>
      <c r="AD501" s="22"/>
      <c r="AE501" s="15"/>
      <c r="AF501" s="42" t="str">
        <f t="shared" si="7"/>
        <v>P007</v>
      </c>
    </row>
    <row r="502" spans="1:32" ht="57.6" hidden="1" x14ac:dyDescent="0.3">
      <c r="A502" s="12" t="e" cm="1">
        <f t="array" aca="1" ref="A502" ca="1">IF(STAT[[#This Row],[retranca]]="","",       RegxFunc(STAT[[#This Row],[retranca]],  "\w\d{4}\w*_\d")     )</f>
        <v>#NAME?</v>
      </c>
      <c r="B502" s="21" t="s">
        <v>1203</v>
      </c>
      <c r="C502" s="14" t="s">
        <v>72</v>
      </c>
      <c r="D502" s="14" t="s">
        <v>9</v>
      </c>
      <c r="E502" s="14" t="s">
        <v>10</v>
      </c>
      <c r="F502" s="14">
        <v>3</v>
      </c>
      <c r="G502" s="14">
        <v>5</v>
      </c>
      <c r="H502" s="14">
        <v>0</v>
      </c>
      <c r="I502" s="14" t="s">
        <v>296</v>
      </c>
      <c r="J502" s="28" t="s">
        <v>11</v>
      </c>
      <c r="K502" s="36"/>
      <c r="L502" s="14"/>
      <c r="M502" s="14"/>
      <c r="N502" s="14"/>
      <c r="O502" s="14"/>
      <c r="P502" s="25" t="s">
        <v>1204</v>
      </c>
      <c r="Q502" s="21"/>
      <c r="R502" s="22"/>
      <c r="S502" s="14"/>
      <c r="T502" s="27"/>
      <c r="U502" s="39"/>
      <c r="V502" s="27"/>
      <c r="W502" s="27"/>
      <c r="X502" s="39"/>
      <c r="Y502" s="14" t="s">
        <v>375</v>
      </c>
      <c r="Z502" s="40" t="str">
        <f>IF(STAT[[#This Row],[sigla]]="","",VLOOKUP(STAT[[#This Row],[sigla]],CRÉDITOS_GERAIS[[sigla]:[credito]],2,))</f>
        <v>Lídia Farias</v>
      </c>
      <c r="AA502" s="14"/>
      <c r="AB502" s="14" t="str">
        <f>STAT[[#This Row],[ilustrador]]</f>
        <v>Lídia Farias</v>
      </c>
      <c r="AC502" s="24"/>
      <c r="AD502" s="22"/>
      <c r="AE502" s="15"/>
      <c r="AF502" s="42" t="str">
        <f t="shared" si="7"/>
        <v>P007</v>
      </c>
    </row>
    <row r="503" spans="1:32" ht="57.6" hidden="1" x14ac:dyDescent="0.3">
      <c r="A503" s="12" t="e" cm="1">
        <f t="array" aca="1" ref="A503" ca="1">IF(STAT[[#This Row],[retranca]]="","",       RegxFunc(STAT[[#This Row],[retranca]],  "\w\d{4}\w*_\d")     )</f>
        <v>#NAME?</v>
      </c>
      <c r="B503" s="21" t="s">
        <v>1205</v>
      </c>
      <c r="C503" s="14" t="s">
        <v>72</v>
      </c>
      <c r="D503" s="14" t="s">
        <v>9</v>
      </c>
      <c r="E503" s="14" t="s">
        <v>10</v>
      </c>
      <c r="F503" s="14">
        <v>3</v>
      </c>
      <c r="G503" s="14">
        <v>5</v>
      </c>
      <c r="H503" s="14">
        <v>0</v>
      </c>
      <c r="I503" s="14" t="s">
        <v>296</v>
      </c>
      <c r="J503" s="28" t="s">
        <v>11</v>
      </c>
      <c r="K503" s="36"/>
      <c r="L503" s="14"/>
      <c r="M503" s="14"/>
      <c r="N503" s="14"/>
      <c r="O503" s="14"/>
      <c r="P503" s="25" t="s">
        <v>1206</v>
      </c>
      <c r="Q503" s="21"/>
      <c r="R503" s="22"/>
      <c r="S503" s="14"/>
      <c r="T503" s="26"/>
      <c r="U503" s="27"/>
      <c r="V503" s="27"/>
      <c r="W503" s="27"/>
      <c r="X503" s="27"/>
      <c r="Y503" s="14" t="s">
        <v>375</v>
      </c>
      <c r="Z503" s="40" t="str">
        <f>IF(STAT[[#This Row],[sigla]]="","",VLOOKUP(STAT[[#This Row],[sigla]],CRÉDITOS_GERAIS[[sigla]:[credito]],2,))</f>
        <v>Lídia Farias</v>
      </c>
      <c r="AA503" s="14"/>
      <c r="AB503" s="14" t="str">
        <f>STAT[[#This Row],[ilustrador]]</f>
        <v>Lídia Farias</v>
      </c>
      <c r="AC503" s="14"/>
      <c r="AD503" s="22"/>
      <c r="AE503" s="15"/>
      <c r="AF503" s="42" t="str">
        <f t="shared" si="7"/>
        <v>P007</v>
      </c>
    </row>
    <row r="504" spans="1:32" ht="28.8" hidden="1" x14ac:dyDescent="0.3">
      <c r="A504" s="12" t="e" cm="1">
        <f t="array" aca="1" ref="A504" ca="1">IF(STAT[[#This Row],[retranca]]="","",       RegxFunc(STAT[[#This Row],[retranca]],  "\w\d{4}\w*_\d")     )</f>
        <v>#NAME?</v>
      </c>
      <c r="B504" s="21" t="s">
        <v>1207</v>
      </c>
      <c r="C504" s="14" t="s">
        <v>72</v>
      </c>
      <c r="D504" s="14" t="s">
        <v>9</v>
      </c>
      <c r="E504" s="14" t="s">
        <v>10</v>
      </c>
      <c r="F504" s="14">
        <v>3</v>
      </c>
      <c r="G504" s="14">
        <v>5</v>
      </c>
      <c r="H504" s="14">
        <v>0</v>
      </c>
      <c r="I504" s="14" t="s">
        <v>296</v>
      </c>
      <c r="J504" s="28" t="s">
        <v>11</v>
      </c>
      <c r="K504" s="36"/>
      <c r="L504" s="14"/>
      <c r="M504" s="14"/>
      <c r="N504" s="14"/>
      <c r="O504" s="14"/>
      <c r="P504" s="25" t="s">
        <v>1208</v>
      </c>
      <c r="Q504" s="21"/>
      <c r="R504" s="22"/>
      <c r="S504" s="14"/>
      <c r="T504" s="27"/>
      <c r="U504" s="39"/>
      <c r="V504" s="27"/>
      <c r="W504" s="27"/>
      <c r="X504" s="39"/>
      <c r="Y504" s="14" t="s">
        <v>375</v>
      </c>
      <c r="Z504" s="40" t="str">
        <f>IF(STAT[[#This Row],[sigla]]="","",VLOOKUP(STAT[[#This Row],[sigla]],CRÉDITOS_GERAIS[[sigla]:[credito]],2,))</f>
        <v>Lídia Farias</v>
      </c>
      <c r="AA504" s="14"/>
      <c r="AB504" s="14" t="str">
        <f>STAT[[#This Row],[ilustrador]]</f>
        <v>Lídia Farias</v>
      </c>
      <c r="AC504" s="14"/>
      <c r="AD504" s="22"/>
      <c r="AE504" s="15"/>
      <c r="AF504" s="42" t="str">
        <f t="shared" si="7"/>
        <v>P007</v>
      </c>
    </row>
    <row r="505" spans="1:32" ht="28.8" hidden="1" x14ac:dyDescent="0.3">
      <c r="A505" s="12" t="e" cm="1">
        <f t="array" aca="1" ref="A505" ca="1">IF(STAT[[#This Row],[retranca]]="","",       RegxFunc(STAT[[#This Row],[retranca]],  "\w\d{4}\w*_\d")     )</f>
        <v>#NAME?</v>
      </c>
      <c r="B505" s="21" t="s">
        <v>1209</v>
      </c>
      <c r="C505" s="14" t="s">
        <v>72</v>
      </c>
      <c r="D505" s="14" t="s">
        <v>9</v>
      </c>
      <c r="E505" s="14" t="s">
        <v>10</v>
      </c>
      <c r="F505" s="14">
        <v>3</v>
      </c>
      <c r="G505" s="14">
        <v>5</v>
      </c>
      <c r="H505" s="14">
        <v>0</v>
      </c>
      <c r="I505" s="14" t="s">
        <v>296</v>
      </c>
      <c r="J505" s="28" t="s">
        <v>11</v>
      </c>
      <c r="K505" s="36"/>
      <c r="L505" s="14"/>
      <c r="M505" s="14"/>
      <c r="N505" s="14"/>
      <c r="O505" s="14"/>
      <c r="P505" s="25" t="s">
        <v>1210</v>
      </c>
      <c r="Q505" s="21"/>
      <c r="R505" s="22"/>
      <c r="S505" s="14"/>
      <c r="T505" s="27"/>
      <c r="U505" s="27"/>
      <c r="V505" s="27"/>
      <c r="W505" s="27"/>
      <c r="X505" s="27"/>
      <c r="Y505" s="14" t="s">
        <v>375</v>
      </c>
      <c r="Z505" s="40" t="str">
        <f>IF(STAT[[#This Row],[sigla]]="","",VLOOKUP(STAT[[#This Row],[sigla]],CRÉDITOS_GERAIS[[sigla]:[credito]],2,))</f>
        <v>Lídia Farias</v>
      </c>
      <c r="AA505" s="14"/>
      <c r="AB505" s="14" t="str">
        <f>STAT[[#This Row],[ilustrador]]</f>
        <v>Lídia Farias</v>
      </c>
      <c r="AC505" s="14"/>
      <c r="AD505" s="22"/>
      <c r="AE505" s="15"/>
      <c r="AF505" s="42" t="str">
        <f t="shared" si="7"/>
        <v>P007</v>
      </c>
    </row>
    <row r="506" spans="1:32" ht="43.2" hidden="1" x14ac:dyDescent="0.3">
      <c r="A506" s="12" t="e" cm="1">
        <f t="array" aca="1" ref="A506" ca="1">IF(STAT[[#This Row],[retranca]]="","",       RegxFunc(STAT[[#This Row],[retranca]],  "\w\d{4}\w*_\d")     )</f>
        <v>#NAME?</v>
      </c>
      <c r="B506" s="21" t="s">
        <v>1211</v>
      </c>
      <c r="C506" s="14" t="s">
        <v>72</v>
      </c>
      <c r="D506" s="14" t="s">
        <v>9</v>
      </c>
      <c r="E506" s="14" t="s">
        <v>10</v>
      </c>
      <c r="F506" s="14">
        <v>3</v>
      </c>
      <c r="G506" s="14">
        <v>5</v>
      </c>
      <c r="H506" s="14">
        <v>0</v>
      </c>
      <c r="I506" s="14" t="s">
        <v>296</v>
      </c>
      <c r="J506" s="28" t="s">
        <v>11</v>
      </c>
      <c r="K506" s="36"/>
      <c r="L506" s="14"/>
      <c r="M506" s="14"/>
      <c r="N506" s="14"/>
      <c r="O506" s="14"/>
      <c r="P506" s="25" t="s">
        <v>1212</v>
      </c>
      <c r="Q506" s="21"/>
      <c r="R506" s="22"/>
      <c r="S506" s="14"/>
      <c r="T506" s="27"/>
      <c r="U506" s="39"/>
      <c r="V506" s="27"/>
      <c r="W506" s="27"/>
      <c r="X506" s="39"/>
      <c r="Y506" s="14" t="s">
        <v>375</v>
      </c>
      <c r="Z506" s="40" t="str">
        <f>IF(STAT[[#This Row],[sigla]]="","",VLOOKUP(STAT[[#This Row],[sigla]],CRÉDITOS_GERAIS[[sigla]:[credito]],2,))</f>
        <v>Lídia Farias</v>
      </c>
      <c r="AA506" s="14"/>
      <c r="AB506" s="14" t="str">
        <f>STAT[[#This Row],[ilustrador]]</f>
        <v>Lídia Farias</v>
      </c>
      <c r="AC506" s="24"/>
      <c r="AD506" s="22"/>
      <c r="AE506" s="15"/>
      <c r="AF506" s="42" t="str">
        <f t="shared" si="7"/>
        <v>P007</v>
      </c>
    </row>
    <row r="507" spans="1:32" ht="43.2" hidden="1" x14ac:dyDescent="0.3">
      <c r="A507" s="12" t="e" cm="1">
        <f t="array" aca="1" ref="A507" ca="1">IF(STAT[[#This Row],[retranca]]="","",       RegxFunc(STAT[[#This Row],[retranca]],  "\w\d{4}\w*_\d")     )</f>
        <v>#NAME?</v>
      </c>
      <c r="B507" s="21" t="s">
        <v>1213</v>
      </c>
      <c r="C507" s="14" t="s">
        <v>72</v>
      </c>
      <c r="D507" s="14" t="s">
        <v>9</v>
      </c>
      <c r="E507" s="14" t="s">
        <v>10</v>
      </c>
      <c r="F507" s="14">
        <v>3</v>
      </c>
      <c r="G507" s="14">
        <v>5</v>
      </c>
      <c r="H507" s="14">
        <v>0</v>
      </c>
      <c r="I507" s="14" t="s">
        <v>296</v>
      </c>
      <c r="J507" s="28" t="s">
        <v>11</v>
      </c>
      <c r="K507" s="36"/>
      <c r="L507" s="14"/>
      <c r="M507" s="14"/>
      <c r="N507" s="14"/>
      <c r="O507" s="14"/>
      <c r="P507" s="25" t="s">
        <v>1214</v>
      </c>
      <c r="Q507" s="21"/>
      <c r="R507" s="22"/>
      <c r="S507" s="14"/>
      <c r="T507" s="27"/>
      <c r="U507" s="27"/>
      <c r="V507" s="27"/>
      <c r="W507" s="27"/>
      <c r="X507" s="27"/>
      <c r="Y507" s="14" t="s">
        <v>375</v>
      </c>
      <c r="Z507" s="40" t="str">
        <f>IF(STAT[[#This Row],[sigla]]="","",VLOOKUP(STAT[[#This Row],[sigla]],CRÉDITOS_GERAIS[[sigla]:[credito]],2,))</f>
        <v>Lídia Farias</v>
      </c>
      <c r="AA507" s="14"/>
      <c r="AB507" s="14" t="str">
        <f>STAT[[#This Row],[ilustrador]]</f>
        <v>Lídia Farias</v>
      </c>
      <c r="AC507" s="14"/>
      <c r="AD507" s="22"/>
      <c r="AE507" s="15"/>
      <c r="AF507" s="42" t="str">
        <f t="shared" si="7"/>
        <v>P007</v>
      </c>
    </row>
    <row r="508" spans="1:32" ht="28.8" hidden="1" x14ac:dyDescent="0.3">
      <c r="A508" s="12" t="e" cm="1">
        <f t="array" aca="1" ref="A508" ca="1">IF(STAT[[#This Row],[retranca]]="","",       RegxFunc(STAT[[#This Row],[retranca]],  "\w\d{4}\w*_\d")     )</f>
        <v>#NAME?</v>
      </c>
      <c r="B508" s="21" t="s">
        <v>1215</v>
      </c>
      <c r="C508" s="14" t="s">
        <v>72</v>
      </c>
      <c r="D508" s="15" t="s">
        <v>9</v>
      </c>
      <c r="E508" s="15" t="s">
        <v>10</v>
      </c>
      <c r="F508" s="14">
        <v>4</v>
      </c>
      <c r="G508" s="15">
        <v>2</v>
      </c>
      <c r="H508" s="14">
        <v>5</v>
      </c>
      <c r="I508" s="14">
        <v>5</v>
      </c>
      <c r="J508" s="17" t="s">
        <v>55</v>
      </c>
      <c r="K508" s="36"/>
      <c r="L508" s="14"/>
      <c r="M508" s="14"/>
      <c r="N508" s="14"/>
      <c r="O508" s="14"/>
      <c r="P508" s="25" t="s">
        <v>1216</v>
      </c>
      <c r="Q508" s="21"/>
      <c r="R508" s="22"/>
      <c r="S508" s="14">
        <v>70</v>
      </c>
      <c r="T508" s="27">
        <v>45881</v>
      </c>
      <c r="U508" s="27">
        <v>45881</v>
      </c>
      <c r="V508" s="27">
        <v>45889</v>
      </c>
      <c r="W508" s="27">
        <v>45889</v>
      </c>
      <c r="X508" s="27">
        <v>45894</v>
      </c>
      <c r="Y508" s="14" t="s">
        <v>375</v>
      </c>
      <c r="Z508" s="40" t="str">
        <f>IF(STAT[[#This Row],[sigla]]="","",VLOOKUP(STAT[[#This Row],[sigla]],CRÉDITOS_GERAIS[[sigla]:[credito]],2,))</f>
        <v>Lídia Farias</v>
      </c>
      <c r="AA508" s="14"/>
      <c r="AB508" s="14" t="str">
        <f>STAT[[#This Row],[ilustrador]]</f>
        <v>Lídia Farias</v>
      </c>
      <c r="AC508" s="14">
        <v>3</v>
      </c>
      <c r="AD508" s="22" t="s">
        <v>1217</v>
      </c>
      <c r="AE508" s="14" t="s">
        <v>87</v>
      </c>
      <c r="AF508" s="42" t="str">
        <f t="shared" si="7"/>
        <v>P007</v>
      </c>
    </row>
    <row r="509" spans="1:32" hidden="1" x14ac:dyDescent="0.3">
      <c r="A509" s="12" t="e" cm="1">
        <f t="array" aca="1" ref="A509" ca="1">IF(STAT[[#This Row],[retranca]]="","",       RegxFunc(STAT[[#This Row],[retranca]],  "\w\d{4}\w*_\d")     )</f>
        <v>#NAME?</v>
      </c>
      <c r="B509" s="21" t="s">
        <v>1218</v>
      </c>
      <c r="C509" s="14" t="s">
        <v>72</v>
      </c>
      <c r="D509" s="15" t="s">
        <v>9</v>
      </c>
      <c r="E509" s="15" t="s">
        <v>10</v>
      </c>
      <c r="F509" s="14">
        <v>5</v>
      </c>
      <c r="G509" s="15">
        <v>2</v>
      </c>
      <c r="H509" s="14">
        <v>5</v>
      </c>
      <c r="I509" s="14">
        <v>5</v>
      </c>
      <c r="J509" s="17" t="s">
        <v>55</v>
      </c>
      <c r="K509" s="36"/>
      <c r="L509" s="14"/>
      <c r="M509" s="14"/>
      <c r="N509" s="14"/>
      <c r="O509" s="14"/>
      <c r="P509" s="25" t="s">
        <v>1219</v>
      </c>
      <c r="Q509" s="21"/>
      <c r="R509" s="22"/>
      <c r="S509" s="14">
        <v>70</v>
      </c>
      <c r="T509" s="27">
        <v>45881</v>
      </c>
      <c r="U509" s="27">
        <v>45881</v>
      </c>
      <c r="V509" s="27">
        <v>45889</v>
      </c>
      <c r="W509" s="27">
        <v>45889</v>
      </c>
      <c r="X509" s="27">
        <v>45894</v>
      </c>
      <c r="Y509" s="14" t="s">
        <v>375</v>
      </c>
      <c r="Z509" s="40" t="str">
        <f>IF(STAT[[#This Row],[sigla]]="","",VLOOKUP(STAT[[#This Row],[sigla]],CRÉDITOS_GERAIS[[sigla]:[credito]],2,))</f>
        <v>Lídia Farias</v>
      </c>
      <c r="AA509" s="14"/>
      <c r="AB509" s="14" t="str">
        <f>STAT[[#This Row],[ilustrador]]</f>
        <v>Lídia Farias</v>
      </c>
      <c r="AC509" s="24">
        <v>5</v>
      </c>
      <c r="AD509" s="22" t="s">
        <v>1217</v>
      </c>
      <c r="AE509" s="14" t="s">
        <v>87</v>
      </c>
      <c r="AF509" s="42" t="str">
        <f t="shared" si="7"/>
        <v>P007</v>
      </c>
    </row>
    <row r="510" spans="1:32" ht="28.8" hidden="1" x14ac:dyDescent="0.3">
      <c r="A510" s="12" t="e" cm="1">
        <f t="array" aca="1" ref="A510" ca="1">IF(STAT[[#This Row],[retranca]]="","",       RegxFunc(STAT[[#This Row],[retranca]],  "\w\d{4}\w*_\d")     )</f>
        <v>#NAME?</v>
      </c>
      <c r="B510" s="21" t="s">
        <v>1220</v>
      </c>
      <c r="C510" s="14" t="s">
        <v>72</v>
      </c>
      <c r="D510" s="15" t="s">
        <v>9</v>
      </c>
      <c r="E510" s="15" t="s">
        <v>10</v>
      </c>
      <c r="F510" s="14">
        <v>7</v>
      </c>
      <c r="G510" s="15">
        <v>2</v>
      </c>
      <c r="H510" s="14">
        <v>5</v>
      </c>
      <c r="I510" s="14">
        <v>5</v>
      </c>
      <c r="J510" s="17" t="s">
        <v>55</v>
      </c>
      <c r="K510" s="36"/>
      <c r="L510" s="14"/>
      <c r="M510" s="14"/>
      <c r="N510" s="14"/>
      <c r="O510" s="14"/>
      <c r="P510" s="25" t="s">
        <v>1221</v>
      </c>
      <c r="Q510" s="21"/>
      <c r="R510" s="22"/>
      <c r="S510" s="14">
        <v>70</v>
      </c>
      <c r="T510" s="27">
        <v>45881</v>
      </c>
      <c r="U510" s="27">
        <v>45881</v>
      </c>
      <c r="V510" s="27">
        <v>45889</v>
      </c>
      <c r="W510" s="27">
        <v>45889</v>
      </c>
      <c r="X510" s="27">
        <v>45894</v>
      </c>
      <c r="Y510" s="14" t="s">
        <v>375</v>
      </c>
      <c r="Z510" s="40" t="str">
        <f>IF(STAT[[#This Row],[sigla]]="","",VLOOKUP(STAT[[#This Row],[sigla]],CRÉDITOS_GERAIS[[sigla]:[credito]],2,))</f>
        <v>Lídia Farias</v>
      </c>
      <c r="AA510" s="14"/>
      <c r="AB510" s="14" t="str">
        <f>STAT[[#This Row],[ilustrador]]</f>
        <v>Lídia Farias</v>
      </c>
      <c r="AC510" s="24">
        <v>6</v>
      </c>
      <c r="AD510" s="22" t="s">
        <v>1217</v>
      </c>
      <c r="AE510" s="14" t="s">
        <v>87</v>
      </c>
      <c r="AF510" s="42" t="str">
        <f t="shared" si="7"/>
        <v>P007</v>
      </c>
    </row>
    <row r="511" spans="1:32" ht="28.8" hidden="1" x14ac:dyDescent="0.3">
      <c r="A511" s="12" t="e" cm="1">
        <f t="array" aca="1" ref="A511" ca="1">IF(STAT[[#This Row],[retranca]]="","",       RegxFunc(STAT[[#This Row],[retranca]],  "\w\d{4}\w*_\d")     )</f>
        <v>#NAME?</v>
      </c>
      <c r="B511" s="21" t="s">
        <v>1222</v>
      </c>
      <c r="C511" s="14" t="s">
        <v>72</v>
      </c>
      <c r="D511" s="15" t="s">
        <v>9</v>
      </c>
      <c r="E511" s="15" t="s">
        <v>10</v>
      </c>
      <c r="F511" s="14">
        <v>7</v>
      </c>
      <c r="G511" s="15">
        <v>2</v>
      </c>
      <c r="H511" s="14">
        <v>5</v>
      </c>
      <c r="I511" s="14">
        <v>5</v>
      </c>
      <c r="J511" s="17" t="s">
        <v>11</v>
      </c>
      <c r="K511" s="36"/>
      <c r="L511" s="14"/>
      <c r="M511" s="14"/>
      <c r="N511" s="14"/>
      <c r="O511" s="14"/>
      <c r="P511" s="25" t="s">
        <v>1223</v>
      </c>
      <c r="Q511" s="21"/>
      <c r="R511" s="22"/>
      <c r="S511" s="14">
        <v>70</v>
      </c>
      <c r="T511" s="27">
        <v>45881</v>
      </c>
      <c r="U511" s="27"/>
      <c r="V511" s="27"/>
      <c r="W511" s="27"/>
      <c r="X511" s="27"/>
      <c r="Y511" s="14" t="s">
        <v>59</v>
      </c>
      <c r="Z511" s="40" t="str">
        <f>IF(STAT[[#This Row],[sigla]]="","",VLOOKUP(STAT[[#This Row],[sigla]],CRÉDITOS_GERAIS[[sigla]:[credito]],2,))</f>
        <v>Isabela Santos</v>
      </c>
      <c r="AA511" s="14"/>
      <c r="AB511" s="14" t="str">
        <f>STAT[[#This Row],[ilustrador]]</f>
        <v>Isabela Santos</v>
      </c>
      <c r="AC511" s="14"/>
      <c r="AD511" s="22"/>
      <c r="AE511" s="15"/>
      <c r="AF511" s="42" t="str">
        <f t="shared" si="7"/>
        <v>P007</v>
      </c>
    </row>
    <row r="512" spans="1:32" ht="100.8" hidden="1" x14ac:dyDescent="0.3">
      <c r="A512" s="12" t="e" cm="1">
        <f t="array" aca="1" ref="A512" ca="1">IF(STAT[[#This Row],[retranca]]="","",       RegxFunc(STAT[[#This Row],[retranca]],  "\w\d{4}\w*_\d")     )</f>
        <v>#NAME?</v>
      </c>
      <c r="B512" s="21" t="s">
        <v>1224</v>
      </c>
      <c r="C512" s="14" t="s">
        <v>72</v>
      </c>
      <c r="D512" s="15" t="s">
        <v>9</v>
      </c>
      <c r="E512" s="15" t="s">
        <v>10</v>
      </c>
      <c r="F512" s="14">
        <v>10</v>
      </c>
      <c r="G512" s="15">
        <v>2</v>
      </c>
      <c r="H512" s="14">
        <v>5</v>
      </c>
      <c r="I512" s="14">
        <v>5</v>
      </c>
      <c r="J512" s="17" t="s">
        <v>55</v>
      </c>
      <c r="K512" s="36"/>
      <c r="L512" s="14"/>
      <c r="M512" s="14"/>
      <c r="N512" s="14"/>
      <c r="O512" s="14"/>
      <c r="P512" s="25" t="s">
        <v>1225</v>
      </c>
      <c r="Q512" s="21"/>
      <c r="R512" s="22"/>
      <c r="S512" s="14">
        <v>70</v>
      </c>
      <c r="T512" s="27">
        <v>45881</v>
      </c>
      <c r="U512" s="27">
        <v>45882</v>
      </c>
      <c r="V512" s="27">
        <v>45884</v>
      </c>
      <c r="W512" s="27">
        <v>45884</v>
      </c>
      <c r="X512" s="27">
        <v>45889</v>
      </c>
      <c r="Y512" s="14" t="s">
        <v>84</v>
      </c>
      <c r="Z512" s="40" t="str">
        <f>IF(STAT[[#This Row],[sigla]]="","",VLOOKUP(STAT[[#This Row],[sigla]],CRÉDITOS_GERAIS[[sigla]:[credito]],2,))</f>
        <v>Gabriel Brum</v>
      </c>
      <c r="AA512" s="14"/>
      <c r="AB512" s="14" t="str">
        <f>STAT[[#This Row],[ilustrador]]</f>
        <v>Gabriel Brum</v>
      </c>
      <c r="AC512" s="24">
        <v>5</v>
      </c>
      <c r="AD512" s="22" t="s">
        <v>1182</v>
      </c>
      <c r="AE512" s="14" t="s">
        <v>87</v>
      </c>
      <c r="AF512" s="42" t="str">
        <f t="shared" si="7"/>
        <v>P007</v>
      </c>
    </row>
    <row r="513" spans="1:32" ht="72" hidden="1" x14ac:dyDescent="0.3">
      <c r="A513" s="12" t="e" cm="1">
        <f t="array" aca="1" ref="A513" ca="1">IF(STAT[[#This Row],[retranca]]="","",       RegxFunc(STAT[[#This Row],[retranca]],  "\w\d{4}\w*_\d")     )</f>
        <v>#NAME?</v>
      </c>
      <c r="B513" s="21" t="s">
        <v>1226</v>
      </c>
      <c r="C513" s="14" t="s">
        <v>72</v>
      </c>
      <c r="D513" s="15" t="s">
        <v>9</v>
      </c>
      <c r="E513" s="15" t="s">
        <v>10</v>
      </c>
      <c r="F513" s="14">
        <v>10</v>
      </c>
      <c r="G513" s="15">
        <v>2</v>
      </c>
      <c r="H513" s="14">
        <v>5</v>
      </c>
      <c r="I513" s="14">
        <v>5</v>
      </c>
      <c r="J513" s="17" t="s">
        <v>55</v>
      </c>
      <c r="K513" s="36"/>
      <c r="L513" s="14"/>
      <c r="M513" s="14"/>
      <c r="N513" s="14"/>
      <c r="O513" s="14"/>
      <c r="P513" s="25" t="s">
        <v>1227</v>
      </c>
      <c r="Q513" s="21"/>
      <c r="R513" s="22"/>
      <c r="S513" s="14">
        <v>70</v>
      </c>
      <c r="T513" s="27">
        <v>45881</v>
      </c>
      <c r="U513" s="27">
        <v>45882</v>
      </c>
      <c r="V513" s="27">
        <v>45884</v>
      </c>
      <c r="W513" s="27">
        <v>45884</v>
      </c>
      <c r="X513" s="27">
        <v>45889</v>
      </c>
      <c r="Y513" s="14" t="s">
        <v>84</v>
      </c>
      <c r="Z513" s="40" t="str">
        <f>IF(STAT[[#This Row],[sigla]]="","",VLOOKUP(STAT[[#This Row],[sigla]],CRÉDITOS_GERAIS[[sigla]:[credito]],2,))</f>
        <v>Gabriel Brum</v>
      </c>
      <c r="AA513" s="14"/>
      <c r="AB513" s="14" t="str">
        <f>STAT[[#This Row],[ilustrador]]</f>
        <v>Gabriel Brum</v>
      </c>
      <c r="AC513" s="24">
        <v>7</v>
      </c>
      <c r="AD513" s="22" t="s">
        <v>1182</v>
      </c>
      <c r="AE513" s="14" t="s">
        <v>87</v>
      </c>
      <c r="AF513" s="42" t="str">
        <f t="shared" si="7"/>
        <v>P007</v>
      </c>
    </row>
    <row r="514" spans="1:32" ht="100.8" hidden="1" x14ac:dyDescent="0.3">
      <c r="A514" s="12" t="e" cm="1">
        <f t="array" aca="1" ref="A514" ca="1">IF(STAT[[#This Row],[retranca]]="","",       RegxFunc(STAT[[#This Row],[retranca]],  "\w\d{4}\w*_\d")     )</f>
        <v>#NAME?</v>
      </c>
      <c r="B514" s="21" t="s">
        <v>1228</v>
      </c>
      <c r="C514" s="14" t="s">
        <v>72</v>
      </c>
      <c r="D514" s="15" t="s">
        <v>9</v>
      </c>
      <c r="E514" s="15" t="s">
        <v>10</v>
      </c>
      <c r="F514" s="14">
        <v>17</v>
      </c>
      <c r="G514" s="15">
        <v>2</v>
      </c>
      <c r="H514" s="14">
        <v>5</v>
      </c>
      <c r="I514" s="14">
        <v>5</v>
      </c>
      <c r="J514" s="17" t="s">
        <v>55</v>
      </c>
      <c r="K514" s="36"/>
      <c r="L514" s="14"/>
      <c r="M514" s="14"/>
      <c r="N514" s="14"/>
      <c r="O514" s="14"/>
      <c r="P514" s="25" t="s">
        <v>1229</v>
      </c>
      <c r="Q514" s="21"/>
      <c r="R514" s="22"/>
      <c r="S514" s="14">
        <v>70</v>
      </c>
      <c r="T514" s="27">
        <v>45881</v>
      </c>
      <c r="U514" s="27">
        <v>45881</v>
      </c>
      <c r="V514" s="27">
        <v>45889</v>
      </c>
      <c r="W514" s="27">
        <v>45889</v>
      </c>
      <c r="X514" s="27">
        <v>45894</v>
      </c>
      <c r="Y514" s="14" t="s">
        <v>375</v>
      </c>
      <c r="Z514" s="40" t="str">
        <f>IF(STAT[[#This Row],[sigla]]="","",VLOOKUP(STAT[[#This Row],[sigla]],CRÉDITOS_GERAIS[[sigla]:[credito]],2,))</f>
        <v>Lídia Farias</v>
      </c>
      <c r="AA514" s="14"/>
      <c r="AB514" s="14" t="str">
        <f>STAT[[#This Row],[ilustrador]]</f>
        <v>Lídia Farias</v>
      </c>
      <c r="AC514" s="24">
        <v>3</v>
      </c>
      <c r="AD514" s="22" t="s">
        <v>1217</v>
      </c>
      <c r="AE514" s="14" t="s">
        <v>87</v>
      </c>
      <c r="AF514" s="42" t="str">
        <f t="shared" ref="AF514:AF577" si="8">"P007"</f>
        <v>P007</v>
      </c>
    </row>
    <row r="515" spans="1:32" ht="28.8" hidden="1" x14ac:dyDescent="0.3">
      <c r="A515" s="12" t="e" cm="1">
        <f t="array" aca="1" ref="A515" ca="1">IF(STAT[[#This Row],[retranca]]="","",       RegxFunc(STAT[[#This Row],[retranca]],  "\w\d{4}\w*_\d")     )</f>
        <v>#NAME?</v>
      </c>
      <c r="B515" s="21" t="s">
        <v>1230</v>
      </c>
      <c r="C515" s="14" t="s">
        <v>72</v>
      </c>
      <c r="D515" s="15" t="s">
        <v>9</v>
      </c>
      <c r="E515" s="15" t="s">
        <v>10</v>
      </c>
      <c r="F515" s="14">
        <v>21</v>
      </c>
      <c r="G515" s="15">
        <v>2</v>
      </c>
      <c r="H515" s="14">
        <v>6</v>
      </c>
      <c r="I515" s="14">
        <v>6</v>
      </c>
      <c r="J515" s="17" t="s">
        <v>55</v>
      </c>
      <c r="K515" s="36"/>
      <c r="L515" s="14"/>
      <c r="M515" s="14"/>
      <c r="N515" s="14"/>
      <c r="O515" s="14"/>
      <c r="P515" s="25" t="s">
        <v>1231</v>
      </c>
      <c r="Q515" s="21"/>
      <c r="R515" s="22"/>
      <c r="S515" s="14"/>
      <c r="T515" s="27"/>
      <c r="U515" s="27"/>
      <c r="V515" s="27"/>
      <c r="W515" s="27"/>
      <c r="X515" s="27"/>
      <c r="Y515" s="14" t="s">
        <v>43</v>
      </c>
      <c r="Z515" s="40" t="e">
        <f>IF(STAT[[#This Row],[sigla]]="","",VLOOKUP(STAT[[#This Row],[sigla]],CRÉDITOS_GERAIS[[sigla]:[credito]],2,))</f>
        <v>#N/A</v>
      </c>
      <c r="AA515" s="14"/>
      <c r="AB515" s="14" t="e">
        <f>STAT[[#This Row],[ilustrador]]</f>
        <v>#N/A</v>
      </c>
      <c r="AC515" s="14"/>
      <c r="AD515" s="22"/>
      <c r="AE515" s="15"/>
      <c r="AF515" s="42" t="str">
        <f t="shared" si="8"/>
        <v>P007</v>
      </c>
    </row>
    <row r="516" spans="1:32" ht="28.8" hidden="1" x14ac:dyDescent="0.3">
      <c r="A516" s="12" t="e" cm="1">
        <f t="array" aca="1" ref="A516" ca="1">IF(STAT[[#This Row],[retranca]]="","",       RegxFunc(STAT[[#This Row],[retranca]],  "\w\d{4}\w*_\d")     )</f>
        <v>#NAME?</v>
      </c>
      <c r="B516" s="21" t="s">
        <v>1232</v>
      </c>
      <c r="C516" s="14" t="s">
        <v>72</v>
      </c>
      <c r="D516" s="15" t="s">
        <v>9</v>
      </c>
      <c r="E516" s="15" t="s">
        <v>10</v>
      </c>
      <c r="F516" s="14">
        <v>21</v>
      </c>
      <c r="G516" s="15">
        <v>2</v>
      </c>
      <c r="H516" s="14">
        <v>6</v>
      </c>
      <c r="I516" s="14">
        <v>6</v>
      </c>
      <c r="J516" s="17" t="s">
        <v>55</v>
      </c>
      <c r="K516" s="36"/>
      <c r="L516" s="14"/>
      <c r="M516" s="14"/>
      <c r="N516" s="14"/>
      <c r="O516" s="14"/>
      <c r="P516" s="25" t="s">
        <v>1233</v>
      </c>
      <c r="Q516" s="21"/>
      <c r="R516" s="22"/>
      <c r="S516" s="14"/>
      <c r="T516" s="27"/>
      <c r="U516" s="27"/>
      <c r="V516" s="27"/>
      <c r="W516" s="27"/>
      <c r="X516" s="27"/>
      <c r="Y516" s="14" t="s">
        <v>43</v>
      </c>
      <c r="Z516" s="40" t="e">
        <f>IF(STAT[[#This Row],[sigla]]="","",VLOOKUP(STAT[[#This Row],[sigla]],CRÉDITOS_GERAIS[[sigla]:[credito]],2,))</f>
        <v>#N/A</v>
      </c>
      <c r="AA516" s="14"/>
      <c r="AB516" s="14" t="e">
        <f>STAT[[#This Row],[ilustrador]]</f>
        <v>#N/A</v>
      </c>
      <c r="AC516" s="14"/>
      <c r="AD516" s="22"/>
      <c r="AE516" s="15"/>
      <c r="AF516" s="42" t="str">
        <f t="shared" si="8"/>
        <v>P007</v>
      </c>
    </row>
    <row r="517" spans="1:32" ht="43.2" hidden="1" x14ac:dyDescent="0.3">
      <c r="A517" s="12" t="e" cm="1">
        <f t="array" aca="1" ref="A517" ca="1">IF(STAT[[#This Row],[retranca]]="","",       RegxFunc(STAT[[#This Row],[retranca]],  "\w\d{4}\w*_\d")     )</f>
        <v>#NAME?</v>
      </c>
      <c r="B517" s="21" t="s">
        <v>1234</v>
      </c>
      <c r="C517" s="14" t="s">
        <v>72</v>
      </c>
      <c r="D517" s="15" t="s">
        <v>9</v>
      </c>
      <c r="E517" s="15" t="s">
        <v>10</v>
      </c>
      <c r="F517" s="14">
        <v>21</v>
      </c>
      <c r="G517" s="15">
        <v>2</v>
      </c>
      <c r="H517" s="14">
        <v>6</v>
      </c>
      <c r="I517" s="14">
        <v>6</v>
      </c>
      <c r="J517" s="17" t="s">
        <v>55</v>
      </c>
      <c r="K517" s="36"/>
      <c r="L517" s="14"/>
      <c r="M517" s="14"/>
      <c r="N517" s="14"/>
      <c r="O517" s="14"/>
      <c r="P517" s="25" t="s">
        <v>1235</v>
      </c>
      <c r="Q517" s="21"/>
      <c r="R517" s="22"/>
      <c r="S517" s="14">
        <v>72</v>
      </c>
      <c r="T517" s="27">
        <v>45882</v>
      </c>
      <c r="U517" s="27">
        <v>45884</v>
      </c>
      <c r="V517" s="27"/>
      <c r="W517" s="27"/>
      <c r="X517" s="27">
        <v>45884</v>
      </c>
      <c r="Y517" s="14" t="s">
        <v>43</v>
      </c>
      <c r="Z517" s="40" t="e">
        <f>IF(STAT[[#This Row],[sigla]]="","",VLOOKUP(STAT[[#This Row],[sigla]],CRÉDITOS_GERAIS[[sigla]:[credito]],2,))</f>
        <v>#N/A</v>
      </c>
      <c r="AA517" s="14" t="s">
        <v>90</v>
      </c>
      <c r="AB517" s="14" t="e">
        <f>STAT[[#This Row],[ilustrador]]</f>
        <v>#N/A</v>
      </c>
      <c r="AC517" s="14">
        <v>14</v>
      </c>
      <c r="AD517" s="22" t="s">
        <v>196</v>
      </c>
      <c r="AE517" s="14" t="s">
        <v>46</v>
      </c>
      <c r="AF517" s="42" t="str">
        <f t="shared" si="8"/>
        <v>P007</v>
      </c>
    </row>
    <row r="518" spans="1:32" ht="43.2" hidden="1" x14ac:dyDescent="0.3">
      <c r="A518" s="12" t="e" cm="1">
        <f t="array" aca="1" ref="A518" ca="1">IF(STAT[[#This Row],[retranca]]="","",       RegxFunc(STAT[[#This Row],[retranca]],  "\w\d{4}\w*_\d")     )</f>
        <v>#NAME?</v>
      </c>
      <c r="B518" s="21" t="s">
        <v>1236</v>
      </c>
      <c r="C518" s="14" t="s">
        <v>72</v>
      </c>
      <c r="D518" s="15" t="s">
        <v>9</v>
      </c>
      <c r="E518" s="15" t="s">
        <v>10</v>
      </c>
      <c r="F518" s="14">
        <v>21</v>
      </c>
      <c r="G518" s="15">
        <v>2</v>
      </c>
      <c r="H518" s="14">
        <v>6</v>
      </c>
      <c r="I518" s="14">
        <v>6</v>
      </c>
      <c r="J518" s="17" t="s">
        <v>55</v>
      </c>
      <c r="K518" s="36"/>
      <c r="L518" s="14"/>
      <c r="M518" s="14"/>
      <c r="N518" s="14"/>
      <c r="O518" s="14"/>
      <c r="P518" s="25" t="s">
        <v>1237</v>
      </c>
      <c r="Q518" s="21"/>
      <c r="R518" s="22"/>
      <c r="S518" s="14">
        <v>72</v>
      </c>
      <c r="T518" s="27">
        <v>45882</v>
      </c>
      <c r="U518" s="27">
        <v>45884</v>
      </c>
      <c r="V518" s="27"/>
      <c r="W518" s="27"/>
      <c r="X518" s="27">
        <v>45884</v>
      </c>
      <c r="Y518" s="14" t="s">
        <v>43</v>
      </c>
      <c r="Z518" s="40" t="e">
        <f>IF(STAT[[#This Row],[sigla]]="","",VLOOKUP(STAT[[#This Row],[sigla]],CRÉDITOS_GERAIS[[sigla]:[credito]],2,))</f>
        <v>#N/A</v>
      </c>
      <c r="AA518" s="14" t="s">
        <v>90</v>
      </c>
      <c r="AB518" s="14" t="e">
        <f>STAT[[#This Row],[ilustrador]]</f>
        <v>#N/A</v>
      </c>
      <c r="AC518" s="14">
        <v>14</v>
      </c>
      <c r="AD518" s="22" t="s">
        <v>196</v>
      </c>
      <c r="AE518" s="14" t="s">
        <v>46</v>
      </c>
      <c r="AF518" s="42" t="str">
        <f t="shared" si="8"/>
        <v>P007</v>
      </c>
    </row>
    <row r="519" spans="1:32" ht="43.2" hidden="1" x14ac:dyDescent="0.3">
      <c r="A519" s="12" t="e" cm="1">
        <f t="array" aca="1" ref="A519" ca="1">IF(STAT[[#This Row],[retranca]]="","",       RegxFunc(STAT[[#This Row],[retranca]],  "\w\d{4}\w*_\d")     )</f>
        <v>#NAME?</v>
      </c>
      <c r="B519" s="21" t="s">
        <v>1238</v>
      </c>
      <c r="C519" s="14" t="s">
        <v>72</v>
      </c>
      <c r="D519" s="15" t="s">
        <v>9</v>
      </c>
      <c r="E519" s="15" t="s">
        <v>10</v>
      </c>
      <c r="F519" s="14">
        <v>21</v>
      </c>
      <c r="G519" s="15">
        <v>2</v>
      </c>
      <c r="H519" s="14">
        <v>6</v>
      </c>
      <c r="I519" s="14">
        <v>6</v>
      </c>
      <c r="J519" s="17" t="s">
        <v>55</v>
      </c>
      <c r="K519" s="36"/>
      <c r="L519" s="14"/>
      <c r="M519" s="14"/>
      <c r="N519" s="14"/>
      <c r="O519" s="14"/>
      <c r="P519" s="25" t="s">
        <v>1239</v>
      </c>
      <c r="Q519" s="21"/>
      <c r="R519" s="22"/>
      <c r="S519" s="14">
        <v>72</v>
      </c>
      <c r="T519" s="27">
        <v>45882</v>
      </c>
      <c r="U519" s="27">
        <v>45884</v>
      </c>
      <c r="V519" s="27"/>
      <c r="W519" s="27"/>
      <c r="X519" s="27">
        <v>45884</v>
      </c>
      <c r="Y519" s="14" t="s">
        <v>43</v>
      </c>
      <c r="Z519" s="40" t="e">
        <f>IF(STAT[[#This Row],[sigla]]="","",VLOOKUP(STAT[[#This Row],[sigla]],CRÉDITOS_GERAIS[[sigla]:[credito]],2,))</f>
        <v>#N/A</v>
      </c>
      <c r="AA519" s="14" t="s">
        <v>90</v>
      </c>
      <c r="AB519" s="14" t="e">
        <f>STAT[[#This Row],[ilustrador]]</f>
        <v>#N/A</v>
      </c>
      <c r="AC519" s="14">
        <v>14</v>
      </c>
      <c r="AD519" s="22" t="s">
        <v>196</v>
      </c>
      <c r="AE519" s="14" t="s">
        <v>46</v>
      </c>
      <c r="AF519" s="42" t="str">
        <f t="shared" si="8"/>
        <v>P007</v>
      </c>
    </row>
    <row r="520" spans="1:32" ht="28.8" hidden="1" x14ac:dyDescent="0.3">
      <c r="A520" s="12" t="e" cm="1">
        <f t="array" aca="1" ref="A520" ca="1">IF(STAT[[#This Row],[retranca]]="","",       RegxFunc(STAT[[#This Row],[retranca]],  "\w\d{4}\w*_\d")     )</f>
        <v>#NAME?</v>
      </c>
      <c r="B520" s="21" t="s">
        <v>1240</v>
      </c>
      <c r="C520" s="14" t="s">
        <v>72</v>
      </c>
      <c r="D520" s="15" t="s">
        <v>9</v>
      </c>
      <c r="E520" s="15" t="s">
        <v>10</v>
      </c>
      <c r="F520" s="14">
        <v>22</v>
      </c>
      <c r="G520" s="15">
        <v>2</v>
      </c>
      <c r="H520" s="14">
        <v>6</v>
      </c>
      <c r="I520" s="14">
        <v>6</v>
      </c>
      <c r="J520" s="17" t="s">
        <v>55</v>
      </c>
      <c r="K520" s="36"/>
      <c r="L520" s="14"/>
      <c r="M520" s="14"/>
      <c r="N520" s="14"/>
      <c r="O520" s="14"/>
      <c r="P520" s="25" t="s">
        <v>1241</v>
      </c>
      <c r="Q520" s="21"/>
      <c r="R520" s="22"/>
      <c r="S520" s="14">
        <v>72</v>
      </c>
      <c r="T520" s="27">
        <v>45882</v>
      </c>
      <c r="U520" s="27">
        <v>45884</v>
      </c>
      <c r="V520" s="27">
        <v>45888</v>
      </c>
      <c r="W520" s="27">
        <v>45889</v>
      </c>
      <c r="X520" s="27">
        <v>45908</v>
      </c>
      <c r="Y520" s="14" t="s">
        <v>876</v>
      </c>
      <c r="Z520" s="40" t="str">
        <f>IF(STAT[[#This Row],[sigla]]="","",VLOOKUP(STAT[[#This Row],[sigla]],CRÉDITOS_GERAIS[[sigla]:[credito]],2,))</f>
        <v>Amanda Neves</v>
      </c>
      <c r="AA520" s="14"/>
      <c r="AB520" s="14" t="str">
        <f>STAT[[#This Row],[ilustrador]]</f>
        <v>Amanda Neves</v>
      </c>
      <c r="AC520" s="14">
        <v>4</v>
      </c>
      <c r="AD520" s="22" t="s">
        <v>1242</v>
      </c>
      <c r="AE520" s="15" t="s">
        <v>87</v>
      </c>
      <c r="AF520" s="42" t="str">
        <f t="shared" si="8"/>
        <v>P007</v>
      </c>
    </row>
    <row r="521" spans="1:32" ht="43.2" hidden="1" x14ac:dyDescent="0.3">
      <c r="A521" s="12" t="e" cm="1">
        <f t="array" aca="1" ref="A521" ca="1">IF(STAT[[#This Row],[retranca]]="","",       RegxFunc(STAT[[#This Row],[retranca]],  "\w\d{4}\w*_\d")     )</f>
        <v>#NAME?</v>
      </c>
      <c r="B521" s="21" t="s">
        <v>1243</v>
      </c>
      <c r="C521" s="14" t="s">
        <v>72</v>
      </c>
      <c r="D521" s="15" t="s">
        <v>9</v>
      </c>
      <c r="E521" s="15" t="s">
        <v>10</v>
      </c>
      <c r="F521" s="14">
        <v>24</v>
      </c>
      <c r="G521" s="15">
        <v>2</v>
      </c>
      <c r="H521" s="14">
        <v>6</v>
      </c>
      <c r="I521" s="14">
        <v>6</v>
      </c>
      <c r="J521" s="17" t="s">
        <v>55</v>
      </c>
      <c r="K521" s="36"/>
      <c r="L521" s="14"/>
      <c r="M521" s="14"/>
      <c r="N521" s="14"/>
      <c r="O521" s="14"/>
      <c r="P521" s="25" t="s">
        <v>1244</v>
      </c>
      <c r="Q521" s="21"/>
      <c r="R521" s="22"/>
      <c r="S521" s="14">
        <v>72</v>
      </c>
      <c r="T521" s="27">
        <v>45882</v>
      </c>
      <c r="U521" s="27">
        <v>45884</v>
      </c>
      <c r="V521" s="27">
        <v>45888</v>
      </c>
      <c r="W521" s="27">
        <v>45889</v>
      </c>
      <c r="X521" s="27">
        <v>45908</v>
      </c>
      <c r="Y521" s="14" t="s">
        <v>876</v>
      </c>
      <c r="Z521" s="40" t="str">
        <f>IF(STAT[[#This Row],[sigla]]="","",VLOOKUP(STAT[[#This Row],[sigla]],CRÉDITOS_GERAIS[[sigla]:[credito]],2,))</f>
        <v>Amanda Neves</v>
      </c>
      <c r="AA521" s="14"/>
      <c r="AB521" s="14" t="str">
        <f>STAT[[#This Row],[ilustrador]]</f>
        <v>Amanda Neves</v>
      </c>
      <c r="AC521" s="14">
        <v>6</v>
      </c>
      <c r="AD521" s="22" t="s">
        <v>1242</v>
      </c>
      <c r="AE521" s="15" t="s">
        <v>87</v>
      </c>
      <c r="AF521" s="42" t="str">
        <f t="shared" si="8"/>
        <v>P007</v>
      </c>
    </row>
    <row r="522" spans="1:32" ht="86.4" hidden="1" x14ac:dyDescent="0.3">
      <c r="A522" s="12" t="e" cm="1">
        <f t="array" aca="1" ref="A522" ca="1">IF(STAT[[#This Row],[retranca]]="","",       RegxFunc(STAT[[#This Row],[retranca]],  "\w\d{4}\w*_\d")     )</f>
        <v>#NAME?</v>
      </c>
      <c r="B522" s="21" t="s">
        <v>1245</v>
      </c>
      <c r="C522" s="14" t="s">
        <v>72</v>
      </c>
      <c r="D522" s="15" t="s">
        <v>9</v>
      </c>
      <c r="E522" s="15" t="s">
        <v>10</v>
      </c>
      <c r="F522" s="14">
        <v>25</v>
      </c>
      <c r="G522" s="15">
        <v>2</v>
      </c>
      <c r="H522" s="14">
        <v>6</v>
      </c>
      <c r="I522" s="14">
        <v>6</v>
      </c>
      <c r="J522" s="17" t="s">
        <v>55</v>
      </c>
      <c r="K522" s="36"/>
      <c r="L522" s="14"/>
      <c r="M522" s="14"/>
      <c r="N522" s="14"/>
      <c r="O522" s="14"/>
      <c r="P522" s="25" t="s">
        <v>1246</v>
      </c>
      <c r="Q522" s="21"/>
      <c r="R522" s="22"/>
      <c r="S522" s="14">
        <v>72</v>
      </c>
      <c r="T522" s="27">
        <v>45882</v>
      </c>
      <c r="U522" s="27">
        <v>45884</v>
      </c>
      <c r="V522" s="27">
        <v>45888</v>
      </c>
      <c r="W522" s="27">
        <v>45889</v>
      </c>
      <c r="X522" s="27">
        <v>45908</v>
      </c>
      <c r="Y522" s="14" t="s">
        <v>876</v>
      </c>
      <c r="Z522" s="40" t="str">
        <f>IF(STAT[[#This Row],[sigla]]="","",VLOOKUP(STAT[[#This Row],[sigla]],CRÉDITOS_GERAIS[[sigla]:[credito]],2,))</f>
        <v>Amanda Neves</v>
      </c>
      <c r="AA522" s="14"/>
      <c r="AB522" s="14" t="str">
        <f>STAT[[#This Row],[ilustrador]]</f>
        <v>Amanda Neves</v>
      </c>
      <c r="AC522" s="14">
        <v>6</v>
      </c>
      <c r="AD522" s="22" t="s">
        <v>1242</v>
      </c>
      <c r="AE522" s="15" t="s">
        <v>87</v>
      </c>
      <c r="AF522" s="42" t="str">
        <f t="shared" si="8"/>
        <v>P007</v>
      </c>
    </row>
    <row r="523" spans="1:32" ht="72" hidden="1" x14ac:dyDescent="0.3">
      <c r="A523" s="12" t="e" cm="1">
        <f t="array" aca="1" ref="A523" ca="1">IF(STAT[[#This Row],[retranca]]="","",       RegxFunc(STAT[[#This Row],[retranca]],  "\w\d{4}\w*_\d")     )</f>
        <v>#NAME?</v>
      </c>
      <c r="B523" s="21" t="s">
        <v>1247</v>
      </c>
      <c r="C523" s="14" t="s">
        <v>72</v>
      </c>
      <c r="D523" s="15" t="s">
        <v>9</v>
      </c>
      <c r="E523" s="15" t="s">
        <v>10</v>
      </c>
      <c r="F523" s="14">
        <v>25</v>
      </c>
      <c r="G523" s="15">
        <v>2</v>
      </c>
      <c r="H523" s="14">
        <v>6</v>
      </c>
      <c r="I523" s="14">
        <v>6</v>
      </c>
      <c r="J523" s="17" t="s">
        <v>55</v>
      </c>
      <c r="K523" s="36"/>
      <c r="L523" s="14"/>
      <c r="M523" s="14"/>
      <c r="N523" s="14"/>
      <c r="O523" s="14"/>
      <c r="P523" s="25" t="s">
        <v>1248</v>
      </c>
      <c r="Q523" s="21"/>
      <c r="R523" s="22"/>
      <c r="S523" s="14">
        <v>72</v>
      </c>
      <c r="T523" s="27">
        <v>45882</v>
      </c>
      <c r="U523" s="27">
        <v>45884</v>
      </c>
      <c r="V523" s="27">
        <v>45888</v>
      </c>
      <c r="W523" s="27">
        <v>45889</v>
      </c>
      <c r="X523" s="27">
        <v>45908</v>
      </c>
      <c r="Y523" s="14" t="s">
        <v>876</v>
      </c>
      <c r="Z523" s="40" t="str">
        <f>IF(STAT[[#This Row],[sigla]]="","",VLOOKUP(STAT[[#This Row],[sigla]],CRÉDITOS_GERAIS[[sigla]:[credito]],2,))</f>
        <v>Amanda Neves</v>
      </c>
      <c r="AA523" s="14"/>
      <c r="AB523" s="14" t="str">
        <f>STAT[[#This Row],[ilustrador]]</f>
        <v>Amanda Neves</v>
      </c>
      <c r="AC523" s="14">
        <v>6</v>
      </c>
      <c r="AD523" s="22" t="s">
        <v>1242</v>
      </c>
      <c r="AE523" s="15" t="s">
        <v>87</v>
      </c>
      <c r="AF523" s="42" t="str">
        <f t="shared" si="8"/>
        <v>P007</v>
      </c>
    </row>
    <row r="524" spans="1:32" ht="86.4" hidden="1" x14ac:dyDescent="0.3">
      <c r="A524" s="12" t="e" cm="1">
        <f t="array" aca="1" ref="A524" ca="1">IF(STAT[[#This Row],[retranca]]="","",       RegxFunc(STAT[[#This Row],[retranca]],  "\w\d{4}\w*_\d")     )</f>
        <v>#NAME?</v>
      </c>
      <c r="B524" s="21" t="s">
        <v>1249</v>
      </c>
      <c r="C524" s="14" t="s">
        <v>72</v>
      </c>
      <c r="D524" s="15" t="s">
        <v>9</v>
      </c>
      <c r="E524" s="15" t="s">
        <v>10</v>
      </c>
      <c r="F524" s="14">
        <v>25</v>
      </c>
      <c r="G524" s="15">
        <v>2</v>
      </c>
      <c r="H524" s="14">
        <v>6</v>
      </c>
      <c r="I524" s="14">
        <v>6</v>
      </c>
      <c r="J524" s="17" t="s">
        <v>55</v>
      </c>
      <c r="K524" s="36"/>
      <c r="L524" s="14"/>
      <c r="M524" s="14"/>
      <c r="N524" s="14"/>
      <c r="O524" s="14"/>
      <c r="P524" s="25" t="s">
        <v>1250</v>
      </c>
      <c r="Q524" s="21"/>
      <c r="R524" s="22"/>
      <c r="S524" s="14">
        <v>72</v>
      </c>
      <c r="T524" s="27">
        <v>45882</v>
      </c>
      <c r="U524" s="27">
        <v>45884</v>
      </c>
      <c r="V524" s="27">
        <v>45888</v>
      </c>
      <c r="W524" s="27">
        <v>45889</v>
      </c>
      <c r="X524" s="27">
        <v>45908</v>
      </c>
      <c r="Y524" s="14" t="s">
        <v>876</v>
      </c>
      <c r="Z524" s="40" t="str">
        <f>IF(STAT[[#This Row],[sigla]]="","",VLOOKUP(STAT[[#This Row],[sigla]],CRÉDITOS_GERAIS[[sigla]:[credito]],2,))</f>
        <v>Amanda Neves</v>
      </c>
      <c r="AA524" s="14"/>
      <c r="AB524" s="14" t="str">
        <f>STAT[[#This Row],[ilustrador]]</f>
        <v>Amanda Neves</v>
      </c>
      <c r="AC524" s="14">
        <v>6</v>
      </c>
      <c r="AD524" s="22" t="s">
        <v>1242</v>
      </c>
      <c r="AE524" s="15" t="s">
        <v>87</v>
      </c>
      <c r="AF524" s="42" t="str">
        <f t="shared" si="8"/>
        <v>P007</v>
      </c>
    </row>
    <row r="525" spans="1:32" ht="28.8" hidden="1" x14ac:dyDescent="0.3">
      <c r="A525" s="12" t="e" cm="1">
        <f t="array" aca="1" ref="A525" ca="1">IF(STAT[[#This Row],[retranca]]="","",       RegxFunc(STAT[[#This Row],[retranca]],  "\w\d{4}\w*_\d")     )</f>
        <v>#NAME?</v>
      </c>
      <c r="B525" s="21" t="s">
        <v>1251</v>
      </c>
      <c r="C525" s="14" t="s">
        <v>72</v>
      </c>
      <c r="D525" s="15" t="s">
        <v>9</v>
      </c>
      <c r="E525" s="15" t="s">
        <v>10</v>
      </c>
      <c r="F525" s="14">
        <v>27</v>
      </c>
      <c r="G525" s="15">
        <v>2</v>
      </c>
      <c r="H525" s="14">
        <v>6</v>
      </c>
      <c r="I525" s="14">
        <v>6</v>
      </c>
      <c r="J525" s="17" t="s">
        <v>55</v>
      </c>
      <c r="K525" s="36"/>
      <c r="L525" s="14"/>
      <c r="M525" s="14"/>
      <c r="N525" s="14"/>
      <c r="O525" s="14"/>
      <c r="P525" s="25" t="s">
        <v>1252</v>
      </c>
      <c r="Q525" s="21"/>
      <c r="R525" s="22"/>
      <c r="S525" s="14"/>
      <c r="T525" s="27"/>
      <c r="U525" s="27"/>
      <c r="V525" s="27"/>
      <c r="W525" s="27"/>
      <c r="X525" s="27"/>
      <c r="Y525" s="14" t="s">
        <v>43</v>
      </c>
      <c r="Z525" s="40" t="e">
        <f>IF(STAT[[#This Row],[sigla]]="","",VLOOKUP(STAT[[#This Row],[sigla]],CRÉDITOS_GERAIS[[sigla]:[credito]],2,))</f>
        <v>#N/A</v>
      </c>
      <c r="AA525" s="14"/>
      <c r="AB525" s="14" t="e">
        <f>STAT[[#This Row],[ilustrador]]</f>
        <v>#N/A</v>
      </c>
      <c r="AC525" s="14"/>
      <c r="AD525" s="22"/>
      <c r="AE525" s="15"/>
      <c r="AF525" s="42" t="str">
        <f t="shared" si="8"/>
        <v>P007</v>
      </c>
    </row>
    <row r="526" spans="1:32" ht="28.8" hidden="1" x14ac:dyDescent="0.3">
      <c r="A526" s="12" t="e" cm="1">
        <f t="array" aca="1" ref="A526" ca="1">IF(STAT[[#This Row],[retranca]]="","",       RegxFunc(STAT[[#This Row],[retranca]],  "\w\d{4}\w*_\d")     )</f>
        <v>#NAME?</v>
      </c>
      <c r="B526" s="21" t="s">
        <v>1253</v>
      </c>
      <c r="C526" s="14" t="s">
        <v>72</v>
      </c>
      <c r="D526" s="15" t="s">
        <v>9</v>
      </c>
      <c r="E526" s="15" t="s">
        <v>10</v>
      </c>
      <c r="F526" s="14">
        <v>27</v>
      </c>
      <c r="G526" s="15">
        <v>2</v>
      </c>
      <c r="H526" s="14">
        <v>6</v>
      </c>
      <c r="I526" s="14">
        <v>6</v>
      </c>
      <c r="J526" s="17" t="s">
        <v>55</v>
      </c>
      <c r="K526" s="36"/>
      <c r="L526" s="14"/>
      <c r="M526" s="14"/>
      <c r="N526" s="14"/>
      <c r="O526" s="14"/>
      <c r="P526" s="25" t="s">
        <v>1254</v>
      </c>
      <c r="Q526" s="21"/>
      <c r="R526" s="22"/>
      <c r="S526" s="14"/>
      <c r="T526" s="27"/>
      <c r="U526" s="27"/>
      <c r="V526" s="27"/>
      <c r="W526" s="27"/>
      <c r="X526" s="27"/>
      <c r="Y526" s="14" t="s">
        <v>43</v>
      </c>
      <c r="Z526" s="40" t="e">
        <f>IF(STAT[[#This Row],[sigla]]="","",VLOOKUP(STAT[[#This Row],[sigla]],CRÉDITOS_GERAIS[[sigla]:[credito]],2,))</f>
        <v>#N/A</v>
      </c>
      <c r="AA526" s="14"/>
      <c r="AB526" s="14" t="e">
        <f>STAT[[#This Row],[ilustrador]]</f>
        <v>#N/A</v>
      </c>
      <c r="AC526" s="14"/>
      <c r="AD526" s="22"/>
      <c r="AE526" s="15"/>
      <c r="AF526" s="42" t="str">
        <f t="shared" si="8"/>
        <v>P007</v>
      </c>
    </row>
    <row r="527" spans="1:32" ht="28.8" hidden="1" x14ac:dyDescent="0.3">
      <c r="A527" s="12" t="e" cm="1">
        <f t="array" aca="1" ref="A527" ca="1">IF(STAT[[#This Row],[retranca]]="","",       RegxFunc(STAT[[#This Row],[retranca]],  "\w\d{4}\w*_\d")     )</f>
        <v>#NAME?</v>
      </c>
      <c r="B527" s="21" t="s">
        <v>1255</v>
      </c>
      <c r="C527" s="14" t="s">
        <v>72</v>
      </c>
      <c r="D527" s="15" t="s">
        <v>9</v>
      </c>
      <c r="E527" s="15" t="s">
        <v>10</v>
      </c>
      <c r="F527" s="14">
        <v>27</v>
      </c>
      <c r="G527" s="15">
        <v>2</v>
      </c>
      <c r="H527" s="14">
        <v>6</v>
      </c>
      <c r="I527" s="14">
        <v>6</v>
      </c>
      <c r="J527" s="17" t="s">
        <v>55</v>
      </c>
      <c r="K527" s="36"/>
      <c r="L527" s="14"/>
      <c r="M527" s="14"/>
      <c r="N527" s="14"/>
      <c r="O527" s="14"/>
      <c r="P527" s="25" t="s">
        <v>1256</v>
      </c>
      <c r="Q527" s="21"/>
      <c r="R527" s="22"/>
      <c r="S527" s="14"/>
      <c r="T527" s="27"/>
      <c r="U527" s="27"/>
      <c r="V527" s="27"/>
      <c r="W527" s="27"/>
      <c r="X527" s="27"/>
      <c r="Y527" s="14" t="s">
        <v>43</v>
      </c>
      <c r="Z527" s="40" t="e">
        <f>IF(STAT[[#This Row],[sigla]]="","",VLOOKUP(STAT[[#This Row],[sigla]],CRÉDITOS_GERAIS[[sigla]:[credito]],2,))</f>
        <v>#N/A</v>
      </c>
      <c r="AA527" s="14"/>
      <c r="AB527" s="14" t="e">
        <f>STAT[[#This Row],[ilustrador]]</f>
        <v>#N/A</v>
      </c>
      <c r="AC527" s="14"/>
      <c r="AD527" s="22"/>
      <c r="AE527" s="15"/>
      <c r="AF527" s="42" t="str">
        <f t="shared" si="8"/>
        <v>P007</v>
      </c>
    </row>
    <row r="528" spans="1:32" hidden="1" x14ac:dyDescent="0.3">
      <c r="A528" s="12" t="e" cm="1">
        <f t="array" aca="1" ref="A528" ca="1">IF(STAT[[#This Row],[retranca]]="","",       RegxFunc(STAT[[#This Row],[retranca]],  "\w\d{4}\w*_\d")     )</f>
        <v>#NAME?</v>
      </c>
      <c r="B528" s="21" t="s">
        <v>1257</v>
      </c>
      <c r="C528" s="14" t="s">
        <v>72</v>
      </c>
      <c r="D528" s="15" t="s">
        <v>143</v>
      </c>
      <c r="E528" s="15" t="s">
        <v>10</v>
      </c>
      <c r="F528" s="14">
        <v>29</v>
      </c>
      <c r="G528" s="15">
        <v>2</v>
      </c>
      <c r="H528" s="14">
        <v>6</v>
      </c>
      <c r="I528" s="14">
        <v>6</v>
      </c>
      <c r="J528" s="17" t="s">
        <v>55</v>
      </c>
      <c r="K528" s="36"/>
      <c r="L528" s="14"/>
      <c r="M528" s="14"/>
      <c r="N528" s="14"/>
      <c r="O528" s="14"/>
      <c r="P528" s="25" t="s">
        <v>1258</v>
      </c>
      <c r="Q528" s="21"/>
      <c r="R528" s="22"/>
      <c r="S528" s="14">
        <v>72</v>
      </c>
      <c r="T528" s="27">
        <v>45882</v>
      </c>
      <c r="U528" s="27">
        <v>45882</v>
      </c>
      <c r="V528" s="27"/>
      <c r="W528" s="27"/>
      <c r="X528" s="27">
        <v>45884</v>
      </c>
      <c r="Y528" s="14" t="s">
        <v>290</v>
      </c>
      <c r="Z528" s="40" t="str">
        <f>IF(STAT[[#This Row],[sigla]]="","",VLOOKUP(STAT[[#This Row],[sigla]],CRÉDITOS_GERAIS[[sigla]:[credito]],2,))</f>
        <v>Bruna Campos</v>
      </c>
      <c r="AA528" s="14"/>
      <c r="AB528" s="14" t="str">
        <f>STAT[[#This Row],[ilustrador]]</f>
        <v>Bruna Campos</v>
      </c>
      <c r="AC528" s="14">
        <v>8</v>
      </c>
      <c r="AD528" s="22" t="s">
        <v>196</v>
      </c>
      <c r="AE528" s="14" t="s">
        <v>46</v>
      </c>
      <c r="AF528" s="42" t="str">
        <f t="shared" si="8"/>
        <v>P007</v>
      </c>
    </row>
    <row r="529" spans="1:32" hidden="1" x14ac:dyDescent="0.3">
      <c r="A529" s="12" t="e" cm="1">
        <f t="array" aca="1" ref="A529" ca="1">IF(STAT[[#This Row],[retranca]]="","",       RegxFunc(STAT[[#This Row],[retranca]],  "\w\d{4}\w*_\d")     )</f>
        <v>#NAME?</v>
      </c>
      <c r="B529" s="21" t="s">
        <v>1259</v>
      </c>
      <c r="C529" s="14" t="s">
        <v>72</v>
      </c>
      <c r="D529" s="15" t="s">
        <v>143</v>
      </c>
      <c r="E529" s="15" t="s">
        <v>10</v>
      </c>
      <c r="F529" s="14">
        <v>30</v>
      </c>
      <c r="G529" s="15">
        <v>2</v>
      </c>
      <c r="H529" s="14">
        <v>6</v>
      </c>
      <c r="I529" s="14">
        <v>6</v>
      </c>
      <c r="J529" s="17" t="s">
        <v>55</v>
      </c>
      <c r="K529" s="36"/>
      <c r="L529" s="14"/>
      <c r="M529" s="14"/>
      <c r="N529" s="14"/>
      <c r="O529" s="14"/>
      <c r="P529" s="25" t="s">
        <v>1260</v>
      </c>
      <c r="Q529" s="21"/>
      <c r="R529" s="22"/>
      <c r="S529" s="14">
        <v>72</v>
      </c>
      <c r="T529" s="27">
        <v>45882</v>
      </c>
      <c r="U529" s="39">
        <v>45882</v>
      </c>
      <c r="V529" s="27"/>
      <c r="W529" s="27"/>
      <c r="X529" s="39">
        <v>45884</v>
      </c>
      <c r="Y529" s="14" t="s">
        <v>290</v>
      </c>
      <c r="Z529" s="40" t="str">
        <f>IF(STAT[[#This Row],[sigla]]="","",VLOOKUP(STAT[[#This Row],[sigla]],CRÉDITOS_GERAIS[[sigla]:[credito]],2,))</f>
        <v>Bruna Campos</v>
      </c>
      <c r="AA529" s="14"/>
      <c r="AB529" s="14" t="str">
        <f>STAT[[#This Row],[ilustrador]]</f>
        <v>Bruna Campos</v>
      </c>
      <c r="AC529" s="24">
        <v>8</v>
      </c>
      <c r="AD529" s="22" t="s">
        <v>196</v>
      </c>
      <c r="AE529" s="14" t="s">
        <v>46</v>
      </c>
      <c r="AF529" s="42" t="str">
        <f t="shared" si="8"/>
        <v>P007</v>
      </c>
    </row>
    <row r="530" spans="1:32" ht="28.8" hidden="1" x14ac:dyDescent="0.3">
      <c r="A530" s="12" t="e" cm="1">
        <f t="array" aca="1" ref="A530" ca="1">IF(STAT[[#This Row],[retranca]]="","",       RegxFunc(STAT[[#This Row],[retranca]],  "\w\d{4}\w*_\d")     )</f>
        <v>#NAME?</v>
      </c>
      <c r="B530" s="21" t="s">
        <v>1261</v>
      </c>
      <c r="C530" s="14" t="s">
        <v>72</v>
      </c>
      <c r="D530" s="15" t="s">
        <v>9</v>
      </c>
      <c r="E530" s="15" t="s">
        <v>10</v>
      </c>
      <c r="F530" s="14">
        <v>50</v>
      </c>
      <c r="G530" s="15">
        <v>4</v>
      </c>
      <c r="H530" s="14">
        <v>9</v>
      </c>
      <c r="I530" s="14">
        <v>9</v>
      </c>
      <c r="J530" s="17" t="s">
        <v>55</v>
      </c>
      <c r="K530" s="36"/>
      <c r="L530" s="14"/>
      <c r="M530" s="14"/>
      <c r="N530" s="14"/>
      <c r="O530" s="14"/>
      <c r="P530" s="25" t="s">
        <v>1262</v>
      </c>
      <c r="Q530" s="21"/>
      <c r="R530" s="22"/>
      <c r="S530" s="14">
        <v>73</v>
      </c>
      <c r="T530" s="27">
        <v>45883</v>
      </c>
      <c r="U530" s="39">
        <v>45883</v>
      </c>
      <c r="V530" s="27"/>
      <c r="W530" s="27"/>
      <c r="X530" s="39">
        <v>45883</v>
      </c>
      <c r="Y530" s="14" t="s">
        <v>1263</v>
      </c>
      <c r="Z530" s="40" t="str">
        <f>IF(STAT[[#This Row],[sigla]]="","",VLOOKUP(STAT[[#This Row],[sigla]],CRÉDITOS_GERAIS[[sigla]:[credito]],2,))</f>
        <v>Gabriella Imai</v>
      </c>
      <c r="AA530" s="14"/>
      <c r="AB530" s="14" t="str">
        <f>STAT[[#This Row],[ilustrador]]</f>
        <v>Gabriella Imai</v>
      </c>
      <c r="AC530" s="24">
        <v>12</v>
      </c>
      <c r="AD530" s="22" t="s">
        <v>196</v>
      </c>
      <c r="AE530" s="14" t="s">
        <v>46</v>
      </c>
      <c r="AF530" s="42" t="str">
        <f t="shared" si="8"/>
        <v>P007</v>
      </c>
    </row>
    <row r="531" spans="1:32" ht="28.8" hidden="1" x14ac:dyDescent="0.3">
      <c r="A531" s="12" t="e" cm="1">
        <f t="array" aca="1" ref="A531" ca="1">IF(STAT[[#This Row],[retranca]]="","",       RegxFunc(STAT[[#This Row],[retranca]],  "\w\d{4}\w*_\d")     )</f>
        <v>#NAME?</v>
      </c>
      <c r="B531" s="21" t="s">
        <v>1264</v>
      </c>
      <c r="C531" s="14" t="s">
        <v>72</v>
      </c>
      <c r="D531" s="15" t="s">
        <v>9</v>
      </c>
      <c r="E531" s="15" t="s">
        <v>10</v>
      </c>
      <c r="F531" s="14">
        <v>33</v>
      </c>
      <c r="G531" s="15">
        <v>3</v>
      </c>
      <c r="H531" s="14">
        <v>2</v>
      </c>
      <c r="I531" s="14">
        <v>2</v>
      </c>
      <c r="J531" s="17" t="s">
        <v>11</v>
      </c>
      <c r="K531" s="36"/>
      <c r="L531" s="14"/>
      <c r="M531" s="14"/>
      <c r="N531" s="14"/>
      <c r="O531" s="14"/>
      <c r="P531" s="25" t="s">
        <v>1265</v>
      </c>
      <c r="Q531" s="21"/>
      <c r="R531" s="22"/>
      <c r="S531" s="14"/>
      <c r="T531" s="27"/>
      <c r="U531" s="39"/>
      <c r="V531" s="27"/>
      <c r="W531" s="27"/>
      <c r="X531" s="39"/>
      <c r="Y531" s="14" t="s">
        <v>84</v>
      </c>
      <c r="Z531" s="40" t="str">
        <f>IF(STAT[[#This Row],[sigla]]="","",VLOOKUP(STAT[[#This Row],[sigla]],CRÉDITOS_GERAIS[[sigla]:[credito]],2,))</f>
        <v>Gabriel Brum</v>
      </c>
      <c r="AA531" s="14"/>
      <c r="AB531" s="14" t="str">
        <f>STAT[[#This Row],[ilustrador]]</f>
        <v>Gabriel Brum</v>
      </c>
      <c r="AC531" s="24"/>
      <c r="AD531" s="22"/>
      <c r="AE531" s="15"/>
      <c r="AF531" s="42" t="str">
        <f t="shared" si="8"/>
        <v>P007</v>
      </c>
    </row>
    <row r="532" spans="1:32" ht="115.2" hidden="1" x14ac:dyDescent="0.3">
      <c r="A532" s="12" t="e" cm="1">
        <f t="array" aca="1" ref="A532" ca="1">IF(STAT[[#This Row],[retranca]]="","",       RegxFunc(STAT[[#This Row],[retranca]],  "\w\d{4}\w*_\d")     )</f>
        <v>#NAME?</v>
      </c>
      <c r="B532" s="21" t="s">
        <v>1266</v>
      </c>
      <c r="C532" s="14" t="s">
        <v>72</v>
      </c>
      <c r="D532" s="15" t="s">
        <v>9</v>
      </c>
      <c r="E532" s="15" t="s">
        <v>10</v>
      </c>
      <c r="F532" s="14">
        <v>12</v>
      </c>
      <c r="G532" s="15">
        <v>3</v>
      </c>
      <c r="H532" s="14">
        <v>5</v>
      </c>
      <c r="I532" s="14">
        <v>5</v>
      </c>
      <c r="J532" s="17" t="s">
        <v>55</v>
      </c>
      <c r="K532" s="36"/>
      <c r="L532" s="14"/>
      <c r="M532" s="14"/>
      <c r="N532" s="14"/>
      <c r="O532" s="14"/>
      <c r="P532" s="25" t="s">
        <v>1267</v>
      </c>
      <c r="Q532" s="21"/>
      <c r="R532" s="22"/>
      <c r="S532" s="14">
        <v>74</v>
      </c>
      <c r="T532" s="27">
        <v>45883</v>
      </c>
      <c r="U532" s="39">
        <v>45885</v>
      </c>
      <c r="V532" s="27">
        <v>45888</v>
      </c>
      <c r="W532" s="27">
        <v>45889</v>
      </c>
      <c r="X532" s="39">
        <v>45890</v>
      </c>
      <c r="Y532" s="14" t="s">
        <v>119</v>
      </c>
      <c r="Z532" s="40" t="str">
        <f>IF(STAT[[#This Row],[sigla]]="","",VLOOKUP(STAT[[#This Row],[sigla]],CRÉDITOS_GERAIS[[sigla]:[credito]],2,))</f>
        <v>Bianca Tavares</v>
      </c>
      <c r="AA532" s="14"/>
      <c r="AB532" s="14" t="str">
        <f>STAT[[#This Row],[ilustrador]]</f>
        <v>Bianca Tavares</v>
      </c>
      <c r="AC532" s="24">
        <v>4</v>
      </c>
      <c r="AD532" s="22" t="s">
        <v>1268</v>
      </c>
      <c r="AE532" s="14" t="s">
        <v>87</v>
      </c>
      <c r="AF532" s="42" t="str">
        <f t="shared" si="8"/>
        <v>P007</v>
      </c>
    </row>
    <row r="533" spans="1:32" ht="129.6" hidden="1" x14ac:dyDescent="0.3">
      <c r="A533" s="12" t="e" cm="1">
        <f t="array" aca="1" ref="A533" ca="1">IF(STAT[[#This Row],[retranca]]="","",       RegxFunc(STAT[[#This Row],[retranca]],  "\w\d{4}\w*_\d")     )</f>
        <v>#NAME?</v>
      </c>
      <c r="B533" s="21" t="s">
        <v>1269</v>
      </c>
      <c r="C533" s="14" t="s">
        <v>122</v>
      </c>
      <c r="D533" s="15" t="s">
        <v>9</v>
      </c>
      <c r="E533" s="15" t="s">
        <v>10</v>
      </c>
      <c r="F533" s="14">
        <v>14</v>
      </c>
      <c r="G533" s="15">
        <v>3</v>
      </c>
      <c r="H533" s="14">
        <v>5</v>
      </c>
      <c r="I533" s="14">
        <v>5</v>
      </c>
      <c r="J533" s="17" t="s">
        <v>55</v>
      </c>
      <c r="K533" s="36"/>
      <c r="L533" s="14"/>
      <c r="M533" s="14"/>
      <c r="N533" s="14"/>
      <c r="O533" s="14"/>
      <c r="P533" s="25" t="s">
        <v>1270</v>
      </c>
      <c r="Q533" s="21"/>
      <c r="R533" s="22"/>
      <c r="S533" s="14">
        <v>74</v>
      </c>
      <c r="T533" s="27">
        <v>45883</v>
      </c>
      <c r="U533" s="27">
        <v>45885</v>
      </c>
      <c r="V533" s="27">
        <v>45888</v>
      </c>
      <c r="W533" s="27">
        <v>45889</v>
      </c>
      <c r="X533" s="27">
        <v>45890</v>
      </c>
      <c r="Y533" s="14" t="s">
        <v>119</v>
      </c>
      <c r="Z533" s="40" t="str">
        <f>IF(STAT[[#This Row],[sigla]]="","",VLOOKUP(STAT[[#This Row],[sigla]],CRÉDITOS_GERAIS[[sigla]:[credito]],2,))</f>
        <v>Bianca Tavares</v>
      </c>
      <c r="AA533" s="14"/>
      <c r="AB533" s="14" t="str">
        <f>STAT[[#This Row],[ilustrador]]</f>
        <v>Bianca Tavares</v>
      </c>
      <c r="AC533" s="14">
        <v>4</v>
      </c>
      <c r="AD533" s="22" t="s">
        <v>1268</v>
      </c>
      <c r="AE533" s="14" t="s">
        <v>87</v>
      </c>
      <c r="AF533" s="42" t="str">
        <f t="shared" si="8"/>
        <v>P007</v>
      </c>
    </row>
    <row r="534" spans="1:32" ht="57.6" hidden="1" x14ac:dyDescent="0.3">
      <c r="A534" s="12" t="e" cm="1">
        <f t="array" aca="1" ref="A534" ca="1">IF(STAT[[#This Row],[retranca]]="","",       RegxFunc(STAT[[#This Row],[retranca]],  "\w\d{4}\w*_\d")     )</f>
        <v>#NAME?</v>
      </c>
      <c r="B534" s="21" t="s">
        <v>1271</v>
      </c>
      <c r="C534" s="14" t="s">
        <v>72</v>
      </c>
      <c r="D534" s="15" t="s">
        <v>9</v>
      </c>
      <c r="E534" s="15" t="s">
        <v>10</v>
      </c>
      <c r="F534" s="14">
        <v>15</v>
      </c>
      <c r="G534" s="15">
        <v>3</v>
      </c>
      <c r="H534" s="14">
        <v>5</v>
      </c>
      <c r="I534" s="14">
        <v>5</v>
      </c>
      <c r="J534" s="17" t="s">
        <v>18</v>
      </c>
      <c r="K534" s="36"/>
      <c r="L534" s="14"/>
      <c r="M534" s="14"/>
      <c r="N534" s="14"/>
      <c r="O534" s="14"/>
      <c r="P534" s="25" t="s">
        <v>1272</v>
      </c>
      <c r="Q534" s="21"/>
      <c r="R534" s="22"/>
      <c r="S534" s="14">
        <v>74</v>
      </c>
      <c r="T534" s="27">
        <v>45883</v>
      </c>
      <c r="U534" s="27">
        <v>45883</v>
      </c>
      <c r="V534" s="27"/>
      <c r="W534" s="27"/>
      <c r="X534" s="27">
        <v>45884</v>
      </c>
      <c r="Y534" s="14" t="s">
        <v>59</v>
      </c>
      <c r="Z534" s="40" t="str">
        <f>IF(STAT[[#This Row],[sigla]]="","",VLOOKUP(STAT[[#This Row],[sigla]],CRÉDITOS_GERAIS[[sigla]:[credito]],2,))</f>
        <v>Isabela Santos</v>
      </c>
      <c r="AA534" s="14" t="s">
        <v>90</v>
      </c>
      <c r="AB534" s="14" t="str">
        <f>STAT[[#This Row],[ilustrador]]</f>
        <v>Isabela Santos</v>
      </c>
      <c r="AC534" s="14">
        <v>13</v>
      </c>
      <c r="AD534" s="22" t="s">
        <v>229</v>
      </c>
      <c r="AE534" s="14" t="s">
        <v>46</v>
      </c>
      <c r="AF534" s="42" t="str">
        <f t="shared" si="8"/>
        <v>P007</v>
      </c>
    </row>
    <row r="535" spans="1:32" ht="28.8" hidden="1" x14ac:dyDescent="0.3">
      <c r="A535" s="12" t="e" cm="1">
        <f t="array" aca="1" ref="A535" ca="1">IF(STAT[[#This Row],[retranca]]="","",       RegxFunc(STAT[[#This Row],[retranca]],  "\w\d{4}\w*_\d")     )</f>
        <v>#NAME?</v>
      </c>
      <c r="B535" s="21" t="s">
        <v>1273</v>
      </c>
      <c r="C535" s="14" t="s">
        <v>122</v>
      </c>
      <c r="D535" s="15" t="s">
        <v>9</v>
      </c>
      <c r="E535" s="15" t="s">
        <v>10</v>
      </c>
      <c r="F535" s="14">
        <v>17</v>
      </c>
      <c r="G535" s="15">
        <v>3</v>
      </c>
      <c r="H535" s="14">
        <v>5</v>
      </c>
      <c r="I535" s="14">
        <v>5</v>
      </c>
      <c r="J535" s="17" t="s">
        <v>55</v>
      </c>
      <c r="K535" s="36"/>
      <c r="L535" s="14"/>
      <c r="M535" s="14"/>
      <c r="N535" s="14"/>
      <c r="O535" s="14"/>
      <c r="P535" s="25" t="s">
        <v>1274</v>
      </c>
      <c r="Q535" s="21"/>
      <c r="R535" s="22"/>
      <c r="S535" s="14">
        <v>74</v>
      </c>
      <c r="T535" s="27">
        <v>45883</v>
      </c>
      <c r="U535" s="27">
        <v>45885</v>
      </c>
      <c r="V535" s="27">
        <v>45888</v>
      </c>
      <c r="W535" s="27">
        <v>45889</v>
      </c>
      <c r="X535" s="27">
        <v>45890</v>
      </c>
      <c r="Y535" s="14" t="s">
        <v>119</v>
      </c>
      <c r="Z535" s="40" t="str">
        <f>IF(STAT[[#This Row],[sigla]]="","",VLOOKUP(STAT[[#This Row],[sigla]],CRÉDITOS_GERAIS[[sigla]:[credito]],2,))</f>
        <v>Bianca Tavares</v>
      </c>
      <c r="AA535" s="14"/>
      <c r="AB535" s="14" t="str">
        <f>STAT[[#This Row],[ilustrador]]</f>
        <v>Bianca Tavares</v>
      </c>
      <c r="AC535" s="14">
        <v>5</v>
      </c>
      <c r="AD535" s="22" t="s">
        <v>1268</v>
      </c>
      <c r="AE535" s="14" t="s">
        <v>87</v>
      </c>
      <c r="AF535" s="42" t="str">
        <f t="shared" si="8"/>
        <v>P007</v>
      </c>
    </row>
    <row r="536" spans="1:32" ht="28.8" hidden="1" x14ac:dyDescent="0.3">
      <c r="A536" s="12" t="e" cm="1">
        <f t="array" aca="1" ref="A536" ca="1">IF(STAT[[#This Row],[retranca]]="","",       RegxFunc(STAT[[#This Row],[retranca]],  "\w\d{4}\w*_\d")     )</f>
        <v>#NAME?</v>
      </c>
      <c r="B536" s="21" t="s">
        <v>1275</v>
      </c>
      <c r="C536" s="14" t="s">
        <v>72</v>
      </c>
      <c r="D536" s="15" t="s">
        <v>9</v>
      </c>
      <c r="E536" s="15" t="s">
        <v>10</v>
      </c>
      <c r="F536" s="14">
        <v>2</v>
      </c>
      <c r="G536" s="15">
        <v>3</v>
      </c>
      <c r="H536" s="14">
        <v>5</v>
      </c>
      <c r="I536" s="14" t="s">
        <v>112</v>
      </c>
      <c r="J536" s="17" t="s">
        <v>55</v>
      </c>
      <c r="K536" s="36"/>
      <c r="L536" s="14"/>
      <c r="M536" s="14"/>
      <c r="N536" s="14"/>
      <c r="O536" s="14"/>
      <c r="P536" s="25" t="s">
        <v>1276</v>
      </c>
      <c r="Q536" s="21"/>
      <c r="R536" s="22"/>
      <c r="S536" s="14">
        <v>74</v>
      </c>
      <c r="T536" s="27">
        <v>45883</v>
      </c>
      <c r="U536" s="27">
        <v>45885</v>
      </c>
      <c r="V536" s="27">
        <v>45888</v>
      </c>
      <c r="W536" s="27">
        <v>45889</v>
      </c>
      <c r="X536" s="27">
        <v>45890</v>
      </c>
      <c r="Y536" s="14" t="s">
        <v>119</v>
      </c>
      <c r="Z536" s="40" t="str">
        <f>IF(STAT[[#This Row],[sigla]]="","",VLOOKUP(STAT[[#This Row],[sigla]],CRÉDITOS_GERAIS[[sigla]:[credito]],2,))</f>
        <v>Bianca Tavares</v>
      </c>
      <c r="AA536" s="14"/>
      <c r="AB536" s="14" t="str">
        <f>STAT[[#This Row],[ilustrador]]</f>
        <v>Bianca Tavares</v>
      </c>
      <c r="AC536" s="14">
        <v>7</v>
      </c>
      <c r="AD536" s="22" t="s">
        <v>1268</v>
      </c>
      <c r="AE536" s="14" t="s">
        <v>87</v>
      </c>
      <c r="AF536" s="42" t="str">
        <f t="shared" si="8"/>
        <v>P007</v>
      </c>
    </row>
    <row r="537" spans="1:32" hidden="1" x14ac:dyDescent="0.3">
      <c r="A537" s="12" t="e" cm="1">
        <f t="array" aca="1" ref="A537" ca="1">IF(STAT[[#This Row],[retranca]]="","",       RegxFunc(STAT[[#This Row],[retranca]],  "\w\d{4}\w*_\d")     )</f>
        <v>#NAME?</v>
      </c>
      <c r="B537" s="21" t="s">
        <v>1277</v>
      </c>
      <c r="C537" s="14" t="s">
        <v>122</v>
      </c>
      <c r="D537" s="15" t="s">
        <v>288</v>
      </c>
      <c r="E537" s="15" t="s">
        <v>10</v>
      </c>
      <c r="F537" s="14"/>
      <c r="G537" s="15">
        <v>4</v>
      </c>
      <c r="H537" s="14">
        <v>2</v>
      </c>
      <c r="I537" s="14">
        <v>2</v>
      </c>
      <c r="J537" s="17" t="s">
        <v>55</v>
      </c>
      <c r="K537" s="36"/>
      <c r="L537" s="14"/>
      <c r="M537" s="14"/>
      <c r="N537" s="14"/>
      <c r="O537" s="14"/>
      <c r="P537" s="25" t="s">
        <v>1278</v>
      </c>
      <c r="Q537" s="21"/>
      <c r="R537" s="22"/>
      <c r="S537" s="14"/>
      <c r="T537" s="27"/>
      <c r="U537" s="39">
        <v>45884</v>
      </c>
      <c r="V537" s="27"/>
      <c r="W537" s="27"/>
      <c r="X537" s="39">
        <v>45884</v>
      </c>
      <c r="Y537" s="14" t="s">
        <v>145</v>
      </c>
      <c r="Z537" s="40" t="str">
        <f>IF(STAT[[#This Row],[sigla]]="","",VLOOKUP(STAT[[#This Row],[sigla]],CRÉDITOS_GERAIS[[sigla]:[credito]],2,))</f>
        <v>Rafaela Panissa</v>
      </c>
      <c r="AA537" s="14"/>
      <c r="AB537" s="14" t="str">
        <f>STAT[[#This Row],[ilustrador]]</f>
        <v>Rafaela Panissa</v>
      </c>
      <c r="AC537" s="24">
        <v>8</v>
      </c>
      <c r="AD537" s="22" t="s">
        <v>196</v>
      </c>
      <c r="AE537" s="14" t="s">
        <v>46</v>
      </c>
      <c r="AF537" s="42" t="str">
        <f t="shared" si="8"/>
        <v>P007</v>
      </c>
    </row>
    <row r="538" spans="1:32" ht="28.8" hidden="1" x14ac:dyDescent="0.3">
      <c r="A538" s="12" t="e" cm="1">
        <f t="array" aca="1" ref="A538" ca="1">IF(STAT[[#This Row],[retranca]]="","",       RegxFunc(STAT[[#This Row],[retranca]],  "\w\d{4}\w*_\d")     )</f>
        <v>#NAME?</v>
      </c>
      <c r="B538" s="21" t="s">
        <v>1279</v>
      </c>
      <c r="C538" s="14" t="s">
        <v>72</v>
      </c>
      <c r="D538" s="15" t="s">
        <v>9</v>
      </c>
      <c r="E538" s="15" t="s">
        <v>10</v>
      </c>
      <c r="F538" s="14">
        <v>2</v>
      </c>
      <c r="G538" s="15">
        <v>4</v>
      </c>
      <c r="H538" s="14">
        <v>0</v>
      </c>
      <c r="I538" s="14" t="s">
        <v>296</v>
      </c>
      <c r="J538" s="17" t="s">
        <v>11</v>
      </c>
      <c r="K538" s="36"/>
      <c r="L538" s="14"/>
      <c r="M538" s="14"/>
      <c r="N538" s="14"/>
      <c r="O538" s="14"/>
      <c r="P538" s="25" t="s">
        <v>1280</v>
      </c>
      <c r="Q538" s="21"/>
      <c r="R538" s="22"/>
      <c r="S538" s="14"/>
      <c r="T538" s="27"/>
      <c r="U538" s="27"/>
      <c r="V538" s="27"/>
      <c r="W538" s="27"/>
      <c r="X538" s="27"/>
      <c r="Y538" s="14" t="s">
        <v>741</v>
      </c>
      <c r="Z538" s="40" t="str">
        <f>IF(STAT[[#This Row],[sigla]]="","",VLOOKUP(STAT[[#This Row],[sigla]],CRÉDITOS_GERAIS[[sigla]:[credito]],2,))</f>
        <v>Felipe Grigoli</v>
      </c>
      <c r="AA538" s="14"/>
      <c r="AB538" s="14" t="str">
        <f>STAT[[#This Row],[ilustrador]]</f>
        <v>Felipe Grigoli</v>
      </c>
      <c r="AC538" s="14"/>
      <c r="AD538" s="22"/>
      <c r="AE538" s="15"/>
      <c r="AF538" s="42" t="str">
        <f t="shared" si="8"/>
        <v>P007</v>
      </c>
    </row>
    <row r="539" spans="1:32" ht="28.8" hidden="1" x14ac:dyDescent="0.3">
      <c r="A539" s="12" t="e" cm="1">
        <f t="array" aca="1" ref="A539" ca="1">IF(STAT[[#This Row],[retranca]]="","",       RegxFunc(STAT[[#This Row],[retranca]],  "\w\d{4}\w*_\d")     )</f>
        <v>#NAME?</v>
      </c>
      <c r="B539" s="21" t="s">
        <v>1281</v>
      </c>
      <c r="C539" s="14" t="s">
        <v>72</v>
      </c>
      <c r="D539" s="15" t="s">
        <v>9</v>
      </c>
      <c r="E539" s="15" t="s">
        <v>10</v>
      </c>
      <c r="F539" s="14">
        <v>2</v>
      </c>
      <c r="G539" s="15">
        <v>4</v>
      </c>
      <c r="H539" s="14">
        <v>0</v>
      </c>
      <c r="I539" s="14" t="s">
        <v>296</v>
      </c>
      <c r="J539" s="17" t="s">
        <v>11</v>
      </c>
      <c r="K539" s="36"/>
      <c r="L539" s="14"/>
      <c r="M539" s="14"/>
      <c r="N539" s="14"/>
      <c r="O539" s="14"/>
      <c r="P539" s="25" t="s">
        <v>1282</v>
      </c>
      <c r="Q539" s="21"/>
      <c r="R539" s="22"/>
      <c r="S539" s="14"/>
      <c r="T539" s="27"/>
      <c r="U539" s="27"/>
      <c r="V539" s="27"/>
      <c r="W539" s="27"/>
      <c r="X539" s="27"/>
      <c r="Y539" s="14" t="s">
        <v>741</v>
      </c>
      <c r="Z539" s="40" t="str">
        <f>IF(STAT[[#This Row],[sigla]]="","",VLOOKUP(STAT[[#This Row],[sigla]],CRÉDITOS_GERAIS[[sigla]:[credito]],2,))</f>
        <v>Felipe Grigoli</v>
      </c>
      <c r="AA539" s="14"/>
      <c r="AB539" s="14" t="str">
        <f>STAT[[#This Row],[ilustrador]]</f>
        <v>Felipe Grigoli</v>
      </c>
      <c r="AC539" s="14"/>
      <c r="AD539" s="22"/>
      <c r="AE539" s="15"/>
      <c r="AF539" s="42" t="str">
        <f t="shared" si="8"/>
        <v>P007</v>
      </c>
    </row>
    <row r="540" spans="1:32" ht="28.8" hidden="1" x14ac:dyDescent="0.3">
      <c r="A540" s="12" t="e" cm="1">
        <f t="array" aca="1" ref="A540" ca="1">IF(STAT[[#This Row],[retranca]]="","",       RegxFunc(STAT[[#This Row],[retranca]],  "\w\d{4}\w*_\d")     )</f>
        <v>#NAME?</v>
      </c>
      <c r="B540" s="21" t="s">
        <v>1283</v>
      </c>
      <c r="C540" s="14" t="s">
        <v>72</v>
      </c>
      <c r="D540" s="15" t="s">
        <v>9</v>
      </c>
      <c r="E540" s="15" t="s">
        <v>10</v>
      </c>
      <c r="F540" s="14">
        <v>2</v>
      </c>
      <c r="G540" s="15">
        <v>4</v>
      </c>
      <c r="H540" s="14">
        <v>0</v>
      </c>
      <c r="I540" s="14" t="s">
        <v>296</v>
      </c>
      <c r="J540" s="17" t="s">
        <v>11</v>
      </c>
      <c r="K540" s="36"/>
      <c r="L540" s="14"/>
      <c r="M540" s="14"/>
      <c r="N540" s="14"/>
      <c r="O540" s="14"/>
      <c r="P540" s="25" t="s">
        <v>1284</v>
      </c>
      <c r="Q540" s="22"/>
      <c r="R540" s="22"/>
      <c r="S540" s="14"/>
      <c r="T540" s="27"/>
      <c r="U540" s="27"/>
      <c r="V540" s="27"/>
      <c r="W540" s="27"/>
      <c r="X540" s="27"/>
      <c r="Y540" s="14" t="s">
        <v>741</v>
      </c>
      <c r="Z540" s="40" t="str">
        <f>IF(STAT[[#This Row],[sigla]]="","",VLOOKUP(STAT[[#This Row],[sigla]],CRÉDITOS_GERAIS[[sigla]:[credito]],2,))</f>
        <v>Felipe Grigoli</v>
      </c>
      <c r="AA540" s="14"/>
      <c r="AB540" s="14" t="str">
        <f>STAT[[#This Row],[ilustrador]]</f>
        <v>Felipe Grigoli</v>
      </c>
      <c r="AC540" s="14"/>
      <c r="AD540" s="22"/>
      <c r="AE540" s="15"/>
      <c r="AF540" s="42" t="str">
        <f t="shared" si="8"/>
        <v>P007</v>
      </c>
    </row>
    <row r="541" spans="1:32" ht="28.8" hidden="1" x14ac:dyDescent="0.3">
      <c r="A541" s="12" t="e" cm="1">
        <f t="array" aca="1" ref="A541" ca="1">IF(STAT[[#This Row],[retranca]]="","",       RegxFunc(STAT[[#This Row],[retranca]],  "\w\d{4}\w*_\d")     )</f>
        <v>#NAME?</v>
      </c>
      <c r="B541" s="21" t="s">
        <v>1285</v>
      </c>
      <c r="C541" s="14" t="s">
        <v>72</v>
      </c>
      <c r="D541" s="15" t="s">
        <v>9</v>
      </c>
      <c r="E541" s="15" t="s">
        <v>10</v>
      </c>
      <c r="F541" s="14">
        <v>2</v>
      </c>
      <c r="G541" s="15">
        <v>4</v>
      </c>
      <c r="H541" s="14">
        <v>0</v>
      </c>
      <c r="I541" s="14" t="s">
        <v>296</v>
      </c>
      <c r="J541" s="17" t="s">
        <v>11</v>
      </c>
      <c r="K541" s="36"/>
      <c r="L541" s="14"/>
      <c r="M541" s="14"/>
      <c r="N541" s="14"/>
      <c r="O541" s="14"/>
      <c r="P541" s="25" t="s">
        <v>1286</v>
      </c>
      <c r="Q541" s="21"/>
      <c r="R541" s="22"/>
      <c r="S541" s="14"/>
      <c r="T541" s="26"/>
      <c r="U541" s="27"/>
      <c r="V541" s="27"/>
      <c r="W541" s="27"/>
      <c r="X541" s="27"/>
      <c r="Y541" s="14" t="s">
        <v>741</v>
      </c>
      <c r="Z541" s="40" t="str">
        <f>IF(STAT[[#This Row],[sigla]]="","",VLOOKUP(STAT[[#This Row],[sigla]],CRÉDITOS_GERAIS[[sigla]:[credito]],2,))</f>
        <v>Felipe Grigoli</v>
      </c>
      <c r="AA541" s="14"/>
      <c r="AB541" s="14" t="str">
        <f>STAT[[#This Row],[ilustrador]]</f>
        <v>Felipe Grigoli</v>
      </c>
      <c r="AC541" s="14"/>
      <c r="AD541" s="22"/>
      <c r="AE541" s="15"/>
      <c r="AF541" s="42" t="str">
        <f t="shared" si="8"/>
        <v>P007</v>
      </c>
    </row>
    <row r="542" spans="1:32" ht="28.8" hidden="1" x14ac:dyDescent="0.3">
      <c r="A542" s="12" t="e" cm="1">
        <f t="array" aca="1" ref="A542" ca="1">IF(STAT[[#This Row],[retranca]]="","",       RegxFunc(STAT[[#This Row],[retranca]],  "\w\d{4}\w*_\d")     )</f>
        <v>#NAME?</v>
      </c>
      <c r="B542" s="21" t="s">
        <v>1287</v>
      </c>
      <c r="C542" s="14" t="s">
        <v>72</v>
      </c>
      <c r="D542" s="15" t="s">
        <v>9</v>
      </c>
      <c r="E542" s="15" t="s">
        <v>10</v>
      </c>
      <c r="F542" s="14">
        <v>2</v>
      </c>
      <c r="G542" s="15">
        <v>4</v>
      </c>
      <c r="H542" s="14">
        <v>0</v>
      </c>
      <c r="I542" s="14" t="s">
        <v>296</v>
      </c>
      <c r="J542" s="17" t="s">
        <v>11</v>
      </c>
      <c r="K542" s="36"/>
      <c r="L542" s="14"/>
      <c r="M542" s="14"/>
      <c r="N542" s="14"/>
      <c r="O542" s="14"/>
      <c r="P542" s="25" t="s">
        <v>1288</v>
      </c>
      <c r="Q542" s="22"/>
      <c r="R542" s="22"/>
      <c r="S542" s="14"/>
      <c r="T542" s="27"/>
      <c r="U542" s="27"/>
      <c r="V542" s="27"/>
      <c r="W542" s="27"/>
      <c r="X542" s="27"/>
      <c r="Y542" s="14" t="s">
        <v>741</v>
      </c>
      <c r="Z542" s="40" t="str">
        <f>IF(STAT[[#This Row],[sigla]]="","",VLOOKUP(STAT[[#This Row],[sigla]],CRÉDITOS_GERAIS[[sigla]:[credito]],2,))</f>
        <v>Felipe Grigoli</v>
      </c>
      <c r="AA542" s="14"/>
      <c r="AB542" s="14" t="str">
        <f>STAT[[#This Row],[ilustrador]]</f>
        <v>Felipe Grigoli</v>
      </c>
      <c r="AC542" s="14"/>
      <c r="AD542" s="22"/>
      <c r="AE542" s="15"/>
      <c r="AF542" s="42" t="str">
        <f t="shared" si="8"/>
        <v>P007</v>
      </c>
    </row>
    <row r="543" spans="1:32" ht="28.8" hidden="1" x14ac:dyDescent="0.3">
      <c r="A543" s="12" t="e" cm="1">
        <f t="array" aca="1" ref="A543" ca="1">IF(STAT[[#This Row],[retranca]]="","",       RegxFunc(STAT[[#This Row],[retranca]],  "\w\d{4}\w*_\d")     )</f>
        <v>#NAME?</v>
      </c>
      <c r="B543" s="21" t="s">
        <v>1289</v>
      </c>
      <c r="C543" s="14" t="s">
        <v>72</v>
      </c>
      <c r="D543" s="15" t="s">
        <v>9</v>
      </c>
      <c r="E543" s="15" t="s">
        <v>10</v>
      </c>
      <c r="F543" s="14">
        <v>2</v>
      </c>
      <c r="G543" s="15">
        <v>4</v>
      </c>
      <c r="H543" s="14">
        <v>0</v>
      </c>
      <c r="I543" s="14" t="s">
        <v>296</v>
      </c>
      <c r="J543" s="17" t="s">
        <v>11</v>
      </c>
      <c r="K543" s="36"/>
      <c r="L543" s="14"/>
      <c r="M543" s="14"/>
      <c r="N543" s="14"/>
      <c r="O543" s="14"/>
      <c r="P543" s="25" t="s">
        <v>1290</v>
      </c>
      <c r="Q543" s="21"/>
      <c r="R543" s="22"/>
      <c r="S543" s="14"/>
      <c r="T543" s="27"/>
      <c r="U543" s="27"/>
      <c r="V543" s="27"/>
      <c r="W543" s="27"/>
      <c r="X543" s="27"/>
      <c r="Y543" s="14" t="s">
        <v>741</v>
      </c>
      <c r="Z543" s="40" t="str">
        <f>IF(STAT[[#This Row],[sigla]]="","",VLOOKUP(STAT[[#This Row],[sigla]],CRÉDITOS_GERAIS[[sigla]:[credito]],2,))</f>
        <v>Felipe Grigoli</v>
      </c>
      <c r="AA543" s="14"/>
      <c r="AB543" s="14" t="str">
        <f>STAT[[#This Row],[ilustrador]]</f>
        <v>Felipe Grigoli</v>
      </c>
      <c r="AC543" s="14"/>
      <c r="AD543" s="22"/>
      <c r="AE543" s="15"/>
      <c r="AF543" s="42" t="str">
        <f t="shared" si="8"/>
        <v>P007</v>
      </c>
    </row>
    <row r="544" spans="1:32" ht="28.8" hidden="1" x14ac:dyDescent="0.3">
      <c r="A544" s="12" t="e" cm="1">
        <f t="array" aca="1" ref="A544" ca="1">IF(STAT[[#This Row],[retranca]]="","",       RegxFunc(STAT[[#This Row],[retranca]],  "\w\d{4}\w*_\d")     )</f>
        <v>#NAME?</v>
      </c>
      <c r="B544" s="21" t="s">
        <v>1291</v>
      </c>
      <c r="C544" s="14" t="s">
        <v>72</v>
      </c>
      <c r="D544" s="15" t="s">
        <v>9</v>
      </c>
      <c r="E544" s="15" t="s">
        <v>10</v>
      </c>
      <c r="F544" s="14">
        <v>2</v>
      </c>
      <c r="G544" s="15">
        <v>4</v>
      </c>
      <c r="H544" s="14">
        <v>0</v>
      </c>
      <c r="I544" s="14" t="s">
        <v>296</v>
      </c>
      <c r="J544" s="17" t="s">
        <v>11</v>
      </c>
      <c r="K544" s="36"/>
      <c r="L544" s="14"/>
      <c r="M544" s="14"/>
      <c r="N544" s="14"/>
      <c r="O544" s="14"/>
      <c r="P544" s="25" t="s">
        <v>1292</v>
      </c>
      <c r="Q544" s="21"/>
      <c r="R544" s="22"/>
      <c r="S544" s="14"/>
      <c r="T544" s="26"/>
      <c r="U544" s="27"/>
      <c r="V544" s="27"/>
      <c r="W544" s="27"/>
      <c r="X544" s="27"/>
      <c r="Y544" s="14" t="s">
        <v>741</v>
      </c>
      <c r="Z544" s="40" t="str">
        <f>IF(STAT[[#This Row],[sigla]]="","",VLOOKUP(STAT[[#This Row],[sigla]],CRÉDITOS_GERAIS[[sigla]:[credito]],2,))</f>
        <v>Felipe Grigoli</v>
      </c>
      <c r="AA544" s="14"/>
      <c r="AB544" s="14" t="str">
        <f>STAT[[#This Row],[ilustrador]]</f>
        <v>Felipe Grigoli</v>
      </c>
      <c r="AC544" s="14"/>
      <c r="AD544" s="22"/>
      <c r="AE544" s="15"/>
      <c r="AF544" s="42" t="str">
        <f t="shared" si="8"/>
        <v>P007</v>
      </c>
    </row>
    <row r="545" spans="1:32" ht="28.8" hidden="1" x14ac:dyDescent="0.3">
      <c r="A545" s="12" t="e" cm="1">
        <f t="array" aca="1" ref="A545" ca="1">IF(STAT[[#This Row],[retranca]]="","",       RegxFunc(STAT[[#This Row],[retranca]],  "\w\d{4}\w*_\d")     )</f>
        <v>#NAME?</v>
      </c>
      <c r="B545" s="21" t="s">
        <v>1293</v>
      </c>
      <c r="C545" s="14" t="s">
        <v>72</v>
      </c>
      <c r="D545" s="15" t="s">
        <v>9</v>
      </c>
      <c r="E545" s="15" t="s">
        <v>10</v>
      </c>
      <c r="F545" s="14">
        <v>2</v>
      </c>
      <c r="G545" s="15">
        <v>4</v>
      </c>
      <c r="H545" s="14">
        <v>0</v>
      </c>
      <c r="I545" s="14" t="s">
        <v>296</v>
      </c>
      <c r="J545" s="17" t="s">
        <v>11</v>
      </c>
      <c r="K545" s="36"/>
      <c r="L545" s="14"/>
      <c r="M545" s="14"/>
      <c r="N545" s="14"/>
      <c r="O545" s="14"/>
      <c r="P545" s="25" t="s">
        <v>1294</v>
      </c>
      <c r="Q545" s="21"/>
      <c r="R545" s="22"/>
      <c r="S545" s="14"/>
      <c r="T545" s="26"/>
      <c r="U545" s="27"/>
      <c r="V545" s="27"/>
      <c r="W545" s="27"/>
      <c r="X545" s="27"/>
      <c r="Y545" s="14" t="s">
        <v>741</v>
      </c>
      <c r="Z545" s="40" t="str">
        <f>IF(STAT[[#This Row],[sigla]]="","",VLOOKUP(STAT[[#This Row],[sigla]],CRÉDITOS_GERAIS[[sigla]:[credito]],2,))</f>
        <v>Felipe Grigoli</v>
      </c>
      <c r="AA545" s="14"/>
      <c r="AB545" s="14" t="str">
        <f>STAT[[#This Row],[ilustrador]]</f>
        <v>Felipe Grigoli</v>
      </c>
      <c r="AC545" s="14"/>
      <c r="AD545" s="22"/>
      <c r="AE545" s="15"/>
      <c r="AF545" s="42" t="str">
        <f t="shared" si="8"/>
        <v>P007</v>
      </c>
    </row>
    <row r="546" spans="1:32" ht="28.8" hidden="1" x14ac:dyDescent="0.3">
      <c r="A546" s="12" t="e" cm="1">
        <f t="array" aca="1" ref="A546" ca="1">IF(STAT[[#This Row],[retranca]]="","",       RegxFunc(STAT[[#This Row],[retranca]],  "\w\d{4}\w*_\d")     )</f>
        <v>#NAME?</v>
      </c>
      <c r="B546" s="21" t="s">
        <v>1295</v>
      </c>
      <c r="C546" s="14" t="s">
        <v>72</v>
      </c>
      <c r="D546" s="15" t="s">
        <v>9</v>
      </c>
      <c r="E546" s="15" t="s">
        <v>10</v>
      </c>
      <c r="F546" s="14">
        <v>2</v>
      </c>
      <c r="G546" s="15">
        <v>4</v>
      </c>
      <c r="H546" s="14">
        <v>0</v>
      </c>
      <c r="I546" s="14" t="s">
        <v>296</v>
      </c>
      <c r="J546" s="17" t="s">
        <v>11</v>
      </c>
      <c r="K546" s="36"/>
      <c r="L546" s="14"/>
      <c r="M546" s="14"/>
      <c r="N546" s="14"/>
      <c r="O546" s="14"/>
      <c r="P546" s="25" t="s">
        <v>1292</v>
      </c>
      <c r="Q546" s="21"/>
      <c r="R546" s="22"/>
      <c r="S546" s="14"/>
      <c r="T546" s="26"/>
      <c r="U546" s="27"/>
      <c r="V546" s="27"/>
      <c r="W546" s="27"/>
      <c r="X546" s="27"/>
      <c r="Y546" s="14" t="s">
        <v>741</v>
      </c>
      <c r="Z546" s="40" t="str">
        <f>IF(STAT[[#This Row],[sigla]]="","",VLOOKUP(STAT[[#This Row],[sigla]],CRÉDITOS_GERAIS[[sigla]:[credito]],2,))</f>
        <v>Felipe Grigoli</v>
      </c>
      <c r="AA546" s="14"/>
      <c r="AB546" s="14" t="str">
        <f>STAT[[#This Row],[ilustrador]]</f>
        <v>Felipe Grigoli</v>
      </c>
      <c r="AC546" s="14"/>
      <c r="AD546" s="22"/>
      <c r="AE546" s="15"/>
      <c r="AF546" s="42" t="str">
        <f t="shared" si="8"/>
        <v>P007</v>
      </c>
    </row>
    <row r="547" spans="1:32" ht="28.8" hidden="1" x14ac:dyDescent="0.3">
      <c r="A547" s="12" t="e" cm="1">
        <f t="array" aca="1" ref="A547" ca="1">IF(STAT[[#This Row],[retranca]]="","",       RegxFunc(STAT[[#This Row],[retranca]],  "\w\d{4}\w*_\d")     )</f>
        <v>#NAME?</v>
      </c>
      <c r="B547" s="21" t="s">
        <v>1296</v>
      </c>
      <c r="C547" s="14" t="s">
        <v>72</v>
      </c>
      <c r="D547" s="15" t="s">
        <v>9</v>
      </c>
      <c r="E547" s="15" t="s">
        <v>10</v>
      </c>
      <c r="F547" s="14">
        <v>4</v>
      </c>
      <c r="G547" s="15">
        <v>4</v>
      </c>
      <c r="H547" s="14">
        <v>0</v>
      </c>
      <c r="I547" s="14" t="s">
        <v>296</v>
      </c>
      <c r="J547" s="17" t="s">
        <v>11</v>
      </c>
      <c r="K547" s="36"/>
      <c r="L547" s="14"/>
      <c r="M547" s="14"/>
      <c r="N547" s="14"/>
      <c r="O547" s="14"/>
      <c r="P547" s="25" t="s">
        <v>1297</v>
      </c>
      <c r="Q547" s="21"/>
      <c r="R547" s="22"/>
      <c r="S547" s="14"/>
      <c r="T547" s="26"/>
      <c r="U547" s="27"/>
      <c r="V547" s="27"/>
      <c r="W547" s="27"/>
      <c r="X547" s="27"/>
      <c r="Y547" s="14" t="s">
        <v>759</v>
      </c>
      <c r="Z547" s="40" t="e">
        <f>IF(STAT[[#This Row],[sigla]]="","",VLOOKUP(STAT[[#This Row],[sigla]],CRÉDITOS_GERAIS[[sigla]:[credito]],2,))</f>
        <v>#N/A</v>
      </c>
      <c r="AA547" s="14"/>
      <c r="AB547" s="14" t="e">
        <f>STAT[[#This Row],[ilustrador]]</f>
        <v>#N/A</v>
      </c>
      <c r="AC547" s="14"/>
      <c r="AD547" s="22"/>
      <c r="AE547" s="15"/>
      <c r="AF547" s="42" t="str">
        <f t="shared" si="8"/>
        <v>P007</v>
      </c>
    </row>
    <row r="548" spans="1:32" ht="28.8" hidden="1" x14ac:dyDescent="0.3">
      <c r="A548" s="12" t="e" cm="1">
        <f t="array" aca="1" ref="A548" ca="1">IF(STAT[[#This Row],[retranca]]="","",       RegxFunc(STAT[[#This Row],[retranca]],  "\w\d{4}\w*_\d")     )</f>
        <v>#NAME?</v>
      </c>
      <c r="B548" s="21" t="s">
        <v>1298</v>
      </c>
      <c r="C548" s="14" t="s">
        <v>72</v>
      </c>
      <c r="D548" s="15" t="s">
        <v>9</v>
      </c>
      <c r="E548" s="15" t="s">
        <v>10</v>
      </c>
      <c r="F548" s="14">
        <v>4</v>
      </c>
      <c r="G548" s="15">
        <v>4</v>
      </c>
      <c r="H548" s="14">
        <v>0</v>
      </c>
      <c r="I548" s="14" t="s">
        <v>296</v>
      </c>
      <c r="J548" s="17" t="s">
        <v>11</v>
      </c>
      <c r="K548" s="36"/>
      <c r="L548" s="14"/>
      <c r="M548" s="14"/>
      <c r="N548" s="14"/>
      <c r="O548" s="14"/>
      <c r="P548" s="25" t="s">
        <v>1299</v>
      </c>
      <c r="Q548" s="21"/>
      <c r="R548" s="22"/>
      <c r="S548" s="14"/>
      <c r="T548" s="26"/>
      <c r="U548" s="39"/>
      <c r="V548" s="27"/>
      <c r="W548" s="27"/>
      <c r="X548" s="39"/>
      <c r="Y548" s="14" t="s">
        <v>759</v>
      </c>
      <c r="Z548" s="40" t="e">
        <f>IF(STAT[[#This Row],[sigla]]="","",VLOOKUP(STAT[[#This Row],[sigla]],CRÉDITOS_GERAIS[[sigla]:[credito]],2,))</f>
        <v>#N/A</v>
      </c>
      <c r="AA548" s="14"/>
      <c r="AB548" s="14" t="e">
        <f>STAT[[#This Row],[ilustrador]]</f>
        <v>#N/A</v>
      </c>
      <c r="AC548" s="24"/>
      <c r="AD548" s="22"/>
      <c r="AE548" s="15"/>
      <c r="AF548" s="42" t="str">
        <f t="shared" si="8"/>
        <v>P007</v>
      </c>
    </row>
    <row r="549" spans="1:32" ht="28.8" hidden="1" x14ac:dyDescent="0.3">
      <c r="A549" s="12" t="e" cm="1">
        <f t="array" aca="1" ref="A549" ca="1">IF(STAT[[#This Row],[retranca]]="","",       RegxFunc(STAT[[#This Row],[retranca]],  "\w\d{4}\w*_\d")     )</f>
        <v>#NAME?</v>
      </c>
      <c r="B549" s="21" t="s">
        <v>1300</v>
      </c>
      <c r="C549" s="14" t="s">
        <v>72</v>
      </c>
      <c r="D549" s="15" t="s">
        <v>9</v>
      </c>
      <c r="E549" s="15" t="s">
        <v>10</v>
      </c>
      <c r="F549" s="14">
        <v>4</v>
      </c>
      <c r="G549" s="15">
        <v>4</v>
      </c>
      <c r="H549" s="14">
        <v>0</v>
      </c>
      <c r="I549" s="14" t="s">
        <v>296</v>
      </c>
      <c r="J549" s="17" t="s">
        <v>11</v>
      </c>
      <c r="K549" s="36"/>
      <c r="L549" s="14"/>
      <c r="M549" s="14"/>
      <c r="N549" s="14"/>
      <c r="O549" s="14"/>
      <c r="P549" s="25" t="s">
        <v>1301</v>
      </c>
      <c r="Q549" s="21"/>
      <c r="R549" s="22"/>
      <c r="S549" s="14"/>
      <c r="T549" s="26"/>
      <c r="U549" s="27"/>
      <c r="V549" s="27"/>
      <c r="W549" s="27"/>
      <c r="X549" s="27"/>
      <c r="Y549" s="14" t="s">
        <v>759</v>
      </c>
      <c r="Z549" s="40" t="e">
        <f>IF(STAT[[#This Row],[sigla]]="","",VLOOKUP(STAT[[#This Row],[sigla]],CRÉDITOS_GERAIS[[sigla]:[credito]],2,))</f>
        <v>#N/A</v>
      </c>
      <c r="AA549" s="14"/>
      <c r="AB549" s="14" t="e">
        <f>STAT[[#This Row],[ilustrador]]</f>
        <v>#N/A</v>
      </c>
      <c r="AC549" s="14"/>
      <c r="AD549" s="22"/>
      <c r="AE549" s="15"/>
      <c r="AF549" s="42" t="str">
        <f t="shared" si="8"/>
        <v>P007</v>
      </c>
    </row>
    <row r="550" spans="1:32" ht="28.8" hidden="1" x14ac:dyDescent="0.3">
      <c r="A550" s="12" t="e" cm="1">
        <f t="array" aca="1" ref="A550" ca="1">IF(STAT[[#This Row],[retranca]]="","",       RegxFunc(STAT[[#This Row],[retranca]],  "\w\d{4}\w*_\d")     )</f>
        <v>#NAME?</v>
      </c>
      <c r="B550" s="21" t="s">
        <v>1302</v>
      </c>
      <c r="C550" s="14" t="s">
        <v>72</v>
      </c>
      <c r="D550" s="15" t="s">
        <v>9</v>
      </c>
      <c r="E550" s="15" t="s">
        <v>10</v>
      </c>
      <c r="F550" s="14">
        <v>4</v>
      </c>
      <c r="G550" s="15">
        <v>4</v>
      </c>
      <c r="H550" s="14">
        <v>0</v>
      </c>
      <c r="I550" s="14" t="s">
        <v>296</v>
      </c>
      <c r="J550" s="17" t="s">
        <v>11</v>
      </c>
      <c r="K550" s="36"/>
      <c r="L550" s="14"/>
      <c r="M550" s="14"/>
      <c r="N550" s="14"/>
      <c r="O550" s="14"/>
      <c r="P550" s="25" t="s">
        <v>1303</v>
      </c>
      <c r="Q550" s="22"/>
      <c r="R550" s="22"/>
      <c r="S550" s="14"/>
      <c r="T550" s="27"/>
      <c r="U550" s="27"/>
      <c r="V550" s="27"/>
      <c r="W550" s="27"/>
      <c r="X550" s="27"/>
      <c r="Y550" s="14" t="s">
        <v>759</v>
      </c>
      <c r="Z550" s="40" t="e">
        <f>IF(STAT[[#This Row],[sigla]]="","",VLOOKUP(STAT[[#This Row],[sigla]],CRÉDITOS_GERAIS[[sigla]:[credito]],2,))</f>
        <v>#N/A</v>
      </c>
      <c r="AA550" s="14"/>
      <c r="AB550" s="14" t="e">
        <f>STAT[[#This Row],[ilustrador]]</f>
        <v>#N/A</v>
      </c>
      <c r="AC550" s="14"/>
      <c r="AD550" s="22"/>
      <c r="AE550" s="15"/>
      <c r="AF550" s="42" t="str">
        <f t="shared" si="8"/>
        <v>P007</v>
      </c>
    </row>
    <row r="551" spans="1:32" ht="72" hidden="1" x14ac:dyDescent="0.3">
      <c r="A551" s="12" t="e" cm="1">
        <f t="array" aca="1" ref="A551" ca="1">IF(STAT[[#This Row],[retranca]]="","",       RegxFunc(STAT[[#This Row],[retranca]],  "\w\d{4}\w*_\d")     )</f>
        <v>#NAME?</v>
      </c>
      <c r="B551" s="21" t="s">
        <v>1304</v>
      </c>
      <c r="C551" s="14" t="s">
        <v>72</v>
      </c>
      <c r="D551" s="14" t="s">
        <v>9</v>
      </c>
      <c r="E551" s="14" t="s">
        <v>10</v>
      </c>
      <c r="F551" s="14">
        <v>50</v>
      </c>
      <c r="G551" s="14">
        <v>3</v>
      </c>
      <c r="H551" s="14">
        <v>4</v>
      </c>
      <c r="I551" s="14">
        <v>4</v>
      </c>
      <c r="J551" s="28" t="s">
        <v>55</v>
      </c>
      <c r="K551" s="36"/>
      <c r="L551" s="14"/>
      <c r="M551" s="14"/>
      <c r="N551" s="14"/>
      <c r="O551" s="14"/>
      <c r="P551" s="25" t="s">
        <v>1305</v>
      </c>
      <c r="Q551" s="22"/>
      <c r="R551" s="22"/>
      <c r="S551" s="14">
        <v>75</v>
      </c>
      <c r="T551" s="27">
        <v>45887</v>
      </c>
      <c r="U551" s="27">
        <v>45891</v>
      </c>
      <c r="V551" s="27">
        <v>45894</v>
      </c>
      <c r="W551" s="27">
        <v>45895</v>
      </c>
      <c r="X551" s="27">
        <v>45896</v>
      </c>
      <c r="Y551" s="14" t="s">
        <v>94</v>
      </c>
      <c r="Z551" s="40" t="str">
        <f>IF(STAT[[#This Row],[sigla]]="","",VLOOKUP(STAT[[#This Row],[sigla]],CRÉDITOS_GERAIS[[sigla]:[credito]],2,))</f>
        <v>Thais Castro</v>
      </c>
      <c r="AA551" s="14"/>
      <c r="AB551" s="14" t="str">
        <f>STAT[[#This Row],[ilustrador]]</f>
        <v>Thais Castro</v>
      </c>
      <c r="AC551" s="14">
        <v>4</v>
      </c>
      <c r="AD551" s="22" t="s">
        <v>1306</v>
      </c>
      <c r="AE551" s="14" t="s">
        <v>87</v>
      </c>
      <c r="AF551" s="42" t="str">
        <f t="shared" si="8"/>
        <v>P007</v>
      </c>
    </row>
    <row r="552" spans="1:32" ht="28.8" hidden="1" x14ac:dyDescent="0.3">
      <c r="A552" s="12" t="e" cm="1">
        <f t="array" aca="1" ref="A552" ca="1">IF(STAT[[#This Row],[retranca]]="","",       RegxFunc(STAT[[#This Row],[retranca]],  "\w\d{4}\w*_\d")     )</f>
        <v>#NAME?</v>
      </c>
      <c r="B552" s="21" t="s">
        <v>1307</v>
      </c>
      <c r="C552" s="14" t="s">
        <v>72</v>
      </c>
      <c r="D552" s="14" t="s">
        <v>9</v>
      </c>
      <c r="E552" s="14" t="s">
        <v>10</v>
      </c>
      <c r="F552" s="14">
        <v>53</v>
      </c>
      <c r="G552" s="14">
        <v>3</v>
      </c>
      <c r="H552" s="14">
        <v>4</v>
      </c>
      <c r="I552" s="14">
        <v>4</v>
      </c>
      <c r="J552" s="28" t="s">
        <v>55</v>
      </c>
      <c r="K552" s="36"/>
      <c r="L552" s="14"/>
      <c r="M552" s="14"/>
      <c r="N552" s="14"/>
      <c r="O552" s="14"/>
      <c r="P552" s="25" t="s">
        <v>1308</v>
      </c>
      <c r="Q552" s="21"/>
      <c r="R552" s="22"/>
      <c r="S552" s="14">
        <v>75</v>
      </c>
      <c r="T552" s="27">
        <v>45887</v>
      </c>
      <c r="U552" s="27">
        <v>45889</v>
      </c>
      <c r="V552" s="27">
        <v>45895</v>
      </c>
      <c r="W552" s="27">
        <v>45896</v>
      </c>
      <c r="X552" s="27">
        <v>45897</v>
      </c>
      <c r="Y552" s="14" t="s">
        <v>583</v>
      </c>
      <c r="Z552" s="40" t="str">
        <f>IF(STAT[[#This Row],[sigla]]="","",VLOOKUP(STAT[[#This Row],[sigla]],CRÉDITOS_GERAIS[[sigla]:[credito]],2,))</f>
        <v>Karina Oliveira</v>
      </c>
      <c r="AA552" s="14"/>
      <c r="AB552" s="14" t="str">
        <f>STAT[[#This Row],[ilustrador]]</f>
        <v>Karina Oliveira</v>
      </c>
      <c r="AC552" s="14">
        <v>6</v>
      </c>
      <c r="AD552" s="22" t="s">
        <v>1306</v>
      </c>
      <c r="AE552" s="14" t="s">
        <v>87</v>
      </c>
      <c r="AF552" s="42" t="str">
        <f t="shared" si="8"/>
        <v>P007</v>
      </c>
    </row>
    <row r="553" spans="1:32" ht="115.2" hidden="1" x14ac:dyDescent="0.3">
      <c r="A553" s="12" t="e" cm="1">
        <f t="array" aca="1" ref="A553" ca="1">IF(STAT[[#This Row],[retranca]]="","",       RegxFunc(STAT[[#This Row],[retranca]],  "\w\d{4}\w*_\d")     )</f>
        <v>#NAME?</v>
      </c>
      <c r="B553" s="21" t="s">
        <v>1309</v>
      </c>
      <c r="C553" s="14" t="s">
        <v>72</v>
      </c>
      <c r="D553" s="14" t="s">
        <v>9</v>
      </c>
      <c r="E553" s="14" t="s">
        <v>10</v>
      </c>
      <c r="F553" s="14">
        <v>57</v>
      </c>
      <c r="G553" s="14">
        <v>3</v>
      </c>
      <c r="H553" s="14">
        <v>4</v>
      </c>
      <c r="I553" s="14">
        <v>4</v>
      </c>
      <c r="J553" s="28" t="s">
        <v>55</v>
      </c>
      <c r="K553" s="36"/>
      <c r="L553" s="14"/>
      <c r="M553" s="14"/>
      <c r="N553" s="14"/>
      <c r="O553" s="14"/>
      <c r="P553" s="25" t="s">
        <v>1310</v>
      </c>
      <c r="Q553" s="21"/>
      <c r="R553" s="22"/>
      <c r="S553" s="14">
        <v>75</v>
      </c>
      <c r="T553" s="27">
        <v>45887</v>
      </c>
      <c r="U553" s="27">
        <v>45889</v>
      </c>
      <c r="V553" s="27">
        <v>45895</v>
      </c>
      <c r="W553" s="27">
        <v>45896</v>
      </c>
      <c r="X553" s="27">
        <v>45897</v>
      </c>
      <c r="Y553" s="14" t="s">
        <v>583</v>
      </c>
      <c r="Z553" s="40" t="str">
        <f>IF(STAT[[#This Row],[sigla]]="","",VLOOKUP(STAT[[#This Row],[sigla]],CRÉDITOS_GERAIS[[sigla]:[credito]],2,))</f>
        <v>Karina Oliveira</v>
      </c>
      <c r="AA553" s="14"/>
      <c r="AB553" s="14" t="str">
        <f>STAT[[#This Row],[ilustrador]]</f>
        <v>Karina Oliveira</v>
      </c>
      <c r="AC553" s="14">
        <v>6</v>
      </c>
      <c r="AD553" s="22" t="s">
        <v>1306</v>
      </c>
      <c r="AE553" s="14" t="s">
        <v>87</v>
      </c>
      <c r="AF553" s="42" t="str">
        <f t="shared" si="8"/>
        <v>P007</v>
      </c>
    </row>
    <row r="554" spans="1:32" ht="172.8" hidden="1" x14ac:dyDescent="0.3">
      <c r="A554" s="12" t="e" cm="1">
        <f t="array" aca="1" ref="A554" ca="1">IF(STAT[[#This Row],[retranca]]="","",       RegxFunc(STAT[[#This Row],[retranca]],  "\w\d{4}\w*_\d")     )</f>
        <v>#NAME?</v>
      </c>
      <c r="B554" s="21" t="s">
        <v>1311</v>
      </c>
      <c r="C554" s="14" t="s">
        <v>72</v>
      </c>
      <c r="D554" s="14" t="s">
        <v>9</v>
      </c>
      <c r="E554" s="14" t="s">
        <v>10</v>
      </c>
      <c r="F554" s="14">
        <v>58</v>
      </c>
      <c r="G554" s="14">
        <v>3</v>
      </c>
      <c r="H554" s="14">
        <v>4</v>
      </c>
      <c r="I554" s="14">
        <v>4</v>
      </c>
      <c r="J554" s="28" t="s">
        <v>55</v>
      </c>
      <c r="K554" s="36"/>
      <c r="L554" s="14"/>
      <c r="M554" s="14"/>
      <c r="N554" s="14"/>
      <c r="O554" s="14"/>
      <c r="P554" s="25" t="s">
        <v>1312</v>
      </c>
      <c r="Q554" s="22"/>
      <c r="R554" s="22"/>
      <c r="S554" s="14">
        <v>75</v>
      </c>
      <c r="T554" s="27">
        <v>45887</v>
      </c>
      <c r="U554" s="27">
        <v>45891</v>
      </c>
      <c r="V554" s="27">
        <v>45894</v>
      </c>
      <c r="W554" s="27">
        <v>45895</v>
      </c>
      <c r="X554" s="27">
        <v>45896</v>
      </c>
      <c r="Y554" s="14" t="s">
        <v>94</v>
      </c>
      <c r="Z554" s="40" t="str">
        <f>IF(STAT[[#This Row],[sigla]]="","",VLOOKUP(STAT[[#This Row],[sigla]],CRÉDITOS_GERAIS[[sigla]:[credito]],2,))</f>
        <v>Thais Castro</v>
      </c>
      <c r="AA554" s="14"/>
      <c r="AB554" s="14" t="str">
        <f>STAT[[#This Row],[ilustrador]]</f>
        <v>Thais Castro</v>
      </c>
      <c r="AC554" s="14">
        <v>5</v>
      </c>
      <c r="AD554" s="22" t="s">
        <v>1306</v>
      </c>
      <c r="AE554" s="14" t="s">
        <v>87</v>
      </c>
      <c r="AF554" s="42" t="str">
        <f t="shared" si="8"/>
        <v>P007</v>
      </c>
    </row>
    <row r="555" spans="1:32" ht="28.8" hidden="1" x14ac:dyDescent="0.3">
      <c r="A555" s="12" t="e" cm="1">
        <f t="array" aca="1" ref="A555" ca="1">IF(STAT[[#This Row],[retranca]]="","",       RegxFunc(STAT[[#This Row],[retranca]],  "\w\d{4}\w*_\d")     )</f>
        <v>#NAME?</v>
      </c>
      <c r="B555" s="21" t="s">
        <v>1313</v>
      </c>
      <c r="C555" s="14" t="s">
        <v>72</v>
      </c>
      <c r="D555" s="14" t="s">
        <v>9</v>
      </c>
      <c r="E555" s="14" t="s">
        <v>10</v>
      </c>
      <c r="F555" s="14">
        <v>61</v>
      </c>
      <c r="G555" s="14">
        <v>3</v>
      </c>
      <c r="H555" s="14">
        <v>4</v>
      </c>
      <c r="I555" s="14">
        <v>4</v>
      </c>
      <c r="J555" s="28" t="s">
        <v>55</v>
      </c>
      <c r="K555" s="36"/>
      <c r="L555" s="14"/>
      <c r="M555" s="14"/>
      <c r="N555" s="14"/>
      <c r="O555" s="14"/>
      <c r="P555" s="25" t="s">
        <v>1314</v>
      </c>
      <c r="Q555" s="22"/>
      <c r="R555" s="22"/>
      <c r="S555" s="14">
        <v>75</v>
      </c>
      <c r="T555" s="27">
        <v>45887</v>
      </c>
      <c r="U555" s="27">
        <v>45889</v>
      </c>
      <c r="V555" s="27">
        <v>45895</v>
      </c>
      <c r="W555" s="27">
        <v>45896</v>
      </c>
      <c r="X555" s="27">
        <v>45897</v>
      </c>
      <c r="Y555" s="14" t="s">
        <v>583</v>
      </c>
      <c r="Z555" s="40" t="str">
        <f>IF(STAT[[#This Row],[sigla]]="","",VLOOKUP(STAT[[#This Row],[sigla]],CRÉDITOS_GERAIS[[sigla]:[credito]],2,))</f>
        <v>Karina Oliveira</v>
      </c>
      <c r="AA555" s="14"/>
      <c r="AB555" s="14" t="str">
        <f>STAT[[#This Row],[ilustrador]]</f>
        <v>Karina Oliveira</v>
      </c>
      <c r="AC555" s="14">
        <v>8</v>
      </c>
      <c r="AD555" s="22" t="s">
        <v>1306</v>
      </c>
      <c r="AE555" s="14" t="s">
        <v>87</v>
      </c>
      <c r="AF555" s="42" t="str">
        <f t="shared" si="8"/>
        <v>P007</v>
      </c>
    </row>
    <row r="556" spans="1:32" ht="57.6" hidden="1" x14ac:dyDescent="0.3">
      <c r="A556" s="12" t="e" cm="1">
        <f t="array" aca="1" ref="A556" ca="1">IF(STAT[[#This Row],[retranca]]="","",       RegxFunc(STAT[[#This Row],[retranca]],  "\w\d{4}\w*_\d")     )</f>
        <v>#NAME?</v>
      </c>
      <c r="B556" s="21" t="s">
        <v>1315</v>
      </c>
      <c r="C556" s="14" t="s">
        <v>72</v>
      </c>
      <c r="D556" s="14" t="s">
        <v>9</v>
      </c>
      <c r="E556" s="14" t="s">
        <v>10</v>
      </c>
      <c r="F556" s="14">
        <v>61</v>
      </c>
      <c r="G556" s="14">
        <v>3</v>
      </c>
      <c r="H556" s="14">
        <v>4</v>
      </c>
      <c r="I556" s="14">
        <v>4</v>
      </c>
      <c r="J556" s="28" t="s">
        <v>55</v>
      </c>
      <c r="K556" s="36"/>
      <c r="L556" s="14"/>
      <c r="M556" s="14"/>
      <c r="N556" s="14"/>
      <c r="O556" s="14"/>
      <c r="P556" s="25" t="s">
        <v>1316</v>
      </c>
      <c r="Q556" s="22"/>
      <c r="R556" s="22"/>
      <c r="S556" s="14">
        <v>75</v>
      </c>
      <c r="T556" s="27">
        <v>45887</v>
      </c>
      <c r="U556" s="27">
        <v>45889</v>
      </c>
      <c r="V556" s="27">
        <v>45895</v>
      </c>
      <c r="W556" s="27">
        <v>45896</v>
      </c>
      <c r="X556" s="27">
        <v>45897</v>
      </c>
      <c r="Y556" s="14" t="s">
        <v>583</v>
      </c>
      <c r="Z556" s="40" t="str">
        <f>IF(STAT[[#This Row],[sigla]]="","",VLOOKUP(STAT[[#This Row],[sigla]],CRÉDITOS_GERAIS[[sigla]:[credito]],2,))</f>
        <v>Karina Oliveira</v>
      </c>
      <c r="AA556" s="14"/>
      <c r="AB556" s="14" t="str">
        <f>STAT[[#This Row],[ilustrador]]</f>
        <v>Karina Oliveira</v>
      </c>
      <c r="AC556" s="14">
        <v>8</v>
      </c>
      <c r="AD556" s="22" t="s">
        <v>1306</v>
      </c>
      <c r="AE556" s="14" t="s">
        <v>87</v>
      </c>
      <c r="AF556" s="42" t="str">
        <f t="shared" si="8"/>
        <v>P007</v>
      </c>
    </row>
    <row r="557" spans="1:32" hidden="1" x14ac:dyDescent="0.3">
      <c r="A557" s="12" t="e" cm="1">
        <f t="array" aca="1" ref="A557" ca="1">IF(STAT[[#This Row],[retranca]]="","",       RegxFunc(STAT[[#This Row],[retranca]],  "\w\d{4}\w*_\d")     )</f>
        <v>#NAME?</v>
      </c>
      <c r="B557" s="21" t="s">
        <v>1317</v>
      </c>
      <c r="C557" s="14" t="s">
        <v>72</v>
      </c>
      <c r="D557" s="14" t="s">
        <v>9</v>
      </c>
      <c r="E557" s="14" t="s">
        <v>10</v>
      </c>
      <c r="F557" s="14">
        <v>63</v>
      </c>
      <c r="G557" s="14">
        <v>3</v>
      </c>
      <c r="H557" s="14">
        <v>4</v>
      </c>
      <c r="I557" s="14">
        <v>4</v>
      </c>
      <c r="J557" s="28" t="s">
        <v>11</v>
      </c>
      <c r="K557" s="36"/>
      <c r="L557" s="14"/>
      <c r="M557" s="14"/>
      <c r="N557" s="14"/>
      <c r="O557" s="14"/>
      <c r="P557" s="25" t="s">
        <v>1318</v>
      </c>
      <c r="Q557" s="22"/>
      <c r="R557" s="22"/>
      <c r="S557" s="14"/>
      <c r="T557" s="27"/>
      <c r="U557" s="27"/>
      <c r="V557" s="27"/>
      <c r="W557" s="27"/>
      <c r="X557" s="27"/>
      <c r="Y557" s="14" t="s">
        <v>583</v>
      </c>
      <c r="Z557" s="40" t="str">
        <f>IF(STAT[[#This Row],[sigla]]="","",VLOOKUP(STAT[[#This Row],[sigla]],CRÉDITOS_GERAIS[[sigla]:[credito]],2,))</f>
        <v>Karina Oliveira</v>
      </c>
      <c r="AA557" s="14"/>
      <c r="AB557" s="14" t="str">
        <f>STAT[[#This Row],[ilustrador]]</f>
        <v>Karina Oliveira</v>
      </c>
      <c r="AC557" s="14"/>
      <c r="AD557" s="22"/>
      <c r="AE557" s="15"/>
      <c r="AF557" s="42" t="str">
        <f t="shared" si="8"/>
        <v>P007</v>
      </c>
    </row>
    <row r="558" spans="1:32" hidden="1" x14ac:dyDescent="0.3">
      <c r="A558" s="12" t="e" cm="1">
        <f t="array" aca="1" ref="A558" ca="1">IF(STAT[[#This Row],[retranca]]="","",       RegxFunc(STAT[[#This Row],[retranca]],  "\w\d{4}\w*_\d")     )</f>
        <v>#NAME?</v>
      </c>
      <c r="B558" s="21" t="s">
        <v>1319</v>
      </c>
      <c r="C558" s="14" t="s">
        <v>72</v>
      </c>
      <c r="D558" s="14" t="s">
        <v>9</v>
      </c>
      <c r="E558" s="14" t="s">
        <v>471</v>
      </c>
      <c r="F558" s="14"/>
      <c r="G558" s="14">
        <v>5</v>
      </c>
      <c r="H558" s="14">
        <v>5</v>
      </c>
      <c r="I558" s="14">
        <v>5</v>
      </c>
      <c r="J558" s="28" t="s">
        <v>55</v>
      </c>
      <c r="K558" s="36"/>
      <c r="L558" s="14"/>
      <c r="M558" s="14"/>
      <c r="N558" s="14"/>
      <c r="O558" s="14"/>
      <c r="P558" s="25" t="s">
        <v>1320</v>
      </c>
      <c r="Q558" s="21"/>
      <c r="R558" s="22"/>
      <c r="S558" s="14">
        <v>76</v>
      </c>
      <c r="T558" s="27">
        <v>45888</v>
      </c>
      <c r="U558" s="27">
        <v>45888</v>
      </c>
      <c r="V558" s="27"/>
      <c r="W558" s="27"/>
      <c r="X558" s="27">
        <v>45894</v>
      </c>
      <c r="Y558" s="14" t="s">
        <v>114</v>
      </c>
      <c r="Z558" s="40" t="str">
        <f>IF(STAT[[#This Row],[sigla]]="","",VLOOKUP(STAT[[#This Row],[sigla]],CRÉDITOS_GERAIS[[sigla]:[credito]],2,))</f>
        <v>Heloísa Pintarelli</v>
      </c>
      <c r="AA558" s="14"/>
      <c r="AB558" s="14" t="str">
        <f>STAT[[#This Row],[ilustrador]]</f>
        <v>Heloísa Pintarelli</v>
      </c>
      <c r="AC558" s="14">
        <v>8</v>
      </c>
      <c r="AD558" s="22" t="s">
        <v>1321</v>
      </c>
      <c r="AE558" s="14" t="s">
        <v>87</v>
      </c>
      <c r="AF558" s="42" t="str">
        <f t="shared" si="8"/>
        <v>P007</v>
      </c>
    </row>
    <row r="559" spans="1:32" ht="86.4" hidden="1" x14ac:dyDescent="0.3">
      <c r="A559" s="12" t="e" cm="1">
        <f t="array" aca="1" ref="A559" ca="1">IF(STAT[[#This Row],[retranca]]="","",       RegxFunc(STAT[[#This Row],[retranca]],  "\w\d{4}\w*_\d")     )</f>
        <v>#NAME?</v>
      </c>
      <c r="B559" s="21" t="s">
        <v>1322</v>
      </c>
      <c r="C559" s="14" t="s">
        <v>72</v>
      </c>
      <c r="D559" s="14" t="s">
        <v>9</v>
      </c>
      <c r="E559" s="14" t="s">
        <v>10</v>
      </c>
      <c r="F559" s="14">
        <v>47</v>
      </c>
      <c r="G559" s="14">
        <v>5</v>
      </c>
      <c r="H559" s="14">
        <v>9</v>
      </c>
      <c r="I559" s="14">
        <v>9</v>
      </c>
      <c r="J559" s="28" t="s">
        <v>55</v>
      </c>
      <c r="K559" s="36"/>
      <c r="L559" s="14"/>
      <c r="M559" s="14"/>
      <c r="N559" s="14"/>
      <c r="O559" s="14"/>
      <c r="P559" s="25" t="s">
        <v>1323</v>
      </c>
      <c r="Q559" s="21"/>
      <c r="R559" s="22"/>
      <c r="S559" s="14">
        <v>77</v>
      </c>
      <c r="T559" s="27">
        <v>45892</v>
      </c>
      <c r="U559" s="27">
        <v>45894</v>
      </c>
      <c r="V559" s="27">
        <v>45896</v>
      </c>
      <c r="W559" s="27">
        <v>45896</v>
      </c>
      <c r="X559" s="27">
        <v>45898</v>
      </c>
      <c r="Y559" s="14" t="s">
        <v>84</v>
      </c>
      <c r="Z559" s="40" t="str">
        <f>IF(STAT[[#This Row],[sigla]]="","",VLOOKUP(STAT[[#This Row],[sigla]],CRÉDITOS_GERAIS[[sigla]:[credito]],2,))</f>
        <v>Gabriel Brum</v>
      </c>
      <c r="AA559" s="14"/>
      <c r="AB559" s="14" t="str">
        <f>STAT[[#This Row],[ilustrador]]</f>
        <v>Gabriel Brum</v>
      </c>
      <c r="AC559" s="14">
        <v>5</v>
      </c>
      <c r="AD559" s="22" t="s">
        <v>1324</v>
      </c>
      <c r="AE559" s="14" t="s">
        <v>87</v>
      </c>
      <c r="AF559" s="42" t="str">
        <f t="shared" si="8"/>
        <v>P007</v>
      </c>
    </row>
    <row r="560" spans="1:32" ht="72" hidden="1" x14ac:dyDescent="0.3">
      <c r="A560" s="12" t="e" cm="1">
        <f t="array" aca="1" ref="A560" ca="1">IF(STAT[[#This Row],[retranca]]="","",       RegxFunc(STAT[[#This Row],[retranca]],  "\w\d{4}\w*_\d")     )</f>
        <v>#NAME?</v>
      </c>
      <c r="B560" s="21" t="s">
        <v>1325</v>
      </c>
      <c r="C560" s="14" t="s">
        <v>72</v>
      </c>
      <c r="D560" s="14" t="s">
        <v>9</v>
      </c>
      <c r="E560" s="14" t="s">
        <v>10</v>
      </c>
      <c r="F560" s="14">
        <v>3</v>
      </c>
      <c r="G560" s="14">
        <v>5</v>
      </c>
      <c r="H560" s="14">
        <v>0</v>
      </c>
      <c r="I560" s="14" t="s">
        <v>112</v>
      </c>
      <c r="J560" s="28" t="s">
        <v>55</v>
      </c>
      <c r="K560" s="36"/>
      <c r="L560" s="14"/>
      <c r="M560" s="14"/>
      <c r="N560" s="14"/>
      <c r="O560" s="14"/>
      <c r="P560" s="25" t="s">
        <v>1326</v>
      </c>
      <c r="Q560" s="22"/>
      <c r="R560" s="22"/>
      <c r="S560" s="14">
        <v>78</v>
      </c>
      <c r="T560" s="27">
        <v>45894</v>
      </c>
      <c r="U560" s="27">
        <v>45895</v>
      </c>
      <c r="V560" s="27">
        <v>45896</v>
      </c>
      <c r="W560" s="27">
        <v>45898</v>
      </c>
      <c r="X560" s="27">
        <v>45900</v>
      </c>
      <c r="Y560" s="14" t="s">
        <v>109</v>
      </c>
      <c r="Z560" s="40" t="str">
        <f>IF(STAT[[#This Row],[sigla]]="","",VLOOKUP(STAT[[#This Row],[sigla]],CRÉDITOS_GERAIS[[sigla]:[credito]],2,))</f>
        <v>Clarice Baracho</v>
      </c>
      <c r="AA560" s="14"/>
      <c r="AB560" s="14" t="str">
        <f>STAT[[#This Row],[ilustrador]]</f>
        <v>Clarice Baracho</v>
      </c>
      <c r="AC560" s="14">
        <v>4</v>
      </c>
      <c r="AD560" s="14" t="s">
        <v>1327</v>
      </c>
      <c r="AE560" s="14" t="s">
        <v>87</v>
      </c>
      <c r="AF560" s="42" t="str">
        <f t="shared" si="8"/>
        <v>P007</v>
      </c>
    </row>
    <row r="561" spans="1:32" hidden="1" x14ac:dyDescent="0.3">
      <c r="A561" s="12" t="e" cm="1">
        <f t="array" aca="1" ref="A561" ca="1">IF(STAT[[#This Row],[retranca]]="","",       RegxFunc(STAT[[#This Row],[retranca]],  "\w\d{4}\w*_\d")     )</f>
        <v>#NAME?</v>
      </c>
      <c r="B561" s="21" t="s">
        <v>1328</v>
      </c>
      <c r="C561" s="14" t="s">
        <v>72</v>
      </c>
      <c r="D561" s="14" t="s">
        <v>9</v>
      </c>
      <c r="E561" s="14" t="s">
        <v>10</v>
      </c>
      <c r="F561" s="14">
        <v>4</v>
      </c>
      <c r="G561" s="14">
        <v>5</v>
      </c>
      <c r="H561" s="14">
        <v>0</v>
      </c>
      <c r="I561" s="14" t="s">
        <v>112</v>
      </c>
      <c r="J561" s="28" t="s">
        <v>11</v>
      </c>
      <c r="K561" s="36"/>
      <c r="L561" s="14"/>
      <c r="M561" s="14"/>
      <c r="N561" s="14"/>
      <c r="O561" s="14"/>
      <c r="P561" s="25" t="s">
        <v>1329</v>
      </c>
      <c r="Q561" s="22"/>
      <c r="R561" s="22"/>
      <c r="S561" s="14"/>
      <c r="T561" s="27"/>
      <c r="U561" s="27"/>
      <c r="V561" s="27"/>
      <c r="W561" s="27"/>
      <c r="X561" s="27"/>
      <c r="Y561" s="14" t="s">
        <v>413</v>
      </c>
      <c r="Z561" s="40" t="e">
        <f>IF(STAT[[#This Row],[sigla]]="","",VLOOKUP(STAT[[#This Row],[sigla]],CRÉDITOS_GERAIS[[sigla]:[credito]],2,))</f>
        <v>#N/A</v>
      </c>
      <c r="AA561" s="14"/>
      <c r="AB561" s="14" t="s">
        <v>609</v>
      </c>
      <c r="AC561" s="14"/>
      <c r="AD561" s="14"/>
      <c r="AE561" s="14"/>
      <c r="AF561" s="42" t="str">
        <f t="shared" si="8"/>
        <v>P007</v>
      </c>
    </row>
    <row r="562" spans="1:32" hidden="1" x14ac:dyDescent="0.3">
      <c r="A562" s="12" t="e" cm="1">
        <f t="array" aca="1" ref="A562" ca="1">IF(STAT[[#This Row],[retranca]]="","",       RegxFunc(STAT[[#This Row],[retranca]],  "\w\d{4}\w*_\d")     )</f>
        <v>#NAME?</v>
      </c>
      <c r="B562" s="21" t="s">
        <v>1330</v>
      </c>
      <c r="C562" s="14" t="s">
        <v>72</v>
      </c>
      <c r="D562" s="14" t="s">
        <v>9</v>
      </c>
      <c r="E562" s="14" t="s">
        <v>10</v>
      </c>
      <c r="F562" s="14">
        <v>4</v>
      </c>
      <c r="G562" s="14">
        <v>5</v>
      </c>
      <c r="H562" s="14">
        <v>0</v>
      </c>
      <c r="I562" s="14" t="s">
        <v>112</v>
      </c>
      <c r="J562" s="28" t="s">
        <v>11</v>
      </c>
      <c r="K562" s="36"/>
      <c r="L562" s="14"/>
      <c r="M562" s="14"/>
      <c r="N562" s="14"/>
      <c r="O562" s="14"/>
      <c r="P562" s="25" t="s">
        <v>1331</v>
      </c>
      <c r="Q562" s="22"/>
      <c r="R562" s="22"/>
      <c r="S562" s="14"/>
      <c r="T562" s="27"/>
      <c r="U562" s="27"/>
      <c r="V562" s="27"/>
      <c r="W562" s="27"/>
      <c r="X562" s="27"/>
      <c r="Y562" s="14" t="s">
        <v>413</v>
      </c>
      <c r="Z562" s="40" t="e">
        <f>IF(STAT[[#This Row],[sigla]]="","",VLOOKUP(STAT[[#This Row],[sigla]],CRÉDITOS_GERAIS[[sigla]:[credito]],2,))</f>
        <v>#N/A</v>
      </c>
      <c r="AA562" s="14"/>
      <c r="AB562" s="14" t="s">
        <v>609</v>
      </c>
      <c r="AC562" s="14"/>
      <c r="AD562" s="14"/>
      <c r="AE562" s="14"/>
      <c r="AF562" s="42" t="str">
        <f t="shared" si="8"/>
        <v>P007</v>
      </c>
    </row>
    <row r="563" spans="1:32" hidden="1" x14ac:dyDescent="0.3">
      <c r="A563" s="12" t="e" cm="1">
        <f t="array" aca="1" ref="A563" ca="1">IF(STAT[[#This Row],[retranca]]="","",       RegxFunc(STAT[[#This Row],[retranca]],  "\w\d{4}\w*_\d")     )</f>
        <v>#NAME?</v>
      </c>
      <c r="B563" s="21" t="s">
        <v>1332</v>
      </c>
      <c r="C563" s="14" t="s">
        <v>72</v>
      </c>
      <c r="D563" s="14" t="s">
        <v>9</v>
      </c>
      <c r="E563" s="14" t="s">
        <v>10</v>
      </c>
      <c r="F563" s="14">
        <v>4</v>
      </c>
      <c r="G563" s="14">
        <v>5</v>
      </c>
      <c r="H563" s="14">
        <v>0</v>
      </c>
      <c r="I563" s="14" t="s">
        <v>112</v>
      </c>
      <c r="J563" s="28" t="s">
        <v>55</v>
      </c>
      <c r="K563" s="36"/>
      <c r="L563" s="14"/>
      <c r="M563" s="14"/>
      <c r="N563" s="14"/>
      <c r="O563" s="14"/>
      <c r="P563" s="25" t="s">
        <v>1333</v>
      </c>
      <c r="Q563" s="22"/>
      <c r="R563" s="22"/>
      <c r="S563" s="14"/>
      <c r="T563" s="27"/>
      <c r="U563" s="27"/>
      <c r="V563" s="27"/>
      <c r="W563" s="27"/>
      <c r="X563" s="27"/>
      <c r="Y563" s="14" t="s">
        <v>43</v>
      </c>
      <c r="Z563" s="40" t="e">
        <f>IF(STAT[[#This Row],[sigla]]="","",VLOOKUP(STAT[[#This Row],[sigla]],CRÉDITOS_GERAIS[[sigla]:[credito]],2,))</f>
        <v>#N/A</v>
      </c>
      <c r="AA563" s="14"/>
      <c r="AB563" s="14" t="e">
        <f>STAT[[#This Row],[ilustrador]]</f>
        <v>#N/A</v>
      </c>
      <c r="AC563" s="14"/>
      <c r="AD563" s="14"/>
      <c r="AE563" s="14"/>
      <c r="AF563" s="42" t="str">
        <f t="shared" si="8"/>
        <v>P007</v>
      </c>
    </row>
    <row r="564" spans="1:32" hidden="1" x14ac:dyDescent="0.3">
      <c r="A564" s="12" t="e" cm="1">
        <f t="array" aca="1" ref="A564" ca="1">IF(STAT[[#This Row],[retranca]]="","",       RegxFunc(STAT[[#This Row],[retranca]],  "\w\d{4}\w*_\d")     )</f>
        <v>#NAME?</v>
      </c>
      <c r="B564" s="21" t="s">
        <v>1334</v>
      </c>
      <c r="C564" s="14" t="s">
        <v>72</v>
      </c>
      <c r="D564" s="14" t="s">
        <v>9</v>
      </c>
      <c r="E564" s="14" t="s">
        <v>10</v>
      </c>
      <c r="F564" s="14">
        <v>4</v>
      </c>
      <c r="G564" s="14">
        <v>5</v>
      </c>
      <c r="H564" s="14">
        <v>0</v>
      </c>
      <c r="I564" s="14" t="s">
        <v>112</v>
      </c>
      <c r="J564" s="28" t="s">
        <v>11</v>
      </c>
      <c r="K564" s="36"/>
      <c r="L564" s="14"/>
      <c r="M564" s="14"/>
      <c r="N564" s="14"/>
      <c r="O564" s="14"/>
      <c r="P564" s="25" t="s">
        <v>1335</v>
      </c>
      <c r="Q564" s="22"/>
      <c r="R564" s="22"/>
      <c r="S564" s="14"/>
      <c r="T564" s="27"/>
      <c r="U564" s="27"/>
      <c r="V564" s="27"/>
      <c r="W564" s="27"/>
      <c r="X564" s="27"/>
      <c r="Y564" s="14" t="s">
        <v>994</v>
      </c>
      <c r="Z564" s="40" t="str">
        <f>IF(STAT[[#This Row],[sigla]]="","",VLOOKUP(STAT[[#This Row],[sigla]],CRÉDITOS_GERAIS[[sigla]:[credito]],2,))</f>
        <v>Nicolas Furtado</v>
      </c>
      <c r="AA564" s="14"/>
      <c r="AB564" s="14" t="str">
        <f>STAT[[#This Row],[ilustrador]]</f>
        <v>Nicolas Furtado</v>
      </c>
      <c r="AC564" s="14"/>
      <c r="AD564" s="14"/>
      <c r="AE564" s="14"/>
      <c r="AF564" s="42" t="str">
        <f t="shared" si="8"/>
        <v>P007</v>
      </c>
    </row>
    <row r="565" spans="1:32" hidden="1" x14ac:dyDescent="0.3">
      <c r="A565" s="12" t="e" cm="1">
        <f t="array" aca="1" ref="A565" ca="1">IF(STAT[[#This Row],[retranca]]="","",       RegxFunc(STAT[[#This Row],[retranca]],  "\w\d{4}\w*_\d")     )</f>
        <v>#NAME?</v>
      </c>
      <c r="B565" s="21" t="s">
        <v>1336</v>
      </c>
      <c r="C565" s="14" t="s">
        <v>72</v>
      </c>
      <c r="D565" s="14" t="s">
        <v>9</v>
      </c>
      <c r="E565" s="14" t="s">
        <v>10</v>
      </c>
      <c r="F565" s="14">
        <v>4</v>
      </c>
      <c r="G565" s="14">
        <v>5</v>
      </c>
      <c r="H565" s="14">
        <v>0</v>
      </c>
      <c r="I565" s="14" t="s">
        <v>112</v>
      </c>
      <c r="J565" s="28" t="s">
        <v>11</v>
      </c>
      <c r="K565" s="36"/>
      <c r="L565" s="14"/>
      <c r="M565" s="14"/>
      <c r="N565" s="14"/>
      <c r="O565" s="14"/>
      <c r="P565" s="25" t="s">
        <v>1337</v>
      </c>
      <c r="Q565" s="22"/>
      <c r="R565" s="22"/>
      <c r="S565" s="14"/>
      <c r="T565" s="27"/>
      <c r="U565" s="27"/>
      <c r="V565" s="27"/>
      <c r="W565" s="27"/>
      <c r="X565" s="27"/>
      <c r="Y565" s="14" t="s">
        <v>994</v>
      </c>
      <c r="Z565" s="40" t="str">
        <f>IF(STAT[[#This Row],[sigla]]="","",VLOOKUP(STAT[[#This Row],[sigla]],CRÉDITOS_GERAIS[[sigla]:[credito]],2,))</f>
        <v>Nicolas Furtado</v>
      </c>
      <c r="AA565" s="14"/>
      <c r="AB565" s="14" t="str">
        <f>STAT[[#This Row],[ilustrador]]</f>
        <v>Nicolas Furtado</v>
      </c>
      <c r="AC565" s="14"/>
      <c r="AD565" s="14"/>
      <c r="AE565" s="14"/>
      <c r="AF565" s="42" t="str">
        <f t="shared" si="8"/>
        <v>P007</v>
      </c>
    </row>
    <row r="566" spans="1:32" hidden="1" x14ac:dyDescent="0.3">
      <c r="A566" s="12" t="e" cm="1">
        <f t="array" aca="1" ref="A566" ca="1">IF(STAT[[#This Row],[retranca]]="","",       RegxFunc(STAT[[#This Row],[retranca]],  "\w\d{4}\w*_\d")     )</f>
        <v>#NAME?</v>
      </c>
      <c r="B566" s="21" t="s">
        <v>1338</v>
      </c>
      <c r="C566" s="14" t="s">
        <v>72</v>
      </c>
      <c r="D566" s="14" t="s">
        <v>9</v>
      </c>
      <c r="E566" s="14" t="s">
        <v>10</v>
      </c>
      <c r="F566" s="14">
        <v>4</v>
      </c>
      <c r="G566" s="14">
        <v>5</v>
      </c>
      <c r="H566" s="14">
        <v>0</v>
      </c>
      <c r="I566" s="14" t="s">
        <v>112</v>
      </c>
      <c r="J566" s="28" t="s">
        <v>11</v>
      </c>
      <c r="K566" s="36"/>
      <c r="L566" s="14"/>
      <c r="M566" s="14"/>
      <c r="N566" s="14"/>
      <c r="O566" s="14"/>
      <c r="P566" s="25" t="s">
        <v>1339</v>
      </c>
      <c r="Q566" s="22"/>
      <c r="R566" s="22"/>
      <c r="S566" s="14"/>
      <c r="T566" s="27"/>
      <c r="U566" s="27"/>
      <c r="V566" s="27"/>
      <c r="W566" s="27"/>
      <c r="X566" s="27"/>
      <c r="Y566" s="14" t="s">
        <v>994</v>
      </c>
      <c r="Z566" s="40" t="str">
        <f>IF(STAT[[#This Row],[sigla]]="","",VLOOKUP(STAT[[#This Row],[sigla]],CRÉDITOS_GERAIS[[sigla]:[credito]],2,))</f>
        <v>Nicolas Furtado</v>
      </c>
      <c r="AA566" s="14"/>
      <c r="AB566" s="14" t="str">
        <f>STAT[[#This Row],[ilustrador]]</f>
        <v>Nicolas Furtado</v>
      </c>
      <c r="AC566" s="14"/>
      <c r="AD566" s="14"/>
      <c r="AE566" s="15"/>
      <c r="AF566" s="42" t="str">
        <f t="shared" si="8"/>
        <v>P007</v>
      </c>
    </row>
    <row r="567" spans="1:32" hidden="1" x14ac:dyDescent="0.3">
      <c r="A567" s="12" t="e" cm="1">
        <f t="array" aca="1" ref="A567" ca="1">IF(STAT[[#This Row],[retranca]]="","",       RegxFunc(STAT[[#This Row],[retranca]],  "\w\d{4}\w*_\d")     )</f>
        <v>#NAME?</v>
      </c>
      <c r="B567" s="21" t="s">
        <v>1340</v>
      </c>
      <c r="C567" s="14" t="s">
        <v>72</v>
      </c>
      <c r="D567" s="14" t="s">
        <v>9</v>
      </c>
      <c r="E567" s="14" t="s">
        <v>10</v>
      </c>
      <c r="F567" s="14">
        <v>4</v>
      </c>
      <c r="G567" s="14">
        <v>5</v>
      </c>
      <c r="H567" s="14">
        <v>0</v>
      </c>
      <c r="I567" s="14" t="s">
        <v>112</v>
      </c>
      <c r="J567" s="28" t="s">
        <v>11</v>
      </c>
      <c r="K567" s="36"/>
      <c r="L567" s="14"/>
      <c r="M567" s="14"/>
      <c r="N567" s="14"/>
      <c r="O567" s="14"/>
      <c r="P567" s="25" t="s">
        <v>1341</v>
      </c>
      <c r="Q567" s="22"/>
      <c r="R567" s="22"/>
      <c r="S567" s="14"/>
      <c r="T567" s="27"/>
      <c r="U567" s="27"/>
      <c r="V567" s="27"/>
      <c r="W567" s="27"/>
      <c r="X567" s="27"/>
      <c r="Y567" s="14" t="s">
        <v>994</v>
      </c>
      <c r="Z567" s="40" t="str">
        <f>IF(STAT[[#This Row],[sigla]]="","",VLOOKUP(STAT[[#This Row],[sigla]],CRÉDITOS_GERAIS[[sigla]:[credito]],2,))</f>
        <v>Nicolas Furtado</v>
      </c>
      <c r="AA567" s="14"/>
      <c r="AB567" s="14" t="str">
        <f>STAT[[#This Row],[ilustrador]]</f>
        <v>Nicolas Furtado</v>
      </c>
      <c r="AC567" s="14"/>
      <c r="AD567" s="14"/>
      <c r="AE567" s="15"/>
      <c r="AF567" s="42" t="str">
        <f t="shared" si="8"/>
        <v>P007</v>
      </c>
    </row>
    <row r="568" spans="1:32" ht="100.8" hidden="1" x14ac:dyDescent="0.3">
      <c r="A568" s="12" t="e" cm="1">
        <f t="array" aca="1" ref="A568" ca="1">IF(STAT[[#This Row],[retranca]]="","",       RegxFunc(STAT[[#This Row],[retranca]],  "\w\d{4}\w*_\d")     )</f>
        <v>#NAME?</v>
      </c>
      <c r="B568" s="21" t="s">
        <v>1342</v>
      </c>
      <c r="C568" s="14" t="s">
        <v>122</v>
      </c>
      <c r="D568" s="14" t="s">
        <v>9</v>
      </c>
      <c r="E568" s="14" t="s">
        <v>10</v>
      </c>
      <c r="F568" s="14">
        <v>23</v>
      </c>
      <c r="G568" s="14">
        <v>3</v>
      </c>
      <c r="H568" s="14">
        <v>6</v>
      </c>
      <c r="I568" s="31">
        <v>6</v>
      </c>
      <c r="J568" s="28" t="s">
        <v>55</v>
      </c>
      <c r="K568" s="36"/>
      <c r="L568" s="14"/>
      <c r="M568" s="14"/>
      <c r="N568" s="14"/>
      <c r="O568" s="14"/>
      <c r="P568" s="25" t="s">
        <v>1343</v>
      </c>
      <c r="Q568" s="22"/>
      <c r="R568" s="22"/>
      <c r="S568" s="14">
        <v>79</v>
      </c>
      <c r="T568" s="27">
        <v>45896</v>
      </c>
      <c r="U568" s="27">
        <v>45897</v>
      </c>
      <c r="V568" s="27">
        <v>45901</v>
      </c>
      <c r="W568" s="27">
        <v>45902</v>
      </c>
      <c r="X568" s="27">
        <v>45909</v>
      </c>
      <c r="Y568" s="14" t="s">
        <v>375</v>
      </c>
      <c r="Z568" s="40" t="str">
        <f>IF(STAT[[#This Row],[sigla]]="","",VLOOKUP(STAT[[#This Row],[sigla]],CRÉDITOS_GERAIS[[sigla]:[credito]],2,))</f>
        <v>Lídia Farias</v>
      </c>
      <c r="AA568" s="14"/>
      <c r="AB568" s="14" t="str">
        <f>STAT[[#This Row],[ilustrador]]</f>
        <v>Lídia Farias</v>
      </c>
      <c r="AC568" s="14">
        <v>4</v>
      </c>
      <c r="AD568" s="14" t="s">
        <v>1344</v>
      </c>
      <c r="AE568" s="15" t="s">
        <v>87</v>
      </c>
      <c r="AF568" s="42" t="str">
        <f t="shared" si="8"/>
        <v>P007</v>
      </c>
    </row>
    <row r="569" spans="1:32" ht="28.8" hidden="1" x14ac:dyDescent="0.3">
      <c r="A569" s="12" t="e" cm="1">
        <f t="array" aca="1" ref="A569" ca="1">IF(STAT[[#This Row],[retranca]]="","",       RegxFunc(STAT[[#This Row],[retranca]],  "\w\d{4}\w*_\d")     )</f>
        <v>#NAME?</v>
      </c>
      <c r="B569" s="21" t="s">
        <v>1345</v>
      </c>
      <c r="C569" s="14" t="s">
        <v>72</v>
      </c>
      <c r="D569" s="14" t="s">
        <v>9</v>
      </c>
      <c r="E569" s="14" t="s">
        <v>10</v>
      </c>
      <c r="F569" s="14">
        <v>24</v>
      </c>
      <c r="G569" s="14">
        <v>3</v>
      </c>
      <c r="H569" s="14">
        <v>6</v>
      </c>
      <c r="I569" s="31">
        <v>6</v>
      </c>
      <c r="J569" s="28" t="s">
        <v>55</v>
      </c>
      <c r="K569" s="36"/>
      <c r="L569" s="14"/>
      <c r="M569" s="14"/>
      <c r="N569" s="14"/>
      <c r="O569" s="14"/>
      <c r="P569" s="25" t="s">
        <v>1346</v>
      </c>
      <c r="Q569" s="22"/>
      <c r="R569" s="22"/>
      <c r="S569" s="14">
        <v>79</v>
      </c>
      <c r="T569" s="27">
        <v>45896</v>
      </c>
      <c r="U569" s="27">
        <v>45896</v>
      </c>
      <c r="V569" s="27">
        <v>45898</v>
      </c>
      <c r="W569" s="27">
        <v>45901</v>
      </c>
      <c r="X569" s="27">
        <v>45902</v>
      </c>
      <c r="Y569" s="14" t="s">
        <v>119</v>
      </c>
      <c r="Z569" s="40" t="str">
        <f>IF(STAT[[#This Row],[sigla]]="","",VLOOKUP(STAT[[#This Row],[sigla]],CRÉDITOS_GERAIS[[sigla]:[credito]],2,))</f>
        <v>Bianca Tavares</v>
      </c>
      <c r="AA569" s="14"/>
      <c r="AB569" s="14" t="str">
        <f>STAT[[#This Row],[ilustrador]]</f>
        <v>Bianca Tavares</v>
      </c>
      <c r="AC569" s="14">
        <v>5</v>
      </c>
      <c r="AD569" s="22" t="s">
        <v>1347</v>
      </c>
      <c r="AE569" s="15" t="s">
        <v>87</v>
      </c>
      <c r="AF569" s="42" t="str">
        <f t="shared" si="8"/>
        <v>P007</v>
      </c>
    </row>
    <row r="570" spans="1:32" ht="78" hidden="1" x14ac:dyDescent="0.3">
      <c r="A570" s="12" t="e" cm="1">
        <f t="array" aca="1" ref="A570" ca="1">IF(STAT[[#This Row],[retranca]]="","",       RegxFunc(STAT[[#This Row],[retranca]],  "\w\d{4}\w*_\d")     )</f>
        <v>#NAME?</v>
      </c>
      <c r="B570" s="21" t="s">
        <v>1348</v>
      </c>
      <c r="C570" s="14" t="s">
        <v>72</v>
      </c>
      <c r="D570" s="14" t="s">
        <v>9</v>
      </c>
      <c r="E570" s="14" t="s">
        <v>10</v>
      </c>
      <c r="F570" s="14">
        <v>25</v>
      </c>
      <c r="G570" s="14">
        <v>3</v>
      </c>
      <c r="H570" s="14">
        <v>6</v>
      </c>
      <c r="I570" s="31">
        <v>6</v>
      </c>
      <c r="J570" s="28" t="s">
        <v>55</v>
      </c>
      <c r="K570" s="36"/>
      <c r="L570" s="14"/>
      <c r="M570" s="14"/>
      <c r="N570" s="14"/>
      <c r="O570" s="14"/>
      <c r="P570" s="48" t="s">
        <v>1349</v>
      </c>
      <c r="Q570" s="21"/>
      <c r="R570" s="22"/>
      <c r="S570" s="14">
        <v>79</v>
      </c>
      <c r="T570" s="27">
        <v>45896</v>
      </c>
      <c r="U570" s="27">
        <v>45896</v>
      </c>
      <c r="V570" s="27">
        <v>45898</v>
      </c>
      <c r="W570" s="27">
        <v>45901</v>
      </c>
      <c r="X570" s="27">
        <v>45902</v>
      </c>
      <c r="Y570" s="14" t="s">
        <v>119</v>
      </c>
      <c r="Z570" s="40" t="str">
        <f>IF(STAT[[#This Row],[sigla]]="","",VLOOKUP(STAT[[#This Row],[sigla]],CRÉDITOS_GERAIS[[sigla]:[credito]],2,))</f>
        <v>Bianca Tavares</v>
      </c>
      <c r="AA570" s="14"/>
      <c r="AB570" s="14" t="str">
        <f>STAT[[#This Row],[ilustrador]]</f>
        <v>Bianca Tavares</v>
      </c>
      <c r="AC570" s="14">
        <v>6</v>
      </c>
      <c r="AD570" s="22" t="s">
        <v>1347</v>
      </c>
      <c r="AE570" s="15" t="s">
        <v>87</v>
      </c>
      <c r="AF570" s="42" t="str">
        <f t="shared" si="8"/>
        <v>P007</v>
      </c>
    </row>
    <row r="571" spans="1:32" ht="43.2" hidden="1" x14ac:dyDescent="0.3">
      <c r="A571" s="12" t="e" cm="1">
        <f t="array" aca="1" ref="A571" ca="1">IF(STAT[[#This Row],[retranca]]="","",       RegxFunc(STAT[[#This Row],[retranca]],  "\w\d{4}\w*_\d")     )</f>
        <v>#NAME?</v>
      </c>
      <c r="B571" s="21" t="s">
        <v>1350</v>
      </c>
      <c r="C571" s="14" t="s">
        <v>72</v>
      </c>
      <c r="D571" s="14" t="s">
        <v>9</v>
      </c>
      <c r="E571" s="14" t="s">
        <v>10</v>
      </c>
      <c r="F571" s="14">
        <v>26</v>
      </c>
      <c r="G571" s="14">
        <v>3</v>
      </c>
      <c r="H571" s="14">
        <v>6</v>
      </c>
      <c r="I571" s="31">
        <v>6</v>
      </c>
      <c r="J571" s="28" t="s">
        <v>55</v>
      </c>
      <c r="K571" s="36"/>
      <c r="L571" s="14"/>
      <c r="M571" s="14"/>
      <c r="N571" s="14"/>
      <c r="O571" s="14"/>
      <c r="P571" s="25" t="s">
        <v>1351</v>
      </c>
      <c r="Q571" s="21"/>
      <c r="R571" s="22"/>
      <c r="S571" s="14">
        <v>79</v>
      </c>
      <c r="T571" s="27">
        <v>45896</v>
      </c>
      <c r="U571" s="27">
        <v>45896</v>
      </c>
      <c r="V571" s="27">
        <v>45898</v>
      </c>
      <c r="W571" s="27">
        <v>45901</v>
      </c>
      <c r="X571" s="27">
        <v>45902</v>
      </c>
      <c r="Y571" s="14" t="s">
        <v>119</v>
      </c>
      <c r="Z571" s="40" t="str">
        <f>IF(STAT[[#This Row],[sigla]]="","",VLOOKUP(STAT[[#This Row],[sigla]],CRÉDITOS_GERAIS[[sigla]:[credito]],2,))</f>
        <v>Bianca Tavares</v>
      </c>
      <c r="AA571" s="14"/>
      <c r="AB571" s="14" t="str">
        <f>STAT[[#This Row],[ilustrador]]</f>
        <v>Bianca Tavares</v>
      </c>
      <c r="AC571" s="14">
        <v>8</v>
      </c>
      <c r="AD571" s="22" t="s">
        <v>1347</v>
      </c>
      <c r="AE571" s="15" t="s">
        <v>87</v>
      </c>
      <c r="AF571" s="42" t="str">
        <f t="shared" si="8"/>
        <v>P007</v>
      </c>
    </row>
    <row r="572" spans="1:32" ht="28.8" hidden="1" x14ac:dyDescent="0.3">
      <c r="A572" s="12" t="e" cm="1">
        <f t="array" aca="1" ref="A572" ca="1">IF(STAT[[#This Row],[retranca]]="","",       RegxFunc(STAT[[#This Row],[retranca]],  "\w\d{4}\w*_\d")     )</f>
        <v>#NAME?</v>
      </c>
      <c r="B572" s="21" t="s">
        <v>1352</v>
      </c>
      <c r="C572" s="14" t="s">
        <v>72</v>
      </c>
      <c r="D572" s="14" t="s">
        <v>9</v>
      </c>
      <c r="E572" s="14" t="s">
        <v>10</v>
      </c>
      <c r="F572" s="14">
        <v>27</v>
      </c>
      <c r="G572" s="14">
        <v>3</v>
      </c>
      <c r="H572" s="14">
        <v>6</v>
      </c>
      <c r="I572" s="31">
        <v>6</v>
      </c>
      <c r="J572" s="28" t="s">
        <v>55</v>
      </c>
      <c r="K572" s="36"/>
      <c r="L572" s="14"/>
      <c r="M572" s="14"/>
      <c r="N572" s="14"/>
      <c r="O572" s="14"/>
      <c r="P572" s="25" t="s">
        <v>1353</v>
      </c>
      <c r="Q572" s="22"/>
      <c r="R572" s="22"/>
      <c r="S572" s="14">
        <v>79</v>
      </c>
      <c r="T572" s="27">
        <v>45896</v>
      </c>
      <c r="U572" s="27">
        <v>45896</v>
      </c>
      <c r="V572" s="27">
        <v>45898</v>
      </c>
      <c r="W572" s="27">
        <v>45901</v>
      </c>
      <c r="X572" s="27">
        <v>45902</v>
      </c>
      <c r="Y572" s="14" t="s">
        <v>119</v>
      </c>
      <c r="Z572" s="40" t="str">
        <f>IF(STAT[[#This Row],[sigla]]="","",VLOOKUP(STAT[[#This Row],[sigla]],CRÉDITOS_GERAIS[[sigla]:[credito]],2,))</f>
        <v>Bianca Tavares</v>
      </c>
      <c r="AA572" s="14"/>
      <c r="AB572" s="14" t="str">
        <f>STAT[[#This Row],[ilustrador]]</f>
        <v>Bianca Tavares</v>
      </c>
      <c r="AC572" s="14">
        <v>4</v>
      </c>
      <c r="AD572" s="22" t="s">
        <v>1347</v>
      </c>
      <c r="AE572" s="15" t="s">
        <v>87</v>
      </c>
      <c r="AF572" s="42" t="str">
        <f t="shared" si="8"/>
        <v>P007</v>
      </c>
    </row>
    <row r="573" spans="1:32" ht="144" hidden="1" x14ac:dyDescent="0.3">
      <c r="A573" s="12" t="e" cm="1">
        <f t="array" aca="1" ref="A573" ca="1">IF(STAT[[#This Row],[retranca]]="","",       RegxFunc(STAT[[#This Row],[retranca]],  "\w\d{4}\w*_\d")     )</f>
        <v>#NAME?</v>
      </c>
      <c r="B573" s="21" t="s">
        <v>1354</v>
      </c>
      <c r="C573" s="14" t="s">
        <v>122</v>
      </c>
      <c r="D573" s="14" t="s">
        <v>9</v>
      </c>
      <c r="E573" s="14" t="s">
        <v>10</v>
      </c>
      <c r="F573" s="14">
        <v>29</v>
      </c>
      <c r="G573" s="14">
        <v>3</v>
      </c>
      <c r="H573" s="14">
        <v>6</v>
      </c>
      <c r="I573" s="31">
        <v>6</v>
      </c>
      <c r="J573" s="28" t="s">
        <v>55</v>
      </c>
      <c r="K573" s="36"/>
      <c r="L573" s="14"/>
      <c r="M573" s="14"/>
      <c r="N573" s="14"/>
      <c r="O573" s="14"/>
      <c r="P573" s="25" t="s">
        <v>1355</v>
      </c>
      <c r="Q573" s="22"/>
      <c r="R573" s="22"/>
      <c r="S573" s="14">
        <v>79</v>
      </c>
      <c r="T573" s="27">
        <v>45896</v>
      </c>
      <c r="U573" s="27">
        <v>45897</v>
      </c>
      <c r="V573" s="27">
        <v>45901</v>
      </c>
      <c r="W573" s="27">
        <v>45902</v>
      </c>
      <c r="X573" s="27">
        <v>45909</v>
      </c>
      <c r="Y573" s="14" t="s">
        <v>375</v>
      </c>
      <c r="Z573" s="40" t="str">
        <f>IF(STAT[[#This Row],[sigla]]="","",VLOOKUP(STAT[[#This Row],[sigla]],CRÉDITOS_GERAIS[[sigla]:[credito]],2,))</f>
        <v>Lídia Farias</v>
      </c>
      <c r="AA573" s="14"/>
      <c r="AB573" s="14" t="str">
        <f>STAT[[#This Row],[ilustrador]]</f>
        <v>Lídia Farias</v>
      </c>
      <c r="AC573" s="14">
        <v>5</v>
      </c>
      <c r="AD573" s="14" t="s">
        <v>1344</v>
      </c>
      <c r="AE573" s="15" t="s">
        <v>87</v>
      </c>
      <c r="AF573" s="42" t="str">
        <f t="shared" si="8"/>
        <v>P007</v>
      </c>
    </row>
    <row r="574" spans="1:32" ht="144" hidden="1" x14ac:dyDescent="0.3">
      <c r="A574" s="12" t="e" cm="1">
        <f t="array" aca="1" ref="A574" ca="1">IF(STAT[[#This Row],[retranca]]="","",       RegxFunc(STAT[[#This Row],[retranca]],  "\w\d{4}\w*_\d")     )</f>
        <v>#NAME?</v>
      </c>
      <c r="B574" s="21" t="s">
        <v>1356</v>
      </c>
      <c r="C574" s="14" t="s">
        <v>72</v>
      </c>
      <c r="D574" s="14" t="s">
        <v>9</v>
      </c>
      <c r="E574" s="14" t="s">
        <v>10</v>
      </c>
      <c r="F574" s="14">
        <v>29</v>
      </c>
      <c r="G574" s="14">
        <v>3</v>
      </c>
      <c r="H574" s="14">
        <v>6</v>
      </c>
      <c r="I574" s="31">
        <v>6</v>
      </c>
      <c r="J574" s="28" t="s">
        <v>55</v>
      </c>
      <c r="K574" s="36"/>
      <c r="L574" s="14"/>
      <c r="M574" s="14"/>
      <c r="N574" s="14"/>
      <c r="O574" s="14"/>
      <c r="P574" s="25" t="s">
        <v>1357</v>
      </c>
      <c r="Q574" s="22"/>
      <c r="R574" s="22"/>
      <c r="S574" s="14">
        <v>79</v>
      </c>
      <c r="T574" s="27">
        <v>45896</v>
      </c>
      <c r="U574" s="27">
        <v>45897</v>
      </c>
      <c r="V574" s="27">
        <v>45901</v>
      </c>
      <c r="W574" s="27">
        <v>45902</v>
      </c>
      <c r="X574" s="27">
        <v>45909</v>
      </c>
      <c r="Y574" s="14" t="s">
        <v>375</v>
      </c>
      <c r="Z574" s="40" t="str">
        <f>IF(STAT[[#This Row],[sigla]]="","",VLOOKUP(STAT[[#This Row],[sigla]],CRÉDITOS_GERAIS[[sigla]:[credito]],2,))</f>
        <v>Lídia Farias</v>
      </c>
      <c r="AA574" s="14"/>
      <c r="AB574" s="14" t="str">
        <f>STAT[[#This Row],[ilustrador]]</f>
        <v>Lídia Farias</v>
      </c>
      <c r="AC574" s="14">
        <v>5</v>
      </c>
      <c r="AD574" s="14" t="s">
        <v>1344</v>
      </c>
      <c r="AE574" s="15" t="s">
        <v>87</v>
      </c>
      <c r="AF574" s="42" t="str">
        <f t="shared" si="8"/>
        <v>P007</v>
      </c>
    </row>
    <row r="575" spans="1:32" ht="86.4" hidden="1" x14ac:dyDescent="0.3">
      <c r="A575" s="12" t="e" cm="1">
        <f t="array" aca="1" ref="A575" ca="1">IF(STAT[[#This Row],[retranca]]="","",       RegxFunc(STAT[[#This Row],[retranca]],  "\w\d{4}\w*_\d")     )</f>
        <v>#NAME?</v>
      </c>
      <c r="B575" s="21" t="s">
        <v>1358</v>
      </c>
      <c r="C575" s="14" t="s">
        <v>122</v>
      </c>
      <c r="D575" s="14" t="s">
        <v>9</v>
      </c>
      <c r="E575" s="14" t="s">
        <v>10</v>
      </c>
      <c r="F575" s="14">
        <v>30</v>
      </c>
      <c r="G575" s="14">
        <v>3</v>
      </c>
      <c r="H575" s="14">
        <v>6</v>
      </c>
      <c r="I575" s="31">
        <v>6</v>
      </c>
      <c r="J575" s="28" t="s">
        <v>55</v>
      </c>
      <c r="K575" s="36"/>
      <c r="L575" s="14"/>
      <c r="M575" s="14"/>
      <c r="N575" s="14"/>
      <c r="O575" s="14"/>
      <c r="P575" s="25" t="s">
        <v>1359</v>
      </c>
      <c r="Q575" s="22"/>
      <c r="R575" s="22"/>
      <c r="S575" s="14">
        <v>79</v>
      </c>
      <c r="T575" s="27">
        <v>45896</v>
      </c>
      <c r="U575" s="27">
        <v>45897</v>
      </c>
      <c r="V575" s="27">
        <v>45901</v>
      </c>
      <c r="W575" s="27">
        <v>45902</v>
      </c>
      <c r="X575" s="27">
        <v>45909</v>
      </c>
      <c r="Y575" s="14" t="s">
        <v>375</v>
      </c>
      <c r="Z575" s="40" t="str">
        <f>IF(STAT[[#This Row],[sigla]]="","",VLOOKUP(STAT[[#This Row],[sigla]],CRÉDITOS_GERAIS[[sigla]:[credito]],2,))</f>
        <v>Lídia Farias</v>
      </c>
      <c r="AA575" s="14"/>
      <c r="AB575" s="14" t="str">
        <f>STAT[[#This Row],[ilustrador]]</f>
        <v>Lídia Farias</v>
      </c>
      <c r="AC575" s="14">
        <v>4</v>
      </c>
      <c r="AD575" s="14" t="s">
        <v>1344</v>
      </c>
      <c r="AE575" s="15" t="s">
        <v>87</v>
      </c>
      <c r="AF575" s="42" t="str">
        <f t="shared" si="8"/>
        <v>P007</v>
      </c>
    </row>
    <row r="576" spans="1:32" ht="57.6" hidden="1" x14ac:dyDescent="0.3">
      <c r="A576" s="12" t="e" cm="1">
        <f t="array" aca="1" ref="A576" ca="1">IF(STAT[[#This Row],[retranca]]="","",       RegxFunc(STAT[[#This Row],[retranca]],  "\w\d{4}\w*_\d")     )</f>
        <v>#NAME?</v>
      </c>
      <c r="B576" s="21" t="s">
        <v>1360</v>
      </c>
      <c r="C576" s="14" t="s">
        <v>72</v>
      </c>
      <c r="D576" s="14" t="s">
        <v>9</v>
      </c>
      <c r="E576" s="14" t="s">
        <v>10</v>
      </c>
      <c r="F576" s="14">
        <v>30</v>
      </c>
      <c r="G576" s="14">
        <v>3</v>
      </c>
      <c r="H576" s="14">
        <v>6</v>
      </c>
      <c r="I576" s="31">
        <v>6</v>
      </c>
      <c r="J576" s="28" t="s">
        <v>55</v>
      </c>
      <c r="K576" s="36"/>
      <c r="L576" s="14"/>
      <c r="M576" s="14"/>
      <c r="N576" s="14"/>
      <c r="O576" s="14"/>
      <c r="P576" s="25" t="s">
        <v>1361</v>
      </c>
      <c r="Q576" s="22"/>
      <c r="R576" s="22"/>
      <c r="S576" s="14">
        <v>79</v>
      </c>
      <c r="T576" s="27">
        <v>45896</v>
      </c>
      <c r="U576" s="27">
        <v>45897</v>
      </c>
      <c r="V576" s="27">
        <v>45901</v>
      </c>
      <c r="W576" s="27">
        <v>45902</v>
      </c>
      <c r="X576" s="27">
        <v>45909</v>
      </c>
      <c r="Y576" s="14" t="s">
        <v>375</v>
      </c>
      <c r="Z576" s="40" t="str">
        <f>IF(STAT[[#This Row],[sigla]]="","",VLOOKUP(STAT[[#This Row],[sigla]],CRÉDITOS_GERAIS[[sigla]:[credito]],2,))</f>
        <v>Lídia Farias</v>
      </c>
      <c r="AA576" s="14"/>
      <c r="AB576" s="14" t="str">
        <f>STAT[[#This Row],[ilustrador]]</f>
        <v>Lídia Farias</v>
      </c>
      <c r="AC576" s="14">
        <v>5</v>
      </c>
      <c r="AD576" s="14" t="s">
        <v>1344</v>
      </c>
      <c r="AE576" s="15" t="s">
        <v>87</v>
      </c>
      <c r="AF576" s="42" t="str">
        <f t="shared" si="8"/>
        <v>P007</v>
      </c>
    </row>
    <row r="577" spans="1:32" ht="72" hidden="1" x14ac:dyDescent="0.3">
      <c r="A577" s="12" t="e" cm="1">
        <f t="array" aca="1" ref="A577" ca="1">IF(STAT[[#This Row],[retranca]]="","",       RegxFunc(STAT[[#This Row],[retranca]],  "\w\d{4}\w*_\d")     )</f>
        <v>#NAME?</v>
      </c>
      <c r="B577" s="21" t="s">
        <v>1362</v>
      </c>
      <c r="C577" s="14" t="s">
        <v>72</v>
      </c>
      <c r="D577" s="14" t="s">
        <v>9</v>
      </c>
      <c r="E577" s="14" t="s">
        <v>10</v>
      </c>
      <c r="F577" s="14">
        <v>33</v>
      </c>
      <c r="G577" s="14">
        <v>3</v>
      </c>
      <c r="H577" s="14">
        <v>6</v>
      </c>
      <c r="I577" s="31">
        <v>6</v>
      </c>
      <c r="J577" s="28" t="s">
        <v>55</v>
      </c>
      <c r="K577" s="36"/>
      <c r="L577" s="14"/>
      <c r="M577" s="14"/>
      <c r="N577" s="14"/>
      <c r="O577" s="14"/>
      <c r="P577" s="25" t="s">
        <v>1363</v>
      </c>
      <c r="Q577" s="22"/>
      <c r="R577" s="22"/>
      <c r="S577" s="14">
        <v>79</v>
      </c>
      <c r="T577" s="27">
        <v>45896</v>
      </c>
      <c r="U577" s="27">
        <v>45896</v>
      </c>
      <c r="V577" s="27">
        <v>45898</v>
      </c>
      <c r="W577" s="27">
        <v>45901</v>
      </c>
      <c r="X577" s="27">
        <v>45902</v>
      </c>
      <c r="Y577" s="14" t="s">
        <v>119</v>
      </c>
      <c r="Z577" s="40" t="str">
        <f>IF(STAT[[#This Row],[sigla]]="","",VLOOKUP(STAT[[#This Row],[sigla]],CRÉDITOS_GERAIS[[sigla]:[credito]],2,))</f>
        <v>Bianca Tavares</v>
      </c>
      <c r="AA577" s="14"/>
      <c r="AB577" s="14" t="str">
        <f>STAT[[#This Row],[ilustrador]]</f>
        <v>Bianca Tavares</v>
      </c>
      <c r="AC577" s="14">
        <v>5</v>
      </c>
      <c r="AD577" s="22" t="s">
        <v>1347</v>
      </c>
      <c r="AE577" s="15" t="s">
        <v>87</v>
      </c>
      <c r="AF577" s="42" t="str">
        <f t="shared" si="8"/>
        <v>P007</v>
      </c>
    </row>
    <row r="578" spans="1:32" hidden="1" x14ac:dyDescent="0.3">
      <c r="A578" s="12" t="e" cm="1">
        <f t="array" aca="1" ref="A578" ca="1">IF(STAT[[#This Row],[retranca]]="","",       RegxFunc(STAT[[#This Row],[retranca]],  "\w\d{4}\w*_\d")     )</f>
        <v>#NAME?</v>
      </c>
      <c r="B578" s="21" t="s">
        <v>1364</v>
      </c>
      <c r="C578" s="14" t="s">
        <v>72</v>
      </c>
      <c r="D578" s="15" t="s">
        <v>143</v>
      </c>
      <c r="E578" s="14" t="s">
        <v>10</v>
      </c>
      <c r="F578" s="14">
        <v>31</v>
      </c>
      <c r="G578" s="14">
        <v>3</v>
      </c>
      <c r="H578" s="14">
        <v>6</v>
      </c>
      <c r="I578" s="31">
        <v>6</v>
      </c>
      <c r="J578" s="28" t="s">
        <v>55</v>
      </c>
      <c r="K578" s="36"/>
      <c r="L578" s="14"/>
      <c r="M578" s="14"/>
      <c r="N578" s="14"/>
      <c r="O578" s="14"/>
      <c r="P578" s="25" t="s">
        <v>1365</v>
      </c>
      <c r="Q578" s="22"/>
      <c r="R578" s="22"/>
      <c r="S578" s="14">
        <v>79</v>
      </c>
      <c r="T578" s="27">
        <v>45896</v>
      </c>
      <c r="U578" s="27">
        <v>45896</v>
      </c>
      <c r="V578" s="27"/>
      <c r="W578" s="27"/>
      <c r="X578" s="27">
        <v>45897</v>
      </c>
      <c r="Y578" s="14" t="s">
        <v>290</v>
      </c>
      <c r="Z578" s="40" t="str">
        <f>IF(STAT[[#This Row],[sigla]]="","",VLOOKUP(STAT[[#This Row],[sigla]],CRÉDITOS_GERAIS[[sigla]:[credito]],2,))</f>
        <v>Bruna Campos</v>
      </c>
      <c r="AA578" s="14"/>
      <c r="AB578" s="14" t="str">
        <f>STAT[[#This Row],[ilustrador]]</f>
        <v>Bruna Campos</v>
      </c>
      <c r="AC578" s="14">
        <v>8</v>
      </c>
      <c r="AD578" s="22" t="s">
        <v>196</v>
      </c>
      <c r="AE578" s="14" t="s">
        <v>46</v>
      </c>
      <c r="AF578" s="42" t="str">
        <f t="shared" ref="AF578:AF641" si="9">"P007"</f>
        <v>P007</v>
      </c>
    </row>
    <row r="579" spans="1:32" ht="28.8" hidden="1" x14ac:dyDescent="0.3">
      <c r="A579" s="12" t="e" cm="1">
        <f t="array" aca="1" ref="A579" ca="1">IF(STAT[[#This Row],[retranca]]="","",       RegxFunc(STAT[[#This Row],[retranca]],  "\w\d{4}\w*_\d")     )</f>
        <v>#NAME?</v>
      </c>
      <c r="B579" s="21" t="s">
        <v>1366</v>
      </c>
      <c r="C579" s="14" t="s">
        <v>72</v>
      </c>
      <c r="D579" s="15" t="s">
        <v>9</v>
      </c>
      <c r="E579" s="14" t="s">
        <v>10</v>
      </c>
      <c r="F579" s="14">
        <v>2</v>
      </c>
      <c r="G579" s="14">
        <v>3</v>
      </c>
      <c r="H579" s="14">
        <v>0</v>
      </c>
      <c r="I579" s="14" t="s">
        <v>112</v>
      </c>
      <c r="J579" s="28" t="s">
        <v>55</v>
      </c>
      <c r="K579" s="36"/>
      <c r="L579" s="14"/>
      <c r="M579" s="14"/>
      <c r="N579" s="14"/>
      <c r="O579" s="14"/>
      <c r="P579" s="25" t="s">
        <v>1367</v>
      </c>
      <c r="Q579" s="22"/>
      <c r="R579" s="22"/>
      <c r="S579" s="14">
        <v>79</v>
      </c>
      <c r="T579" s="27">
        <v>45896</v>
      </c>
      <c r="U579" s="27">
        <v>45896</v>
      </c>
      <c r="V579" s="27">
        <v>45898</v>
      </c>
      <c r="W579" s="27">
        <v>45901</v>
      </c>
      <c r="X579" s="27">
        <v>45902</v>
      </c>
      <c r="Y579" s="14" t="s">
        <v>119</v>
      </c>
      <c r="Z579" s="40" t="str">
        <f>IF(STAT[[#This Row],[sigla]]="","",VLOOKUP(STAT[[#This Row],[sigla]],CRÉDITOS_GERAIS[[sigla]:[credito]],2,))</f>
        <v>Bianca Tavares</v>
      </c>
      <c r="AA579" s="14"/>
      <c r="AB579" s="14" t="str">
        <f>STAT[[#This Row],[ilustrador]]</f>
        <v>Bianca Tavares</v>
      </c>
      <c r="AC579" s="14">
        <v>7</v>
      </c>
      <c r="AD579" s="22" t="s">
        <v>1347</v>
      </c>
      <c r="AE579" s="15" t="s">
        <v>87</v>
      </c>
      <c r="AF579" s="42" t="str">
        <f t="shared" si="9"/>
        <v>P007</v>
      </c>
    </row>
    <row r="580" spans="1:32" hidden="1" x14ac:dyDescent="0.3">
      <c r="A580" s="12" t="e" cm="1">
        <f t="array" aca="1" ref="A580" ca="1">IF(STAT[[#This Row],[retranca]]="","",       RegxFunc(STAT[[#This Row],[retranca]],  "\w\d{4}\w*_\d")     )</f>
        <v>#NAME?</v>
      </c>
      <c r="B580" s="21" t="s">
        <v>1368</v>
      </c>
      <c r="C580" s="14" t="s">
        <v>72</v>
      </c>
      <c r="D580" s="15" t="s">
        <v>143</v>
      </c>
      <c r="E580" s="14" t="s">
        <v>10</v>
      </c>
      <c r="F580" s="14">
        <v>37</v>
      </c>
      <c r="G580" s="14">
        <v>2</v>
      </c>
      <c r="H580" s="14">
        <v>7</v>
      </c>
      <c r="I580" s="14">
        <v>7</v>
      </c>
      <c r="J580" s="28" t="s">
        <v>55</v>
      </c>
      <c r="K580" s="36"/>
      <c r="L580" s="14"/>
      <c r="M580" s="14"/>
      <c r="N580" s="14"/>
      <c r="O580" s="14"/>
      <c r="P580" s="25" t="s">
        <v>1369</v>
      </c>
      <c r="Q580" s="22"/>
      <c r="R580" s="22"/>
      <c r="S580" s="14">
        <v>80</v>
      </c>
      <c r="T580" s="27">
        <v>45896</v>
      </c>
      <c r="U580" s="27">
        <v>45896</v>
      </c>
      <c r="V580" s="27"/>
      <c r="W580" s="27"/>
      <c r="X580" s="27">
        <v>45898</v>
      </c>
      <c r="Y580" s="14" t="s">
        <v>290</v>
      </c>
      <c r="Z580" s="40" t="str">
        <f>IF(STAT[[#This Row],[sigla]]="","",VLOOKUP(STAT[[#This Row],[sigla]],CRÉDITOS_GERAIS[[sigla]:[credito]],2,))</f>
        <v>Bruna Campos</v>
      </c>
      <c r="AA580" s="14"/>
      <c r="AB580" s="14" t="str">
        <f>STAT[[#This Row],[ilustrador]]</f>
        <v>Bruna Campos</v>
      </c>
      <c r="AC580" s="14">
        <v>13</v>
      </c>
      <c r="AD580" s="22" t="s">
        <v>196</v>
      </c>
      <c r="AE580" s="14" t="s">
        <v>46</v>
      </c>
      <c r="AF580" s="42" t="str">
        <f t="shared" si="9"/>
        <v>P007</v>
      </c>
    </row>
    <row r="581" spans="1:32" ht="100.8" hidden="1" x14ac:dyDescent="0.3">
      <c r="A581" s="12" t="e" cm="1">
        <f t="array" aca="1" ref="A581" ca="1">IF(STAT[[#This Row],[retranca]]="","",       RegxFunc(STAT[[#This Row],[retranca]],  "\w\d{4}\w*_\d")     )</f>
        <v>#NAME?</v>
      </c>
      <c r="B581" s="21" t="s">
        <v>1370</v>
      </c>
      <c r="C581" s="14" t="s">
        <v>72</v>
      </c>
      <c r="D581" s="15" t="s">
        <v>9</v>
      </c>
      <c r="E581" s="14" t="s">
        <v>10</v>
      </c>
      <c r="F581" s="14">
        <v>38</v>
      </c>
      <c r="G581" s="14">
        <v>2</v>
      </c>
      <c r="H581" s="14">
        <v>7</v>
      </c>
      <c r="I581" s="14">
        <v>7</v>
      </c>
      <c r="J581" s="28" t="s">
        <v>55</v>
      </c>
      <c r="K581" s="36"/>
      <c r="L581" s="14"/>
      <c r="M581" s="14"/>
      <c r="N581" s="14"/>
      <c r="O581" s="14"/>
      <c r="P581" s="25" t="s">
        <v>1371</v>
      </c>
      <c r="Q581" s="22"/>
      <c r="R581" s="22"/>
      <c r="S581" s="14">
        <v>80</v>
      </c>
      <c r="T581" s="27">
        <v>45896</v>
      </c>
      <c r="U581" s="39">
        <v>45898</v>
      </c>
      <c r="V581" s="27">
        <v>45902</v>
      </c>
      <c r="W581" s="27">
        <v>45904</v>
      </c>
      <c r="X581" s="39">
        <v>45905</v>
      </c>
      <c r="Y581" s="14" t="s">
        <v>552</v>
      </c>
      <c r="Z581" s="40" t="str">
        <f>IF(STAT[[#This Row],[sigla]]="","",VLOOKUP(STAT[[#This Row],[sigla]],CRÉDITOS_GERAIS[[sigla]:[credito]],2,))</f>
        <v>Rafaela Villela</v>
      </c>
      <c r="AA581" s="14"/>
      <c r="AB581" s="14" t="str">
        <f>STAT[[#This Row],[ilustrador]]</f>
        <v>Rafaela Villela</v>
      </c>
      <c r="AC581" s="24">
        <v>3</v>
      </c>
      <c r="AD581" s="22" t="s">
        <v>1372</v>
      </c>
      <c r="AE581" s="15" t="s">
        <v>87</v>
      </c>
      <c r="AF581" s="42" t="str">
        <f t="shared" si="9"/>
        <v>P007</v>
      </c>
    </row>
    <row r="582" spans="1:32" ht="273.60000000000002" hidden="1" x14ac:dyDescent="0.3">
      <c r="A582" s="12" t="e" cm="1">
        <f t="array" aca="1" ref="A582" ca="1">IF(STAT[[#This Row],[retranca]]="","",       RegxFunc(STAT[[#This Row],[retranca]],  "\w\d{4}\w*_\d")     )</f>
        <v>#NAME?</v>
      </c>
      <c r="B582" s="21" t="s">
        <v>1373</v>
      </c>
      <c r="C582" s="14" t="s">
        <v>1084</v>
      </c>
      <c r="D582" s="15" t="s">
        <v>9</v>
      </c>
      <c r="E582" s="14" t="s">
        <v>10</v>
      </c>
      <c r="F582" s="14">
        <v>39</v>
      </c>
      <c r="G582" s="14">
        <v>2</v>
      </c>
      <c r="H582" s="14">
        <v>7</v>
      </c>
      <c r="I582" s="14">
        <v>7</v>
      </c>
      <c r="J582" s="28" t="s">
        <v>55</v>
      </c>
      <c r="K582" s="36"/>
      <c r="L582" s="14"/>
      <c r="M582" s="14"/>
      <c r="N582" s="14"/>
      <c r="O582" s="14"/>
      <c r="P582" s="25" t="s">
        <v>1374</v>
      </c>
      <c r="Q582" s="22"/>
      <c r="R582" s="22"/>
      <c r="S582" s="14">
        <v>80</v>
      </c>
      <c r="T582" s="27">
        <v>45896</v>
      </c>
      <c r="U582" s="39">
        <v>45898</v>
      </c>
      <c r="V582" s="27">
        <v>45902</v>
      </c>
      <c r="W582" s="27">
        <v>45904</v>
      </c>
      <c r="X582" s="39">
        <v>45905</v>
      </c>
      <c r="Y582" s="14" t="s">
        <v>552</v>
      </c>
      <c r="Z582" s="40" t="str">
        <f>IF(STAT[[#This Row],[sigla]]="","",VLOOKUP(STAT[[#This Row],[sigla]],CRÉDITOS_GERAIS[[sigla]:[credito]],2,))</f>
        <v>Rafaela Villela</v>
      </c>
      <c r="AA582" s="14"/>
      <c r="AB582" s="14" t="str">
        <f>STAT[[#This Row],[ilustrador]]</f>
        <v>Rafaela Villela</v>
      </c>
      <c r="AC582" s="14">
        <v>3</v>
      </c>
      <c r="AD582" s="22" t="s">
        <v>1372</v>
      </c>
      <c r="AE582" s="15" t="s">
        <v>87</v>
      </c>
      <c r="AF582" s="42" t="str">
        <f t="shared" si="9"/>
        <v>P007</v>
      </c>
    </row>
    <row r="583" spans="1:32" ht="86.4" hidden="1" x14ac:dyDescent="0.3">
      <c r="A583" s="12" t="e" cm="1">
        <f t="array" aca="1" ref="A583" ca="1">IF(STAT[[#This Row],[retranca]]="","",       RegxFunc(STAT[[#This Row],[retranca]],  "\w\d{4}\w*_\d")     )</f>
        <v>#NAME?</v>
      </c>
      <c r="B583" s="21" t="s">
        <v>1375</v>
      </c>
      <c r="C583" s="14" t="s">
        <v>72</v>
      </c>
      <c r="D583" s="15" t="s">
        <v>9</v>
      </c>
      <c r="E583" s="14" t="s">
        <v>10</v>
      </c>
      <c r="F583" s="14">
        <v>40</v>
      </c>
      <c r="G583" s="14">
        <v>2</v>
      </c>
      <c r="H583" s="14">
        <v>7</v>
      </c>
      <c r="I583" s="14">
        <v>7</v>
      </c>
      <c r="J583" s="28" t="s">
        <v>55</v>
      </c>
      <c r="K583" s="36"/>
      <c r="L583" s="14"/>
      <c r="M583" s="14"/>
      <c r="N583" s="14"/>
      <c r="O583" s="14"/>
      <c r="P583" s="25" t="s">
        <v>1376</v>
      </c>
      <c r="Q583" s="22"/>
      <c r="R583" s="22"/>
      <c r="S583" s="14">
        <v>80</v>
      </c>
      <c r="T583" s="27">
        <v>45896</v>
      </c>
      <c r="U583" s="39">
        <v>45898</v>
      </c>
      <c r="V583" s="27">
        <v>45902</v>
      </c>
      <c r="W583" s="27">
        <v>45904</v>
      </c>
      <c r="X583" s="39">
        <v>45905</v>
      </c>
      <c r="Y583" s="14" t="s">
        <v>552</v>
      </c>
      <c r="Z583" s="40" t="str">
        <f>IF(STAT[[#This Row],[sigla]]="","",VLOOKUP(STAT[[#This Row],[sigla]],CRÉDITOS_GERAIS[[sigla]:[credito]],2,))</f>
        <v>Rafaela Villela</v>
      </c>
      <c r="AA583" s="14"/>
      <c r="AB583" s="14" t="str">
        <f>STAT[[#This Row],[ilustrador]]</f>
        <v>Rafaela Villela</v>
      </c>
      <c r="AC583" s="14">
        <v>5</v>
      </c>
      <c r="AD583" s="22" t="s">
        <v>1372</v>
      </c>
      <c r="AE583" s="15" t="s">
        <v>87</v>
      </c>
      <c r="AF583" s="42" t="str">
        <f t="shared" si="9"/>
        <v>P007</v>
      </c>
    </row>
    <row r="584" spans="1:32" ht="86.4" hidden="1" x14ac:dyDescent="0.3">
      <c r="A584" s="12" t="e" cm="1">
        <f t="array" aca="1" ref="A584" ca="1">IF(STAT[[#This Row],[retranca]]="","",       RegxFunc(STAT[[#This Row],[retranca]],  "\w\d{4}\w*_\d")     )</f>
        <v>#NAME?</v>
      </c>
      <c r="B584" s="21" t="s">
        <v>1377</v>
      </c>
      <c r="C584" s="14" t="s">
        <v>72</v>
      </c>
      <c r="D584" s="15" t="s">
        <v>9</v>
      </c>
      <c r="E584" s="14" t="s">
        <v>10</v>
      </c>
      <c r="F584" s="14">
        <v>41</v>
      </c>
      <c r="G584" s="14">
        <v>2</v>
      </c>
      <c r="H584" s="14">
        <v>7</v>
      </c>
      <c r="I584" s="14">
        <v>7</v>
      </c>
      <c r="J584" s="28" t="s">
        <v>55</v>
      </c>
      <c r="K584" s="36"/>
      <c r="L584" s="14"/>
      <c r="M584" s="14"/>
      <c r="N584" s="14"/>
      <c r="O584" s="14"/>
      <c r="P584" s="25" t="s">
        <v>1378</v>
      </c>
      <c r="Q584" s="22"/>
      <c r="R584" s="22"/>
      <c r="S584" s="14">
        <v>80</v>
      </c>
      <c r="T584" s="27">
        <v>45896</v>
      </c>
      <c r="U584" s="39">
        <v>45898</v>
      </c>
      <c r="V584" s="27">
        <v>45902</v>
      </c>
      <c r="W584" s="27">
        <v>45904</v>
      </c>
      <c r="X584" s="39">
        <v>45905</v>
      </c>
      <c r="Y584" s="14" t="s">
        <v>552</v>
      </c>
      <c r="Z584" s="40" t="str">
        <f>IF(STAT[[#This Row],[sigla]]="","",VLOOKUP(STAT[[#This Row],[sigla]],CRÉDITOS_GERAIS[[sigla]:[credito]],2,))</f>
        <v>Rafaela Villela</v>
      </c>
      <c r="AA584" s="14"/>
      <c r="AB584" s="14" t="str">
        <f>STAT[[#This Row],[ilustrador]]</f>
        <v>Rafaela Villela</v>
      </c>
      <c r="AC584" s="14">
        <v>5</v>
      </c>
      <c r="AD584" s="22" t="s">
        <v>1372</v>
      </c>
      <c r="AE584" s="15" t="s">
        <v>87</v>
      </c>
      <c r="AF584" s="42" t="str">
        <f t="shared" si="9"/>
        <v>P007</v>
      </c>
    </row>
    <row r="585" spans="1:32" hidden="1" x14ac:dyDescent="0.3">
      <c r="A585" s="12" t="e" cm="1">
        <f t="array" aca="1" ref="A585" ca="1">IF(STAT[[#This Row],[retranca]]="","",       RegxFunc(STAT[[#This Row],[retranca]],  "\w\d{4}\w*_\d")     )</f>
        <v>#NAME?</v>
      </c>
      <c r="B585" s="21" t="s">
        <v>1379</v>
      </c>
      <c r="C585" s="14" t="s">
        <v>72</v>
      </c>
      <c r="D585" s="15" t="s">
        <v>143</v>
      </c>
      <c r="E585" s="14" t="s">
        <v>10</v>
      </c>
      <c r="F585" s="14">
        <v>41</v>
      </c>
      <c r="G585" s="14">
        <v>2</v>
      </c>
      <c r="H585" s="14">
        <v>7</v>
      </c>
      <c r="I585" s="14">
        <v>7</v>
      </c>
      <c r="J585" s="28" t="s">
        <v>55</v>
      </c>
      <c r="K585" s="36"/>
      <c r="L585" s="14"/>
      <c r="M585" s="14"/>
      <c r="N585" s="14"/>
      <c r="O585" s="14"/>
      <c r="P585" s="25" t="s">
        <v>1380</v>
      </c>
      <c r="Q585" s="22"/>
      <c r="R585" s="22"/>
      <c r="S585" s="14">
        <v>80</v>
      </c>
      <c r="T585" s="27">
        <v>45896</v>
      </c>
      <c r="U585" s="27">
        <v>45896</v>
      </c>
      <c r="V585" s="27"/>
      <c r="W585" s="27"/>
      <c r="X585" s="27">
        <v>45898</v>
      </c>
      <c r="Y585" s="14" t="s">
        <v>290</v>
      </c>
      <c r="Z585" s="40" t="str">
        <f>IF(STAT[[#This Row],[sigla]]="","",VLOOKUP(STAT[[#This Row],[sigla]],CRÉDITOS_GERAIS[[sigla]:[credito]],2,))</f>
        <v>Bruna Campos</v>
      </c>
      <c r="AA585" s="14"/>
      <c r="AB585" s="14" t="str">
        <f>STAT[[#This Row],[ilustrador]]</f>
        <v>Bruna Campos</v>
      </c>
      <c r="AC585" s="14">
        <v>13</v>
      </c>
      <c r="AD585" s="22" t="s">
        <v>196</v>
      </c>
      <c r="AE585" s="14" t="s">
        <v>46</v>
      </c>
      <c r="AF585" s="42" t="str">
        <f t="shared" si="9"/>
        <v>P007</v>
      </c>
    </row>
    <row r="586" spans="1:32" hidden="1" x14ac:dyDescent="0.3">
      <c r="A586" s="12" t="e" cm="1">
        <f t="array" aca="1" ref="A586" ca="1">IF(STAT[[#This Row],[retranca]]="","",       RegxFunc(STAT[[#This Row],[retranca]],  "\w\d{4}\w*_\d")     )</f>
        <v>#NAME?</v>
      </c>
      <c r="B586" s="21" t="s">
        <v>1381</v>
      </c>
      <c r="C586" s="14" t="s">
        <v>72</v>
      </c>
      <c r="D586" s="15" t="s">
        <v>532</v>
      </c>
      <c r="E586" s="14" t="s">
        <v>10</v>
      </c>
      <c r="F586" s="14">
        <v>42</v>
      </c>
      <c r="G586" s="14">
        <v>2</v>
      </c>
      <c r="H586" s="14">
        <v>7</v>
      </c>
      <c r="I586" s="14">
        <v>7</v>
      </c>
      <c r="J586" s="28" t="s">
        <v>55</v>
      </c>
      <c r="K586" s="36"/>
      <c r="L586" s="14"/>
      <c r="M586" s="14"/>
      <c r="N586" s="14"/>
      <c r="O586" s="14"/>
      <c r="P586" s="25" t="s">
        <v>1382</v>
      </c>
      <c r="Q586" s="22"/>
      <c r="R586" s="22"/>
      <c r="S586" s="14">
        <v>80</v>
      </c>
      <c r="T586" s="27">
        <v>45896</v>
      </c>
      <c r="U586" s="27">
        <v>45896</v>
      </c>
      <c r="V586" s="27"/>
      <c r="W586" s="27"/>
      <c r="X586" s="27">
        <v>45898</v>
      </c>
      <c r="Y586" s="14" t="s">
        <v>290</v>
      </c>
      <c r="Z586" s="40" t="str">
        <f>IF(STAT[[#This Row],[sigla]]="","",VLOOKUP(STAT[[#This Row],[sigla]],CRÉDITOS_GERAIS[[sigla]:[credito]],2,))</f>
        <v>Bruna Campos</v>
      </c>
      <c r="AA586" s="14"/>
      <c r="AB586" s="14" t="str">
        <f>STAT[[#This Row],[ilustrador]]</f>
        <v>Bruna Campos</v>
      </c>
      <c r="AC586" s="14">
        <v>13</v>
      </c>
      <c r="AD586" s="22" t="s">
        <v>196</v>
      </c>
      <c r="AE586" s="14" t="s">
        <v>46</v>
      </c>
      <c r="AF586" s="42" t="str">
        <f t="shared" si="9"/>
        <v>P007</v>
      </c>
    </row>
    <row r="587" spans="1:32" ht="144" hidden="1" x14ac:dyDescent="0.3">
      <c r="A587" s="12" t="e" cm="1">
        <f t="array" aca="1" ref="A587" ca="1">IF(STAT[[#This Row],[retranca]]="","",       RegxFunc(STAT[[#This Row],[retranca]],  "\w\d{4}\w*_\d")     )</f>
        <v>#NAME?</v>
      </c>
      <c r="B587" s="21" t="s">
        <v>1383</v>
      </c>
      <c r="C587" s="14" t="s">
        <v>72</v>
      </c>
      <c r="D587" s="15" t="s">
        <v>9</v>
      </c>
      <c r="E587" s="14" t="s">
        <v>10</v>
      </c>
      <c r="F587" s="14">
        <v>44</v>
      </c>
      <c r="G587" s="14">
        <v>2</v>
      </c>
      <c r="H587" s="14">
        <v>7</v>
      </c>
      <c r="I587" s="14">
        <v>7</v>
      </c>
      <c r="J587" s="28" t="s">
        <v>55</v>
      </c>
      <c r="K587" s="36"/>
      <c r="L587" s="14"/>
      <c r="M587" s="14"/>
      <c r="N587" s="14"/>
      <c r="O587" s="14"/>
      <c r="P587" s="25" t="s">
        <v>1384</v>
      </c>
      <c r="Q587" s="22"/>
      <c r="R587" s="22"/>
      <c r="S587" s="14">
        <v>80</v>
      </c>
      <c r="T587" s="27">
        <v>45896</v>
      </c>
      <c r="U587" s="39">
        <v>45898</v>
      </c>
      <c r="V587" s="27">
        <v>45902</v>
      </c>
      <c r="W587" s="27">
        <v>45904</v>
      </c>
      <c r="X587" s="39">
        <v>45905</v>
      </c>
      <c r="Y587" s="14" t="s">
        <v>552</v>
      </c>
      <c r="Z587" s="40" t="str">
        <f>IF(STAT[[#This Row],[sigla]]="","",VLOOKUP(STAT[[#This Row],[sigla]],CRÉDITOS_GERAIS[[sigla]:[credito]],2,))</f>
        <v>Rafaela Villela</v>
      </c>
      <c r="AA587" s="14"/>
      <c r="AB587" s="14" t="str">
        <f>STAT[[#This Row],[ilustrador]]</f>
        <v>Rafaela Villela</v>
      </c>
      <c r="AC587" s="14">
        <v>3</v>
      </c>
      <c r="AD587" s="22" t="s">
        <v>1372</v>
      </c>
      <c r="AE587" s="15" t="s">
        <v>87</v>
      </c>
      <c r="AF587" s="42" t="str">
        <f t="shared" si="9"/>
        <v>P007</v>
      </c>
    </row>
    <row r="588" spans="1:32" ht="86.4" hidden="1" x14ac:dyDescent="0.3">
      <c r="A588" s="12" t="e" cm="1">
        <f t="array" aca="1" ref="A588" ca="1">IF(STAT[[#This Row],[retranca]]="","",       RegxFunc(STAT[[#This Row],[retranca]],  "\w\d{4}\w*_\d")     )</f>
        <v>#NAME?</v>
      </c>
      <c r="B588" s="21" t="s">
        <v>1385</v>
      </c>
      <c r="C588" s="14" t="s">
        <v>72</v>
      </c>
      <c r="D588" s="15" t="s">
        <v>9</v>
      </c>
      <c r="E588" s="14" t="s">
        <v>10</v>
      </c>
      <c r="F588" s="14">
        <v>51</v>
      </c>
      <c r="G588" s="14">
        <v>2</v>
      </c>
      <c r="H588" s="14">
        <v>8</v>
      </c>
      <c r="I588" s="14">
        <v>8</v>
      </c>
      <c r="J588" s="28" t="s">
        <v>55</v>
      </c>
      <c r="K588" s="36"/>
      <c r="L588" s="14"/>
      <c r="M588" s="14"/>
      <c r="N588" s="14"/>
      <c r="O588" s="14"/>
      <c r="P588" s="25" t="s">
        <v>1386</v>
      </c>
      <c r="Q588" s="22"/>
      <c r="R588" s="22"/>
      <c r="S588" s="14">
        <v>81</v>
      </c>
      <c r="T588" s="27">
        <v>45896</v>
      </c>
      <c r="U588" s="27">
        <v>45903</v>
      </c>
      <c r="V588" s="27">
        <v>45905</v>
      </c>
      <c r="W588" s="27">
        <v>45908</v>
      </c>
      <c r="X588" s="27">
        <v>45909</v>
      </c>
      <c r="Y588" s="14" t="s">
        <v>119</v>
      </c>
      <c r="Z588" s="40" t="str">
        <f>IF(STAT[[#This Row],[sigla]]="","",VLOOKUP(STAT[[#This Row],[sigla]],CRÉDITOS_GERAIS[[sigla]:[credito]],2,))</f>
        <v>Bianca Tavares</v>
      </c>
      <c r="AA588" s="14"/>
      <c r="AB588" s="14" t="str">
        <f>STAT[[#This Row],[ilustrador]]</f>
        <v>Bianca Tavares</v>
      </c>
      <c r="AC588" s="14">
        <v>5</v>
      </c>
      <c r="AD588" s="22" t="s">
        <v>1387</v>
      </c>
      <c r="AE588" s="15" t="s">
        <v>87</v>
      </c>
      <c r="AF588" s="42" t="str">
        <f t="shared" si="9"/>
        <v>P007</v>
      </c>
    </row>
    <row r="589" spans="1:32" ht="43.2" hidden="1" x14ac:dyDescent="0.3">
      <c r="A589" s="12" t="e" cm="1">
        <f t="array" aca="1" ref="A589" ca="1">IF(STAT[[#This Row],[retranca]]="","",       RegxFunc(STAT[[#This Row],[retranca]],  "\w\d{4}\w*_\d")     )</f>
        <v>#NAME?</v>
      </c>
      <c r="B589" s="21" t="s">
        <v>1388</v>
      </c>
      <c r="C589" s="14" t="s">
        <v>72</v>
      </c>
      <c r="D589" s="15" t="s">
        <v>9</v>
      </c>
      <c r="E589" s="14" t="s">
        <v>10</v>
      </c>
      <c r="F589" s="14">
        <v>2</v>
      </c>
      <c r="G589" s="14">
        <v>2</v>
      </c>
      <c r="H589" s="14">
        <v>0</v>
      </c>
      <c r="I589" s="14" t="s">
        <v>112</v>
      </c>
      <c r="J589" s="28" t="s">
        <v>55</v>
      </c>
      <c r="K589" s="36"/>
      <c r="L589" s="14"/>
      <c r="M589" s="14"/>
      <c r="N589" s="14"/>
      <c r="O589" s="14"/>
      <c r="P589" s="25" t="s">
        <v>1389</v>
      </c>
      <c r="Q589" s="22"/>
      <c r="R589" s="22"/>
      <c r="S589" s="14">
        <v>81</v>
      </c>
      <c r="T589" s="27">
        <v>45896</v>
      </c>
      <c r="U589" s="27">
        <v>45903</v>
      </c>
      <c r="V589" s="27">
        <v>45905</v>
      </c>
      <c r="W589" s="27">
        <v>45908</v>
      </c>
      <c r="X589" s="27">
        <v>45909</v>
      </c>
      <c r="Y589" s="14" t="s">
        <v>119</v>
      </c>
      <c r="Z589" s="40" t="str">
        <f>IF(STAT[[#This Row],[sigla]]="","",VLOOKUP(STAT[[#This Row],[sigla]],CRÉDITOS_GERAIS[[sigla]:[credito]],2,))</f>
        <v>Bianca Tavares</v>
      </c>
      <c r="AA589" s="14"/>
      <c r="AB589" s="14" t="str">
        <f>STAT[[#This Row],[ilustrador]]</f>
        <v>Bianca Tavares</v>
      </c>
      <c r="AC589" s="14">
        <v>5</v>
      </c>
      <c r="AD589" s="22" t="s">
        <v>1387</v>
      </c>
      <c r="AE589" s="15" t="s">
        <v>87</v>
      </c>
      <c r="AF589" s="42" t="str">
        <f t="shared" si="9"/>
        <v>P007</v>
      </c>
    </row>
    <row r="590" spans="1:32" ht="72" hidden="1" x14ac:dyDescent="0.3">
      <c r="A590" s="12" t="e" cm="1">
        <f t="array" aca="1" ref="A590" ca="1">IF(STAT[[#This Row],[retranca]]="","",       RegxFunc(STAT[[#This Row],[retranca]],  "\w\d{4}\w*_\d")     )</f>
        <v>#NAME?</v>
      </c>
      <c r="B590" s="21" t="s">
        <v>1390</v>
      </c>
      <c r="C590" s="14" t="s">
        <v>72</v>
      </c>
      <c r="D590" s="15" t="s">
        <v>9</v>
      </c>
      <c r="E590" s="14" t="s">
        <v>10</v>
      </c>
      <c r="F590" s="14">
        <v>52</v>
      </c>
      <c r="G590" s="14">
        <v>2</v>
      </c>
      <c r="H590" s="14">
        <v>8</v>
      </c>
      <c r="I590" s="14">
        <v>8</v>
      </c>
      <c r="J590" s="28" t="s">
        <v>55</v>
      </c>
      <c r="K590" s="36"/>
      <c r="L590" s="14"/>
      <c r="M590" s="14"/>
      <c r="N590" s="14"/>
      <c r="O590" s="14"/>
      <c r="P590" s="25" t="s">
        <v>1391</v>
      </c>
      <c r="Q590" s="22"/>
      <c r="R590" s="22"/>
      <c r="S590" s="14">
        <v>81</v>
      </c>
      <c r="T590" s="27">
        <v>45896</v>
      </c>
      <c r="U590" s="27">
        <v>45903</v>
      </c>
      <c r="V590" s="27">
        <v>45905</v>
      </c>
      <c r="W590" s="27">
        <v>45908</v>
      </c>
      <c r="X590" s="27">
        <v>45909</v>
      </c>
      <c r="Y590" s="14" t="s">
        <v>119</v>
      </c>
      <c r="Z590" s="40" t="str">
        <f>IF(STAT[[#This Row],[sigla]]="","",VLOOKUP(STAT[[#This Row],[sigla]],CRÉDITOS_GERAIS[[sigla]:[credito]],2,))</f>
        <v>Bianca Tavares</v>
      </c>
      <c r="AA590" s="14"/>
      <c r="AB590" s="14" t="str">
        <f>STAT[[#This Row],[ilustrador]]</f>
        <v>Bianca Tavares</v>
      </c>
      <c r="AC590" s="14">
        <v>6</v>
      </c>
      <c r="AD590" s="22" t="s">
        <v>1387</v>
      </c>
      <c r="AE590" s="15" t="s">
        <v>87</v>
      </c>
      <c r="AF590" s="42" t="str">
        <f t="shared" si="9"/>
        <v>P007</v>
      </c>
    </row>
    <row r="591" spans="1:32" ht="28.8" hidden="1" x14ac:dyDescent="0.3">
      <c r="A591" s="12" t="e" cm="1">
        <f t="array" aca="1" ref="A591" ca="1">IF(STAT[[#This Row],[retranca]]="","",       RegxFunc(STAT[[#This Row],[retranca]],  "\w\d{4}\w*_\d")     )</f>
        <v>#NAME?</v>
      </c>
      <c r="B591" s="21" t="s">
        <v>1392</v>
      </c>
      <c r="C591" s="14" t="s">
        <v>72</v>
      </c>
      <c r="D591" s="15" t="s">
        <v>9</v>
      </c>
      <c r="E591" s="14" t="s">
        <v>10</v>
      </c>
      <c r="F591" s="14">
        <v>53</v>
      </c>
      <c r="G591" s="14">
        <v>2</v>
      </c>
      <c r="H591" s="14">
        <v>8</v>
      </c>
      <c r="I591" s="14">
        <v>8</v>
      </c>
      <c r="J591" s="28" t="s">
        <v>55</v>
      </c>
      <c r="K591" s="36"/>
      <c r="L591" s="14"/>
      <c r="M591" s="14"/>
      <c r="N591" s="14"/>
      <c r="O591" s="14"/>
      <c r="P591" s="25" t="s">
        <v>1393</v>
      </c>
      <c r="Q591" s="22"/>
      <c r="R591" s="22"/>
      <c r="S591" s="14">
        <v>81</v>
      </c>
      <c r="T591" s="27">
        <v>45896</v>
      </c>
      <c r="U591" s="27">
        <v>45903</v>
      </c>
      <c r="V591" s="27">
        <v>45905</v>
      </c>
      <c r="W591" s="27">
        <v>45908</v>
      </c>
      <c r="X591" s="27">
        <v>45909</v>
      </c>
      <c r="Y591" s="14" t="s">
        <v>119</v>
      </c>
      <c r="Z591" s="40" t="str">
        <f>IF(STAT[[#This Row],[sigla]]="","",VLOOKUP(STAT[[#This Row],[sigla]],CRÉDITOS_GERAIS[[sigla]:[credito]],2,))</f>
        <v>Bianca Tavares</v>
      </c>
      <c r="AA591" s="14"/>
      <c r="AB591" s="14" t="str">
        <f>STAT[[#This Row],[ilustrador]]</f>
        <v>Bianca Tavares</v>
      </c>
      <c r="AC591" s="14">
        <v>5</v>
      </c>
      <c r="AD591" s="22" t="s">
        <v>1387</v>
      </c>
      <c r="AE591" s="15" t="s">
        <v>87</v>
      </c>
      <c r="AF591" s="42" t="str">
        <f t="shared" si="9"/>
        <v>P007</v>
      </c>
    </row>
    <row r="592" spans="1:32" ht="86.4" hidden="1" x14ac:dyDescent="0.3">
      <c r="A592" s="12" t="e" cm="1">
        <f t="array" aca="1" ref="A592" ca="1">IF(STAT[[#This Row],[retranca]]="","",       RegxFunc(STAT[[#This Row],[retranca]],  "\w\d{4}\w*_\d")     )</f>
        <v>#NAME?</v>
      </c>
      <c r="B592" s="21" t="s">
        <v>1394</v>
      </c>
      <c r="C592" s="14" t="s">
        <v>72</v>
      </c>
      <c r="D592" s="15" t="s">
        <v>9</v>
      </c>
      <c r="E592" s="14" t="s">
        <v>10</v>
      </c>
      <c r="F592" s="14">
        <v>54</v>
      </c>
      <c r="G592" s="14">
        <v>2</v>
      </c>
      <c r="H592" s="14">
        <v>8</v>
      </c>
      <c r="I592" s="14">
        <v>8</v>
      </c>
      <c r="J592" s="28" t="s">
        <v>55</v>
      </c>
      <c r="K592" s="36"/>
      <c r="L592" s="14"/>
      <c r="M592" s="14"/>
      <c r="N592" s="14"/>
      <c r="O592" s="14"/>
      <c r="P592" s="25" t="s">
        <v>1395</v>
      </c>
      <c r="Q592" s="22"/>
      <c r="R592" s="22"/>
      <c r="S592" s="14">
        <v>81</v>
      </c>
      <c r="T592" s="27">
        <v>45896</v>
      </c>
      <c r="U592" s="27">
        <v>45903</v>
      </c>
      <c r="V592" s="27">
        <v>45905</v>
      </c>
      <c r="W592" s="27">
        <v>45908</v>
      </c>
      <c r="X592" s="27">
        <v>45909</v>
      </c>
      <c r="Y592" s="14" t="s">
        <v>119</v>
      </c>
      <c r="Z592" s="40" t="str">
        <f>IF(STAT[[#This Row],[sigla]]="","",VLOOKUP(STAT[[#This Row],[sigla]],CRÉDITOS_GERAIS[[sigla]:[credito]],2,))</f>
        <v>Bianca Tavares</v>
      </c>
      <c r="AA592" s="14"/>
      <c r="AB592" s="14" t="str">
        <f>STAT[[#This Row],[ilustrador]]</f>
        <v>Bianca Tavares</v>
      </c>
      <c r="AC592" s="14">
        <v>4</v>
      </c>
      <c r="AD592" s="22" t="s">
        <v>1387</v>
      </c>
      <c r="AE592" s="15" t="s">
        <v>87</v>
      </c>
      <c r="AF592" s="42" t="str">
        <f t="shared" si="9"/>
        <v>P007</v>
      </c>
    </row>
    <row r="593" spans="1:32" ht="72" hidden="1" x14ac:dyDescent="0.3">
      <c r="A593" s="12" t="e" cm="1">
        <f t="array" aca="1" ref="A593" ca="1">IF(STAT[[#This Row],[retranca]]="","",       RegxFunc(STAT[[#This Row],[retranca]],  "\w\d{4}\w*_\d")     )</f>
        <v>#NAME?</v>
      </c>
      <c r="B593" s="21" t="s">
        <v>1396</v>
      </c>
      <c r="C593" s="14" t="s">
        <v>72</v>
      </c>
      <c r="D593" s="15" t="s">
        <v>9</v>
      </c>
      <c r="E593" s="14" t="s">
        <v>10</v>
      </c>
      <c r="F593" s="14">
        <v>55</v>
      </c>
      <c r="G593" s="14">
        <v>2</v>
      </c>
      <c r="H593" s="14">
        <v>8</v>
      </c>
      <c r="I593" s="14">
        <v>8</v>
      </c>
      <c r="J593" s="28" t="s">
        <v>55</v>
      </c>
      <c r="K593" s="36"/>
      <c r="L593" s="14"/>
      <c r="M593" s="14"/>
      <c r="N593" s="14"/>
      <c r="O593" s="14"/>
      <c r="P593" s="25" t="s">
        <v>1397</v>
      </c>
      <c r="Q593" s="22"/>
      <c r="R593" s="22"/>
      <c r="S593" s="14">
        <v>81</v>
      </c>
      <c r="T593" s="27">
        <v>45896</v>
      </c>
      <c r="U593" s="27">
        <v>45902</v>
      </c>
      <c r="V593" s="27">
        <v>45905</v>
      </c>
      <c r="W593" s="27">
        <v>45905</v>
      </c>
      <c r="X593" s="27">
        <v>45908</v>
      </c>
      <c r="Y593" s="14" t="s">
        <v>583</v>
      </c>
      <c r="Z593" s="40" t="str">
        <f>IF(STAT[[#This Row],[sigla]]="","",VLOOKUP(STAT[[#This Row],[sigla]],CRÉDITOS_GERAIS[[sigla]:[credito]],2,))</f>
        <v>Karina Oliveira</v>
      </c>
      <c r="AA593" s="14"/>
      <c r="AB593" s="14" t="str">
        <f>STAT[[#This Row],[ilustrador]]</f>
        <v>Karina Oliveira</v>
      </c>
      <c r="AC593" s="14">
        <v>3</v>
      </c>
      <c r="AD593" s="22" t="s">
        <v>1387</v>
      </c>
      <c r="AE593" s="15" t="s">
        <v>87</v>
      </c>
      <c r="AF593" s="42" t="str">
        <f t="shared" si="9"/>
        <v>P007</v>
      </c>
    </row>
    <row r="594" spans="1:32" ht="43.2" hidden="1" x14ac:dyDescent="0.3">
      <c r="A594" s="12" t="e" cm="1">
        <f t="array" aca="1" ref="A594" ca="1">IF(STAT[[#This Row],[retranca]]="","",       RegxFunc(STAT[[#This Row],[retranca]],  "\w\d{4}\w*_\d")     )</f>
        <v>#NAME?</v>
      </c>
      <c r="B594" s="21" t="s">
        <v>1398</v>
      </c>
      <c r="C594" s="14" t="s">
        <v>72</v>
      </c>
      <c r="D594" s="15" t="s">
        <v>9</v>
      </c>
      <c r="E594" s="14" t="s">
        <v>10</v>
      </c>
      <c r="F594" s="14">
        <v>55</v>
      </c>
      <c r="G594" s="14">
        <v>2</v>
      </c>
      <c r="H594" s="14">
        <v>8</v>
      </c>
      <c r="I594" s="14">
        <v>8</v>
      </c>
      <c r="J594" s="28" t="s">
        <v>55</v>
      </c>
      <c r="K594" s="36"/>
      <c r="L594" s="14"/>
      <c r="M594" s="14"/>
      <c r="N594" s="14"/>
      <c r="O594" s="14"/>
      <c r="P594" s="25" t="s">
        <v>1399</v>
      </c>
      <c r="Q594" s="22"/>
      <c r="R594" s="22"/>
      <c r="S594" s="14">
        <v>81</v>
      </c>
      <c r="T594" s="27">
        <v>45896</v>
      </c>
      <c r="U594" s="27">
        <v>45902</v>
      </c>
      <c r="V594" s="27">
        <v>45905</v>
      </c>
      <c r="W594" s="27">
        <v>45905</v>
      </c>
      <c r="X594" s="27">
        <v>45908</v>
      </c>
      <c r="Y594" s="14" t="s">
        <v>583</v>
      </c>
      <c r="Z594" s="40" t="str">
        <f>IF(STAT[[#This Row],[sigla]]="","",VLOOKUP(STAT[[#This Row],[sigla]],CRÉDITOS_GERAIS[[sigla]:[credito]],2,))</f>
        <v>Karina Oliveira</v>
      </c>
      <c r="AA594" s="14"/>
      <c r="AB594" s="14" t="str">
        <f>STAT[[#This Row],[ilustrador]]</f>
        <v>Karina Oliveira</v>
      </c>
      <c r="AC594" s="14">
        <v>6</v>
      </c>
      <c r="AD594" s="22" t="s">
        <v>1387</v>
      </c>
      <c r="AE594" s="15" t="s">
        <v>87</v>
      </c>
      <c r="AF594" s="42" t="str">
        <f t="shared" si="9"/>
        <v>P007</v>
      </c>
    </row>
    <row r="595" spans="1:32" hidden="1" x14ac:dyDescent="0.3">
      <c r="A595" s="12" t="e" cm="1">
        <f t="array" aca="1" ref="A595" ca="1">IF(STAT[[#This Row],[retranca]]="","",       RegxFunc(STAT[[#This Row],[retranca]],  "\w\d{4}\w*_\d")     )</f>
        <v>#NAME?</v>
      </c>
      <c r="B595" s="21" t="s">
        <v>1400</v>
      </c>
      <c r="C595" s="14" t="s">
        <v>72</v>
      </c>
      <c r="D595" s="15" t="s">
        <v>9</v>
      </c>
      <c r="E595" s="14" t="s">
        <v>10</v>
      </c>
      <c r="F595" s="14">
        <v>56</v>
      </c>
      <c r="G595" s="14">
        <v>2</v>
      </c>
      <c r="H595" s="14">
        <v>8</v>
      </c>
      <c r="I595" s="14">
        <v>8</v>
      </c>
      <c r="J595" s="28" t="s">
        <v>55</v>
      </c>
      <c r="K595" s="36"/>
      <c r="L595" s="14"/>
      <c r="M595" s="14"/>
      <c r="N595" s="14"/>
      <c r="O595" s="14"/>
      <c r="P595" s="25" t="s">
        <v>1401</v>
      </c>
      <c r="Q595" s="22"/>
      <c r="R595" s="22"/>
      <c r="S595" s="14">
        <v>81</v>
      </c>
      <c r="T595" s="27">
        <v>45896</v>
      </c>
      <c r="U595" s="27">
        <v>45902</v>
      </c>
      <c r="V595" s="27">
        <v>45908</v>
      </c>
      <c r="W595" s="27">
        <v>45908</v>
      </c>
      <c r="X595" s="27">
        <v>45908</v>
      </c>
      <c r="Y595" s="14" t="s">
        <v>583</v>
      </c>
      <c r="Z595" s="40" t="str">
        <f>IF(STAT[[#This Row],[sigla]]="","",VLOOKUP(STAT[[#This Row],[sigla]],CRÉDITOS_GERAIS[[sigla]:[credito]],2,))</f>
        <v>Karina Oliveira</v>
      </c>
      <c r="AA595" s="14"/>
      <c r="AB595" s="14" t="str">
        <f>STAT[[#This Row],[ilustrador]]</f>
        <v>Karina Oliveira</v>
      </c>
      <c r="AC595" s="14">
        <v>4</v>
      </c>
      <c r="AD595" s="22" t="s">
        <v>1387</v>
      </c>
      <c r="AE595" s="15" t="s">
        <v>87</v>
      </c>
      <c r="AF595" s="42" t="str">
        <f t="shared" si="9"/>
        <v>P007</v>
      </c>
    </row>
    <row r="596" spans="1:32" hidden="1" x14ac:dyDescent="0.3">
      <c r="A596" s="12" t="e" cm="1">
        <f t="array" aca="1" ref="A596" ca="1">IF(STAT[[#This Row],[retranca]]="","",       RegxFunc(STAT[[#This Row],[retranca]],  "\w\d{4}\w*_\d")     )</f>
        <v>#NAME?</v>
      </c>
      <c r="B596" s="21" t="s">
        <v>1402</v>
      </c>
      <c r="C596" s="14" t="s">
        <v>72</v>
      </c>
      <c r="D596" s="15" t="s">
        <v>9</v>
      </c>
      <c r="E596" s="14" t="s">
        <v>10</v>
      </c>
      <c r="F596" s="14">
        <v>58</v>
      </c>
      <c r="G596" s="14">
        <v>2</v>
      </c>
      <c r="H596" s="14">
        <v>8</v>
      </c>
      <c r="I596" s="14">
        <v>8</v>
      </c>
      <c r="J596" s="28" t="s">
        <v>55</v>
      </c>
      <c r="K596" s="36"/>
      <c r="L596" s="14"/>
      <c r="M596" s="14"/>
      <c r="N596" s="14"/>
      <c r="O596" s="14"/>
      <c r="P596" s="25" t="s">
        <v>1403</v>
      </c>
      <c r="Q596" s="21"/>
      <c r="R596" s="22"/>
      <c r="S596" s="14">
        <v>81</v>
      </c>
      <c r="T596" s="27">
        <v>45896</v>
      </c>
      <c r="U596" s="27">
        <v>45902</v>
      </c>
      <c r="V596" s="27">
        <v>45905</v>
      </c>
      <c r="W596" s="27">
        <v>45908</v>
      </c>
      <c r="X596" s="27">
        <v>45909</v>
      </c>
      <c r="Y596" s="14" t="s">
        <v>84</v>
      </c>
      <c r="Z596" s="40" t="str">
        <f>IF(STAT[[#This Row],[sigla]]="","",VLOOKUP(STAT[[#This Row],[sigla]],CRÉDITOS_GERAIS[[sigla]:[credito]],2,))</f>
        <v>Gabriel Brum</v>
      </c>
      <c r="AA596" s="14"/>
      <c r="AB596" s="14" t="str">
        <f>STAT[[#This Row],[ilustrador]]</f>
        <v>Gabriel Brum</v>
      </c>
      <c r="AC596" s="14">
        <v>5</v>
      </c>
      <c r="AD596" s="22" t="s">
        <v>1387</v>
      </c>
      <c r="AE596" s="15" t="s">
        <v>87</v>
      </c>
      <c r="AF596" s="42" t="str">
        <f t="shared" si="9"/>
        <v>P007</v>
      </c>
    </row>
    <row r="597" spans="1:32" hidden="1" x14ac:dyDescent="0.3">
      <c r="A597" s="12" t="e" cm="1">
        <f t="array" aca="1" ref="A597" ca="1">IF(STAT[[#This Row],[retranca]]="","",       RegxFunc(STAT[[#This Row],[retranca]],  "\w\d{4}\w*_\d")     )</f>
        <v>#NAME?</v>
      </c>
      <c r="B597" s="21" t="s">
        <v>1404</v>
      </c>
      <c r="C597" s="14" t="s">
        <v>72</v>
      </c>
      <c r="D597" s="15" t="s">
        <v>9</v>
      </c>
      <c r="E597" s="14" t="s">
        <v>10</v>
      </c>
      <c r="F597" s="14">
        <v>60</v>
      </c>
      <c r="G597" s="14">
        <v>2</v>
      </c>
      <c r="H597" s="14">
        <v>8</v>
      </c>
      <c r="I597" s="14">
        <v>8</v>
      </c>
      <c r="J597" s="28" t="s">
        <v>55</v>
      </c>
      <c r="K597" s="36"/>
      <c r="L597" s="14"/>
      <c r="M597" s="14"/>
      <c r="N597" s="14"/>
      <c r="O597" s="14"/>
      <c r="P597" s="25" t="s">
        <v>1405</v>
      </c>
      <c r="Q597" s="22"/>
      <c r="R597" s="22"/>
      <c r="S597" s="14">
        <v>81</v>
      </c>
      <c r="T597" s="27">
        <v>45896</v>
      </c>
      <c r="U597" s="27">
        <v>45902</v>
      </c>
      <c r="V597" s="27">
        <v>45905</v>
      </c>
      <c r="W597" s="27">
        <v>45908</v>
      </c>
      <c r="X597" s="27">
        <v>45909</v>
      </c>
      <c r="Y597" s="14" t="s">
        <v>84</v>
      </c>
      <c r="Z597" s="40" t="str">
        <f>IF(STAT[[#This Row],[sigla]]="","",VLOOKUP(STAT[[#This Row],[sigla]],CRÉDITOS_GERAIS[[sigla]:[credito]],2,))</f>
        <v>Gabriel Brum</v>
      </c>
      <c r="AA597" s="14"/>
      <c r="AB597" s="14" t="str">
        <f>STAT[[#This Row],[ilustrador]]</f>
        <v>Gabriel Brum</v>
      </c>
      <c r="AC597" s="14">
        <v>4</v>
      </c>
      <c r="AD597" s="22" t="s">
        <v>1387</v>
      </c>
      <c r="AE597" s="15" t="s">
        <v>87</v>
      </c>
      <c r="AF597" s="42" t="str">
        <f t="shared" si="9"/>
        <v>P007</v>
      </c>
    </row>
    <row r="598" spans="1:32" hidden="1" x14ac:dyDescent="0.3">
      <c r="A598" s="12" t="e" cm="1">
        <f t="array" aca="1" ref="A598" ca="1">IF(STAT[[#This Row],[retranca]]="","",       RegxFunc(STAT[[#This Row],[retranca]],  "\w\d{4}\w*_\d")     )</f>
        <v>#NAME?</v>
      </c>
      <c r="B598" s="21" t="s">
        <v>1406</v>
      </c>
      <c r="C598" s="14" t="s">
        <v>72</v>
      </c>
      <c r="D598" s="15" t="s">
        <v>532</v>
      </c>
      <c r="E598" s="14" t="s">
        <v>10</v>
      </c>
      <c r="F598" s="14">
        <v>62</v>
      </c>
      <c r="G598" s="14">
        <v>2</v>
      </c>
      <c r="H598" s="14">
        <v>8</v>
      </c>
      <c r="I598" s="14">
        <v>8</v>
      </c>
      <c r="J598" s="28" t="s">
        <v>55</v>
      </c>
      <c r="K598" s="36"/>
      <c r="L598" s="14"/>
      <c r="M598" s="14"/>
      <c r="N598" s="14"/>
      <c r="O598" s="14"/>
      <c r="P598" s="25" t="s">
        <v>1407</v>
      </c>
      <c r="Q598" s="21"/>
      <c r="R598" s="22"/>
      <c r="S598" s="14">
        <v>81</v>
      </c>
      <c r="T598" s="27">
        <v>45896</v>
      </c>
      <c r="U598" s="27">
        <v>45896</v>
      </c>
      <c r="V598" s="27"/>
      <c r="W598" s="27"/>
      <c r="X598" s="27">
        <v>45902</v>
      </c>
      <c r="Y598" s="14" t="s">
        <v>290</v>
      </c>
      <c r="Z598" s="40" t="str">
        <f>IF(STAT[[#This Row],[sigla]]="","",VLOOKUP(STAT[[#This Row],[sigla]],CRÉDITOS_GERAIS[[sigla]:[credito]],2,))</f>
        <v>Bruna Campos</v>
      </c>
      <c r="AA598" s="14"/>
      <c r="AB598" s="14" t="str">
        <f>STAT[[#This Row],[ilustrador]]</f>
        <v>Bruna Campos</v>
      </c>
      <c r="AC598" s="14">
        <v>13</v>
      </c>
      <c r="AD598" s="22" t="s">
        <v>196</v>
      </c>
      <c r="AE598" s="15" t="s">
        <v>46</v>
      </c>
      <c r="AF598" s="42" t="str">
        <f t="shared" si="9"/>
        <v>P007</v>
      </c>
    </row>
    <row r="599" spans="1:32" ht="115.2" hidden="1" x14ac:dyDescent="0.3">
      <c r="A599" s="12" t="e" cm="1">
        <f t="array" aca="1" ref="A599" ca="1">IF(STAT[[#This Row],[retranca]]="","",       RegxFunc(STAT[[#This Row],[retranca]],  "\w\d{4}\w*_\d")     )</f>
        <v>#NAME?</v>
      </c>
      <c r="B599" s="21" t="s">
        <v>1408</v>
      </c>
      <c r="C599" s="14" t="s">
        <v>72</v>
      </c>
      <c r="D599" s="15" t="s">
        <v>9</v>
      </c>
      <c r="E599" s="14" t="s">
        <v>10</v>
      </c>
      <c r="F599" s="14">
        <v>62</v>
      </c>
      <c r="G599" s="14">
        <v>2</v>
      </c>
      <c r="H599" s="14">
        <v>2</v>
      </c>
      <c r="I599" s="14">
        <v>8</v>
      </c>
      <c r="J599" s="28" t="s">
        <v>55</v>
      </c>
      <c r="K599" s="36"/>
      <c r="L599" s="14"/>
      <c r="M599" s="14"/>
      <c r="N599" s="14"/>
      <c r="O599" s="14"/>
      <c r="P599" s="25" t="s">
        <v>1409</v>
      </c>
      <c r="Q599" s="22"/>
      <c r="R599" s="22"/>
      <c r="S599" s="14">
        <v>81</v>
      </c>
      <c r="T599" s="27">
        <v>45896</v>
      </c>
      <c r="U599" s="27">
        <v>45902</v>
      </c>
      <c r="V599" s="27">
        <v>45905</v>
      </c>
      <c r="W599" s="27">
        <v>45908</v>
      </c>
      <c r="X599" s="27">
        <v>45909</v>
      </c>
      <c r="Y599" s="14" t="s">
        <v>84</v>
      </c>
      <c r="Z599" s="40" t="str">
        <f>IF(STAT[[#This Row],[sigla]]="","",VLOOKUP(STAT[[#This Row],[sigla]],CRÉDITOS_GERAIS[[sigla]:[credito]],2,))</f>
        <v>Gabriel Brum</v>
      </c>
      <c r="AA599" s="14"/>
      <c r="AB599" s="14" t="str">
        <f>STAT[[#This Row],[ilustrador]]</f>
        <v>Gabriel Brum</v>
      </c>
      <c r="AC599" s="14">
        <v>6</v>
      </c>
      <c r="AD599" s="22" t="s">
        <v>1387</v>
      </c>
      <c r="AE599" s="15" t="s">
        <v>87</v>
      </c>
      <c r="AF599" s="42" t="str">
        <f t="shared" si="9"/>
        <v>P007</v>
      </c>
    </row>
    <row r="600" spans="1:32" ht="72" hidden="1" x14ac:dyDescent="0.3">
      <c r="A600" s="12" t="e" cm="1">
        <f t="array" aca="1" ref="A600" ca="1">IF(STAT[[#This Row],[retranca]]="","",       RegxFunc(STAT[[#This Row],[retranca]],  "\w\d{4}\w*_\d")     )</f>
        <v>#NAME?</v>
      </c>
      <c r="B600" s="21" t="s">
        <v>1410</v>
      </c>
      <c r="C600" s="14" t="s">
        <v>72</v>
      </c>
      <c r="D600" s="15" t="s">
        <v>9</v>
      </c>
      <c r="E600" s="14" t="s">
        <v>10</v>
      </c>
      <c r="F600" s="14">
        <v>63</v>
      </c>
      <c r="G600" s="14">
        <v>2</v>
      </c>
      <c r="H600" s="14">
        <v>8</v>
      </c>
      <c r="I600" s="14">
        <v>8</v>
      </c>
      <c r="J600" s="28" t="s">
        <v>18</v>
      </c>
      <c r="K600" s="36"/>
      <c r="L600" s="14"/>
      <c r="M600" s="14"/>
      <c r="N600" s="14"/>
      <c r="O600" s="14"/>
      <c r="P600" s="25" t="s">
        <v>1411</v>
      </c>
      <c r="Q600" s="21"/>
      <c r="R600" s="22"/>
      <c r="S600" s="14">
        <v>81</v>
      </c>
      <c r="T600" s="27">
        <v>45896</v>
      </c>
      <c r="U600" s="27">
        <v>45896</v>
      </c>
      <c r="V600" s="27"/>
      <c r="W600" s="27"/>
      <c r="X600" s="27">
        <v>45902</v>
      </c>
      <c r="Y600" s="14" t="s">
        <v>94</v>
      </c>
      <c r="Z600" s="40" t="str">
        <f>IF(STAT[[#This Row],[sigla]]="","",VLOOKUP(STAT[[#This Row],[sigla]],CRÉDITOS_GERAIS[[sigla]:[credito]],2,))</f>
        <v>Thais Castro</v>
      </c>
      <c r="AA600" s="14" t="s">
        <v>90</v>
      </c>
      <c r="AB600" s="14" t="str">
        <f>STAT[[#This Row],[ilustrador]]</f>
        <v>Thais Castro</v>
      </c>
      <c r="AC600" s="14">
        <v>13</v>
      </c>
      <c r="AD600" s="22" t="s">
        <v>229</v>
      </c>
      <c r="AE600" s="15" t="s">
        <v>46</v>
      </c>
      <c r="AF600" s="42" t="str">
        <f t="shared" si="9"/>
        <v>P007</v>
      </c>
    </row>
    <row r="601" spans="1:32" ht="28.8" hidden="1" x14ac:dyDescent="0.3">
      <c r="A601" s="12" t="e" cm="1">
        <f t="array" aca="1" ref="A601" ca="1">IF(STAT[[#This Row],[retranca]]="","",       RegxFunc(STAT[[#This Row],[retranca]],  "\w\d{4}\w*_\d")     )</f>
        <v>#NAME?</v>
      </c>
      <c r="B601" s="21" t="s">
        <v>1412</v>
      </c>
      <c r="C601" s="14" t="s">
        <v>72</v>
      </c>
      <c r="D601" s="15" t="s">
        <v>9</v>
      </c>
      <c r="E601" s="14" t="s">
        <v>10</v>
      </c>
      <c r="F601" s="14">
        <v>38</v>
      </c>
      <c r="G601" s="14">
        <v>3</v>
      </c>
      <c r="H601" s="14">
        <v>7</v>
      </c>
      <c r="I601" s="14">
        <v>7</v>
      </c>
      <c r="J601" s="28" t="s">
        <v>55</v>
      </c>
      <c r="K601" s="36"/>
      <c r="L601" s="14"/>
      <c r="M601" s="14"/>
      <c r="N601" s="14"/>
      <c r="O601" s="14"/>
      <c r="P601" s="25" t="s">
        <v>1413</v>
      </c>
      <c r="Q601" s="22"/>
      <c r="R601" s="22"/>
      <c r="S601" s="14">
        <v>82</v>
      </c>
      <c r="T601" s="27">
        <v>45897</v>
      </c>
      <c r="U601" s="27">
        <v>45901</v>
      </c>
      <c r="V601" s="27">
        <v>45903</v>
      </c>
      <c r="W601" s="27">
        <v>45904</v>
      </c>
      <c r="X601" s="27">
        <v>45905</v>
      </c>
      <c r="Y601" s="14" t="s">
        <v>84</v>
      </c>
      <c r="Z601" s="40" t="str">
        <f>IF(STAT[[#This Row],[sigla]]="","",VLOOKUP(STAT[[#This Row],[sigla]],CRÉDITOS_GERAIS[[sigla]:[credito]],2,))</f>
        <v>Gabriel Brum</v>
      </c>
      <c r="AA601" s="14"/>
      <c r="AB601" s="14" t="str">
        <f>STAT[[#This Row],[ilustrador]]</f>
        <v>Gabriel Brum</v>
      </c>
      <c r="AC601" s="14">
        <v>4</v>
      </c>
      <c r="AD601" s="22" t="s">
        <v>1414</v>
      </c>
      <c r="AE601" s="15" t="s">
        <v>87</v>
      </c>
      <c r="AF601" s="42" t="str">
        <f t="shared" si="9"/>
        <v>P007</v>
      </c>
    </row>
    <row r="602" spans="1:32" ht="43.2" hidden="1" x14ac:dyDescent="0.3">
      <c r="A602" s="12" t="e" cm="1">
        <f t="array" aca="1" ref="A602" ca="1">IF(STAT[[#This Row],[retranca]]="","",       RegxFunc(STAT[[#This Row],[retranca]],  "\w\d{4}\w*_\d")     )</f>
        <v>#NAME?</v>
      </c>
      <c r="B602" s="21" t="s">
        <v>1415</v>
      </c>
      <c r="C602" s="14" t="s">
        <v>72</v>
      </c>
      <c r="D602" s="15" t="s">
        <v>9</v>
      </c>
      <c r="E602" s="14" t="s">
        <v>10</v>
      </c>
      <c r="F602" s="14">
        <v>44</v>
      </c>
      <c r="G602" s="14">
        <v>3</v>
      </c>
      <c r="H602" s="14">
        <v>7</v>
      </c>
      <c r="I602" s="14">
        <v>7</v>
      </c>
      <c r="J602" s="28" t="s">
        <v>55</v>
      </c>
      <c r="K602" s="36"/>
      <c r="L602" s="14"/>
      <c r="M602" s="14"/>
      <c r="N602" s="14"/>
      <c r="O602" s="14"/>
      <c r="P602" s="25" t="s">
        <v>1416</v>
      </c>
      <c r="Q602" s="21"/>
      <c r="R602" s="22"/>
      <c r="S602" s="14">
        <v>82</v>
      </c>
      <c r="T602" s="27">
        <v>45897</v>
      </c>
      <c r="U602" s="27">
        <v>45901</v>
      </c>
      <c r="V602" s="27">
        <v>45903</v>
      </c>
      <c r="W602" s="27">
        <v>45904</v>
      </c>
      <c r="X602" s="27">
        <v>45904</v>
      </c>
      <c r="Y602" s="14" t="s">
        <v>119</v>
      </c>
      <c r="Z602" s="40" t="str">
        <f>IF(STAT[[#This Row],[sigla]]="","",VLOOKUP(STAT[[#This Row],[sigla]],CRÉDITOS_GERAIS[[sigla]:[credito]],2,))</f>
        <v>Bianca Tavares</v>
      </c>
      <c r="AA602" s="14"/>
      <c r="AB602" s="14" t="str">
        <f>STAT[[#This Row],[ilustrador]]</f>
        <v>Bianca Tavares</v>
      </c>
      <c r="AC602" s="14">
        <v>6</v>
      </c>
      <c r="AD602" s="22" t="s">
        <v>1414</v>
      </c>
      <c r="AE602" s="15" t="s">
        <v>87</v>
      </c>
      <c r="AF602" s="42" t="str">
        <f t="shared" si="9"/>
        <v>P007</v>
      </c>
    </row>
    <row r="603" spans="1:32" ht="28.8" hidden="1" x14ac:dyDescent="0.3">
      <c r="A603" s="12" t="e" cm="1">
        <f t="array" aca="1" ref="A603" ca="1">IF(STAT[[#This Row],[retranca]]="","",       RegxFunc(STAT[[#This Row],[retranca]],  "\w\d{4}\w*_\d")     )</f>
        <v>#NAME?</v>
      </c>
      <c r="B603" s="21" t="s">
        <v>1417</v>
      </c>
      <c r="C603" s="14" t="s">
        <v>72</v>
      </c>
      <c r="D603" s="15" t="s">
        <v>9</v>
      </c>
      <c r="E603" s="14" t="s">
        <v>10</v>
      </c>
      <c r="F603" s="14">
        <v>45</v>
      </c>
      <c r="G603" s="14">
        <v>3</v>
      </c>
      <c r="H603" s="14">
        <v>7</v>
      </c>
      <c r="I603" s="14">
        <v>7</v>
      </c>
      <c r="J603" s="28" t="s">
        <v>55</v>
      </c>
      <c r="K603" s="36"/>
      <c r="L603" s="14"/>
      <c r="M603" s="14"/>
      <c r="N603" s="14"/>
      <c r="O603" s="14"/>
      <c r="P603" s="25" t="s">
        <v>1418</v>
      </c>
      <c r="Q603" s="22"/>
      <c r="R603" s="22"/>
      <c r="S603" s="14">
        <v>82</v>
      </c>
      <c r="T603" s="27">
        <v>45897</v>
      </c>
      <c r="U603" s="27">
        <v>45901</v>
      </c>
      <c r="V603" s="27">
        <v>45903</v>
      </c>
      <c r="W603" s="27">
        <v>45904</v>
      </c>
      <c r="X603" s="27">
        <v>45904</v>
      </c>
      <c r="Y603" s="14" t="s">
        <v>119</v>
      </c>
      <c r="Z603" s="40" t="str">
        <f>IF(STAT[[#This Row],[sigla]]="","",VLOOKUP(STAT[[#This Row],[sigla]],CRÉDITOS_GERAIS[[sigla]:[credito]],2,))</f>
        <v>Bianca Tavares</v>
      </c>
      <c r="AA603" s="14"/>
      <c r="AB603" s="14" t="str">
        <f>STAT[[#This Row],[ilustrador]]</f>
        <v>Bianca Tavares</v>
      </c>
      <c r="AC603" s="14">
        <v>5</v>
      </c>
      <c r="AD603" s="22" t="s">
        <v>1414</v>
      </c>
      <c r="AE603" s="15" t="s">
        <v>87</v>
      </c>
      <c r="AF603" s="42" t="str">
        <f t="shared" si="9"/>
        <v>P007</v>
      </c>
    </row>
    <row r="604" spans="1:32" ht="43.2" hidden="1" x14ac:dyDescent="0.3">
      <c r="A604" s="12" t="e" cm="1">
        <f t="array" aca="1" ref="A604" ca="1">IF(STAT[[#This Row],[retranca]]="","",       RegxFunc(STAT[[#This Row],[retranca]],  "\w\d{4}\w*_\d")     )</f>
        <v>#NAME?</v>
      </c>
      <c r="B604" s="21" t="s">
        <v>1419</v>
      </c>
      <c r="C604" s="14" t="s">
        <v>72</v>
      </c>
      <c r="D604" s="15" t="s">
        <v>143</v>
      </c>
      <c r="E604" s="14" t="s">
        <v>10</v>
      </c>
      <c r="F604" s="14">
        <v>47</v>
      </c>
      <c r="G604" s="14">
        <v>3</v>
      </c>
      <c r="H604" s="14">
        <v>7</v>
      </c>
      <c r="I604" s="14">
        <v>7</v>
      </c>
      <c r="J604" s="28" t="s">
        <v>55</v>
      </c>
      <c r="K604" s="36"/>
      <c r="L604" s="14"/>
      <c r="M604" s="14"/>
      <c r="N604" s="14"/>
      <c r="O604" s="14"/>
      <c r="P604" s="25" t="s">
        <v>1420</v>
      </c>
      <c r="Q604" s="22"/>
      <c r="R604" s="22"/>
      <c r="S604" s="14">
        <v>82</v>
      </c>
      <c r="T604" s="27">
        <v>45897</v>
      </c>
      <c r="U604" s="27">
        <v>45901</v>
      </c>
      <c r="V604" s="27">
        <v>45903</v>
      </c>
      <c r="W604" s="27">
        <v>45904</v>
      </c>
      <c r="X604" s="27">
        <v>45904</v>
      </c>
      <c r="Y604" s="14" t="s">
        <v>119</v>
      </c>
      <c r="Z604" s="40" t="str">
        <f>IF(STAT[[#This Row],[sigla]]="","",VLOOKUP(STAT[[#This Row],[sigla]],CRÉDITOS_GERAIS[[sigla]:[credito]],2,))</f>
        <v>Bianca Tavares</v>
      </c>
      <c r="AA604" s="14"/>
      <c r="AB604" s="14" t="str">
        <f>STAT[[#This Row],[ilustrador]]</f>
        <v>Bianca Tavares</v>
      </c>
      <c r="AC604" s="14">
        <v>7</v>
      </c>
      <c r="AD604" s="22" t="s">
        <v>1414</v>
      </c>
      <c r="AE604" s="15" t="s">
        <v>87</v>
      </c>
      <c r="AF604" s="42" t="str">
        <f t="shared" si="9"/>
        <v>P007</v>
      </c>
    </row>
    <row r="605" spans="1:32" ht="28.8" hidden="1" x14ac:dyDescent="0.3">
      <c r="A605" s="12" t="e" cm="1">
        <f t="array" aca="1" ref="A605" ca="1">IF(STAT[[#This Row],[retranca]]="","",       RegxFunc(STAT[[#This Row],[retranca]],  "\w\d{4}\w*_\d")     )</f>
        <v>#NAME?</v>
      </c>
      <c r="B605" s="21" t="s">
        <v>1421</v>
      </c>
      <c r="C605" s="14" t="s">
        <v>72</v>
      </c>
      <c r="D605" s="15" t="s">
        <v>9</v>
      </c>
      <c r="E605" s="14" t="s">
        <v>10</v>
      </c>
      <c r="F605" s="14">
        <v>4</v>
      </c>
      <c r="G605" s="14">
        <v>3</v>
      </c>
      <c r="H605" s="14">
        <v>0</v>
      </c>
      <c r="I605" s="14" t="s">
        <v>112</v>
      </c>
      <c r="J605" s="28" t="s">
        <v>55</v>
      </c>
      <c r="K605" s="36"/>
      <c r="L605" s="14"/>
      <c r="M605" s="14"/>
      <c r="N605" s="14"/>
      <c r="O605" s="14"/>
      <c r="P605" s="25" t="s">
        <v>1422</v>
      </c>
      <c r="Q605" s="22"/>
      <c r="R605" s="22"/>
      <c r="S605" s="14">
        <v>82</v>
      </c>
      <c r="T605" s="27">
        <v>45897</v>
      </c>
      <c r="U605" s="27">
        <v>45901</v>
      </c>
      <c r="V605" s="27">
        <v>45903</v>
      </c>
      <c r="W605" s="27">
        <v>45904</v>
      </c>
      <c r="X605" s="27">
        <v>45904</v>
      </c>
      <c r="Y605" s="14" t="s">
        <v>119</v>
      </c>
      <c r="Z605" s="40" t="str">
        <f>IF(STAT[[#This Row],[sigla]]="","",VLOOKUP(STAT[[#This Row],[sigla]],CRÉDITOS_GERAIS[[sigla]:[credito]],2,))</f>
        <v>Bianca Tavares</v>
      </c>
      <c r="AA605" s="14"/>
      <c r="AB605" s="14" t="str">
        <f>STAT[[#This Row],[ilustrador]]</f>
        <v>Bianca Tavares</v>
      </c>
      <c r="AC605" s="14">
        <v>7</v>
      </c>
      <c r="AD605" s="22" t="s">
        <v>1414</v>
      </c>
      <c r="AE605" s="15" t="s">
        <v>87</v>
      </c>
      <c r="AF605" s="42" t="str">
        <f t="shared" si="9"/>
        <v>P007</v>
      </c>
    </row>
    <row r="606" spans="1:32" ht="158.4" hidden="1" x14ac:dyDescent="0.3">
      <c r="A606" s="12" t="e" cm="1">
        <f t="array" aca="1" ref="A606" ca="1">IF(STAT[[#This Row],[retranca]]="","",       RegxFunc(STAT[[#This Row],[retranca]],  "\w\d{4}\w*_\d")     )</f>
        <v>#NAME?</v>
      </c>
      <c r="B606" s="21" t="s">
        <v>1423</v>
      </c>
      <c r="C606" s="14" t="s">
        <v>72</v>
      </c>
      <c r="D606" s="15" t="s">
        <v>9</v>
      </c>
      <c r="E606" s="14" t="s">
        <v>471</v>
      </c>
      <c r="F606" s="14">
        <v>75</v>
      </c>
      <c r="G606" s="14">
        <v>0</v>
      </c>
      <c r="H606" s="14">
        <v>2</v>
      </c>
      <c r="I606" s="14">
        <v>2</v>
      </c>
      <c r="J606" s="28" t="s">
        <v>55</v>
      </c>
      <c r="K606" s="36"/>
      <c r="L606" s="14"/>
      <c r="M606" s="14"/>
      <c r="N606" s="14"/>
      <c r="O606" s="14"/>
      <c r="P606" s="25" t="s">
        <v>1424</v>
      </c>
      <c r="Q606" s="22"/>
      <c r="R606" s="22"/>
      <c r="S606" s="14">
        <v>83</v>
      </c>
      <c r="T606" s="27">
        <v>45901</v>
      </c>
      <c r="U606" s="27">
        <v>45908</v>
      </c>
      <c r="V606" s="27">
        <v>45910</v>
      </c>
      <c r="W606" s="27">
        <v>45911</v>
      </c>
      <c r="X606" s="27">
        <v>45917</v>
      </c>
      <c r="Y606" s="14" t="s">
        <v>583</v>
      </c>
      <c r="Z606" s="40" t="str">
        <f>IF(STAT[[#This Row],[sigla]]="","",VLOOKUP(STAT[[#This Row],[sigla]],CRÉDITOS_GERAIS[[sigla]:[credito]],2,))</f>
        <v>Karina Oliveira</v>
      </c>
      <c r="AA606" s="14"/>
      <c r="AB606" s="14" t="str">
        <f>STAT[[#This Row],[ilustrador]]</f>
        <v>Karina Oliveira</v>
      </c>
      <c r="AC606" s="14">
        <v>3</v>
      </c>
      <c r="AD606" s="22" t="s">
        <v>1425</v>
      </c>
      <c r="AE606" s="15" t="s">
        <v>87</v>
      </c>
      <c r="AF606" s="42" t="str">
        <f t="shared" si="9"/>
        <v>P007</v>
      </c>
    </row>
    <row r="607" spans="1:32" ht="158.4" hidden="1" x14ac:dyDescent="0.3">
      <c r="A607" s="12" t="e" cm="1">
        <f t="array" aca="1" ref="A607" ca="1">IF(STAT[[#This Row],[retranca]]="","",       RegxFunc(STAT[[#This Row],[retranca]],  "\w\d{4}\w*_\d")     )</f>
        <v>#NAME?</v>
      </c>
      <c r="B607" s="21" t="s">
        <v>1426</v>
      </c>
      <c r="C607" s="14" t="s">
        <v>72</v>
      </c>
      <c r="D607" s="15" t="s">
        <v>9</v>
      </c>
      <c r="E607" s="14" t="s">
        <v>471</v>
      </c>
      <c r="F607" s="14">
        <v>76</v>
      </c>
      <c r="G607" s="14">
        <v>0</v>
      </c>
      <c r="H607" s="14">
        <v>2</v>
      </c>
      <c r="I607" s="14">
        <v>2</v>
      </c>
      <c r="J607" s="28" t="s">
        <v>55</v>
      </c>
      <c r="K607" s="36"/>
      <c r="L607" s="14"/>
      <c r="M607" s="14"/>
      <c r="N607" s="14"/>
      <c r="O607" s="14"/>
      <c r="P607" s="25" t="s">
        <v>1427</v>
      </c>
      <c r="Q607" s="22"/>
      <c r="R607" s="22"/>
      <c r="S607" s="14">
        <v>83</v>
      </c>
      <c r="T607" s="27">
        <v>45901</v>
      </c>
      <c r="U607" s="27">
        <v>45908</v>
      </c>
      <c r="V607" s="27">
        <v>45911</v>
      </c>
      <c r="W607" s="27">
        <v>45912</v>
      </c>
      <c r="X607" s="27">
        <v>45917</v>
      </c>
      <c r="Y607" s="14" t="s">
        <v>583</v>
      </c>
      <c r="Z607" s="40" t="str">
        <f>IF(STAT[[#This Row],[sigla]]="","",VLOOKUP(STAT[[#This Row],[sigla]],CRÉDITOS_GERAIS[[sigla]:[credito]],2,))</f>
        <v>Karina Oliveira</v>
      </c>
      <c r="AA607" s="14"/>
      <c r="AB607" s="14" t="str">
        <f>STAT[[#This Row],[ilustrador]]</f>
        <v>Karina Oliveira</v>
      </c>
      <c r="AC607" s="14">
        <v>3</v>
      </c>
      <c r="AD607" s="22" t="s">
        <v>1425</v>
      </c>
      <c r="AE607" s="15" t="s">
        <v>87</v>
      </c>
      <c r="AF607" s="42" t="str">
        <f t="shared" si="9"/>
        <v>P007</v>
      </c>
    </row>
    <row r="608" spans="1:32" ht="100.8" hidden="1" x14ac:dyDescent="0.3">
      <c r="A608" s="12" t="e" cm="1">
        <f t="array" aca="1" ref="A608" ca="1">IF(STAT[[#This Row],[retranca]]="","",       RegxFunc(STAT[[#This Row],[retranca]],  "\w\d{4}\w*_\d")     )</f>
        <v>#NAME?</v>
      </c>
      <c r="B608" s="21" t="s">
        <v>1428</v>
      </c>
      <c r="C608" s="14" t="s">
        <v>8</v>
      </c>
      <c r="D608" s="15" t="s">
        <v>9</v>
      </c>
      <c r="E608" s="14" t="s">
        <v>471</v>
      </c>
      <c r="F608" s="14">
        <v>77</v>
      </c>
      <c r="G608" s="14">
        <v>0</v>
      </c>
      <c r="H608" s="14">
        <v>2</v>
      </c>
      <c r="I608" s="14">
        <v>2</v>
      </c>
      <c r="J608" s="28" t="s">
        <v>55</v>
      </c>
      <c r="K608" s="36"/>
      <c r="L608" s="14"/>
      <c r="M608" s="14"/>
      <c r="N608" s="14"/>
      <c r="O608" s="14"/>
      <c r="P608" s="25" t="s">
        <v>1429</v>
      </c>
      <c r="Q608" s="22"/>
      <c r="R608" s="22"/>
      <c r="S608" s="14">
        <v>83</v>
      </c>
      <c r="T608" s="27">
        <v>45901</v>
      </c>
      <c r="U608" s="27">
        <v>45908</v>
      </c>
      <c r="V608" s="27">
        <v>45910</v>
      </c>
      <c r="W608" s="27">
        <v>45911</v>
      </c>
      <c r="X608" s="27">
        <v>45917</v>
      </c>
      <c r="Y608" s="14" t="s">
        <v>583</v>
      </c>
      <c r="Z608" s="40" t="str">
        <f>IF(STAT[[#This Row],[sigla]]="","",VLOOKUP(STAT[[#This Row],[sigla]],CRÉDITOS_GERAIS[[sigla]:[credito]],2,))</f>
        <v>Karina Oliveira</v>
      </c>
      <c r="AA608" s="14"/>
      <c r="AB608" s="14" t="str">
        <f>STAT[[#This Row],[ilustrador]]</f>
        <v>Karina Oliveira</v>
      </c>
      <c r="AC608" s="14">
        <v>5</v>
      </c>
      <c r="AD608" s="22" t="s">
        <v>1425</v>
      </c>
      <c r="AE608" s="15" t="s">
        <v>87</v>
      </c>
      <c r="AF608" s="42" t="str">
        <f t="shared" si="9"/>
        <v>P007</v>
      </c>
    </row>
    <row r="609" spans="1:32" ht="129.6" hidden="1" x14ac:dyDescent="0.3">
      <c r="A609" s="12" t="e" cm="1">
        <f t="array" aca="1" ref="A609" ca="1">IF(STAT[[#This Row],[retranca]]="","",       RegxFunc(STAT[[#This Row],[retranca]],  "\w\d{4}\w*_\d")     )</f>
        <v>#NAME?</v>
      </c>
      <c r="B609" s="21" t="s">
        <v>1430</v>
      </c>
      <c r="C609" s="14" t="s">
        <v>72</v>
      </c>
      <c r="D609" s="15" t="s">
        <v>9</v>
      </c>
      <c r="E609" s="14" t="s">
        <v>471</v>
      </c>
      <c r="F609" s="14">
        <v>77</v>
      </c>
      <c r="G609" s="14">
        <v>0</v>
      </c>
      <c r="H609" s="14">
        <v>2</v>
      </c>
      <c r="I609" s="14">
        <v>2</v>
      </c>
      <c r="J609" s="28" t="s">
        <v>55</v>
      </c>
      <c r="K609" s="36"/>
      <c r="L609" s="14"/>
      <c r="M609" s="14"/>
      <c r="N609" s="14"/>
      <c r="O609" s="14"/>
      <c r="P609" s="25" t="s">
        <v>1431</v>
      </c>
      <c r="Q609" s="22"/>
      <c r="R609" s="22"/>
      <c r="S609" s="14">
        <v>83</v>
      </c>
      <c r="T609" s="27">
        <v>45901</v>
      </c>
      <c r="U609" s="27">
        <v>45908</v>
      </c>
      <c r="V609" s="27">
        <v>45910</v>
      </c>
      <c r="W609" s="27">
        <v>45911</v>
      </c>
      <c r="X609" s="27">
        <v>45919</v>
      </c>
      <c r="Y609" s="14" t="s">
        <v>583</v>
      </c>
      <c r="Z609" s="40" t="str">
        <f>IF(STAT[[#This Row],[sigla]]="","",VLOOKUP(STAT[[#This Row],[sigla]],CRÉDITOS_GERAIS[[sigla]:[credito]],2,))</f>
        <v>Karina Oliveira</v>
      </c>
      <c r="AA609" s="14"/>
      <c r="AB609" s="14" t="str">
        <f>STAT[[#This Row],[ilustrador]]</f>
        <v>Karina Oliveira</v>
      </c>
      <c r="AC609" s="14">
        <v>3</v>
      </c>
      <c r="AD609" s="22" t="s">
        <v>1425</v>
      </c>
      <c r="AE609" s="15" t="s">
        <v>87</v>
      </c>
      <c r="AF609" s="42" t="str">
        <f t="shared" si="9"/>
        <v>P007</v>
      </c>
    </row>
    <row r="610" spans="1:32" ht="115.2" hidden="1" x14ac:dyDescent="0.3">
      <c r="A610" s="12" t="e" cm="1">
        <f t="array" aca="1" ref="A610" ca="1">IF(STAT[[#This Row],[retranca]]="","",       RegxFunc(STAT[[#This Row],[retranca]],  "\w\d{4}\w*_\d")     )</f>
        <v>#NAME?</v>
      </c>
      <c r="B610" s="21" t="s">
        <v>1432</v>
      </c>
      <c r="C610" s="14" t="s">
        <v>72</v>
      </c>
      <c r="D610" s="15" t="s">
        <v>9</v>
      </c>
      <c r="E610" s="14" t="s">
        <v>471</v>
      </c>
      <c r="F610" s="14">
        <v>77</v>
      </c>
      <c r="G610" s="14">
        <v>0</v>
      </c>
      <c r="H610" s="14">
        <v>2</v>
      </c>
      <c r="I610" s="14">
        <v>2</v>
      </c>
      <c r="J610" s="28" t="s">
        <v>55</v>
      </c>
      <c r="K610" s="36"/>
      <c r="L610" s="14"/>
      <c r="M610" s="14"/>
      <c r="N610" s="14"/>
      <c r="O610" s="14"/>
      <c r="P610" s="25" t="s">
        <v>1433</v>
      </c>
      <c r="Q610" s="22"/>
      <c r="R610" s="22"/>
      <c r="S610" s="14">
        <v>83</v>
      </c>
      <c r="T610" s="27">
        <v>45901</v>
      </c>
      <c r="U610" s="27">
        <v>45908</v>
      </c>
      <c r="V610" s="27">
        <v>45911</v>
      </c>
      <c r="W610" s="27">
        <v>45912</v>
      </c>
      <c r="X610" s="27">
        <v>45919</v>
      </c>
      <c r="Y610" s="14" t="s">
        <v>583</v>
      </c>
      <c r="Z610" s="40" t="str">
        <f>IF(STAT[[#This Row],[sigla]]="","",VLOOKUP(STAT[[#This Row],[sigla]],CRÉDITOS_GERAIS[[sigla]:[credito]],2,))</f>
        <v>Karina Oliveira</v>
      </c>
      <c r="AA610" s="14"/>
      <c r="AB610" s="14" t="str">
        <f>STAT[[#This Row],[ilustrador]]</f>
        <v>Karina Oliveira</v>
      </c>
      <c r="AC610" s="14">
        <v>3</v>
      </c>
      <c r="AD610" s="22" t="s">
        <v>1425</v>
      </c>
      <c r="AE610" s="15" t="s">
        <v>87</v>
      </c>
      <c r="AF610" s="42" t="str">
        <f t="shared" si="9"/>
        <v>P007</v>
      </c>
    </row>
    <row r="611" spans="1:32" ht="100.8" hidden="1" x14ac:dyDescent="0.3">
      <c r="A611" s="12" t="e" cm="1">
        <f t="array" aca="1" ref="A611" ca="1">IF(STAT[[#This Row],[retranca]]="","",       RegxFunc(STAT[[#This Row],[retranca]],  "\w\d{4}\w*_\d")     )</f>
        <v>#NAME?</v>
      </c>
      <c r="B611" s="21" t="s">
        <v>1434</v>
      </c>
      <c r="C611" s="14" t="s">
        <v>72</v>
      </c>
      <c r="D611" s="15" t="s">
        <v>9</v>
      </c>
      <c r="E611" s="14" t="s">
        <v>471</v>
      </c>
      <c r="F611" s="14">
        <v>78</v>
      </c>
      <c r="G611" s="14">
        <v>0</v>
      </c>
      <c r="H611" s="14">
        <v>2</v>
      </c>
      <c r="I611" s="14">
        <v>2</v>
      </c>
      <c r="J611" s="28" t="s">
        <v>55</v>
      </c>
      <c r="K611" s="36"/>
      <c r="L611" s="14"/>
      <c r="M611" s="14"/>
      <c r="N611" s="14"/>
      <c r="O611" s="14"/>
      <c r="P611" s="25" t="s">
        <v>1435</v>
      </c>
      <c r="Q611" s="22"/>
      <c r="R611" s="22"/>
      <c r="S611" s="14">
        <v>83</v>
      </c>
      <c r="T611" s="27">
        <v>45901</v>
      </c>
      <c r="U611" s="27">
        <v>45908</v>
      </c>
      <c r="V611" s="27">
        <v>45916</v>
      </c>
      <c r="W611" s="27">
        <v>45916</v>
      </c>
      <c r="X611" s="27">
        <v>45919</v>
      </c>
      <c r="Y611" s="14" t="s">
        <v>1436</v>
      </c>
      <c r="Z611" s="40" t="str">
        <f>IF(STAT[[#This Row],[sigla]]="","",VLOOKUP(STAT[[#This Row],[sigla]],CRÉDITOS_GERAIS[[sigla]:[credito]],2,))</f>
        <v>Ezequiel Silva</v>
      </c>
      <c r="AA611" s="14"/>
      <c r="AB611" s="14" t="str">
        <f>STAT[[#This Row],[ilustrador]]</f>
        <v>Ezequiel Silva</v>
      </c>
      <c r="AC611" s="14">
        <v>3</v>
      </c>
      <c r="AD611" s="22" t="s">
        <v>1437</v>
      </c>
      <c r="AE611" s="15" t="s">
        <v>87</v>
      </c>
      <c r="AF611" s="42" t="str">
        <f t="shared" si="9"/>
        <v>P007</v>
      </c>
    </row>
    <row r="612" spans="1:32" ht="172.8" hidden="1" x14ac:dyDescent="0.3">
      <c r="A612" s="12" t="e" cm="1">
        <f t="array" aca="1" ref="A612" ca="1">IF(STAT[[#This Row],[retranca]]="","",       RegxFunc(STAT[[#This Row],[retranca]],  "\w\d{4}\w*_\d")     )</f>
        <v>#NAME?</v>
      </c>
      <c r="B612" s="21" t="s">
        <v>1438</v>
      </c>
      <c r="C612" s="14" t="s">
        <v>72</v>
      </c>
      <c r="D612" s="15" t="s">
        <v>9</v>
      </c>
      <c r="E612" s="14" t="s">
        <v>471</v>
      </c>
      <c r="F612" s="14">
        <v>79</v>
      </c>
      <c r="G612" s="14">
        <v>0</v>
      </c>
      <c r="H612" s="14">
        <v>2</v>
      </c>
      <c r="I612" s="14">
        <v>2</v>
      </c>
      <c r="J612" s="28" t="s">
        <v>55</v>
      </c>
      <c r="K612" s="36"/>
      <c r="L612" s="14"/>
      <c r="M612" s="14"/>
      <c r="N612" s="14"/>
      <c r="O612" s="14"/>
      <c r="P612" s="25" t="s">
        <v>1439</v>
      </c>
      <c r="Q612" s="22"/>
      <c r="R612" s="22"/>
      <c r="S612" s="14">
        <v>83</v>
      </c>
      <c r="T612" s="27">
        <v>45901</v>
      </c>
      <c r="U612" s="27">
        <v>45908</v>
      </c>
      <c r="V612" s="27">
        <v>45915</v>
      </c>
      <c r="W612" s="27">
        <v>45916</v>
      </c>
      <c r="X612" s="27">
        <v>45919</v>
      </c>
      <c r="Y612" s="14" t="s">
        <v>1436</v>
      </c>
      <c r="Z612" s="40" t="str">
        <f>IF(STAT[[#This Row],[sigla]]="","",VLOOKUP(STAT[[#This Row],[sigla]],CRÉDITOS_GERAIS[[sigla]:[credito]],2,))</f>
        <v>Ezequiel Silva</v>
      </c>
      <c r="AA612" s="14"/>
      <c r="AB612" s="14" t="str">
        <f>STAT[[#This Row],[ilustrador]]</f>
        <v>Ezequiel Silva</v>
      </c>
      <c r="AC612" s="14">
        <v>3</v>
      </c>
      <c r="AD612" s="22" t="s">
        <v>1437</v>
      </c>
      <c r="AE612" s="15" t="s">
        <v>87</v>
      </c>
      <c r="AF612" s="42" t="str">
        <f t="shared" si="9"/>
        <v>P007</v>
      </c>
    </row>
    <row r="613" spans="1:32" ht="129.6" hidden="1" x14ac:dyDescent="0.3">
      <c r="A613" s="12" t="e" cm="1">
        <f t="array" aca="1" ref="A613" ca="1">IF(STAT[[#This Row],[retranca]]="","",       RegxFunc(STAT[[#This Row],[retranca]],  "\w\d{4}\w*_\d")     )</f>
        <v>#NAME?</v>
      </c>
      <c r="B613" s="21" t="s">
        <v>1440</v>
      </c>
      <c r="C613" s="14" t="s">
        <v>72</v>
      </c>
      <c r="D613" s="15" t="s">
        <v>9</v>
      </c>
      <c r="E613" s="14" t="s">
        <v>471</v>
      </c>
      <c r="F613" s="14"/>
      <c r="G613" s="14">
        <v>0</v>
      </c>
      <c r="H613" s="14">
        <v>2</v>
      </c>
      <c r="I613" s="14">
        <v>2</v>
      </c>
      <c r="J613" s="28" t="s">
        <v>55</v>
      </c>
      <c r="K613" s="36"/>
      <c r="L613" s="14"/>
      <c r="M613" s="14"/>
      <c r="N613" s="14"/>
      <c r="O613" s="14"/>
      <c r="P613" s="25" t="s">
        <v>1441</v>
      </c>
      <c r="Q613" s="22"/>
      <c r="R613" s="22"/>
      <c r="S613" s="14">
        <v>83</v>
      </c>
      <c r="T613" s="27">
        <v>45901</v>
      </c>
      <c r="U613" s="27">
        <v>45908</v>
      </c>
      <c r="V613" s="27">
        <v>45915</v>
      </c>
      <c r="W613" s="27">
        <v>45916</v>
      </c>
      <c r="X613" s="27">
        <v>45919</v>
      </c>
      <c r="Y613" s="14" t="s">
        <v>1436</v>
      </c>
      <c r="Z613" s="40" t="str">
        <f>IF(STAT[[#This Row],[sigla]]="","",VLOOKUP(STAT[[#This Row],[sigla]],CRÉDITOS_GERAIS[[sigla]:[credito]],2,))</f>
        <v>Ezequiel Silva</v>
      </c>
      <c r="AA613" s="14"/>
      <c r="AB613" s="14" t="str">
        <f>STAT[[#This Row],[ilustrador]]</f>
        <v>Ezequiel Silva</v>
      </c>
      <c r="AC613" s="14">
        <v>3</v>
      </c>
      <c r="AD613" s="22" t="s">
        <v>1437</v>
      </c>
      <c r="AE613" s="15" t="s">
        <v>87</v>
      </c>
      <c r="AF613" s="42" t="str">
        <f t="shared" si="9"/>
        <v>P007</v>
      </c>
    </row>
    <row r="614" spans="1:32" ht="57.6" hidden="1" x14ac:dyDescent="0.3">
      <c r="A614" s="12" t="e" cm="1">
        <f t="array" aca="1" ref="A614" ca="1">IF(STAT[[#This Row],[retranca]]="","",       RegxFunc(STAT[[#This Row],[retranca]],  "\w\d{4}\w*_\d")     )</f>
        <v>#NAME?</v>
      </c>
      <c r="B614" s="21" t="s">
        <v>1442</v>
      </c>
      <c r="C614" s="14" t="s">
        <v>72</v>
      </c>
      <c r="D614" s="15" t="s">
        <v>9</v>
      </c>
      <c r="E614" s="14" t="s">
        <v>471</v>
      </c>
      <c r="F614" s="14"/>
      <c r="G614" s="14">
        <v>0</v>
      </c>
      <c r="H614" s="14">
        <v>2</v>
      </c>
      <c r="I614" s="14">
        <v>2</v>
      </c>
      <c r="J614" s="28" t="s">
        <v>55</v>
      </c>
      <c r="K614" s="36"/>
      <c r="L614" s="14"/>
      <c r="M614" s="14"/>
      <c r="N614" s="14"/>
      <c r="O614" s="14"/>
      <c r="P614" s="25" t="s">
        <v>1443</v>
      </c>
      <c r="Q614" s="21"/>
      <c r="R614" s="22"/>
      <c r="S614" s="14">
        <v>83</v>
      </c>
      <c r="T614" s="27">
        <v>45901</v>
      </c>
      <c r="U614" s="27">
        <v>45908</v>
      </c>
      <c r="V614" s="27">
        <v>45916</v>
      </c>
      <c r="W614" s="27">
        <v>45916</v>
      </c>
      <c r="X614" s="27">
        <v>45919</v>
      </c>
      <c r="Y614" s="14" t="s">
        <v>1436</v>
      </c>
      <c r="Z614" s="40" t="str">
        <f>IF(STAT[[#This Row],[sigla]]="","",VLOOKUP(STAT[[#This Row],[sigla]],CRÉDITOS_GERAIS[[sigla]:[credito]],2,))</f>
        <v>Ezequiel Silva</v>
      </c>
      <c r="AA614" s="14"/>
      <c r="AB614" s="14" t="str">
        <f>STAT[[#This Row],[ilustrador]]</f>
        <v>Ezequiel Silva</v>
      </c>
      <c r="AC614" s="14">
        <v>3</v>
      </c>
      <c r="AD614" s="22" t="s">
        <v>1437</v>
      </c>
      <c r="AE614" s="15" t="s">
        <v>87</v>
      </c>
      <c r="AF614" s="42" t="str">
        <f t="shared" si="9"/>
        <v>P007</v>
      </c>
    </row>
    <row r="615" spans="1:32" ht="72" hidden="1" x14ac:dyDescent="0.3">
      <c r="A615" s="12" t="e" cm="1">
        <f t="array" aca="1" ref="A615" ca="1">IF(STAT[[#This Row],[retranca]]="","",       RegxFunc(STAT[[#This Row],[retranca]],  "\w\d{4}\w*_\d")     )</f>
        <v>#NAME?</v>
      </c>
      <c r="B615" s="21" t="s">
        <v>1444</v>
      </c>
      <c r="C615" s="14" t="s">
        <v>72</v>
      </c>
      <c r="D615" s="15" t="s">
        <v>9</v>
      </c>
      <c r="E615" s="14" t="s">
        <v>471</v>
      </c>
      <c r="F615" s="14"/>
      <c r="G615" s="14">
        <v>0</v>
      </c>
      <c r="H615" s="14">
        <v>2</v>
      </c>
      <c r="I615" s="14">
        <v>2</v>
      </c>
      <c r="J615" s="28" t="s">
        <v>55</v>
      </c>
      <c r="K615" s="36"/>
      <c r="L615" s="14"/>
      <c r="M615" s="14"/>
      <c r="N615" s="14"/>
      <c r="O615" s="14"/>
      <c r="P615" s="25" t="s">
        <v>1445</v>
      </c>
      <c r="Q615" s="21"/>
      <c r="R615" s="22"/>
      <c r="S615" s="14">
        <v>83</v>
      </c>
      <c r="T615" s="27">
        <v>45901</v>
      </c>
      <c r="U615" s="27">
        <v>45908</v>
      </c>
      <c r="V615" s="27">
        <v>45915</v>
      </c>
      <c r="W615" s="27">
        <v>45916</v>
      </c>
      <c r="X615" s="27">
        <v>45919</v>
      </c>
      <c r="Y615" s="14" t="s">
        <v>1436</v>
      </c>
      <c r="Z615" s="40" t="str">
        <f>IF(STAT[[#This Row],[sigla]]="","",VLOOKUP(STAT[[#This Row],[sigla]],CRÉDITOS_GERAIS[[sigla]:[credito]],2,))</f>
        <v>Ezequiel Silva</v>
      </c>
      <c r="AA615" s="14"/>
      <c r="AB615" s="14" t="str">
        <f>STAT[[#This Row],[ilustrador]]</f>
        <v>Ezequiel Silva</v>
      </c>
      <c r="AC615" s="14">
        <v>7</v>
      </c>
      <c r="AD615" s="22" t="s">
        <v>1437</v>
      </c>
      <c r="AE615" s="15" t="s">
        <v>87</v>
      </c>
      <c r="AF615" s="42" t="str">
        <f t="shared" si="9"/>
        <v>P007</v>
      </c>
    </row>
    <row r="616" spans="1:32" ht="158.4" hidden="1" x14ac:dyDescent="0.3">
      <c r="A616" s="12" t="e" cm="1">
        <f t="array" aca="1" ref="A616" ca="1">IF(STAT[[#This Row],[retranca]]="","",       RegxFunc(STAT[[#This Row],[retranca]],  "\w\d{4}\w*_\d")     )</f>
        <v>#NAME?</v>
      </c>
      <c r="B616" s="21" t="s">
        <v>1446</v>
      </c>
      <c r="C616" s="14" t="s">
        <v>72</v>
      </c>
      <c r="D616" s="15" t="s">
        <v>9</v>
      </c>
      <c r="E616" s="14" t="s">
        <v>471</v>
      </c>
      <c r="F616" s="14"/>
      <c r="G616" s="14">
        <v>0</v>
      </c>
      <c r="H616" s="14">
        <v>2</v>
      </c>
      <c r="I616" s="14">
        <v>2</v>
      </c>
      <c r="J616" s="28" t="s">
        <v>55</v>
      </c>
      <c r="K616" s="36"/>
      <c r="L616" s="14"/>
      <c r="M616" s="14"/>
      <c r="N616" s="14"/>
      <c r="O616" s="14"/>
      <c r="P616" s="25" t="s">
        <v>1447</v>
      </c>
      <c r="Q616" s="21"/>
      <c r="R616" s="22"/>
      <c r="S616" s="14">
        <v>83</v>
      </c>
      <c r="T616" s="27">
        <v>45901</v>
      </c>
      <c r="U616" s="27">
        <v>45908</v>
      </c>
      <c r="V616" s="27">
        <v>45915</v>
      </c>
      <c r="W616" s="27">
        <v>45916</v>
      </c>
      <c r="X616" s="27">
        <v>45919</v>
      </c>
      <c r="Y616" s="14" t="s">
        <v>1436</v>
      </c>
      <c r="Z616" s="40" t="str">
        <f>IF(STAT[[#This Row],[sigla]]="","",VLOOKUP(STAT[[#This Row],[sigla]],CRÉDITOS_GERAIS[[sigla]:[credito]],2,))</f>
        <v>Ezequiel Silva</v>
      </c>
      <c r="AA616" s="14"/>
      <c r="AB616" s="14" t="str">
        <f>STAT[[#This Row],[ilustrador]]</f>
        <v>Ezequiel Silva</v>
      </c>
      <c r="AC616" s="14">
        <v>2</v>
      </c>
      <c r="AD616" s="22" t="s">
        <v>1437</v>
      </c>
      <c r="AE616" s="15" t="s">
        <v>87</v>
      </c>
      <c r="AF616" s="42" t="str">
        <f t="shared" si="9"/>
        <v>P007</v>
      </c>
    </row>
    <row r="617" spans="1:32" ht="100.8" hidden="1" x14ac:dyDescent="0.3">
      <c r="A617" s="12" t="e" cm="1">
        <f t="array" aca="1" ref="A617" ca="1">IF(STAT[[#This Row],[retranca]]="","",       RegxFunc(STAT[[#This Row],[retranca]],  "\w\d{4}\w*_\d")     )</f>
        <v>#NAME?</v>
      </c>
      <c r="B617" s="21" t="s">
        <v>1448</v>
      </c>
      <c r="C617" s="14" t="s">
        <v>1084</v>
      </c>
      <c r="D617" s="15" t="s">
        <v>9</v>
      </c>
      <c r="E617" s="15" t="s">
        <v>10</v>
      </c>
      <c r="F617" s="14">
        <v>26</v>
      </c>
      <c r="G617" s="15">
        <v>2</v>
      </c>
      <c r="H617" s="14">
        <v>6</v>
      </c>
      <c r="I617" s="14">
        <v>6</v>
      </c>
      <c r="J617" s="28" t="s">
        <v>55</v>
      </c>
      <c r="K617" s="36"/>
      <c r="L617" s="14"/>
      <c r="M617" s="14"/>
      <c r="N617" s="14"/>
      <c r="O617" s="14"/>
      <c r="P617" s="25" t="s">
        <v>1449</v>
      </c>
      <c r="Q617" s="21"/>
      <c r="R617" s="22"/>
      <c r="S617" s="14">
        <v>84</v>
      </c>
      <c r="T617" s="27">
        <v>45901</v>
      </c>
      <c r="U617" s="27">
        <v>45901</v>
      </c>
      <c r="V617" s="27">
        <v>45903</v>
      </c>
      <c r="W617" s="27">
        <v>45904</v>
      </c>
      <c r="X617" s="27">
        <v>45905</v>
      </c>
      <c r="Y617" s="14" t="s">
        <v>94</v>
      </c>
      <c r="Z617" s="40" t="str">
        <f>IF(STAT[[#This Row],[sigla]]="","",VLOOKUP(STAT[[#This Row],[sigla]],CRÉDITOS_GERAIS[[sigla]:[credito]],2,))</f>
        <v>Thais Castro</v>
      </c>
      <c r="AA617" s="14"/>
      <c r="AB617" s="14" t="str">
        <f>STAT[[#This Row],[ilustrador]]</f>
        <v>Thais Castro</v>
      </c>
      <c r="AC617" s="14">
        <v>4</v>
      </c>
      <c r="AD617" s="22" t="s">
        <v>1414</v>
      </c>
      <c r="AE617" s="15" t="s">
        <v>87</v>
      </c>
      <c r="AF617" s="42" t="str">
        <f t="shared" si="9"/>
        <v>P007</v>
      </c>
    </row>
    <row r="618" spans="1:32" hidden="1" x14ac:dyDescent="0.3">
      <c r="A618" s="12" t="e" cm="1">
        <f t="array" aca="1" ref="A618" ca="1">IF(STAT[[#This Row],[retranca]]="","",       RegxFunc(STAT[[#This Row],[retranca]],  "\w\d{4}\w*_\d")     )</f>
        <v>#NAME?</v>
      </c>
      <c r="B618" s="21" t="s">
        <v>1450</v>
      </c>
      <c r="C618" s="14" t="s">
        <v>72</v>
      </c>
      <c r="D618" s="15" t="s">
        <v>9</v>
      </c>
      <c r="E618" s="15" t="s">
        <v>10</v>
      </c>
      <c r="F618" s="14">
        <v>28</v>
      </c>
      <c r="G618" s="15">
        <v>2</v>
      </c>
      <c r="H618" s="14">
        <v>6</v>
      </c>
      <c r="I618" s="14">
        <v>6</v>
      </c>
      <c r="J618" s="28" t="s">
        <v>55</v>
      </c>
      <c r="K618" s="36"/>
      <c r="L618" s="14"/>
      <c r="M618" s="14"/>
      <c r="N618" s="14"/>
      <c r="O618" s="14"/>
      <c r="P618" s="25" t="s">
        <v>1451</v>
      </c>
      <c r="Q618" s="21"/>
      <c r="R618" s="22"/>
      <c r="S618" s="14">
        <v>84</v>
      </c>
      <c r="T618" s="27">
        <v>45901</v>
      </c>
      <c r="U618" s="27">
        <v>45901</v>
      </c>
      <c r="V618" s="27">
        <v>45903</v>
      </c>
      <c r="W618" s="27">
        <v>45904</v>
      </c>
      <c r="X618" s="27">
        <v>45905</v>
      </c>
      <c r="Y618" s="14" t="s">
        <v>94</v>
      </c>
      <c r="Z618" s="40" t="str">
        <f>IF(STAT[[#This Row],[sigla]]="","",VLOOKUP(STAT[[#This Row],[sigla]],CRÉDITOS_GERAIS[[sigla]:[credito]],2,))</f>
        <v>Thais Castro</v>
      </c>
      <c r="AA618" s="14"/>
      <c r="AB618" s="14" t="str">
        <f>STAT[[#This Row],[ilustrador]]</f>
        <v>Thais Castro</v>
      </c>
      <c r="AC618" s="14">
        <v>4</v>
      </c>
      <c r="AD618" s="22" t="s">
        <v>1414</v>
      </c>
      <c r="AE618" s="15" t="s">
        <v>87</v>
      </c>
      <c r="AF618" s="42" t="str">
        <f t="shared" si="9"/>
        <v>P007</v>
      </c>
    </row>
    <row r="619" spans="1:32" ht="72" hidden="1" x14ac:dyDescent="0.3">
      <c r="A619" s="12" t="e" cm="1">
        <f t="array" aca="1" ref="A619" ca="1">IF(STAT[[#This Row],[retranca]]="","",       RegxFunc(STAT[[#This Row],[retranca]],  "\w\d{4}\w*_\d")     )</f>
        <v>#NAME?</v>
      </c>
      <c r="B619" s="21" t="s">
        <v>1452</v>
      </c>
      <c r="C619" s="14" t="s">
        <v>1084</v>
      </c>
      <c r="D619" s="15" t="s">
        <v>9</v>
      </c>
      <c r="E619" s="15" t="s">
        <v>10</v>
      </c>
      <c r="F619" s="14">
        <v>30</v>
      </c>
      <c r="G619" s="15">
        <v>2</v>
      </c>
      <c r="H619" s="14">
        <v>6</v>
      </c>
      <c r="I619" s="14">
        <v>6</v>
      </c>
      <c r="J619" s="28" t="s">
        <v>55</v>
      </c>
      <c r="K619" s="36"/>
      <c r="L619" s="14"/>
      <c r="M619" s="14"/>
      <c r="N619" s="14"/>
      <c r="O619" s="14"/>
      <c r="P619" s="25" t="s">
        <v>1453</v>
      </c>
      <c r="Q619" s="21"/>
      <c r="R619" s="22"/>
      <c r="S619" s="14">
        <v>84</v>
      </c>
      <c r="T619" s="27">
        <v>45901</v>
      </c>
      <c r="U619" s="27">
        <v>45901</v>
      </c>
      <c r="V619" s="27">
        <v>45903</v>
      </c>
      <c r="W619" s="27">
        <v>45904</v>
      </c>
      <c r="X619" s="27">
        <v>45905</v>
      </c>
      <c r="Y619" s="14" t="s">
        <v>94</v>
      </c>
      <c r="Z619" s="40" t="str">
        <f>IF(STAT[[#This Row],[sigla]]="","",VLOOKUP(STAT[[#This Row],[sigla]],CRÉDITOS_GERAIS[[sigla]:[credito]],2,))</f>
        <v>Thais Castro</v>
      </c>
      <c r="AA619" s="14"/>
      <c r="AB619" s="14" t="str">
        <f>STAT[[#This Row],[ilustrador]]</f>
        <v>Thais Castro</v>
      </c>
      <c r="AC619" s="14">
        <v>7</v>
      </c>
      <c r="AD619" s="22" t="s">
        <v>1414</v>
      </c>
      <c r="AE619" s="15" t="s">
        <v>87</v>
      </c>
      <c r="AF619" s="42" t="str">
        <f t="shared" si="9"/>
        <v>P007</v>
      </c>
    </row>
    <row r="620" spans="1:32" hidden="1" x14ac:dyDescent="0.3">
      <c r="A620" s="12" t="e" cm="1">
        <f t="array" aca="1" ref="A620" ca="1">IF(STAT[[#This Row],[retranca]]="","",       RegxFunc(STAT[[#This Row],[retranca]],  "\w\d{4}\w*_\d")     )</f>
        <v>#NAME?</v>
      </c>
      <c r="B620" s="21" t="s">
        <v>1454</v>
      </c>
      <c r="C620" s="14" t="s">
        <v>72</v>
      </c>
      <c r="D620" s="15" t="s">
        <v>532</v>
      </c>
      <c r="E620" s="15" t="s">
        <v>10</v>
      </c>
      <c r="F620" s="14">
        <v>31</v>
      </c>
      <c r="G620" s="15">
        <v>2</v>
      </c>
      <c r="H620" s="14">
        <v>6</v>
      </c>
      <c r="I620" s="14">
        <v>6</v>
      </c>
      <c r="J620" s="28" t="s">
        <v>55</v>
      </c>
      <c r="K620" s="36"/>
      <c r="L620" s="14"/>
      <c r="M620" s="14"/>
      <c r="N620" s="14"/>
      <c r="O620" s="14"/>
      <c r="P620" s="25" t="s">
        <v>1455</v>
      </c>
      <c r="Q620" s="21"/>
      <c r="R620" s="22"/>
      <c r="S620" s="14">
        <v>84</v>
      </c>
      <c r="T620" s="27">
        <v>45901</v>
      </c>
      <c r="U620" s="27">
        <v>45901</v>
      </c>
      <c r="V620" s="27"/>
      <c r="W620" s="27"/>
      <c r="X620" s="27">
        <v>45902</v>
      </c>
      <c r="Y620" s="14" t="s">
        <v>413</v>
      </c>
      <c r="Z620" s="40" t="e">
        <f>IF(STAT[[#This Row],[sigla]]="","",VLOOKUP(STAT[[#This Row],[sigla]],CRÉDITOS_GERAIS[[sigla]:[credito]],2,))</f>
        <v>#N/A</v>
      </c>
      <c r="AA620" s="14"/>
      <c r="AB620" t="s">
        <v>79</v>
      </c>
      <c r="AC620" s="14">
        <v>8</v>
      </c>
      <c r="AD620" s="22" t="s">
        <v>196</v>
      </c>
      <c r="AE620" s="15" t="s">
        <v>46</v>
      </c>
      <c r="AF620" s="42" t="str">
        <f t="shared" si="9"/>
        <v>P007</v>
      </c>
    </row>
    <row r="621" spans="1:32" hidden="1" x14ac:dyDescent="0.3">
      <c r="A621" s="12" t="e" cm="1">
        <f t="array" aca="1" ref="A621" ca="1">IF(STAT[[#This Row],[retranca]]="","",       RegxFunc(STAT[[#This Row],[retranca]],  "\w\d{4}\w*_\d")     )</f>
        <v>#NAME?</v>
      </c>
      <c r="B621" s="21" t="s">
        <v>1456</v>
      </c>
      <c r="C621" s="14" t="s">
        <v>1084</v>
      </c>
      <c r="D621" s="15" t="s">
        <v>9</v>
      </c>
      <c r="E621" s="15" t="s">
        <v>10</v>
      </c>
      <c r="F621" s="14">
        <v>31</v>
      </c>
      <c r="G621" s="15">
        <v>2</v>
      </c>
      <c r="H621" s="14">
        <v>6</v>
      </c>
      <c r="I621" s="14">
        <v>6</v>
      </c>
      <c r="J621" s="28" t="s">
        <v>55</v>
      </c>
      <c r="K621" s="36"/>
      <c r="L621" s="14"/>
      <c r="M621" s="14"/>
      <c r="N621" s="14"/>
      <c r="O621" s="14"/>
      <c r="P621" s="25" t="s">
        <v>1457</v>
      </c>
      <c r="Q621" s="21"/>
      <c r="R621" s="22"/>
      <c r="S621" s="14">
        <v>84</v>
      </c>
      <c r="T621" s="27">
        <v>45901</v>
      </c>
      <c r="U621" s="27">
        <v>45901</v>
      </c>
      <c r="V621" s="27">
        <v>45903</v>
      </c>
      <c r="W621" s="27">
        <v>45904</v>
      </c>
      <c r="X621" s="27">
        <v>45905</v>
      </c>
      <c r="Y621" s="14" t="s">
        <v>94</v>
      </c>
      <c r="Z621" s="40" t="str">
        <f>IF(STAT[[#This Row],[sigla]]="","",VLOOKUP(STAT[[#This Row],[sigla]],CRÉDITOS_GERAIS[[sigla]:[credito]],2,))</f>
        <v>Thais Castro</v>
      </c>
      <c r="AA621" s="14"/>
      <c r="AB621" s="14" t="str">
        <f>STAT[[#This Row],[ilustrador]]</f>
        <v>Thais Castro</v>
      </c>
      <c r="AC621" s="14">
        <v>7</v>
      </c>
      <c r="AD621" s="22" t="s">
        <v>1414</v>
      </c>
      <c r="AE621" s="15" t="s">
        <v>87</v>
      </c>
      <c r="AF621" s="42" t="str">
        <f t="shared" si="9"/>
        <v>P007</v>
      </c>
    </row>
    <row r="622" spans="1:32" ht="57.6" hidden="1" x14ac:dyDescent="0.3">
      <c r="A622" s="12" t="e" cm="1">
        <f t="array" aca="1" ref="A622" ca="1">IF(STAT[[#This Row],[retranca]]="","",       RegxFunc(STAT[[#This Row],[retranca]],  "\w\d{4}\w*_\d")     )</f>
        <v>#NAME?</v>
      </c>
      <c r="B622" s="21" t="s">
        <v>1458</v>
      </c>
      <c r="C622" s="14" t="s">
        <v>72</v>
      </c>
      <c r="D622" s="15" t="s">
        <v>9</v>
      </c>
      <c r="E622" s="15" t="s">
        <v>10</v>
      </c>
      <c r="F622" s="14">
        <v>33</v>
      </c>
      <c r="G622" s="15">
        <v>2</v>
      </c>
      <c r="H622" s="14">
        <v>6</v>
      </c>
      <c r="I622" s="14">
        <v>6</v>
      </c>
      <c r="J622" s="17" t="s">
        <v>18</v>
      </c>
      <c r="K622" s="36"/>
      <c r="L622" s="14"/>
      <c r="M622" s="14"/>
      <c r="N622" s="14"/>
      <c r="O622" s="14"/>
      <c r="P622" s="25" t="s">
        <v>1459</v>
      </c>
      <c r="Q622" s="21"/>
      <c r="R622" s="22"/>
      <c r="S622" s="14">
        <v>84</v>
      </c>
      <c r="T622" s="27">
        <v>45901</v>
      </c>
      <c r="U622" s="27">
        <v>45901</v>
      </c>
      <c r="V622" s="27"/>
      <c r="W622" s="27"/>
      <c r="X622" s="27">
        <v>45902</v>
      </c>
      <c r="Y622" s="14" t="s">
        <v>109</v>
      </c>
      <c r="Z622" s="40" t="str">
        <f>IF(STAT[[#This Row],[sigla]]="","",VLOOKUP(STAT[[#This Row],[sigla]],CRÉDITOS_GERAIS[[sigla]:[credito]],2,))</f>
        <v>Clarice Baracho</v>
      </c>
      <c r="AA622" s="14" t="s">
        <v>79</v>
      </c>
      <c r="AB622" s="14" t="str">
        <f>STAT[[#This Row],[ilustrador]]</f>
        <v>Clarice Baracho</v>
      </c>
      <c r="AC622" s="14">
        <v>13</v>
      </c>
      <c r="AD622" s="22" t="s">
        <v>909</v>
      </c>
      <c r="AE622" s="15" t="s">
        <v>46</v>
      </c>
      <c r="AF622" s="42" t="str">
        <f t="shared" si="9"/>
        <v>P007</v>
      </c>
    </row>
    <row r="623" spans="1:32" ht="43.2" hidden="1" x14ac:dyDescent="0.3">
      <c r="A623" s="12" t="e" cm="1">
        <f t="array" aca="1" ref="A623" ca="1">IF(STAT[[#This Row],[retranca]]="","",       RegxFunc(STAT[[#This Row],[retranca]],  "\w\d{4}\w*_\d")     )</f>
        <v>#NAME?</v>
      </c>
      <c r="B623" s="21" t="s">
        <v>1460</v>
      </c>
      <c r="C623" s="14" t="s">
        <v>72</v>
      </c>
      <c r="D623" s="15" t="s">
        <v>9</v>
      </c>
      <c r="E623" s="15" t="s">
        <v>471</v>
      </c>
      <c r="F623" s="14"/>
      <c r="G623" s="15">
        <v>0</v>
      </c>
      <c r="H623" s="14">
        <v>3</v>
      </c>
      <c r="I623" s="14">
        <v>3</v>
      </c>
      <c r="J623" s="17" t="s">
        <v>55</v>
      </c>
      <c r="K623" s="36"/>
      <c r="L623" s="14"/>
      <c r="M623" s="14"/>
      <c r="N623" s="14"/>
      <c r="O623" s="14"/>
      <c r="P623" s="25" t="s">
        <v>1461</v>
      </c>
      <c r="Q623" s="21"/>
      <c r="R623" s="22"/>
      <c r="S623" s="14">
        <v>85</v>
      </c>
      <c r="T623" s="27">
        <v>45902</v>
      </c>
      <c r="U623" s="27">
        <v>45908</v>
      </c>
      <c r="V623" s="27">
        <v>45910</v>
      </c>
      <c r="W623" s="27">
        <v>45911</v>
      </c>
      <c r="X623" s="27">
        <v>45912</v>
      </c>
      <c r="Y623" s="14" t="s">
        <v>119</v>
      </c>
      <c r="Z623" s="40" t="str">
        <f>IF(STAT[[#This Row],[sigla]]="","",VLOOKUP(STAT[[#This Row],[sigla]],CRÉDITOS_GERAIS[[sigla]:[credito]],2,))</f>
        <v>Bianca Tavares</v>
      </c>
      <c r="AA623" s="14"/>
      <c r="AB623" s="14" t="str">
        <f>STAT[[#This Row],[ilustrador]]</f>
        <v>Bianca Tavares</v>
      </c>
      <c r="AC623" s="14">
        <v>5</v>
      </c>
      <c r="AD623" s="22" t="s">
        <v>1462</v>
      </c>
      <c r="AE623" s="15" t="s">
        <v>87</v>
      </c>
      <c r="AF623" s="42" t="str">
        <f t="shared" si="9"/>
        <v>P007</v>
      </c>
    </row>
    <row r="624" spans="1:32" ht="28.8" hidden="1" x14ac:dyDescent="0.3">
      <c r="A624" s="12" t="e" cm="1">
        <f t="array" aca="1" ref="A624" ca="1">IF(STAT[[#This Row],[retranca]]="","",       RegxFunc(STAT[[#This Row],[retranca]],  "\w\d{4}\w*_\d")     )</f>
        <v>#NAME?</v>
      </c>
      <c r="B624" s="21" t="s">
        <v>1463</v>
      </c>
      <c r="C624" s="14" t="s">
        <v>72</v>
      </c>
      <c r="D624" s="15" t="s">
        <v>288</v>
      </c>
      <c r="E624" s="15" t="s">
        <v>471</v>
      </c>
      <c r="F624" s="14"/>
      <c r="G624" s="15">
        <v>0</v>
      </c>
      <c r="H624" s="14">
        <v>3</v>
      </c>
      <c r="I624" s="14">
        <v>3</v>
      </c>
      <c r="J624" s="17" t="s">
        <v>55</v>
      </c>
      <c r="K624" s="36"/>
      <c r="L624" s="14"/>
      <c r="M624" s="14"/>
      <c r="N624" s="14"/>
      <c r="O624" s="14"/>
      <c r="P624" s="25" t="s">
        <v>1464</v>
      </c>
      <c r="Q624" s="21"/>
      <c r="R624" s="22"/>
      <c r="S624" s="14">
        <v>85</v>
      </c>
      <c r="T624" s="27">
        <v>45902</v>
      </c>
      <c r="U624" s="27">
        <v>45908</v>
      </c>
      <c r="V624" s="27">
        <v>45910</v>
      </c>
      <c r="W624" s="27">
        <v>45911</v>
      </c>
      <c r="X624" s="27">
        <v>45912</v>
      </c>
      <c r="Y624" s="14" t="s">
        <v>119</v>
      </c>
      <c r="Z624" s="40" t="str">
        <f>IF(STAT[[#This Row],[sigla]]="","",VLOOKUP(STAT[[#This Row],[sigla]],CRÉDITOS_GERAIS[[sigla]:[credito]],2,))</f>
        <v>Bianca Tavares</v>
      </c>
      <c r="AA624" s="14"/>
      <c r="AB624" s="14" t="str">
        <f>STAT[[#This Row],[ilustrador]]</f>
        <v>Bianca Tavares</v>
      </c>
      <c r="AC624" s="14">
        <v>4</v>
      </c>
      <c r="AD624" s="22" t="s">
        <v>1462</v>
      </c>
      <c r="AE624" s="15" t="s">
        <v>87</v>
      </c>
      <c r="AF624" s="42" t="str">
        <f t="shared" si="9"/>
        <v>P007</v>
      </c>
    </row>
    <row r="625" spans="1:32" ht="28.8" hidden="1" x14ac:dyDescent="0.3">
      <c r="A625" s="12" t="e" cm="1">
        <f t="array" aca="1" ref="A625" ca="1">IF(STAT[[#This Row],[retranca]]="","",       RegxFunc(STAT[[#This Row],[retranca]],  "\w\d{4}\w*_\d")     )</f>
        <v>#NAME?</v>
      </c>
      <c r="B625" s="21" t="s">
        <v>1465</v>
      </c>
      <c r="C625" s="14" t="s">
        <v>72</v>
      </c>
      <c r="D625" s="15" t="s">
        <v>9</v>
      </c>
      <c r="E625" s="15" t="s">
        <v>471</v>
      </c>
      <c r="F625" s="14"/>
      <c r="G625" s="15">
        <v>4</v>
      </c>
      <c r="H625" s="14">
        <v>10</v>
      </c>
      <c r="I625" s="14">
        <v>10</v>
      </c>
      <c r="J625" s="17" t="s">
        <v>11</v>
      </c>
      <c r="K625" s="36"/>
      <c r="L625" s="14"/>
      <c r="M625" s="14"/>
      <c r="N625" s="14"/>
      <c r="O625" s="14"/>
      <c r="P625" s="25" t="s">
        <v>1466</v>
      </c>
      <c r="Q625" s="21"/>
      <c r="R625" s="25"/>
      <c r="S625" s="14">
        <v>86</v>
      </c>
      <c r="T625" s="27">
        <v>45903</v>
      </c>
      <c r="U625" s="27"/>
      <c r="V625" s="27"/>
      <c r="W625" s="27"/>
      <c r="X625" s="27"/>
      <c r="Y625" s="14" t="s">
        <v>1467</v>
      </c>
      <c r="Z625" s="40" t="str">
        <f>IF(STAT[[#This Row],[sigla]]="","",VLOOKUP(STAT[[#This Row],[sigla]],CRÉDITOS_GERAIS[[sigla]:[credito]],2,))</f>
        <v>Deivy Lima Costa</v>
      </c>
      <c r="AA625" s="14"/>
      <c r="AB625" s="14" t="str">
        <f>STAT[[#This Row],[ilustrador]]</f>
        <v>Deivy Lima Costa</v>
      </c>
      <c r="AC625" s="14"/>
      <c r="AD625" s="22"/>
      <c r="AE625" s="15"/>
      <c r="AF625" s="42" t="str">
        <f t="shared" si="9"/>
        <v>P007</v>
      </c>
    </row>
    <row r="626" spans="1:32" ht="201.6" hidden="1" x14ac:dyDescent="0.3">
      <c r="A626" s="12" t="e" cm="1">
        <f t="array" aca="1" ref="A626" ca="1">IF(STAT[[#This Row],[retranca]]="","",       RegxFunc(STAT[[#This Row],[retranca]],  "\w\d{4}\w*_\d")     )</f>
        <v>#NAME?</v>
      </c>
      <c r="B626" s="21" t="s">
        <v>1468</v>
      </c>
      <c r="C626" s="14" t="s">
        <v>72</v>
      </c>
      <c r="D626" s="14" t="s">
        <v>9</v>
      </c>
      <c r="E626" s="14" t="s">
        <v>10</v>
      </c>
      <c r="F626" s="14">
        <v>54</v>
      </c>
      <c r="G626" s="14">
        <v>3</v>
      </c>
      <c r="H626" s="14">
        <v>8</v>
      </c>
      <c r="I626" s="14">
        <v>8</v>
      </c>
      <c r="J626" s="28" t="s">
        <v>55</v>
      </c>
      <c r="K626" s="36"/>
      <c r="L626" s="14"/>
      <c r="M626" s="14"/>
      <c r="N626" s="14"/>
      <c r="O626" s="14"/>
      <c r="P626" s="25" t="s">
        <v>1469</v>
      </c>
      <c r="Q626" s="22"/>
      <c r="R626" s="25"/>
      <c r="S626" s="14">
        <v>86</v>
      </c>
      <c r="T626" s="27">
        <v>45903</v>
      </c>
      <c r="U626" s="27">
        <v>45905</v>
      </c>
      <c r="V626" s="27">
        <v>45910</v>
      </c>
      <c r="W626" s="27">
        <v>45910</v>
      </c>
      <c r="X626" s="27">
        <v>45913</v>
      </c>
      <c r="Y626" s="14" t="s">
        <v>1470</v>
      </c>
      <c r="Z626" s="40" t="str">
        <f>IF(STAT[[#This Row],[sigla]]="","",VLOOKUP(STAT[[#This Row],[sigla]],CRÉDITOS_GERAIS[[sigla]:[credito]],2,))</f>
        <v>Juliana Dacosta</v>
      </c>
      <c r="AA626" s="14"/>
      <c r="AB626" s="14" t="str">
        <f>STAT[[#This Row],[ilustrador]]</f>
        <v>Juliana Dacosta</v>
      </c>
      <c r="AC626" s="14">
        <v>5</v>
      </c>
      <c r="AD626" s="22" t="s">
        <v>1471</v>
      </c>
      <c r="AE626" s="15" t="s">
        <v>87</v>
      </c>
      <c r="AF626" s="42" t="str">
        <f t="shared" si="9"/>
        <v>P007</v>
      </c>
    </row>
    <row r="627" spans="1:32" hidden="1" x14ac:dyDescent="0.3">
      <c r="A627" s="12" t="e" cm="1">
        <f t="array" aca="1" ref="A627" ca="1">IF(STAT[[#This Row],[retranca]]="","",       RegxFunc(STAT[[#This Row],[retranca]],  "\w\d{4}\w*_\d")     )</f>
        <v>#NAME?</v>
      </c>
      <c r="B627" s="21" t="s">
        <v>1472</v>
      </c>
      <c r="C627" s="14" t="s">
        <v>1084</v>
      </c>
      <c r="D627" s="14" t="s">
        <v>288</v>
      </c>
      <c r="E627" s="14" t="s">
        <v>10</v>
      </c>
      <c r="F627" s="14">
        <v>55</v>
      </c>
      <c r="G627" s="14">
        <v>3</v>
      </c>
      <c r="H627" s="14">
        <v>8</v>
      </c>
      <c r="I627" s="14">
        <v>8</v>
      </c>
      <c r="J627" s="28" t="s">
        <v>55</v>
      </c>
      <c r="K627" s="36"/>
      <c r="L627" s="14"/>
      <c r="M627" s="14"/>
      <c r="N627" s="14"/>
      <c r="O627" s="14"/>
      <c r="P627" s="25" t="s">
        <v>1473</v>
      </c>
      <c r="Q627" s="21"/>
      <c r="R627" s="22"/>
      <c r="S627" s="14">
        <v>86</v>
      </c>
      <c r="T627" s="27">
        <v>45903</v>
      </c>
      <c r="U627" s="27">
        <v>45905</v>
      </c>
      <c r="V627" s="27"/>
      <c r="W627" s="27"/>
      <c r="X627" s="27">
        <v>45910</v>
      </c>
      <c r="Y627" s="14" t="s">
        <v>755</v>
      </c>
      <c r="Z627" s="40" t="str">
        <f>IF(STAT[[#This Row],[sigla]]="","",VLOOKUP(STAT[[#This Row],[sigla]],CRÉDITOS_GERAIS[[sigla]:[credito]],2,))</f>
        <v>Sergio Lima</v>
      </c>
      <c r="AA627" s="14"/>
      <c r="AB627" s="14" t="str">
        <f>STAT[[#This Row],[ilustrador]]</f>
        <v>Sergio Lima</v>
      </c>
      <c r="AC627" s="14">
        <v>7</v>
      </c>
      <c r="AD627" s="22" t="s">
        <v>1471</v>
      </c>
      <c r="AE627" s="15" t="s">
        <v>87</v>
      </c>
      <c r="AF627" s="42" t="str">
        <f t="shared" si="9"/>
        <v>P007</v>
      </c>
    </row>
    <row r="628" spans="1:32" ht="28.8" hidden="1" x14ac:dyDescent="0.3">
      <c r="A628" s="12" t="e" cm="1">
        <f t="array" aca="1" ref="A628" ca="1">IF(STAT[[#This Row],[retranca]]="","",       RegxFunc(STAT[[#This Row],[retranca]],  "\w\d{4}\w*_\d")     )</f>
        <v>#NAME?</v>
      </c>
      <c r="B628" s="21" t="s">
        <v>1474</v>
      </c>
      <c r="C628" s="14" t="s">
        <v>72</v>
      </c>
      <c r="D628" s="14" t="s">
        <v>9</v>
      </c>
      <c r="E628" s="14" t="s">
        <v>10</v>
      </c>
      <c r="F628" s="14">
        <v>56</v>
      </c>
      <c r="G628" s="14">
        <v>3</v>
      </c>
      <c r="H628" s="14">
        <v>8</v>
      </c>
      <c r="I628" s="14">
        <v>8</v>
      </c>
      <c r="J628" s="28" t="s">
        <v>55</v>
      </c>
      <c r="K628" s="36"/>
      <c r="L628" s="14"/>
      <c r="M628" s="14"/>
      <c r="N628" s="14"/>
      <c r="O628" s="14"/>
      <c r="P628" s="25" t="s">
        <v>1475</v>
      </c>
      <c r="Q628" s="21"/>
      <c r="R628" s="22"/>
      <c r="S628" s="14">
        <v>86</v>
      </c>
      <c r="T628" s="27">
        <v>45903</v>
      </c>
      <c r="U628" s="27">
        <v>45905</v>
      </c>
      <c r="V628" s="27">
        <v>45910</v>
      </c>
      <c r="W628" s="27">
        <v>45910</v>
      </c>
      <c r="X628" s="27">
        <v>45913</v>
      </c>
      <c r="Y628" s="14" t="s">
        <v>1470</v>
      </c>
      <c r="Z628" s="40" t="str">
        <f>IF(STAT[[#This Row],[sigla]]="","",VLOOKUP(STAT[[#This Row],[sigla]],CRÉDITOS_GERAIS[[sigla]:[credito]],2,))</f>
        <v>Juliana Dacosta</v>
      </c>
      <c r="AA628" s="14"/>
      <c r="AB628" s="14" t="str">
        <f>STAT[[#This Row],[ilustrador]]</f>
        <v>Juliana Dacosta</v>
      </c>
      <c r="AC628" s="14">
        <v>5</v>
      </c>
      <c r="AD628" s="22" t="s">
        <v>1471</v>
      </c>
      <c r="AE628" s="15" t="s">
        <v>87</v>
      </c>
      <c r="AF628" s="42" t="str">
        <f t="shared" si="9"/>
        <v>P007</v>
      </c>
    </row>
    <row r="629" spans="1:32" hidden="1" x14ac:dyDescent="0.3">
      <c r="A629" s="12" t="e" cm="1">
        <f t="array" aca="1" ref="A629" ca="1">IF(STAT[[#This Row],[retranca]]="","",       RegxFunc(STAT[[#This Row],[retranca]],  "\w\d{4}\w*_\d")     )</f>
        <v>#NAME?</v>
      </c>
      <c r="B629" s="21" t="s">
        <v>1476</v>
      </c>
      <c r="C629" s="14" t="s">
        <v>72</v>
      </c>
      <c r="D629" s="14" t="s">
        <v>9</v>
      </c>
      <c r="E629" s="14" t="s">
        <v>10</v>
      </c>
      <c r="F629" s="14">
        <v>60</v>
      </c>
      <c r="G629" s="14">
        <v>3</v>
      </c>
      <c r="H629" s="14">
        <v>8</v>
      </c>
      <c r="I629" s="14">
        <v>8</v>
      </c>
      <c r="J629" s="28" t="s">
        <v>55</v>
      </c>
      <c r="K629" s="36"/>
      <c r="L629" s="14"/>
      <c r="M629" s="14"/>
      <c r="N629" s="14"/>
      <c r="O629" s="14"/>
      <c r="P629" s="25" t="s">
        <v>1477</v>
      </c>
      <c r="Q629" s="21"/>
      <c r="R629" s="22"/>
      <c r="S629" s="14">
        <v>86</v>
      </c>
      <c r="T629" s="27">
        <v>45903</v>
      </c>
      <c r="U629" s="27">
        <v>45905</v>
      </c>
      <c r="V629" s="27">
        <v>45910</v>
      </c>
      <c r="W629" s="27">
        <v>45910</v>
      </c>
      <c r="X629" s="27">
        <v>45913</v>
      </c>
      <c r="Y629" s="14" t="s">
        <v>1470</v>
      </c>
      <c r="Z629" s="40" t="str">
        <f>IF(STAT[[#This Row],[sigla]]="","",VLOOKUP(STAT[[#This Row],[sigla]],CRÉDITOS_GERAIS[[sigla]:[credito]],2,))</f>
        <v>Juliana Dacosta</v>
      </c>
      <c r="AA629" s="14"/>
      <c r="AB629" s="14" t="str">
        <f>STAT[[#This Row],[ilustrador]]</f>
        <v>Juliana Dacosta</v>
      </c>
      <c r="AC629" s="14">
        <v>4</v>
      </c>
      <c r="AD629" s="22" t="s">
        <v>1471</v>
      </c>
      <c r="AE629" s="15" t="s">
        <v>87</v>
      </c>
      <c r="AF629" s="42" t="str">
        <f t="shared" si="9"/>
        <v>P007</v>
      </c>
    </row>
    <row r="630" spans="1:32" ht="129.6" hidden="1" x14ac:dyDescent="0.3">
      <c r="A630" s="12" t="e" cm="1">
        <f t="array" aca="1" ref="A630" ca="1">IF(STAT[[#This Row],[retranca]]="","",       RegxFunc(STAT[[#This Row],[retranca]],  "\w\d{4}\w*_\d")     )</f>
        <v>#NAME?</v>
      </c>
      <c r="B630" s="21" t="s">
        <v>1478</v>
      </c>
      <c r="C630" s="14" t="s">
        <v>72</v>
      </c>
      <c r="D630" s="14" t="s">
        <v>9</v>
      </c>
      <c r="E630" s="14" t="s">
        <v>10</v>
      </c>
      <c r="F630" s="14">
        <v>61</v>
      </c>
      <c r="G630" s="14">
        <v>3</v>
      </c>
      <c r="H630" s="14">
        <v>8</v>
      </c>
      <c r="I630" s="14">
        <v>8</v>
      </c>
      <c r="J630" s="28" t="s">
        <v>55</v>
      </c>
      <c r="K630" s="36"/>
      <c r="L630" s="14"/>
      <c r="M630" s="14"/>
      <c r="N630" s="14"/>
      <c r="O630" s="14"/>
      <c r="P630" s="25" t="s">
        <v>1479</v>
      </c>
      <c r="Q630" s="21"/>
      <c r="R630" s="22"/>
      <c r="S630" s="14">
        <v>86</v>
      </c>
      <c r="T630" s="27">
        <v>45903</v>
      </c>
      <c r="U630" s="27">
        <v>45905</v>
      </c>
      <c r="V630" s="27">
        <v>45910</v>
      </c>
      <c r="W630" s="27">
        <v>45910</v>
      </c>
      <c r="X630" s="27">
        <v>45913</v>
      </c>
      <c r="Y630" s="14" t="s">
        <v>1470</v>
      </c>
      <c r="Z630" s="40" t="str">
        <f>IF(STAT[[#This Row],[sigla]]="","",VLOOKUP(STAT[[#This Row],[sigla]],CRÉDITOS_GERAIS[[sigla]:[credito]],2,))</f>
        <v>Juliana Dacosta</v>
      </c>
      <c r="AA630" s="14"/>
      <c r="AB630" s="14" t="str">
        <f>STAT[[#This Row],[ilustrador]]</f>
        <v>Juliana Dacosta</v>
      </c>
      <c r="AC630" s="14">
        <v>5</v>
      </c>
      <c r="AD630" s="22" t="s">
        <v>1471</v>
      </c>
      <c r="AE630" s="15" t="s">
        <v>87</v>
      </c>
      <c r="AF630" s="42" t="str">
        <f t="shared" si="9"/>
        <v>P007</v>
      </c>
    </row>
    <row r="631" spans="1:32" hidden="1" x14ac:dyDescent="0.3">
      <c r="A631" s="12" t="e" cm="1">
        <f t="array" aca="1" ref="A631" ca="1">IF(STAT[[#This Row],[retranca]]="","",       RegxFunc(STAT[[#This Row],[retranca]],  "\w\d{4}\w*_\d")     )</f>
        <v>#NAME?</v>
      </c>
      <c r="B631" s="21" t="s">
        <v>1480</v>
      </c>
      <c r="C631" s="14" t="s">
        <v>72</v>
      </c>
      <c r="D631" s="15" t="s">
        <v>1481</v>
      </c>
      <c r="E631" s="15" t="s">
        <v>10</v>
      </c>
      <c r="F631" s="14"/>
      <c r="G631" s="15">
        <v>4</v>
      </c>
      <c r="H631" s="14">
        <v>12</v>
      </c>
      <c r="I631" s="14">
        <v>12</v>
      </c>
      <c r="J631" s="17" t="s">
        <v>55</v>
      </c>
      <c r="K631" s="36"/>
      <c r="L631" s="14"/>
      <c r="M631" s="14"/>
      <c r="N631" s="14"/>
      <c r="O631" s="14"/>
      <c r="P631" s="25" t="s">
        <v>1482</v>
      </c>
      <c r="Q631" s="21"/>
      <c r="R631" s="22"/>
      <c r="S631" s="14"/>
      <c r="T631" s="27"/>
      <c r="U631" s="27">
        <v>45901</v>
      </c>
      <c r="V631" s="27"/>
      <c r="W631" s="27"/>
      <c r="X631" s="27">
        <v>45903</v>
      </c>
      <c r="Y631" s="14" t="s">
        <v>1483</v>
      </c>
      <c r="Z631" s="40" t="str">
        <f>IF(STAT[[#This Row],[sigla]]="","",VLOOKUP(STAT[[#This Row],[sigla]],CRÉDITOS_GERAIS[[sigla]:[credito]],2,))</f>
        <v>Edson Bellusci</v>
      </c>
      <c r="AA631" s="14" t="s">
        <v>90</v>
      </c>
      <c r="AB631" s="14" t="str">
        <f>STAT[[#This Row],[ilustrador]]</f>
        <v>Edson Bellusci</v>
      </c>
      <c r="AC631" s="14">
        <v>10</v>
      </c>
      <c r="AD631" s="22" t="s">
        <v>196</v>
      </c>
      <c r="AE631" s="15" t="s">
        <v>46</v>
      </c>
      <c r="AF631" s="42" t="str">
        <f t="shared" si="9"/>
        <v>P007</v>
      </c>
    </row>
    <row r="632" spans="1:32" ht="28.8" hidden="1" x14ac:dyDescent="0.3">
      <c r="A632" s="12" t="e" cm="1">
        <f t="array" aca="1" ref="A632" ca="1">IF(STAT[[#This Row],[retranca]]="","",       RegxFunc(STAT[[#This Row],[retranca]],  "\w\d{4}\w*_\d")     )</f>
        <v>#NAME?</v>
      </c>
      <c r="B632" s="21" t="s">
        <v>1484</v>
      </c>
      <c r="C632" s="14" t="s">
        <v>122</v>
      </c>
      <c r="D632" s="15" t="s">
        <v>9</v>
      </c>
      <c r="E632" s="15" t="s">
        <v>10</v>
      </c>
      <c r="F632" s="14"/>
      <c r="G632" s="15">
        <v>5</v>
      </c>
      <c r="H632" s="14">
        <v>0</v>
      </c>
      <c r="I632" s="14" t="s">
        <v>1485</v>
      </c>
      <c r="J632" s="17" t="s">
        <v>55</v>
      </c>
      <c r="K632" s="36"/>
      <c r="L632" s="14"/>
      <c r="M632" s="14"/>
      <c r="N632" s="14"/>
      <c r="O632" s="14"/>
      <c r="P632" s="25" t="s">
        <v>1486</v>
      </c>
      <c r="Q632" s="21"/>
      <c r="R632" s="22"/>
      <c r="S632" s="14">
        <v>87</v>
      </c>
      <c r="T632" s="27">
        <v>45904</v>
      </c>
      <c r="U632" s="27">
        <v>45904</v>
      </c>
      <c r="V632" s="27"/>
      <c r="W632" s="27"/>
      <c r="X632" s="27">
        <v>45904</v>
      </c>
      <c r="Y632" s="14" t="s">
        <v>1263</v>
      </c>
      <c r="Z632" s="40" t="str">
        <f>IF(STAT[[#This Row],[sigla]]="","",VLOOKUP(STAT[[#This Row],[sigla]],CRÉDITOS_GERAIS[[sigla]:[credito]],2,))</f>
        <v>Gabriella Imai</v>
      </c>
      <c r="AA632" s="14"/>
      <c r="AB632" s="14" t="str">
        <f>STAT[[#This Row],[ilustrador]]</f>
        <v>Gabriella Imai</v>
      </c>
      <c r="AC632" s="14">
        <v>8</v>
      </c>
      <c r="AD632" s="22" t="s">
        <v>146</v>
      </c>
      <c r="AE632" s="15" t="s">
        <v>46</v>
      </c>
      <c r="AF632" s="42" t="str">
        <f t="shared" si="9"/>
        <v>P007</v>
      </c>
    </row>
    <row r="633" spans="1:32" hidden="1" x14ac:dyDescent="0.3">
      <c r="A633" s="12" t="e" cm="1">
        <f t="array" aca="1" ref="A633" ca="1">IF(STAT[[#This Row],[retranca]]="","",       RegxFunc(STAT[[#This Row],[retranca]],  "\w\d{4}\w*_\d")     )</f>
        <v>#NAME?</v>
      </c>
      <c r="B633" s="21" t="s">
        <v>1487</v>
      </c>
      <c r="C633" s="14" t="s">
        <v>8</v>
      </c>
      <c r="D633" s="15" t="s">
        <v>9</v>
      </c>
      <c r="E633" s="15" t="s">
        <v>10</v>
      </c>
      <c r="F633" s="14">
        <v>16</v>
      </c>
      <c r="G633" s="15">
        <v>2</v>
      </c>
      <c r="H633" s="14">
        <v>1</v>
      </c>
      <c r="I633" s="14">
        <v>1</v>
      </c>
      <c r="J633" s="17" t="s">
        <v>55</v>
      </c>
      <c r="K633" s="36"/>
      <c r="L633" s="14"/>
      <c r="M633" s="14"/>
      <c r="N633" s="14"/>
      <c r="O633" s="14"/>
      <c r="P633" s="25" t="s">
        <v>1488</v>
      </c>
      <c r="Q633" s="21"/>
      <c r="R633" s="22"/>
      <c r="S633" s="14"/>
      <c r="T633" s="27"/>
      <c r="U633" s="27"/>
      <c r="V633" s="27"/>
      <c r="W633" s="27"/>
      <c r="X633" s="27"/>
      <c r="Y633" s="14"/>
      <c r="Z633" s="40" t="str">
        <f>IF(STAT[[#This Row],[sigla]]="","",VLOOKUP(STAT[[#This Row],[sigla]],CRÉDITOS_GERAIS[[sigla]:[credito]],2,))</f>
        <v/>
      </c>
      <c r="AA633" s="14"/>
      <c r="AB633" s="14" t="str">
        <f>STAT[[#This Row],[ilustrador]]</f>
        <v/>
      </c>
      <c r="AC633" s="14"/>
      <c r="AD633" s="22"/>
      <c r="AE633" s="15"/>
      <c r="AF633" s="42" t="str">
        <f t="shared" si="9"/>
        <v>P007</v>
      </c>
    </row>
    <row r="634" spans="1:32" hidden="1" x14ac:dyDescent="0.3">
      <c r="A634" s="12" t="e" cm="1">
        <f t="array" aca="1" ref="A634" ca="1">IF(STAT[[#This Row],[retranca]]="","",       RegxFunc(STAT[[#This Row],[retranca]],  "\w\d{4}\w*_\d")     )</f>
        <v>#NAME?</v>
      </c>
      <c r="B634" s="21" t="s">
        <v>1489</v>
      </c>
      <c r="C634" s="14" t="s">
        <v>1084</v>
      </c>
      <c r="D634" s="15" t="s">
        <v>9</v>
      </c>
      <c r="E634" s="15" t="s">
        <v>10</v>
      </c>
      <c r="F634" s="14">
        <v>17</v>
      </c>
      <c r="G634" s="15">
        <v>2</v>
      </c>
      <c r="H634" s="14">
        <v>1</v>
      </c>
      <c r="I634" s="14">
        <v>1</v>
      </c>
      <c r="J634" s="17" t="s">
        <v>55</v>
      </c>
      <c r="K634" s="36"/>
      <c r="L634" s="14"/>
      <c r="M634" s="14"/>
      <c r="N634" s="14"/>
      <c r="O634" s="14"/>
      <c r="P634" s="25" t="s">
        <v>1490</v>
      </c>
      <c r="Q634" s="21"/>
      <c r="R634" s="22"/>
      <c r="S634" s="14">
        <v>88</v>
      </c>
      <c r="T634" s="27">
        <v>45904</v>
      </c>
      <c r="U634" s="27">
        <v>45904</v>
      </c>
      <c r="V634" s="27"/>
      <c r="W634" s="27"/>
      <c r="X634" s="27">
        <v>45904</v>
      </c>
      <c r="Y634" s="14" t="s">
        <v>290</v>
      </c>
      <c r="Z634" s="40" t="str">
        <f>IF(STAT[[#This Row],[sigla]]="","",VLOOKUP(STAT[[#This Row],[sigla]],CRÉDITOS_GERAIS[[sigla]:[credito]],2,))</f>
        <v>Bruna Campos</v>
      </c>
      <c r="AA634" s="14"/>
      <c r="AB634" s="14" t="str">
        <f>STAT[[#This Row],[ilustrador]]</f>
        <v>Bruna Campos</v>
      </c>
      <c r="AC634" s="14">
        <v>13</v>
      </c>
      <c r="AD634" s="22" t="s">
        <v>196</v>
      </c>
      <c r="AE634" s="15" t="s">
        <v>46</v>
      </c>
      <c r="AF634" s="42" t="str">
        <f t="shared" si="9"/>
        <v>P007</v>
      </c>
    </row>
    <row r="635" spans="1:32" ht="57.6" hidden="1" x14ac:dyDescent="0.3">
      <c r="A635" s="12" t="e" cm="1">
        <f t="array" aca="1" ref="A635" ca="1">IF(STAT[[#This Row],[retranca]]="","",       RegxFunc(STAT[[#This Row],[retranca]],  "\w\d{4}\w*_\d")     )</f>
        <v>#NAME?</v>
      </c>
      <c r="B635" s="21" t="s">
        <v>1491</v>
      </c>
      <c r="C635" s="14" t="s">
        <v>72</v>
      </c>
      <c r="D635" s="15" t="s">
        <v>9</v>
      </c>
      <c r="E635" s="15" t="s">
        <v>10</v>
      </c>
      <c r="F635" s="14">
        <v>26</v>
      </c>
      <c r="G635" s="15">
        <v>2</v>
      </c>
      <c r="H635" s="14">
        <v>2</v>
      </c>
      <c r="I635" s="14">
        <v>2</v>
      </c>
      <c r="J635" s="17" t="s">
        <v>55</v>
      </c>
      <c r="K635" s="36"/>
      <c r="L635" s="14"/>
      <c r="M635" s="14"/>
      <c r="N635" s="14"/>
      <c r="O635" s="14"/>
      <c r="P635" s="25" t="s">
        <v>1492</v>
      </c>
      <c r="Q635" s="21"/>
      <c r="R635" s="22"/>
      <c r="S635" s="14">
        <v>89</v>
      </c>
      <c r="T635" s="27">
        <v>45905</v>
      </c>
      <c r="U635" s="27">
        <v>45905</v>
      </c>
      <c r="V635" s="27">
        <v>45908</v>
      </c>
      <c r="W635" s="27">
        <v>45910</v>
      </c>
      <c r="X635" s="27">
        <v>45913</v>
      </c>
      <c r="Y635" s="14" t="s">
        <v>1493</v>
      </c>
      <c r="Z635" s="40" t="str">
        <f>IF(STAT[[#This Row],[sigla]]="","",VLOOKUP(STAT[[#This Row],[sigla]],CRÉDITOS_GERAIS[[sigla]:[credito]],2,))</f>
        <v>Lislley Gomes Feige</v>
      </c>
      <c r="AA635" s="14"/>
      <c r="AB635" s="14" t="str">
        <f>STAT[[#This Row],[ilustrador]]</f>
        <v>Lislley Gomes Feige</v>
      </c>
      <c r="AC635" s="14">
        <v>4</v>
      </c>
      <c r="AD635" s="22" t="s">
        <v>1494</v>
      </c>
      <c r="AE635" s="15" t="s">
        <v>87</v>
      </c>
      <c r="AF635" s="42" t="str">
        <f t="shared" si="9"/>
        <v>P007</v>
      </c>
    </row>
    <row r="636" spans="1:32" hidden="1" x14ac:dyDescent="0.3">
      <c r="A636" s="12" t="e" cm="1">
        <f t="array" aca="1" ref="A636" ca="1">IF(STAT[[#This Row],[retranca]]="","",       RegxFunc(STAT[[#This Row],[retranca]],  "\w\d{4}\w*_\d")     )</f>
        <v>#NAME?</v>
      </c>
      <c r="B636" s="21" t="s">
        <v>1495</v>
      </c>
      <c r="C636" s="14" t="s">
        <v>72</v>
      </c>
      <c r="D636" s="15" t="s">
        <v>9</v>
      </c>
      <c r="E636" s="15" t="s">
        <v>10</v>
      </c>
      <c r="F636" s="14">
        <v>39</v>
      </c>
      <c r="G636" s="15">
        <v>3</v>
      </c>
      <c r="H636" s="14">
        <v>3</v>
      </c>
      <c r="I636" s="14">
        <v>3</v>
      </c>
      <c r="J636" s="17" t="s">
        <v>55</v>
      </c>
      <c r="K636" s="36"/>
      <c r="L636" s="14"/>
      <c r="M636" s="14"/>
      <c r="N636" s="14"/>
      <c r="O636" s="14"/>
      <c r="P636" s="25" t="s">
        <v>1496</v>
      </c>
      <c r="Q636" s="21"/>
      <c r="R636" s="22"/>
      <c r="S636" s="14"/>
      <c r="T636" s="27"/>
      <c r="U636" s="27">
        <v>45915</v>
      </c>
      <c r="V636" s="27"/>
      <c r="W636" s="27"/>
      <c r="X636" s="27">
        <v>45917</v>
      </c>
      <c r="Y636" s="14" t="s">
        <v>1263</v>
      </c>
      <c r="Z636" s="40" t="str">
        <f>IF(STAT[[#This Row],[sigla]]="","",VLOOKUP(STAT[[#This Row],[sigla]],CRÉDITOS_GERAIS[[sigla]:[credito]],2,))</f>
        <v>Gabriella Imai</v>
      </c>
      <c r="AA636" s="14"/>
      <c r="AB636" s="14" t="str">
        <f>STAT[[#This Row],[ilustrador]]</f>
        <v>Gabriella Imai</v>
      </c>
      <c r="AC636" s="14">
        <v>8</v>
      </c>
      <c r="AD636" s="22" t="s">
        <v>146</v>
      </c>
      <c r="AE636" s="15" t="s">
        <v>46</v>
      </c>
      <c r="AF636" s="42" t="str">
        <f t="shared" si="9"/>
        <v>P007</v>
      </c>
    </row>
    <row r="637" spans="1:32" ht="43.2" hidden="1" x14ac:dyDescent="0.3">
      <c r="A637" s="12" t="e" cm="1">
        <f t="array" aca="1" ref="A637" ca="1">IF(STAT[[#This Row],[retranca]]="","",       RegxFunc(STAT[[#This Row],[retranca]],  "\w\d{4}\w*_\d")     )</f>
        <v>#NAME?</v>
      </c>
      <c r="B637" s="21" t="s">
        <v>1497</v>
      </c>
      <c r="C637" s="14" t="s">
        <v>72</v>
      </c>
      <c r="D637" s="15" t="s">
        <v>9</v>
      </c>
      <c r="E637" s="15" t="s">
        <v>10</v>
      </c>
      <c r="F637" s="14">
        <v>3</v>
      </c>
      <c r="G637" s="15">
        <v>3</v>
      </c>
      <c r="H637" s="14">
        <v>0</v>
      </c>
      <c r="I637" s="14" t="s">
        <v>112</v>
      </c>
      <c r="J637" s="17" t="s">
        <v>55</v>
      </c>
      <c r="K637" s="36"/>
      <c r="L637" s="14"/>
      <c r="M637" s="14"/>
      <c r="N637" s="14"/>
      <c r="O637" s="14"/>
      <c r="P637" s="25" t="s">
        <v>1498</v>
      </c>
      <c r="Q637" s="21"/>
      <c r="R637" s="22"/>
      <c r="S637" s="14">
        <v>90</v>
      </c>
      <c r="T637" s="27">
        <v>45915</v>
      </c>
      <c r="U637" s="27">
        <v>45915</v>
      </c>
      <c r="V637" s="27"/>
      <c r="W637" s="27"/>
      <c r="X637" s="27">
        <v>45916</v>
      </c>
      <c r="Y637" s="14" t="s">
        <v>290</v>
      </c>
      <c r="Z637" s="40" t="str">
        <f>IF(STAT[[#This Row],[sigla]]="","",VLOOKUP(STAT[[#This Row],[sigla]],CRÉDITOS_GERAIS[[sigla]:[credito]],2,))</f>
        <v>Bruna Campos</v>
      </c>
      <c r="AA637" s="14"/>
      <c r="AB637" s="14" t="str">
        <f>STAT[[#This Row],[ilustrador]]</f>
        <v>Bruna Campos</v>
      </c>
      <c r="AC637" s="14">
        <v>8</v>
      </c>
      <c r="AD637" s="22" t="s">
        <v>196</v>
      </c>
      <c r="AE637" s="15" t="s">
        <v>46</v>
      </c>
      <c r="AF637" s="42" t="str">
        <f t="shared" si="9"/>
        <v>P007</v>
      </c>
    </row>
    <row r="638" spans="1:32" ht="43.2" hidden="1" x14ac:dyDescent="0.3">
      <c r="A638" s="12" t="e" cm="1">
        <f t="array" aca="1" ref="A638" ca="1">IF(STAT[[#This Row],[retranca]]="","",       RegxFunc(STAT[[#This Row],[retranca]],  "\w\d{4}\w*_\d")     )</f>
        <v>#NAME?</v>
      </c>
      <c r="B638" s="21" t="s">
        <v>1499</v>
      </c>
      <c r="C638" s="14" t="s">
        <v>72</v>
      </c>
      <c r="D638" s="15" t="s">
        <v>9</v>
      </c>
      <c r="E638" s="15" t="s">
        <v>471</v>
      </c>
      <c r="F638" s="14">
        <v>30</v>
      </c>
      <c r="G638" s="15">
        <v>3</v>
      </c>
      <c r="H638" s="14">
        <v>2</v>
      </c>
      <c r="I638" s="14">
        <v>2</v>
      </c>
      <c r="J638" s="17" t="s">
        <v>55</v>
      </c>
      <c r="K638" s="36"/>
      <c r="L638" s="14"/>
      <c r="M638" s="14"/>
      <c r="N638" s="14"/>
      <c r="O638" s="14"/>
      <c r="P638" s="25" t="s">
        <v>1500</v>
      </c>
      <c r="Q638" s="21"/>
      <c r="R638" s="22"/>
      <c r="S638" s="14">
        <v>91</v>
      </c>
      <c r="T638" s="27">
        <v>45916</v>
      </c>
      <c r="U638" s="27">
        <v>45916</v>
      </c>
      <c r="V638" s="27"/>
      <c r="W638" s="27"/>
      <c r="X638" s="27">
        <v>45917</v>
      </c>
      <c r="Y638" s="14" t="s">
        <v>290</v>
      </c>
      <c r="Z638" s="40" t="str">
        <f>IF(STAT[[#This Row],[sigla]]="","",VLOOKUP(STAT[[#This Row],[sigla]],CRÉDITOS_GERAIS[[sigla]:[credito]],2,))</f>
        <v>Bruna Campos</v>
      </c>
      <c r="AA638" s="14"/>
      <c r="AB638" s="14" t="str">
        <f>STAT[[#This Row],[ilustrador]]</f>
        <v>Bruna Campos</v>
      </c>
      <c r="AC638" s="14">
        <v>6</v>
      </c>
      <c r="AD638" s="22" t="s">
        <v>196</v>
      </c>
      <c r="AE638" s="15" t="s">
        <v>46</v>
      </c>
      <c r="AF638" s="42" t="str">
        <f t="shared" si="9"/>
        <v>P007</v>
      </c>
    </row>
    <row r="639" spans="1:32" ht="43.2" hidden="1" x14ac:dyDescent="0.3">
      <c r="A639" s="12" t="e" cm="1">
        <f t="array" aca="1" ref="A639" ca="1">IF(STAT[[#This Row],[retranca]]="","",       RegxFunc(STAT[[#This Row],[retranca]],  "\w\d{4}\w*_\d")     )</f>
        <v>#NAME?</v>
      </c>
      <c r="B639" s="21" t="s">
        <v>1501</v>
      </c>
      <c r="C639" s="14" t="s">
        <v>72</v>
      </c>
      <c r="D639" s="15" t="s">
        <v>9</v>
      </c>
      <c r="E639" s="15" t="s">
        <v>471</v>
      </c>
      <c r="F639" s="14">
        <v>128</v>
      </c>
      <c r="G639" s="15">
        <v>0</v>
      </c>
      <c r="H639" s="14">
        <v>4</v>
      </c>
      <c r="I639" s="14">
        <v>4</v>
      </c>
      <c r="J639" s="17" t="s">
        <v>55</v>
      </c>
      <c r="K639" s="36"/>
      <c r="L639" s="14"/>
      <c r="M639" s="14"/>
      <c r="N639" s="14"/>
      <c r="O639" s="14"/>
      <c r="P639" s="25" t="s">
        <v>1502</v>
      </c>
      <c r="Q639" s="21"/>
      <c r="R639" s="22"/>
      <c r="S639" s="14">
        <v>92</v>
      </c>
      <c r="T639" s="27">
        <v>45917</v>
      </c>
      <c r="U639" s="27">
        <v>45917</v>
      </c>
      <c r="V639" s="27">
        <v>45922</v>
      </c>
      <c r="W639" s="27">
        <v>45923</v>
      </c>
      <c r="X639" s="27">
        <v>45923</v>
      </c>
      <c r="Y639" s="14" t="s">
        <v>919</v>
      </c>
      <c r="Z639" s="40" t="str">
        <f>IF(STAT[[#This Row],[sigla]]="","",VLOOKUP(STAT[[#This Row],[sigla]],CRÉDITOS_GERAIS[[sigla]:[credito]],2,))</f>
        <v>Raquel Teixeira</v>
      </c>
      <c r="AA639" s="14"/>
      <c r="AB639" s="14" t="str">
        <f>STAT[[#This Row],[ilustrador]]</f>
        <v>Raquel Teixeira</v>
      </c>
      <c r="AC639" s="14">
        <v>6</v>
      </c>
      <c r="AD639" s="22" t="s">
        <v>1503</v>
      </c>
      <c r="AE639" s="15" t="s">
        <v>87</v>
      </c>
      <c r="AF639" s="42" t="str">
        <f t="shared" si="9"/>
        <v>P007</v>
      </c>
    </row>
    <row r="640" spans="1:32" hidden="1" x14ac:dyDescent="0.3">
      <c r="A640" s="12" t="e" cm="1">
        <f t="array" aca="1" ref="A640" ca="1">IF(STAT[[#This Row],[retranca]]="","",       RegxFunc(STAT[[#This Row],[retranca]],  "\w\d{4}\w*_\d")     )</f>
        <v>#NAME?</v>
      </c>
      <c r="B640" s="21" t="s">
        <v>1504</v>
      </c>
      <c r="C640" s="14" t="s">
        <v>72</v>
      </c>
      <c r="D640" s="15" t="s">
        <v>9</v>
      </c>
      <c r="E640" s="15" t="s">
        <v>471</v>
      </c>
      <c r="F640" s="14">
        <v>129</v>
      </c>
      <c r="G640" s="15">
        <v>0</v>
      </c>
      <c r="H640" s="14">
        <v>4</v>
      </c>
      <c r="I640" s="14">
        <v>4</v>
      </c>
      <c r="J640" s="17" t="s">
        <v>55</v>
      </c>
      <c r="K640" s="36"/>
      <c r="L640" s="14"/>
      <c r="M640" s="14"/>
      <c r="N640" s="14"/>
      <c r="O640" s="14"/>
      <c r="P640" s="25" t="s">
        <v>1505</v>
      </c>
      <c r="Q640" s="21"/>
      <c r="R640" s="22"/>
      <c r="S640" s="14">
        <v>92</v>
      </c>
      <c r="T640" s="27">
        <v>45917</v>
      </c>
      <c r="U640" s="27">
        <v>45917</v>
      </c>
      <c r="V640" s="27">
        <v>45923</v>
      </c>
      <c r="W640" s="27">
        <v>45924</v>
      </c>
      <c r="X640" s="27">
        <v>45924</v>
      </c>
      <c r="Y640" s="14" t="s">
        <v>919</v>
      </c>
      <c r="Z640" s="40" t="str">
        <f>IF(STAT[[#This Row],[sigla]]="","",VLOOKUP(STAT[[#This Row],[sigla]],CRÉDITOS_GERAIS[[sigla]:[credito]],2,))</f>
        <v>Raquel Teixeira</v>
      </c>
      <c r="AA640" s="14"/>
      <c r="AB640" s="14" t="str">
        <f>STAT[[#This Row],[ilustrador]]</f>
        <v>Raquel Teixeira</v>
      </c>
      <c r="AC640" s="14">
        <v>3</v>
      </c>
      <c r="AD640" s="22" t="s">
        <v>1503</v>
      </c>
      <c r="AE640" s="15" t="s">
        <v>87</v>
      </c>
      <c r="AF640" s="42" t="str">
        <f t="shared" si="9"/>
        <v>P007</v>
      </c>
    </row>
    <row r="641" spans="1:32" ht="28.8" hidden="1" x14ac:dyDescent="0.3">
      <c r="A641" s="12" t="e" cm="1">
        <f t="array" aca="1" ref="A641" ca="1">IF(STAT[[#This Row],[retranca]]="","",       RegxFunc(STAT[[#This Row],[retranca]],  "\w\d{4}\w*_\d")     )</f>
        <v>#NAME?</v>
      </c>
      <c r="B641" s="32" t="s">
        <v>1506</v>
      </c>
      <c r="C641" s="14" t="s">
        <v>72</v>
      </c>
      <c r="D641" s="15" t="s">
        <v>9</v>
      </c>
      <c r="E641" s="15" t="s">
        <v>10</v>
      </c>
      <c r="F641" s="14">
        <v>15</v>
      </c>
      <c r="G641" s="15">
        <v>3</v>
      </c>
      <c r="H641" s="14">
        <v>1</v>
      </c>
      <c r="I641" s="14">
        <v>1</v>
      </c>
      <c r="J641" s="17" t="s">
        <v>11</v>
      </c>
      <c r="K641" s="36"/>
      <c r="L641" s="14"/>
      <c r="M641" s="14"/>
      <c r="N641" s="14"/>
      <c r="O641" s="14"/>
      <c r="P641" s="25" t="s">
        <v>1507</v>
      </c>
      <c r="Q641" s="21"/>
      <c r="R641" s="22"/>
      <c r="S641" s="14"/>
      <c r="T641" s="27"/>
      <c r="U641" s="27"/>
      <c r="V641" s="27"/>
      <c r="W641" s="27"/>
      <c r="X641" s="27"/>
      <c r="Y641" s="14" t="s">
        <v>94</v>
      </c>
      <c r="Z641" s="40" t="str">
        <f>IF(STAT[[#This Row],[sigla]]="","",VLOOKUP(STAT[[#This Row],[sigla]],CRÉDITOS_GERAIS[[sigla]:[credito]],2,))</f>
        <v>Thais Castro</v>
      </c>
      <c r="AA641" s="14"/>
      <c r="AB641" s="14" t="str">
        <f>STAT[[#This Row],[ilustrador]]</f>
        <v>Thais Castro</v>
      </c>
      <c r="AC641" s="14"/>
      <c r="AD641" s="22"/>
      <c r="AE641" s="15"/>
      <c r="AF641" s="42" t="str">
        <f t="shared" si="9"/>
        <v>P007</v>
      </c>
    </row>
    <row r="642" spans="1:32" hidden="1" x14ac:dyDescent="0.3">
      <c r="A642" s="12" t="e" cm="1">
        <f t="array" aca="1" ref="A642" ca="1">IF(STAT[[#This Row],[retranca]]="","",       RegxFunc(STAT[[#This Row],[retranca]],  "\w\d{4}\w*_\d")     )</f>
        <v>#NAME?</v>
      </c>
      <c r="B642" s="21" t="s">
        <v>1508</v>
      </c>
      <c r="C642" s="14" t="s">
        <v>72</v>
      </c>
      <c r="D642" s="15" t="s">
        <v>9</v>
      </c>
      <c r="E642" s="15" t="s">
        <v>10</v>
      </c>
      <c r="F642" s="14">
        <v>15</v>
      </c>
      <c r="G642" s="15">
        <v>3</v>
      </c>
      <c r="H642" s="14">
        <v>1</v>
      </c>
      <c r="I642" s="14">
        <v>1</v>
      </c>
      <c r="J642" s="17" t="s">
        <v>11</v>
      </c>
      <c r="K642" s="36"/>
      <c r="L642" s="14"/>
      <c r="M642" s="14"/>
      <c r="N642" s="14"/>
      <c r="O642" s="14"/>
      <c r="P642" s="25" t="s">
        <v>1509</v>
      </c>
      <c r="Q642" s="21"/>
      <c r="R642" s="22"/>
      <c r="S642" s="14"/>
      <c r="T642" s="27"/>
      <c r="U642" s="27"/>
      <c r="V642" s="27"/>
      <c r="W642" s="27"/>
      <c r="X642" s="27"/>
      <c r="Y642" s="14" t="s">
        <v>94</v>
      </c>
      <c r="Z642" s="40" t="str">
        <f>IF(STAT[[#This Row],[sigla]]="","",VLOOKUP(STAT[[#This Row],[sigla]],CRÉDITOS_GERAIS[[sigla]:[credito]],2,))</f>
        <v>Thais Castro</v>
      </c>
      <c r="AA642" s="14"/>
      <c r="AB642" s="14" t="str">
        <f>STAT[[#This Row],[ilustrador]]</f>
        <v>Thais Castro</v>
      </c>
      <c r="AC642" s="14"/>
      <c r="AD642" s="22"/>
      <c r="AE642" s="15"/>
      <c r="AF642" s="42" t="str">
        <f t="shared" ref="AF642:AF705" si="10">"P007"</f>
        <v>P007</v>
      </c>
    </row>
    <row r="643" spans="1:32" hidden="1" x14ac:dyDescent="0.3">
      <c r="A643" s="12" t="e" cm="1">
        <f t="array" aca="1" ref="A643" ca="1">IF(STAT[[#This Row],[retranca]]="","",       RegxFunc(STAT[[#This Row],[retranca]],  "\w\d{4}\w*_\d")     )</f>
        <v>#NAME?</v>
      </c>
      <c r="B643" s="21" t="s">
        <v>1510</v>
      </c>
      <c r="C643" s="14" t="s">
        <v>72</v>
      </c>
      <c r="D643" s="15" t="s">
        <v>9</v>
      </c>
      <c r="E643" s="15" t="s">
        <v>10</v>
      </c>
      <c r="F643" s="14">
        <v>15</v>
      </c>
      <c r="G643" s="15">
        <v>3</v>
      </c>
      <c r="H643" s="14">
        <v>1</v>
      </c>
      <c r="I643" s="14">
        <v>1</v>
      </c>
      <c r="J643" s="17" t="s">
        <v>11</v>
      </c>
      <c r="K643" s="36"/>
      <c r="L643" s="14"/>
      <c r="M643" s="14"/>
      <c r="N643" s="14"/>
      <c r="O643" s="14"/>
      <c r="P643" s="25" t="s">
        <v>1511</v>
      </c>
      <c r="Q643" s="21"/>
      <c r="R643" s="22"/>
      <c r="S643" s="14"/>
      <c r="T643" s="27"/>
      <c r="U643" s="27"/>
      <c r="V643" s="27"/>
      <c r="W643" s="27"/>
      <c r="X643" s="27"/>
      <c r="Y643" s="14" t="s">
        <v>94</v>
      </c>
      <c r="Z643" s="40" t="str">
        <f>IF(STAT[[#This Row],[sigla]]="","",VLOOKUP(STAT[[#This Row],[sigla]],CRÉDITOS_GERAIS[[sigla]:[credito]],2,))</f>
        <v>Thais Castro</v>
      </c>
      <c r="AA643" s="14"/>
      <c r="AB643" s="14" t="str">
        <f>STAT[[#This Row],[ilustrador]]</f>
        <v>Thais Castro</v>
      </c>
      <c r="AC643" s="14"/>
      <c r="AD643" s="22"/>
      <c r="AE643" s="15"/>
      <c r="AF643" s="42" t="str">
        <f t="shared" si="10"/>
        <v>P007</v>
      </c>
    </row>
    <row r="644" spans="1:32" hidden="1" x14ac:dyDescent="0.3">
      <c r="A644" s="12" t="e" cm="1">
        <f t="array" aca="1" ref="A644" ca="1">IF(STAT[[#This Row],[retranca]]="","",       RegxFunc(STAT[[#This Row],[retranca]],  "\w\d{4}\w*_\d")     )</f>
        <v>#NAME?</v>
      </c>
      <c r="B644" s="21" t="s">
        <v>1512</v>
      </c>
      <c r="C644" s="14" t="s">
        <v>72</v>
      </c>
      <c r="D644" s="15" t="s">
        <v>9</v>
      </c>
      <c r="E644" s="15" t="s">
        <v>10</v>
      </c>
      <c r="F644" s="14">
        <v>15</v>
      </c>
      <c r="G644" s="15">
        <v>3</v>
      </c>
      <c r="H644" s="14">
        <v>1</v>
      </c>
      <c r="I644" s="14">
        <v>1</v>
      </c>
      <c r="J644" s="17" t="s">
        <v>11</v>
      </c>
      <c r="K644" s="36"/>
      <c r="L644" s="14"/>
      <c r="M644" s="14"/>
      <c r="N644" s="14"/>
      <c r="O644" s="14"/>
      <c r="P644" s="25" t="s">
        <v>1513</v>
      </c>
      <c r="Q644" s="21"/>
      <c r="R644" s="22"/>
      <c r="S644" s="14">
        <v>93</v>
      </c>
      <c r="T644" s="27">
        <v>45918</v>
      </c>
      <c r="U644" s="27">
        <v>45918</v>
      </c>
      <c r="V644" s="27"/>
      <c r="W644" s="27"/>
      <c r="X644" s="27">
        <v>45918</v>
      </c>
      <c r="Y644" s="14" t="s">
        <v>94</v>
      </c>
      <c r="Z644" s="40" t="str">
        <f>IF(STAT[[#This Row],[sigla]]="","",VLOOKUP(STAT[[#This Row],[sigla]],CRÉDITOS_GERAIS[[sigla]:[credito]],2,))</f>
        <v>Thais Castro</v>
      </c>
      <c r="AA644" s="14" t="s">
        <v>1514</v>
      </c>
      <c r="AB644" s="14" t="str">
        <f>STAT[[#This Row],[ilustrador]]</f>
        <v>Thais Castro</v>
      </c>
      <c r="AC644" s="14">
        <v>13</v>
      </c>
      <c r="AD644" s="22" t="s">
        <v>1515</v>
      </c>
      <c r="AE644" s="15" t="s">
        <v>46</v>
      </c>
      <c r="AF644" s="42" t="str">
        <f t="shared" si="10"/>
        <v>P007</v>
      </c>
    </row>
    <row r="645" spans="1:32" ht="43.2" hidden="1" x14ac:dyDescent="0.3">
      <c r="A645" s="12" t="e" cm="1">
        <f t="array" aca="1" ref="A645" ca="1">IF(STAT[[#This Row],[retranca]]="","",       RegxFunc(STAT[[#This Row],[retranca]],  "\w\d{4}\w*_\d")     )</f>
        <v>#NAME?</v>
      </c>
      <c r="B645" s="21" t="s">
        <v>1516</v>
      </c>
      <c r="C645" s="14" t="s">
        <v>72</v>
      </c>
      <c r="D645" s="15" t="s">
        <v>9</v>
      </c>
      <c r="E645" s="15" t="s">
        <v>10</v>
      </c>
      <c r="F645" s="14">
        <v>31</v>
      </c>
      <c r="G645" s="15">
        <v>2</v>
      </c>
      <c r="H645" s="14">
        <v>7</v>
      </c>
      <c r="I645" s="14">
        <v>7</v>
      </c>
      <c r="J645" s="17" t="s">
        <v>55</v>
      </c>
      <c r="K645" s="36"/>
      <c r="L645" s="14"/>
      <c r="M645" s="14"/>
      <c r="N645" s="14"/>
      <c r="O645" s="14"/>
      <c r="P645" s="25" t="s">
        <v>1517</v>
      </c>
      <c r="Q645" s="21"/>
      <c r="R645" s="22"/>
      <c r="S645" s="14">
        <v>94</v>
      </c>
      <c r="T645" s="27">
        <v>45918</v>
      </c>
      <c r="U645" s="27">
        <v>45919</v>
      </c>
      <c r="V645" s="27"/>
      <c r="W645" s="27"/>
      <c r="X645" s="27">
        <v>45919</v>
      </c>
      <c r="Y645" s="14" t="s">
        <v>741</v>
      </c>
      <c r="Z645" s="40" t="str">
        <f>IF(STAT[[#This Row],[sigla]]="","",VLOOKUP(STAT[[#This Row],[sigla]],CRÉDITOS_GERAIS[[sigla]:[credito]],2,))</f>
        <v>Felipe Grigoli</v>
      </c>
      <c r="AA645" s="14"/>
      <c r="AB645" s="14" t="str">
        <f>STAT[[#This Row],[ilustrador]]</f>
        <v>Felipe Grigoli</v>
      </c>
      <c r="AC645" s="14">
        <v>5</v>
      </c>
      <c r="AD645" s="22" t="s">
        <v>196</v>
      </c>
      <c r="AE645" s="15" t="s">
        <v>46</v>
      </c>
      <c r="AF645" s="42" t="str">
        <f t="shared" si="10"/>
        <v>P007</v>
      </c>
    </row>
    <row r="646" spans="1:32" ht="115.2" hidden="1" x14ac:dyDescent="0.3">
      <c r="A646" s="12" t="e" cm="1">
        <f t="array" aca="1" ref="A646" ca="1">IF(STAT[[#This Row],[retranca]]="","",       RegxFunc(STAT[[#This Row],[retranca]],  "\w\d{4}\w*_\d")     )</f>
        <v>#NAME?</v>
      </c>
      <c r="B646" s="21" t="s">
        <v>1518</v>
      </c>
      <c r="C646" s="14" t="s">
        <v>72</v>
      </c>
      <c r="D646" s="15" t="s">
        <v>9</v>
      </c>
      <c r="E646" s="15" t="s">
        <v>471</v>
      </c>
      <c r="F646" s="14">
        <v>92</v>
      </c>
      <c r="G646" s="15">
        <v>0</v>
      </c>
      <c r="H646" s="14">
        <v>2</v>
      </c>
      <c r="I646" s="14">
        <v>2</v>
      </c>
      <c r="J646" s="17" t="s">
        <v>55</v>
      </c>
      <c r="K646" s="21"/>
      <c r="L646" s="14"/>
      <c r="M646" s="14"/>
      <c r="N646" s="14"/>
      <c r="O646" s="14"/>
      <c r="P646" s="25" t="s">
        <v>1519</v>
      </c>
      <c r="Q646" s="21"/>
      <c r="R646" s="22"/>
      <c r="S646" s="14">
        <v>95</v>
      </c>
      <c r="T646" s="27">
        <v>45919</v>
      </c>
      <c r="U646" s="27">
        <v>45919</v>
      </c>
      <c r="V646" s="27"/>
      <c r="W646" s="27"/>
      <c r="X646" s="27">
        <v>45920</v>
      </c>
      <c r="Y646" s="14" t="s">
        <v>413</v>
      </c>
      <c r="Z646" s="40" t="e">
        <f>IF(STAT[[#This Row],[sigla]]="","",VLOOKUP(STAT[[#This Row],[sigla]],CRÉDITOS_GERAIS[[sigla]:[credito]],2,))</f>
        <v>#N/A</v>
      </c>
      <c r="AA646" s="14" t="s">
        <v>1520</v>
      </c>
      <c r="AB646" s="14" t="s">
        <v>1521</v>
      </c>
      <c r="AC646" s="14">
        <v>13</v>
      </c>
      <c r="AD646" s="22" t="s">
        <v>196</v>
      </c>
      <c r="AE646" s="15" t="s">
        <v>46</v>
      </c>
      <c r="AF646" s="42" t="str">
        <f t="shared" si="10"/>
        <v>P007</v>
      </c>
    </row>
    <row r="647" spans="1:32" ht="57.6" hidden="1" x14ac:dyDescent="0.3">
      <c r="A647" s="12" t="e" cm="1">
        <f t="array" aca="1" ref="A647" ca="1">IF(STAT[[#This Row],[retranca]]="","",       RegxFunc(STAT[[#This Row],[retranca]],  "\w\d{4}\w*_\d")     )</f>
        <v>#NAME?</v>
      </c>
      <c r="B647" s="21" t="s">
        <v>1522</v>
      </c>
      <c r="C647" s="14" t="s">
        <v>122</v>
      </c>
      <c r="D647" s="15" t="s">
        <v>9</v>
      </c>
      <c r="E647" s="15" t="s">
        <v>471</v>
      </c>
      <c r="F647" s="14">
        <v>24</v>
      </c>
      <c r="G647" s="15">
        <v>2</v>
      </c>
      <c r="H647" s="14">
        <v>6</v>
      </c>
      <c r="I647" s="14">
        <v>6</v>
      </c>
      <c r="J647" s="17" t="s">
        <v>55</v>
      </c>
      <c r="K647" s="21"/>
      <c r="L647" s="14"/>
      <c r="M647" s="14"/>
      <c r="N647" s="14"/>
      <c r="O647" s="14"/>
      <c r="P647" s="25" t="s">
        <v>1523</v>
      </c>
      <c r="Q647" s="21"/>
      <c r="R647" s="22"/>
      <c r="S647" s="14">
        <v>96</v>
      </c>
      <c r="T647" s="27">
        <v>45922</v>
      </c>
      <c r="U647" s="27">
        <v>45922</v>
      </c>
      <c r="V647" s="27"/>
      <c r="W647" s="27"/>
      <c r="X647" s="27">
        <v>45923</v>
      </c>
      <c r="Y647" s="14" t="s">
        <v>290</v>
      </c>
      <c r="Z647" s="40" t="str">
        <f>IF(STAT[[#This Row],[sigla]]="","",VLOOKUP(STAT[[#This Row],[sigla]],CRÉDITOS_GERAIS[[sigla]:[credito]],2,))</f>
        <v>Bruna Campos</v>
      </c>
      <c r="AA647" s="14"/>
      <c r="AB647" s="14" t="str">
        <f>STAT[[#This Row],[ilustrador]]</f>
        <v>Bruna Campos</v>
      </c>
      <c r="AC647" s="14">
        <v>7</v>
      </c>
      <c r="AD647" s="22" t="s">
        <v>196</v>
      </c>
      <c r="AE647" s="15" t="s">
        <v>46</v>
      </c>
      <c r="AF647" s="42" t="str">
        <f t="shared" si="10"/>
        <v>P007</v>
      </c>
    </row>
    <row r="648" spans="1:32" ht="57.6" hidden="1" x14ac:dyDescent="0.3">
      <c r="A648" s="12" t="e" cm="1">
        <f t="array" aca="1" ref="A648" ca="1">IF(STAT[[#This Row],[retranca]]="","",       RegxFunc(STAT[[#This Row],[retranca]],  "\w\d{4}\w*_\d")     )</f>
        <v>#NAME?</v>
      </c>
      <c r="B648" s="21" t="s">
        <v>1524</v>
      </c>
      <c r="C648" s="14" t="s">
        <v>122</v>
      </c>
      <c r="D648" s="15" t="s">
        <v>9</v>
      </c>
      <c r="E648" s="15" t="s">
        <v>471</v>
      </c>
      <c r="F648" s="14"/>
      <c r="G648" s="15">
        <v>0</v>
      </c>
      <c r="H648" s="14">
        <v>5</v>
      </c>
      <c r="I648" s="14">
        <v>5</v>
      </c>
      <c r="J648" s="17" t="s">
        <v>55</v>
      </c>
      <c r="K648" s="21"/>
      <c r="L648" s="14"/>
      <c r="M648" s="14"/>
      <c r="N648" s="14"/>
      <c r="O648" s="14"/>
      <c r="P648" s="25" t="s">
        <v>1525</v>
      </c>
      <c r="Q648" s="21"/>
      <c r="R648" s="22"/>
      <c r="S648" s="14">
        <v>97</v>
      </c>
      <c r="T648" s="27">
        <v>45922</v>
      </c>
      <c r="U648" s="27">
        <v>45923</v>
      </c>
      <c r="V648" s="27">
        <v>45925</v>
      </c>
      <c r="W648" s="27">
        <v>45925</v>
      </c>
      <c r="X648" s="27">
        <v>45929</v>
      </c>
      <c r="Y648" s="14" t="s">
        <v>84</v>
      </c>
      <c r="Z648" s="40" t="str">
        <f>IF(STAT[[#This Row],[sigla]]="","",VLOOKUP(STAT[[#This Row],[sigla]],CRÉDITOS_GERAIS[[sigla]:[credito]],2,))</f>
        <v>Gabriel Brum</v>
      </c>
      <c r="AA648" s="14"/>
      <c r="AB648" s="14" t="str">
        <f>STAT[[#This Row],[ilustrador]]</f>
        <v>Gabriel Brum</v>
      </c>
      <c r="AC648" s="14">
        <v>7</v>
      </c>
      <c r="AD648" s="22" t="s">
        <v>1526</v>
      </c>
      <c r="AE648" s="15" t="s">
        <v>87</v>
      </c>
      <c r="AF648" s="42" t="str">
        <f t="shared" si="10"/>
        <v>P007</v>
      </c>
    </row>
    <row r="649" spans="1:32" ht="57.6" hidden="1" x14ac:dyDescent="0.3">
      <c r="A649" s="12" t="e" cm="1">
        <f t="array" aca="1" ref="A649" ca="1">IF(STAT[[#This Row],[retranca]]="","",       RegxFunc(STAT[[#This Row],[retranca]],  "\w\d{4}\w*_\d")     )</f>
        <v>#NAME?</v>
      </c>
      <c r="B649" s="21" t="s">
        <v>1527</v>
      </c>
      <c r="C649" s="14" t="s">
        <v>122</v>
      </c>
      <c r="D649" s="15" t="s">
        <v>9</v>
      </c>
      <c r="E649" s="15" t="s">
        <v>471</v>
      </c>
      <c r="F649" s="14"/>
      <c r="G649" s="15">
        <v>0</v>
      </c>
      <c r="H649" s="14">
        <v>5</v>
      </c>
      <c r="I649" s="14">
        <v>5</v>
      </c>
      <c r="J649" s="17" t="s">
        <v>55</v>
      </c>
      <c r="K649" s="21"/>
      <c r="L649" s="14"/>
      <c r="M649" s="14"/>
      <c r="N649" s="14"/>
      <c r="O649" s="14"/>
      <c r="P649" s="25" t="s">
        <v>1528</v>
      </c>
      <c r="Q649" s="21"/>
      <c r="R649" s="22"/>
      <c r="S649" s="14">
        <v>97</v>
      </c>
      <c r="T649" s="27">
        <v>45922</v>
      </c>
      <c r="U649" s="27">
        <v>45923</v>
      </c>
      <c r="V649" s="27">
        <v>45925</v>
      </c>
      <c r="W649" s="27">
        <v>45925</v>
      </c>
      <c r="X649" s="27">
        <v>45929</v>
      </c>
      <c r="Y649" s="14" t="s">
        <v>84</v>
      </c>
      <c r="Z649" s="40" t="str">
        <f>IF(STAT[[#This Row],[sigla]]="","",VLOOKUP(STAT[[#This Row],[sigla]],CRÉDITOS_GERAIS[[sigla]:[credito]],2,))</f>
        <v>Gabriel Brum</v>
      </c>
      <c r="AA649" s="14"/>
      <c r="AB649" s="14" t="str">
        <f>STAT[[#This Row],[ilustrador]]</f>
        <v>Gabriel Brum</v>
      </c>
      <c r="AC649" s="14">
        <v>6</v>
      </c>
      <c r="AD649" s="22" t="s">
        <v>1526</v>
      </c>
      <c r="AE649" s="15" t="s">
        <v>87</v>
      </c>
      <c r="AF649" s="42" t="str">
        <f t="shared" si="10"/>
        <v>P007</v>
      </c>
    </row>
    <row r="650" spans="1:32" ht="43.2" hidden="1" x14ac:dyDescent="0.3">
      <c r="A650" s="12" t="e" cm="1">
        <f t="array" aca="1" ref="A650" ca="1">IF(STAT[[#This Row],[retranca]]="","",       RegxFunc(STAT[[#This Row],[retranca]],  "\w\d{4}\w*_\d")     )</f>
        <v>#NAME?</v>
      </c>
      <c r="B650" s="21" t="s">
        <v>1529</v>
      </c>
      <c r="C650" s="14" t="s">
        <v>1084</v>
      </c>
      <c r="D650" s="15" t="s">
        <v>9</v>
      </c>
      <c r="E650" s="15" t="s">
        <v>471</v>
      </c>
      <c r="F650" s="14"/>
      <c r="G650" s="15">
        <v>0</v>
      </c>
      <c r="H650" s="14">
        <v>5</v>
      </c>
      <c r="I650" s="14">
        <v>5</v>
      </c>
      <c r="J650" s="17" t="s">
        <v>55</v>
      </c>
      <c r="K650" s="21"/>
      <c r="L650" s="14"/>
      <c r="M650" s="14"/>
      <c r="N650" s="14"/>
      <c r="O650" s="14"/>
      <c r="P650" s="25" t="s">
        <v>1530</v>
      </c>
      <c r="Q650" s="21"/>
      <c r="R650" s="22"/>
      <c r="S650" s="14">
        <v>97</v>
      </c>
      <c r="T650" s="27">
        <v>45922</v>
      </c>
      <c r="U650" s="27">
        <v>45923</v>
      </c>
      <c r="V650" s="27">
        <v>45925</v>
      </c>
      <c r="W650" s="27">
        <v>45925</v>
      </c>
      <c r="X650" s="27">
        <v>45929</v>
      </c>
      <c r="Y650" s="14" t="s">
        <v>84</v>
      </c>
      <c r="Z650" s="40" t="str">
        <f>IF(STAT[[#This Row],[sigla]]="","",VLOOKUP(STAT[[#This Row],[sigla]],CRÉDITOS_GERAIS[[sigla]:[credito]],2,))</f>
        <v>Gabriel Brum</v>
      </c>
      <c r="AA650" s="14"/>
      <c r="AB650" s="14" t="str">
        <f>STAT[[#This Row],[ilustrador]]</f>
        <v>Gabriel Brum</v>
      </c>
      <c r="AC650" s="14">
        <v>7</v>
      </c>
      <c r="AD650" s="22" t="s">
        <v>1526</v>
      </c>
      <c r="AE650" s="15" t="s">
        <v>87</v>
      </c>
      <c r="AF650" s="42" t="str">
        <f t="shared" si="10"/>
        <v>P007</v>
      </c>
    </row>
    <row r="651" spans="1:32" hidden="1" x14ac:dyDescent="0.3">
      <c r="A651" s="12" t="e" cm="1">
        <f t="array" aca="1" ref="A651" ca="1">IF(STAT[[#This Row],[retranca]]="","",       RegxFunc(STAT[[#This Row],[retranca]],  "\w\d{4}\w*_\d")     )</f>
        <v>#NAME?</v>
      </c>
      <c r="B651" s="21" t="s">
        <v>1531</v>
      </c>
      <c r="C651" s="14" t="s">
        <v>122</v>
      </c>
      <c r="D651" s="15" t="s">
        <v>9</v>
      </c>
      <c r="E651" s="15" t="s">
        <v>471</v>
      </c>
      <c r="F651" s="14"/>
      <c r="G651" s="15">
        <v>0</v>
      </c>
      <c r="H651" s="14">
        <v>5</v>
      </c>
      <c r="I651" s="14">
        <v>5</v>
      </c>
      <c r="J651" s="17" t="s">
        <v>55</v>
      </c>
      <c r="K651" s="21"/>
      <c r="L651" s="14"/>
      <c r="M651" s="14"/>
      <c r="N651" s="14"/>
      <c r="O651" s="14"/>
      <c r="P651" s="25" t="s">
        <v>1532</v>
      </c>
      <c r="Q651" s="21"/>
      <c r="R651" s="22"/>
      <c r="S651" s="14">
        <v>97</v>
      </c>
      <c r="T651" s="27">
        <v>45922</v>
      </c>
      <c r="U651" s="27">
        <v>45923</v>
      </c>
      <c r="V651" s="27">
        <v>45925</v>
      </c>
      <c r="W651" s="27">
        <v>45925</v>
      </c>
      <c r="X651" s="27">
        <v>45929</v>
      </c>
      <c r="Y651" s="14" t="s">
        <v>84</v>
      </c>
      <c r="Z651" s="40" t="str">
        <f>IF(STAT[[#This Row],[sigla]]="","",VLOOKUP(STAT[[#This Row],[sigla]],CRÉDITOS_GERAIS[[sigla]:[credito]],2,))</f>
        <v>Gabriel Brum</v>
      </c>
      <c r="AA651" s="14"/>
      <c r="AB651" s="14" t="str">
        <f>STAT[[#This Row],[ilustrador]]</f>
        <v>Gabriel Brum</v>
      </c>
      <c r="AC651" s="14">
        <v>6</v>
      </c>
      <c r="AD651" s="22" t="s">
        <v>1526</v>
      </c>
      <c r="AE651" s="15" t="s">
        <v>87</v>
      </c>
      <c r="AF651" s="42" t="str">
        <f t="shared" si="10"/>
        <v>P007</v>
      </c>
    </row>
    <row r="652" spans="1:32" ht="100.8" hidden="1" x14ac:dyDescent="0.3">
      <c r="A652" s="12" t="e" cm="1">
        <f t="array" aca="1" ref="A652" ca="1">IF(STAT[[#This Row],[retranca]]="","",       RegxFunc(STAT[[#This Row],[retranca]],  "\w\d{4}\w*_\d")     )</f>
        <v>#NAME?</v>
      </c>
      <c r="B652" s="21" t="s">
        <v>1533</v>
      </c>
      <c r="C652" s="14" t="s">
        <v>122</v>
      </c>
      <c r="D652" s="15" t="s">
        <v>9</v>
      </c>
      <c r="E652" s="15" t="s">
        <v>471</v>
      </c>
      <c r="F652" s="14"/>
      <c r="G652" s="15">
        <v>0</v>
      </c>
      <c r="H652" s="14">
        <v>5</v>
      </c>
      <c r="I652" s="14">
        <v>5</v>
      </c>
      <c r="J652" s="17" t="s">
        <v>55</v>
      </c>
      <c r="K652" s="21"/>
      <c r="L652" s="14"/>
      <c r="M652" s="14"/>
      <c r="N652" s="14"/>
      <c r="O652" s="14"/>
      <c r="P652" s="25" t="s">
        <v>1534</v>
      </c>
      <c r="Q652" s="21"/>
      <c r="R652" s="22"/>
      <c r="S652" s="14">
        <v>97</v>
      </c>
      <c r="T652" s="27">
        <v>45922</v>
      </c>
      <c r="U652" s="27">
        <v>45923</v>
      </c>
      <c r="V652" s="27">
        <v>45925</v>
      </c>
      <c r="W652" s="27">
        <v>45925</v>
      </c>
      <c r="X652" s="27">
        <v>45929</v>
      </c>
      <c r="Y652" s="14" t="s">
        <v>84</v>
      </c>
      <c r="Z652" s="40" t="str">
        <f>IF(STAT[[#This Row],[sigla]]="","",VLOOKUP(STAT[[#This Row],[sigla]],CRÉDITOS_GERAIS[[sigla]:[credito]],2,))</f>
        <v>Gabriel Brum</v>
      </c>
      <c r="AA652" s="14"/>
      <c r="AB652" s="14" t="str">
        <f>STAT[[#This Row],[ilustrador]]</f>
        <v>Gabriel Brum</v>
      </c>
      <c r="AC652" s="14">
        <v>3</v>
      </c>
      <c r="AD652" s="22" t="s">
        <v>1526</v>
      </c>
      <c r="AE652" s="15" t="s">
        <v>87</v>
      </c>
      <c r="AF652" s="42" t="str">
        <f t="shared" si="10"/>
        <v>P007</v>
      </c>
    </row>
    <row r="653" spans="1:32" ht="57.6" hidden="1" x14ac:dyDescent="0.3">
      <c r="A653" s="12" t="e" cm="1">
        <f t="array" aca="1" ref="A653" ca="1">IF(STAT[[#This Row],[retranca]]="","",       RegxFunc(STAT[[#This Row],[retranca]],  "\w\d{4}\w*_\d")     )</f>
        <v>#NAME?</v>
      </c>
      <c r="B653" s="21" t="s">
        <v>1535</v>
      </c>
      <c r="C653" s="14" t="s">
        <v>122</v>
      </c>
      <c r="D653" s="15" t="s">
        <v>9</v>
      </c>
      <c r="E653" s="15" t="s">
        <v>471</v>
      </c>
      <c r="F653" s="14"/>
      <c r="G653" s="15">
        <v>0</v>
      </c>
      <c r="H653" s="14">
        <v>5</v>
      </c>
      <c r="I653" s="14">
        <v>5</v>
      </c>
      <c r="J653" s="17" t="s">
        <v>55</v>
      </c>
      <c r="K653" s="21"/>
      <c r="L653" s="14"/>
      <c r="M653" s="14"/>
      <c r="N653" s="14"/>
      <c r="O653" s="14"/>
      <c r="P653" s="25" t="s">
        <v>1536</v>
      </c>
      <c r="Q653" s="21"/>
      <c r="R653" s="22"/>
      <c r="S653" s="14">
        <v>97</v>
      </c>
      <c r="T653" s="27">
        <v>45922</v>
      </c>
      <c r="U653" s="27">
        <v>45923</v>
      </c>
      <c r="V653" s="27">
        <v>45925</v>
      </c>
      <c r="W653" s="27">
        <v>45925</v>
      </c>
      <c r="X653" s="27">
        <v>45929</v>
      </c>
      <c r="Y653" s="14" t="s">
        <v>84</v>
      </c>
      <c r="Z653" s="40" t="str">
        <f>IF(STAT[[#This Row],[sigla]]="","",VLOOKUP(STAT[[#This Row],[sigla]],CRÉDITOS_GERAIS[[sigla]:[credito]],2,))</f>
        <v>Gabriel Brum</v>
      </c>
      <c r="AA653" s="14"/>
      <c r="AB653" s="14" t="str">
        <f>STAT[[#This Row],[ilustrador]]</f>
        <v>Gabriel Brum</v>
      </c>
      <c r="AC653" s="14">
        <v>5</v>
      </c>
      <c r="AD653" s="22" t="s">
        <v>1526</v>
      </c>
      <c r="AE653" s="15" t="s">
        <v>87</v>
      </c>
      <c r="AF653" s="42" t="str">
        <f t="shared" si="10"/>
        <v>P007</v>
      </c>
    </row>
    <row r="654" spans="1:32" ht="57.6" hidden="1" x14ac:dyDescent="0.3">
      <c r="A654" s="12" t="e" cm="1">
        <f t="array" aca="1" ref="A654" ca="1">IF(STAT[[#This Row],[retranca]]="","",       RegxFunc(STAT[[#This Row],[retranca]],  "\w\d{4}\w*_\d")     )</f>
        <v>#NAME?</v>
      </c>
      <c r="B654" s="21" t="s">
        <v>1537</v>
      </c>
      <c r="C654" s="14" t="s">
        <v>72</v>
      </c>
      <c r="D654" s="15" t="s">
        <v>9</v>
      </c>
      <c r="E654" s="15" t="s">
        <v>471</v>
      </c>
      <c r="F654" s="14"/>
      <c r="G654" s="15">
        <v>0</v>
      </c>
      <c r="H654" s="14">
        <v>6</v>
      </c>
      <c r="I654" s="14">
        <v>6</v>
      </c>
      <c r="J654" s="17" t="s">
        <v>55</v>
      </c>
      <c r="K654" s="21"/>
      <c r="L654" s="14"/>
      <c r="M654" s="14"/>
      <c r="N654" s="14"/>
      <c r="O654" s="14"/>
      <c r="P654" s="25" t="s">
        <v>1538</v>
      </c>
      <c r="Q654" s="21"/>
      <c r="R654" s="22"/>
      <c r="S654" s="14">
        <v>98</v>
      </c>
      <c r="T654" s="27">
        <v>45923</v>
      </c>
      <c r="U654" s="27">
        <v>45926</v>
      </c>
      <c r="V654" s="27">
        <v>45930</v>
      </c>
      <c r="W654" s="27">
        <v>45932</v>
      </c>
      <c r="X654" s="27">
        <v>45933</v>
      </c>
      <c r="Y654" s="14" t="s">
        <v>109</v>
      </c>
      <c r="Z654" s="40" t="str">
        <f>IF(STAT[[#This Row],[sigla]]="","",VLOOKUP(STAT[[#This Row],[sigla]],CRÉDITOS_GERAIS[[sigla]:[credito]],2,))</f>
        <v>Clarice Baracho</v>
      </c>
      <c r="AA654" s="14"/>
      <c r="AB654" s="14" t="str">
        <f>STAT[[#This Row],[ilustrador]]</f>
        <v>Clarice Baracho</v>
      </c>
      <c r="AC654" s="14">
        <v>6</v>
      </c>
      <c r="AD654" s="22" t="s">
        <v>1539</v>
      </c>
      <c r="AE654" s="15" t="s">
        <v>87</v>
      </c>
      <c r="AF654" s="42" t="str">
        <f t="shared" si="10"/>
        <v>P007</v>
      </c>
    </row>
    <row r="655" spans="1:32" ht="100.8" hidden="1" x14ac:dyDescent="0.3">
      <c r="A655" s="12" t="e" cm="1">
        <f t="array" aca="1" ref="A655" ca="1">IF(STAT[[#This Row],[retranca]]="","",       RegxFunc(STAT[[#This Row],[retranca]],  "\w\d{4}\w*_\d")     )</f>
        <v>#NAME?</v>
      </c>
      <c r="B655" s="21" t="s">
        <v>1540</v>
      </c>
      <c r="C655" s="14" t="s">
        <v>72</v>
      </c>
      <c r="D655" s="15" t="s">
        <v>9</v>
      </c>
      <c r="E655" s="15" t="s">
        <v>471</v>
      </c>
      <c r="F655" s="14"/>
      <c r="G655" s="15">
        <v>0</v>
      </c>
      <c r="H655" s="14">
        <v>6</v>
      </c>
      <c r="I655" s="14">
        <v>6</v>
      </c>
      <c r="J655" s="17" t="s">
        <v>55</v>
      </c>
      <c r="K655" s="21"/>
      <c r="L655" s="14"/>
      <c r="M655" s="14"/>
      <c r="N655" s="14"/>
      <c r="O655" s="14"/>
      <c r="P655" s="25" t="s">
        <v>1541</v>
      </c>
      <c r="Q655" s="21"/>
      <c r="R655" s="22"/>
      <c r="S655" s="14">
        <v>98</v>
      </c>
      <c r="T655" s="27">
        <v>45923</v>
      </c>
      <c r="U655" s="27">
        <v>45926</v>
      </c>
      <c r="V655" s="27">
        <v>45930</v>
      </c>
      <c r="W655" s="27">
        <v>45932</v>
      </c>
      <c r="X655" s="27">
        <v>45933</v>
      </c>
      <c r="Y655" s="14" t="s">
        <v>109</v>
      </c>
      <c r="Z655" s="40" t="str">
        <f>IF(STAT[[#This Row],[sigla]]="","",VLOOKUP(STAT[[#This Row],[sigla]],CRÉDITOS_GERAIS[[sigla]:[credito]],2,))</f>
        <v>Clarice Baracho</v>
      </c>
      <c r="AA655" s="14"/>
      <c r="AB655" s="14" t="str">
        <f>STAT[[#This Row],[ilustrador]]</f>
        <v>Clarice Baracho</v>
      </c>
      <c r="AC655" s="14">
        <v>6</v>
      </c>
      <c r="AD655" s="22" t="s">
        <v>1539</v>
      </c>
      <c r="AE655" s="15" t="s">
        <v>87</v>
      </c>
      <c r="AF655" s="42" t="str">
        <f t="shared" si="10"/>
        <v>P007</v>
      </c>
    </row>
    <row r="656" spans="1:32" hidden="1" x14ac:dyDescent="0.3">
      <c r="A656" s="12" t="e" cm="1">
        <f t="array" aca="1" ref="A656" ca="1">IF(STAT[[#This Row],[retranca]]="","",       RegxFunc(STAT[[#This Row],[retranca]],  "\w\d{4}\w*_\d")     )</f>
        <v>#NAME?</v>
      </c>
      <c r="B656" s="21" t="s">
        <v>1542</v>
      </c>
      <c r="C656" s="14" t="s">
        <v>72</v>
      </c>
      <c r="D656" s="15" t="s">
        <v>9</v>
      </c>
      <c r="E656" s="15" t="s">
        <v>471</v>
      </c>
      <c r="F656" s="14"/>
      <c r="G656" s="15">
        <v>0</v>
      </c>
      <c r="H656" s="14">
        <v>6</v>
      </c>
      <c r="I656" s="14">
        <v>6</v>
      </c>
      <c r="J656" s="17" t="s">
        <v>55</v>
      </c>
      <c r="K656" s="21"/>
      <c r="L656" s="14"/>
      <c r="M656" s="14"/>
      <c r="N656" s="14"/>
      <c r="O656" s="14"/>
      <c r="P656" s="25" t="s">
        <v>1543</v>
      </c>
      <c r="Q656" s="21"/>
      <c r="R656" s="22"/>
      <c r="S656" s="14">
        <v>98</v>
      </c>
      <c r="T656" s="27">
        <v>45923</v>
      </c>
      <c r="U656" s="27">
        <v>45926</v>
      </c>
      <c r="V656" s="27">
        <v>45930</v>
      </c>
      <c r="W656" s="27">
        <v>45932</v>
      </c>
      <c r="X656" s="27">
        <v>45933</v>
      </c>
      <c r="Y656" s="14" t="s">
        <v>109</v>
      </c>
      <c r="Z656" s="40" t="str">
        <f>IF(STAT[[#This Row],[sigla]]="","",VLOOKUP(STAT[[#This Row],[sigla]],CRÉDITOS_GERAIS[[sigla]:[credito]],2,))</f>
        <v>Clarice Baracho</v>
      </c>
      <c r="AA656" s="14"/>
      <c r="AB656" s="14" t="str">
        <f>STAT[[#This Row],[ilustrador]]</f>
        <v>Clarice Baracho</v>
      </c>
      <c r="AC656" s="14">
        <v>6</v>
      </c>
      <c r="AD656" s="22" t="s">
        <v>1539</v>
      </c>
      <c r="AE656" s="15" t="s">
        <v>87</v>
      </c>
      <c r="AF656" s="42" t="str">
        <f t="shared" si="10"/>
        <v>P007</v>
      </c>
    </row>
    <row r="657" spans="1:32" hidden="1" x14ac:dyDescent="0.3">
      <c r="A657" s="12" t="e" cm="1">
        <f t="array" aca="1" ref="A657" ca="1">IF(STAT[[#This Row],[retranca]]="","",       RegxFunc(STAT[[#This Row],[retranca]],  "\w\d{4}\w*_\d")     )</f>
        <v>#NAME?</v>
      </c>
      <c r="B657" s="21" t="s">
        <v>1544</v>
      </c>
      <c r="C657" s="14" t="s">
        <v>72</v>
      </c>
      <c r="D657" s="15" t="s">
        <v>9</v>
      </c>
      <c r="E657" s="15" t="s">
        <v>471</v>
      </c>
      <c r="F657" s="14"/>
      <c r="G657" s="15">
        <v>0</v>
      </c>
      <c r="H657" s="14">
        <v>6</v>
      </c>
      <c r="I657" s="14">
        <v>6</v>
      </c>
      <c r="J657" s="17" t="s">
        <v>55</v>
      </c>
      <c r="K657" s="21"/>
      <c r="L657" s="14"/>
      <c r="M657" s="14"/>
      <c r="N657" s="14"/>
      <c r="O657" s="14"/>
      <c r="P657" s="25" t="s">
        <v>1545</v>
      </c>
      <c r="Q657" s="21"/>
      <c r="R657" s="22"/>
      <c r="S657" s="14">
        <v>98</v>
      </c>
      <c r="T657" s="27">
        <v>45923</v>
      </c>
      <c r="U657" s="27">
        <v>45923</v>
      </c>
      <c r="V657" s="27"/>
      <c r="W657" s="27"/>
      <c r="X657" s="27">
        <v>45926</v>
      </c>
      <c r="Y657" s="14" t="s">
        <v>290</v>
      </c>
      <c r="Z657" s="40" t="str">
        <f>IF(STAT[[#This Row],[sigla]]="","",VLOOKUP(STAT[[#This Row],[sigla]],CRÉDITOS_GERAIS[[sigla]:[credito]],2,))</f>
        <v>Bruna Campos</v>
      </c>
      <c r="AA657" s="14"/>
      <c r="AB657" s="14" t="str">
        <f>STAT[[#This Row],[ilustrador]]</f>
        <v>Bruna Campos</v>
      </c>
      <c r="AC657" s="14">
        <v>5</v>
      </c>
      <c r="AD657" s="22" t="s">
        <v>196</v>
      </c>
      <c r="AE657" s="15" t="s">
        <v>46</v>
      </c>
      <c r="AF657" s="42" t="str">
        <f t="shared" si="10"/>
        <v>P007</v>
      </c>
    </row>
    <row r="658" spans="1:32" ht="115.2" hidden="1" x14ac:dyDescent="0.3">
      <c r="A658" s="12" t="e" cm="1">
        <f t="array" aca="1" ref="A658" ca="1">IF(STAT[[#This Row],[retranca]]="","",       RegxFunc(STAT[[#This Row],[retranca]],  "\w\d{4}\w*_\d")     )</f>
        <v>#NAME?</v>
      </c>
      <c r="B658" s="21" t="s">
        <v>1546</v>
      </c>
      <c r="C658" s="14" t="s">
        <v>72</v>
      </c>
      <c r="D658" s="15" t="s">
        <v>9</v>
      </c>
      <c r="E658" s="15" t="s">
        <v>471</v>
      </c>
      <c r="F658" s="14"/>
      <c r="G658" s="15">
        <v>0</v>
      </c>
      <c r="H658" s="14">
        <v>6</v>
      </c>
      <c r="I658" s="14">
        <v>6</v>
      </c>
      <c r="J658" s="17" t="s">
        <v>55</v>
      </c>
      <c r="K658" s="21"/>
      <c r="L658" s="14"/>
      <c r="M658" s="14"/>
      <c r="N658" s="14"/>
      <c r="O658" s="14"/>
      <c r="P658" s="25" t="s">
        <v>1547</v>
      </c>
      <c r="Q658" s="21"/>
      <c r="R658" s="22"/>
      <c r="S658" s="14">
        <v>98</v>
      </c>
      <c r="T658" s="27">
        <v>45923</v>
      </c>
      <c r="U658" s="27">
        <v>45926</v>
      </c>
      <c r="V658" s="27">
        <v>45931</v>
      </c>
      <c r="W658" s="27">
        <v>45932</v>
      </c>
      <c r="X658" s="27">
        <v>45934</v>
      </c>
      <c r="Y658" s="14" t="s">
        <v>109</v>
      </c>
      <c r="Z658" s="40" t="str">
        <f>IF(STAT[[#This Row],[sigla]]="","",VLOOKUP(STAT[[#This Row],[sigla]],CRÉDITOS_GERAIS[[sigla]:[credito]],2,))</f>
        <v>Clarice Baracho</v>
      </c>
      <c r="AA658" s="14"/>
      <c r="AB658" s="14" t="str">
        <f>STAT[[#This Row],[ilustrador]]</f>
        <v>Clarice Baracho</v>
      </c>
      <c r="AC658" s="14">
        <v>3</v>
      </c>
      <c r="AD658" s="22" t="s">
        <v>1548</v>
      </c>
      <c r="AE658" s="15" t="s">
        <v>87</v>
      </c>
      <c r="AF658" s="42" t="str">
        <f t="shared" si="10"/>
        <v>P007</v>
      </c>
    </row>
    <row r="659" spans="1:32" ht="43.2" hidden="1" x14ac:dyDescent="0.3">
      <c r="A659" s="12" t="e" cm="1">
        <f t="array" aca="1" ref="A659" ca="1">IF(STAT[[#This Row],[retranca]]="","",       RegxFunc(STAT[[#This Row],[retranca]],  "\w\d{4}\w*_\d")     )</f>
        <v>#NAME?</v>
      </c>
      <c r="B659" s="21" t="s">
        <v>1549</v>
      </c>
      <c r="C659" s="14" t="s">
        <v>72</v>
      </c>
      <c r="D659" s="15" t="s">
        <v>9</v>
      </c>
      <c r="E659" s="15" t="s">
        <v>471</v>
      </c>
      <c r="F659" s="14"/>
      <c r="G659" s="15">
        <v>0</v>
      </c>
      <c r="H659" s="14">
        <v>6</v>
      </c>
      <c r="I659" s="14">
        <v>6</v>
      </c>
      <c r="J659" s="17" t="s">
        <v>55</v>
      </c>
      <c r="K659" s="21"/>
      <c r="L659" s="14"/>
      <c r="M659" s="14"/>
      <c r="N659" s="14"/>
      <c r="O659" s="14"/>
      <c r="P659" s="25" t="s">
        <v>1550</v>
      </c>
      <c r="Q659" s="21"/>
      <c r="R659" s="22"/>
      <c r="S659" s="14">
        <v>98</v>
      </c>
      <c r="T659" s="27">
        <v>45923</v>
      </c>
      <c r="U659" s="27">
        <v>45926</v>
      </c>
      <c r="V659" s="27">
        <v>45930</v>
      </c>
      <c r="W659" s="27">
        <v>45932</v>
      </c>
      <c r="X659" s="27">
        <v>45933</v>
      </c>
      <c r="Y659" s="14" t="s">
        <v>109</v>
      </c>
      <c r="Z659" s="40" t="str">
        <f>IF(STAT[[#This Row],[sigla]]="","",VLOOKUP(STAT[[#This Row],[sigla]],CRÉDITOS_GERAIS[[sigla]:[credito]],2,))</f>
        <v>Clarice Baracho</v>
      </c>
      <c r="AA659" s="14"/>
      <c r="AB659" s="14" t="str">
        <f>STAT[[#This Row],[ilustrador]]</f>
        <v>Clarice Baracho</v>
      </c>
      <c r="AC659" s="14">
        <v>7</v>
      </c>
      <c r="AD659" s="22" t="s">
        <v>1539</v>
      </c>
      <c r="AE659" s="15" t="s">
        <v>87</v>
      </c>
      <c r="AF659" s="42" t="str">
        <f t="shared" si="10"/>
        <v>P007</v>
      </c>
    </row>
    <row r="660" spans="1:32" ht="100.8" hidden="1" x14ac:dyDescent="0.3">
      <c r="A660" s="12" t="e" cm="1">
        <f t="array" aca="1" ref="A660" ca="1">IF(STAT[[#This Row],[retranca]]="","",       RegxFunc(STAT[[#This Row],[retranca]],  "\w\d{4}\w*_\d")     )</f>
        <v>#NAME?</v>
      </c>
      <c r="B660" s="21" t="s">
        <v>1551</v>
      </c>
      <c r="C660" s="14" t="s">
        <v>72</v>
      </c>
      <c r="D660" s="15" t="s">
        <v>9</v>
      </c>
      <c r="E660" s="15" t="s">
        <v>471</v>
      </c>
      <c r="F660" s="14"/>
      <c r="G660" s="15">
        <v>0</v>
      </c>
      <c r="H660" s="14">
        <v>6</v>
      </c>
      <c r="I660" s="14">
        <v>6</v>
      </c>
      <c r="J660" s="17" t="s">
        <v>55</v>
      </c>
      <c r="K660" s="21"/>
      <c r="L660" s="14"/>
      <c r="M660" s="14"/>
      <c r="N660" s="14"/>
      <c r="O660" s="14"/>
      <c r="P660" s="25" t="s">
        <v>1552</v>
      </c>
      <c r="Q660" s="21"/>
      <c r="R660" s="22"/>
      <c r="S660" s="14">
        <v>98</v>
      </c>
      <c r="T660" s="27">
        <v>45923</v>
      </c>
      <c r="U660" s="27">
        <v>45926</v>
      </c>
      <c r="V660" s="27">
        <v>45930</v>
      </c>
      <c r="W660" s="27">
        <v>45932</v>
      </c>
      <c r="X660" s="27">
        <v>45934</v>
      </c>
      <c r="Y660" s="14" t="s">
        <v>109</v>
      </c>
      <c r="Z660" s="40" t="str">
        <f>IF(STAT[[#This Row],[sigla]]="","",VLOOKUP(STAT[[#This Row],[sigla]],CRÉDITOS_GERAIS[[sigla]:[credito]],2,))</f>
        <v>Clarice Baracho</v>
      </c>
      <c r="AA660" s="14"/>
      <c r="AB660" s="14" t="str">
        <f>STAT[[#This Row],[ilustrador]]</f>
        <v>Clarice Baracho</v>
      </c>
      <c r="AC660" s="14">
        <v>3</v>
      </c>
      <c r="AD660" s="22" t="s">
        <v>1548</v>
      </c>
      <c r="AE660" s="15" t="s">
        <v>87</v>
      </c>
      <c r="AF660" s="42" t="str">
        <f t="shared" si="10"/>
        <v>P007</v>
      </c>
    </row>
    <row r="661" spans="1:32" ht="100.8" hidden="1" x14ac:dyDescent="0.3">
      <c r="A661" s="12" t="e" cm="1">
        <f t="array" aca="1" ref="A661" ca="1">IF(STAT[[#This Row],[retranca]]="","",       RegxFunc(STAT[[#This Row],[retranca]],  "\w\d{4}\w*_\d")     )</f>
        <v>#NAME?</v>
      </c>
      <c r="B661" s="21" t="s">
        <v>1553</v>
      </c>
      <c r="C661" s="14" t="s">
        <v>72</v>
      </c>
      <c r="D661" s="15" t="s">
        <v>9</v>
      </c>
      <c r="E661" s="15" t="s">
        <v>471</v>
      </c>
      <c r="F661" s="14"/>
      <c r="G661" s="15">
        <v>0</v>
      </c>
      <c r="H661" s="14">
        <v>6</v>
      </c>
      <c r="I661" s="14">
        <v>6</v>
      </c>
      <c r="J661" s="17" t="s">
        <v>55</v>
      </c>
      <c r="K661" s="21"/>
      <c r="L661" s="14"/>
      <c r="M661" s="14"/>
      <c r="N661" s="14"/>
      <c r="O661" s="14"/>
      <c r="P661" s="25" t="s">
        <v>1554</v>
      </c>
      <c r="Q661" s="21"/>
      <c r="R661" s="22"/>
      <c r="S661" s="14">
        <v>98</v>
      </c>
      <c r="T661" s="27">
        <v>45923</v>
      </c>
      <c r="U661" s="27">
        <v>45926</v>
      </c>
      <c r="V661" s="27">
        <v>45931</v>
      </c>
      <c r="W661" s="27">
        <v>45932</v>
      </c>
      <c r="X661" s="27">
        <v>45934</v>
      </c>
      <c r="Y661" s="14" t="s">
        <v>109</v>
      </c>
      <c r="Z661" s="40" t="str">
        <f>IF(STAT[[#This Row],[sigla]]="","",VLOOKUP(STAT[[#This Row],[sigla]],CRÉDITOS_GERAIS[[sigla]:[credito]],2,))</f>
        <v>Clarice Baracho</v>
      </c>
      <c r="AA661" s="14"/>
      <c r="AB661" s="14" t="str">
        <f>STAT[[#This Row],[ilustrador]]</f>
        <v>Clarice Baracho</v>
      </c>
      <c r="AC661" s="14">
        <v>3</v>
      </c>
      <c r="AD661" s="22" t="s">
        <v>1548</v>
      </c>
      <c r="AE661" s="15" t="s">
        <v>87</v>
      </c>
      <c r="AF661" s="42" t="str">
        <f t="shared" si="10"/>
        <v>P007</v>
      </c>
    </row>
    <row r="662" spans="1:32" hidden="1" x14ac:dyDescent="0.3">
      <c r="A662" s="12" t="e" cm="1">
        <f t="array" aca="1" ref="A662" ca="1">IF(STAT[[#This Row],[retranca]]="","",       RegxFunc(STAT[[#This Row],[retranca]],  "\w\d{4}\w*_\d")     )</f>
        <v>#NAME?</v>
      </c>
      <c r="B662" s="21" t="s">
        <v>1555</v>
      </c>
      <c r="C662" s="14" t="s">
        <v>122</v>
      </c>
      <c r="D662" s="15" t="s">
        <v>9</v>
      </c>
      <c r="E662" s="15" t="s">
        <v>471</v>
      </c>
      <c r="F662" s="14"/>
      <c r="G662" s="15">
        <v>0</v>
      </c>
      <c r="H662" s="14">
        <v>7</v>
      </c>
      <c r="I662" s="14">
        <v>7</v>
      </c>
      <c r="J662" s="17" t="s">
        <v>55</v>
      </c>
      <c r="K662" s="21"/>
      <c r="L662" s="14"/>
      <c r="M662" s="14"/>
      <c r="N662" s="14"/>
      <c r="O662" s="14"/>
      <c r="P662" s="25" t="s">
        <v>1556</v>
      </c>
      <c r="Q662" s="21"/>
      <c r="R662" s="22"/>
      <c r="S662" s="14">
        <v>99</v>
      </c>
      <c r="T662" s="27">
        <v>45924</v>
      </c>
      <c r="U662" s="27">
        <v>45924</v>
      </c>
      <c r="V662" s="27">
        <v>45926</v>
      </c>
      <c r="W662" s="27">
        <v>45926</v>
      </c>
      <c r="X662" s="27">
        <v>45929</v>
      </c>
      <c r="Y662" s="14" t="s">
        <v>583</v>
      </c>
      <c r="Z662" s="40" t="str">
        <f>IF(STAT[[#This Row],[sigla]]="","",VLOOKUP(STAT[[#This Row],[sigla]],CRÉDITOS_GERAIS[[sigla]:[credito]],2,))</f>
        <v>Karina Oliveira</v>
      </c>
      <c r="AA662" s="14"/>
      <c r="AB662" s="14" t="str">
        <f>STAT[[#This Row],[ilustrador]]</f>
        <v>Karina Oliveira</v>
      </c>
      <c r="AC662" s="14">
        <v>5</v>
      </c>
      <c r="AD662" s="22" t="s">
        <v>1526</v>
      </c>
      <c r="AE662" s="15" t="s">
        <v>87</v>
      </c>
      <c r="AF662" s="42" t="str">
        <f t="shared" si="10"/>
        <v>P007</v>
      </c>
    </row>
    <row r="663" spans="1:32" ht="43.2" hidden="1" x14ac:dyDescent="0.3">
      <c r="A663" s="12" t="e" cm="1">
        <f t="array" aca="1" ref="A663" ca="1">IF(STAT[[#This Row],[retranca]]="","",       RegxFunc(STAT[[#This Row],[retranca]],  "\w\d{4}\w*_\d")     )</f>
        <v>#NAME?</v>
      </c>
      <c r="B663" s="21" t="s">
        <v>1557</v>
      </c>
      <c r="C663" s="14" t="s">
        <v>122</v>
      </c>
      <c r="D663" s="15" t="s">
        <v>9</v>
      </c>
      <c r="E663" s="15" t="s">
        <v>471</v>
      </c>
      <c r="F663" s="14"/>
      <c r="G663" s="15">
        <v>0</v>
      </c>
      <c r="H663" s="14">
        <v>8</v>
      </c>
      <c r="I663" s="14">
        <v>8</v>
      </c>
      <c r="J663" s="17" t="s">
        <v>55</v>
      </c>
      <c r="K663" s="21"/>
      <c r="L663" s="14"/>
      <c r="M663" s="14"/>
      <c r="N663" s="14"/>
      <c r="O663" s="14"/>
      <c r="P663" s="25" t="s">
        <v>1558</v>
      </c>
      <c r="Q663" s="21"/>
      <c r="R663" s="22"/>
      <c r="S663" s="14">
        <v>100</v>
      </c>
      <c r="T663" s="27">
        <v>45924</v>
      </c>
      <c r="U663" s="27">
        <v>45924</v>
      </c>
      <c r="V663" s="27">
        <v>45926</v>
      </c>
      <c r="W663" s="27">
        <v>45926</v>
      </c>
      <c r="X663" s="27">
        <v>45929</v>
      </c>
      <c r="Y663" s="14" t="s">
        <v>552</v>
      </c>
      <c r="Z663" s="40" t="str">
        <f>IF(STAT[[#This Row],[sigla]]="","",VLOOKUP(STAT[[#This Row],[sigla]],CRÉDITOS_GERAIS[[sigla]:[credito]],2,))</f>
        <v>Rafaela Villela</v>
      </c>
      <c r="AA663" s="14"/>
      <c r="AB663" s="14" t="str">
        <f>STAT[[#This Row],[ilustrador]]</f>
        <v>Rafaela Villela</v>
      </c>
      <c r="AC663" s="14">
        <v>7</v>
      </c>
      <c r="AD663" s="22" t="s">
        <v>1526</v>
      </c>
      <c r="AE663" s="15" t="s">
        <v>87</v>
      </c>
      <c r="AF663" s="42" t="str">
        <f t="shared" si="10"/>
        <v>P007</v>
      </c>
    </row>
    <row r="664" spans="1:32" ht="72" hidden="1" x14ac:dyDescent="0.3">
      <c r="A664" s="12" t="e" cm="1">
        <f t="array" aca="1" ref="A664" ca="1">IF(STAT[[#This Row],[retranca]]="","",       RegxFunc(STAT[[#This Row],[retranca]],  "\w\d{4}\w*_\d")     )</f>
        <v>#NAME?</v>
      </c>
      <c r="B664" s="21" t="s">
        <v>1559</v>
      </c>
      <c r="C664" s="14" t="s">
        <v>122</v>
      </c>
      <c r="D664" s="15" t="s">
        <v>9</v>
      </c>
      <c r="E664" s="15" t="s">
        <v>471</v>
      </c>
      <c r="F664" s="14"/>
      <c r="G664" s="15">
        <v>0</v>
      </c>
      <c r="H664" s="14">
        <v>8</v>
      </c>
      <c r="I664" s="14">
        <v>8</v>
      </c>
      <c r="J664" s="17" t="s">
        <v>55</v>
      </c>
      <c r="K664" s="21"/>
      <c r="L664" s="14"/>
      <c r="M664" s="14"/>
      <c r="N664" s="14"/>
      <c r="O664" s="14"/>
      <c r="P664" s="25" t="s">
        <v>1560</v>
      </c>
      <c r="Q664" s="21"/>
      <c r="R664" s="22"/>
      <c r="S664" s="14">
        <v>100</v>
      </c>
      <c r="T664" s="27">
        <v>45924</v>
      </c>
      <c r="U664" s="27">
        <v>45924</v>
      </c>
      <c r="V664" s="27">
        <v>45926</v>
      </c>
      <c r="W664" s="27">
        <v>45926</v>
      </c>
      <c r="X664" s="27">
        <v>45929</v>
      </c>
      <c r="Y664" s="14" t="s">
        <v>552</v>
      </c>
      <c r="Z664" s="40" t="str">
        <f>IF(STAT[[#This Row],[sigla]]="","",VLOOKUP(STAT[[#This Row],[sigla]],CRÉDITOS_GERAIS[[sigla]:[credito]],2,))</f>
        <v>Rafaela Villela</v>
      </c>
      <c r="AA664" s="14"/>
      <c r="AB664" s="14" t="str">
        <f>STAT[[#This Row],[ilustrador]]</f>
        <v>Rafaela Villela</v>
      </c>
      <c r="AC664" s="14">
        <v>7</v>
      </c>
      <c r="AD664" s="22" t="s">
        <v>1526</v>
      </c>
      <c r="AE664" s="15" t="s">
        <v>87</v>
      </c>
      <c r="AF664" s="42" t="str">
        <f t="shared" si="10"/>
        <v>P007</v>
      </c>
    </row>
    <row r="665" spans="1:32" ht="72" hidden="1" x14ac:dyDescent="0.3">
      <c r="A665" s="12" t="e" cm="1">
        <f t="array" aca="1" ref="A665" ca="1">IF(STAT[[#This Row],[retranca]]="","",       RegxFunc(STAT[[#This Row],[retranca]],  "\w\d{4}\w*_\d")     )</f>
        <v>#NAME?</v>
      </c>
      <c r="B665" s="33" t="s">
        <v>1561</v>
      </c>
      <c r="C665" s="14" t="s">
        <v>122</v>
      </c>
      <c r="D665" s="15" t="s">
        <v>9</v>
      </c>
      <c r="E665" s="15" t="s">
        <v>471</v>
      </c>
      <c r="F665" s="14"/>
      <c r="G665" s="15">
        <v>0</v>
      </c>
      <c r="H665" s="14">
        <v>8</v>
      </c>
      <c r="I665" s="14">
        <v>8</v>
      </c>
      <c r="J665" s="17" t="s">
        <v>55</v>
      </c>
      <c r="K665" s="21"/>
      <c r="L665" s="14"/>
      <c r="M665" s="14"/>
      <c r="N665" s="14"/>
      <c r="O665" s="14"/>
      <c r="P665" s="25" t="s">
        <v>1562</v>
      </c>
      <c r="Q665" s="16"/>
      <c r="R665" s="16"/>
      <c r="S665" s="14">
        <v>100</v>
      </c>
      <c r="T665" s="27">
        <v>45924</v>
      </c>
      <c r="U665" s="27">
        <v>45924</v>
      </c>
      <c r="V665" s="27">
        <v>45926</v>
      </c>
      <c r="W665" s="27">
        <v>45926</v>
      </c>
      <c r="X665" s="27">
        <v>45929</v>
      </c>
      <c r="Y665" s="14" t="s">
        <v>552</v>
      </c>
      <c r="Z665" s="40" t="str">
        <f>IF(STAT[[#This Row],[sigla]]="","",VLOOKUP(STAT[[#This Row],[sigla]],CRÉDITOS_GERAIS[[sigla]:[credito]],2,))</f>
        <v>Rafaela Villela</v>
      </c>
      <c r="AA665" s="20"/>
      <c r="AB665" s="14" t="str">
        <f>STAT[[#This Row],[ilustrador]]</f>
        <v>Rafaela Villela</v>
      </c>
      <c r="AC665" s="14">
        <v>4</v>
      </c>
      <c r="AD665" s="22" t="s">
        <v>1526</v>
      </c>
      <c r="AE665" s="15" t="s">
        <v>87</v>
      </c>
      <c r="AF665" s="42" t="str">
        <f t="shared" si="10"/>
        <v>P007</v>
      </c>
    </row>
    <row r="666" spans="1:32" ht="72" hidden="1" x14ac:dyDescent="0.3">
      <c r="A666" s="12" t="e" cm="1">
        <f t="array" aca="1" ref="A666" ca="1">IF(STAT[[#This Row],[retranca]]="","",       RegxFunc(STAT[[#This Row],[retranca]],  "\w\d{4}\w*_\d")     )</f>
        <v>#NAME?</v>
      </c>
      <c r="B666" s="21" t="s">
        <v>1563</v>
      </c>
      <c r="C666" s="14" t="s">
        <v>1084</v>
      </c>
      <c r="D666" s="15" t="s">
        <v>9</v>
      </c>
      <c r="E666" s="15" t="s">
        <v>10</v>
      </c>
      <c r="F666" s="14">
        <v>4</v>
      </c>
      <c r="G666" s="15">
        <v>3</v>
      </c>
      <c r="H666" s="14">
        <v>5</v>
      </c>
      <c r="I666" s="14">
        <v>5</v>
      </c>
      <c r="J666" s="17" t="s">
        <v>55</v>
      </c>
      <c r="K666" s="21"/>
      <c r="L666" s="14"/>
      <c r="M666" s="14"/>
      <c r="N666" s="14"/>
      <c r="O666" s="14"/>
      <c r="P666" s="25" t="s">
        <v>1564</v>
      </c>
      <c r="Q666" s="21"/>
      <c r="R666" s="22"/>
      <c r="S666" s="14">
        <v>101</v>
      </c>
      <c r="T666" s="27">
        <v>45924</v>
      </c>
      <c r="U666" s="27">
        <v>45924</v>
      </c>
      <c r="V666" s="27"/>
      <c r="W666" s="27"/>
      <c r="X666" s="27">
        <v>45925</v>
      </c>
      <c r="Y666" s="14" t="s">
        <v>290</v>
      </c>
      <c r="Z666" s="40" t="str">
        <f>IF(STAT[[#This Row],[sigla]]="","",VLOOKUP(STAT[[#This Row],[sigla]],CRÉDITOS_GERAIS[[sigla]:[credito]],2,))</f>
        <v>Bruna Campos</v>
      </c>
      <c r="AA666" s="14"/>
      <c r="AB666" s="14" t="str">
        <f>STAT[[#This Row],[ilustrador]]</f>
        <v>Bruna Campos</v>
      </c>
      <c r="AC666" s="14">
        <v>6</v>
      </c>
      <c r="AD666" s="22" t="s">
        <v>196</v>
      </c>
      <c r="AE666" s="15" t="s">
        <v>46</v>
      </c>
      <c r="AF666" s="42" t="str">
        <f t="shared" si="10"/>
        <v>P007</v>
      </c>
    </row>
    <row r="667" spans="1:32" hidden="1" x14ac:dyDescent="0.3">
      <c r="A667" s="12" t="e" cm="1">
        <f t="array" aca="1" ref="A667" ca="1">IF(STAT[[#This Row],[retranca]]="","",       RegxFunc(STAT[[#This Row],[retranca]],  "\w\d{4}\w*_\d")     )</f>
        <v>#NAME?</v>
      </c>
      <c r="B667" s="21" t="s">
        <v>1565</v>
      </c>
      <c r="C667" s="14" t="s">
        <v>1084</v>
      </c>
      <c r="D667" s="15" t="s">
        <v>288</v>
      </c>
      <c r="E667" s="15" t="s">
        <v>10</v>
      </c>
      <c r="F667" s="14">
        <v>5</v>
      </c>
      <c r="G667" s="15">
        <v>3</v>
      </c>
      <c r="H667" s="14">
        <v>5</v>
      </c>
      <c r="I667" s="14">
        <v>5</v>
      </c>
      <c r="J667" s="17" t="s">
        <v>55</v>
      </c>
      <c r="K667" s="21"/>
      <c r="L667" s="14"/>
      <c r="M667" s="14"/>
      <c r="N667" s="14"/>
      <c r="O667" s="14"/>
      <c r="P667" s="25" t="s">
        <v>1566</v>
      </c>
      <c r="Q667" s="21"/>
      <c r="R667" s="22"/>
      <c r="S667" s="14">
        <v>101</v>
      </c>
      <c r="T667" s="27">
        <v>45924</v>
      </c>
      <c r="U667" s="27">
        <v>45924</v>
      </c>
      <c r="V667" s="27"/>
      <c r="W667" s="27"/>
      <c r="X667" s="27">
        <v>45925</v>
      </c>
      <c r="Y667" s="14" t="s">
        <v>290</v>
      </c>
      <c r="Z667" s="40" t="str">
        <f>IF(STAT[[#This Row],[sigla]]="","",VLOOKUP(STAT[[#This Row],[sigla]],CRÉDITOS_GERAIS[[sigla]:[credito]],2,))</f>
        <v>Bruna Campos</v>
      </c>
      <c r="AA667" s="14"/>
      <c r="AB667" s="14" t="str">
        <f>STAT[[#This Row],[ilustrador]]</f>
        <v>Bruna Campos</v>
      </c>
      <c r="AC667" s="14">
        <v>7</v>
      </c>
      <c r="AD667" s="22" t="s">
        <v>196</v>
      </c>
      <c r="AE667" s="15" t="s">
        <v>46</v>
      </c>
      <c r="AF667" s="42" t="str">
        <f t="shared" si="10"/>
        <v>P007</v>
      </c>
    </row>
    <row r="668" spans="1:32" hidden="1" x14ac:dyDescent="0.3">
      <c r="A668" s="12" t="e" cm="1">
        <f t="array" aca="1" ref="A668" ca="1">IF(STAT[[#This Row],[retranca]]="","",       RegxFunc(STAT[[#This Row],[retranca]],  "\w\d{4}\w*_\d")     )</f>
        <v>#NAME?</v>
      </c>
      <c r="B668" s="21" t="s">
        <v>1567</v>
      </c>
      <c r="C668" s="14" t="s">
        <v>1084</v>
      </c>
      <c r="D668" s="15" t="s">
        <v>288</v>
      </c>
      <c r="E668" s="15" t="s">
        <v>10</v>
      </c>
      <c r="F668" s="14">
        <v>5</v>
      </c>
      <c r="G668" s="15">
        <v>3</v>
      </c>
      <c r="H668" s="14">
        <v>5</v>
      </c>
      <c r="I668" s="14">
        <v>5</v>
      </c>
      <c r="J668" s="17" t="s">
        <v>55</v>
      </c>
      <c r="K668" s="21"/>
      <c r="L668" s="14"/>
      <c r="M668" s="14"/>
      <c r="N668" s="14"/>
      <c r="O668" s="14"/>
      <c r="P668" s="25" t="s">
        <v>1566</v>
      </c>
      <c r="Q668" s="21"/>
      <c r="R668" s="22"/>
      <c r="S668" s="14">
        <v>101</v>
      </c>
      <c r="T668" s="27">
        <v>45924</v>
      </c>
      <c r="U668" s="27">
        <v>45924</v>
      </c>
      <c r="V668" s="27"/>
      <c r="W668" s="27"/>
      <c r="X668" s="27">
        <v>45925</v>
      </c>
      <c r="Y668" s="14" t="s">
        <v>290</v>
      </c>
      <c r="Z668" s="40" t="str">
        <f>IF(STAT[[#This Row],[sigla]]="","",VLOOKUP(STAT[[#This Row],[sigla]],CRÉDITOS_GERAIS[[sigla]:[credito]],2,))</f>
        <v>Bruna Campos</v>
      </c>
      <c r="AA668" s="14"/>
      <c r="AB668" s="14" t="str">
        <f>STAT[[#This Row],[ilustrador]]</f>
        <v>Bruna Campos</v>
      </c>
      <c r="AC668" s="14">
        <v>7</v>
      </c>
      <c r="AD668" s="22" t="s">
        <v>196</v>
      </c>
      <c r="AE668" s="15" t="s">
        <v>46</v>
      </c>
      <c r="AF668" s="42" t="str">
        <f t="shared" si="10"/>
        <v>P007</v>
      </c>
    </row>
    <row r="669" spans="1:32" hidden="1" x14ac:dyDescent="0.3">
      <c r="A669" s="12" t="e" cm="1">
        <f t="array" aca="1" ref="A669" ca="1">IF(STAT[[#This Row],[retranca]]="","",       RegxFunc(STAT[[#This Row],[retranca]],  "\w\d{4}\w*_\d")     )</f>
        <v>#NAME?</v>
      </c>
      <c r="B669" s="21" t="s">
        <v>1568</v>
      </c>
      <c r="C669" s="14" t="s">
        <v>1084</v>
      </c>
      <c r="D669" s="15" t="s">
        <v>288</v>
      </c>
      <c r="E669" s="15" t="s">
        <v>10</v>
      </c>
      <c r="F669" s="14">
        <v>5</v>
      </c>
      <c r="G669" s="15">
        <v>3</v>
      </c>
      <c r="H669" s="14">
        <v>5</v>
      </c>
      <c r="I669" s="14">
        <v>5</v>
      </c>
      <c r="J669" s="17" t="s">
        <v>55</v>
      </c>
      <c r="K669" s="21"/>
      <c r="L669" s="14"/>
      <c r="M669" s="14"/>
      <c r="N669" s="14"/>
      <c r="O669" s="14"/>
      <c r="P669" s="25" t="s">
        <v>1566</v>
      </c>
      <c r="Q669" s="21"/>
      <c r="R669" s="22"/>
      <c r="S669" s="14">
        <v>101</v>
      </c>
      <c r="T669" s="27">
        <v>45924</v>
      </c>
      <c r="U669" s="27">
        <v>45924</v>
      </c>
      <c r="V669" s="27"/>
      <c r="W669" s="27"/>
      <c r="X669" s="27">
        <v>45925</v>
      </c>
      <c r="Y669" s="14" t="s">
        <v>290</v>
      </c>
      <c r="Z669" s="40" t="str">
        <f>IF(STAT[[#This Row],[sigla]]="","",VLOOKUP(STAT[[#This Row],[sigla]],CRÉDITOS_GERAIS[[sigla]:[credito]],2,))</f>
        <v>Bruna Campos</v>
      </c>
      <c r="AA669" s="14"/>
      <c r="AB669" s="14" t="str">
        <f>STAT[[#This Row],[ilustrador]]</f>
        <v>Bruna Campos</v>
      </c>
      <c r="AC669" s="14">
        <v>7</v>
      </c>
      <c r="AD669" s="22" t="s">
        <v>196</v>
      </c>
      <c r="AE669" s="15" t="s">
        <v>46</v>
      </c>
      <c r="AF669" s="42" t="str">
        <f t="shared" si="10"/>
        <v>P007</v>
      </c>
    </row>
    <row r="670" spans="1:32" hidden="1" x14ac:dyDescent="0.3">
      <c r="A670" s="12" t="e" cm="1">
        <f t="array" aca="1" ref="A670" ca="1">IF(STAT[[#This Row],[retranca]]="","",       RegxFunc(STAT[[#This Row],[retranca]],  "\w\d{4}\w*_\d")     )</f>
        <v>#NAME?</v>
      </c>
      <c r="B670" s="21" t="s">
        <v>1569</v>
      </c>
      <c r="C670" s="14" t="s">
        <v>1084</v>
      </c>
      <c r="D670" s="15" t="s">
        <v>288</v>
      </c>
      <c r="E670" s="15" t="s">
        <v>10</v>
      </c>
      <c r="F670" s="14">
        <v>5</v>
      </c>
      <c r="G670" s="15">
        <v>3</v>
      </c>
      <c r="H670" s="14">
        <v>5</v>
      </c>
      <c r="I670" s="14">
        <v>5</v>
      </c>
      <c r="J670" s="17" t="s">
        <v>55</v>
      </c>
      <c r="K670" s="21"/>
      <c r="L670" s="14"/>
      <c r="M670" s="14"/>
      <c r="N670" s="14"/>
      <c r="O670" s="14"/>
      <c r="P670" s="25" t="s">
        <v>1566</v>
      </c>
      <c r="Q670" s="21"/>
      <c r="R670" s="22"/>
      <c r="S670" s="14">
        <v>101</v>
      </c>
      <c r="T670" s="27">
        <v>45924</v>
      </c>
      <c r="U670" s="27">
        <v>45924</v>
      </c>
      <c r="V670" s="27"/>
      <c r="W670" s="27"/>
      <c r="X670" s="27">
        <v>45925</v>
      </c>
      <c r="Y670" s="14" t="s">
        <v>290</v>
      </c>
      <c r="Z670" s="40" t="str">
        <f>IF(STAT[[#This Row],[sigla]]="","",VLOOKUP(STAT[[#This Row],[sigla]],CRÉDITOS_GERAIS[[sigla]:[credito]],2,))</f>
        <v>Bruna Campos</v>
      </c>
      <c r="AA670" s="14"/>
      <c r="AB670" s="14" t="str">
        <f>STAT[[#This Row],[ilustrador]]</f>
        <v>Bruna Campos</v>
      </c>
      <c r="AC670" s="14">
        <v>7</v>
      </c>
      <c r="AD670" s="22" t="s">
        <v>196</v>
      </c>
      <c r="AE670" s="15" t="s">
        <v>46</v>
      </c>
      <c r="AF670" s="42" t="str">
        <f t="shared" si="10"/>
        <v>P007</v>
      </c>
    </row>
    <row r="671" spans="1:32" ht="57.6" hidden="1" x14ac:dyDescent="0.3">
      <c r="A671" s="12" t="e" cm="1">
        <f t="array" aca="1" ref="A671" ca="1">IF(STAT[[#This Row],[retranca]]="","",       RegxFunc(STAT[[#This Row],[retranca]],  "\w\d{4}\w*_\d")     )</f>
        <v>#NAME?</v>
      </c>
      <c r="B671" s="21" t="s">
        <v>1570</v>
      </c>
      <c r="C671" s="14" t="s">
        <v>1084</v>
      </c>
      <c r="D671" s="15" t="s">
        <v>9</v>
      </c>
      <c r="E671" s="15" t="s">
        <v>10</v>
      </c>
      <c r="F671" s="14">
        <v>9</v>
      </c>
      <c r="G671" s="15">
        <v>3</v>
      </c>
      <c r="H671" s="14">
        <v>5</v>
      </c>
      <c r="I671" s="14">
        <v>5</v>
      </c>
      <c r="J671" s="17" t="s">
        <v>55</v>
      </c>
      <c r="K671" s="21"/>
      <c r="L671" s="14"/>
      <c r="M671" s="14"/>
      <c r="N671" s="14"/>
      <c r="O671" s="14"/>
      <c r="P671" s="25" t="s">
        <v>1571</v>
      </c>
      <c r="Q671" s="21"/>
      <c r="R671" s="22"/>
      <c r="S671" s="14">
        <v>101</v>
      </c>
      <c r="T671" s="27">
        <v>45924</v>
      </c>
      <c r="U671" s="27">
        <v>45924</v>
      </c>
      <c r="V671" s="27"/>
      <c r="W671" s="27"/>
      <c r="X671" s="27">
        <v>45925</v>
      </c>
      <c r="Y671" s="14" t="s">
        <v>1572</v>
      </c>
      <c r="Z671" s="40" t="str">
        <f>IF(STAT[[#This Row],[sigla]]="","",VLOOKUP(STAT[[#This Row],[sigla]],CRÉDITOS_GERAIS[[sigla]:[credito]],2,))</f>
        <v>Sabrina Eras</v>
      </c>
      <c r="AA671" s="14" t="s">
        <v>90</v>
      </c>
      <c r="AB671" s="14" t="str">
        <f>STAT[[#This Row],[ilustrador]]</f>
        <v>Sabrina Eras</v>
      </c>
      <c r="AC671" s="14">
        <v>13</v>
      </c>
      <c r="AD671" s="22" t="s">
        <v>909</v>
      </c>
      <c r="AE671" s="15" t="s">
        <v>46</v>
      </c>
      <c r="AF671" s="42" t="str">
        <f t="shared" si="10"/>
        <v>P007</v>
      </c>
    </row>
    <row r="672" spans="1:32" ht="158.4" hidden="1" x14ac:dyDescent="0.3">
      <c r="A672" s="12" t="e" cm="1">
        <f t="array" aca="1" ref="A672" ca="1">IF(STAT[[#This Row],[retranca]]="","",       RegxFunc(STAT[[#This Row],[retranca]],  "\w\d{4}\w*_\d")     )</f>
        <v>#NAME?</v>
      </c>
      <c r="B672" s="21" t="s">
        <v>1573</v>
      </c>
      <c r="C672" s="14" t="s">
        <v>122</v>
      </c>
      <c r="D672" s="15" t="s">
        <v>9</v>
      </c>
      <c r="E672" s="15" t="s">
        <v>10</v>
      </c>
      <c r="F672" s="14">
        <v>42</v>
      </c>
      <c r="G672" s="15">
        <v>3</v>
      </c>
      <c r="H672" s="14">
        <v>7</v>
      </c>
      <c r="I672" s="14">
        <v>7</v>
      </c>
      <c r="J672" s="17" t="s">
        <v>55</v>
      </c>
      <c r="K672" s="21"/>
      <c r="L672" s="14"/>
      <c r="M672" s="14"/>
      <c r="N672" s="14"/>
      <c r="O672" s="14"/>
      <c r="P672" s="25" t="s">
        <v>1574</v>
      </c>
      <c r="Q672" s="21"/>
      <c r="R672" s="22"/>
      <c r="S672" s="14">
        <v>102</v>
      </c>
      <c r="T672" s="27">
        <v>45925</v>
      </c>
      <c r="U672" s="27">
        <v>45925</v>
      </c>
      <c r="V672" s="27"/>
      <c r="W672" s="27"/>
      <c r="X672" s="27">
        <v>45930</v>
      </c>
      <c r="Y672" s="14" t="s">
        <v>290</v>
      </c>
      <c r="Z672" s="40" t="str">
        <f>IF(STAT[[#This Row],[sigla]]="","",VLOOKUP(STAT[[#This Row],[sigla]],CRÉDITOS_GERAIS[[sigla]:[credito]],2,))</f>
        <v>Bruna Campos</v>
      </c>
      <c r="AA672" s="14"/>
      <c r="AB672" s="14" t="str">
        <f>STAT[[#This Row],[ilustrador]]</f>
        <v>Bruna Campos</v>
      </c>
      <c r="AC672" s="14">
        <v>4</v>
      </c>
      <c r="AD672" s="22" t="s">
        <v>196</v>
      </c>
      <c r="AE672" s="15" t="s">
        <v>46</v>
      </c>
      <c r="AF672" s="42" t="str">
        <f t="shared" si="10"/>
        <v>P007</v>
      </c>
    </row>
    <row r="673" spans="1:32" ht="72" hidden="1" x14ac:dyDescent="0.3">
      <c r="A673" s="12" t="e" cm="1">
        <f t="array" aca="1" ref="A673" ca="1">IF(STAT[[#This Row],[retranca]]="","",       RegxFunc(STAT[[#This Row],[retranca]],  "\w\d{4}\w*_\d")     )</f>
        <v>#NAME?</v>
      </c>
      <c r="B673" s="21" t="s">
        <v>1575</v>
      </c>
      <c r="C673" s="14" t="s">
        <v>122</v>
      </c>
      <c r="D673" s="15" t="s">
        <v>9</v>
      </c>
      <c r="E673" s="15" t="s">
        <v>10</v>
      </c>
      <c r="F673" s="14">
        <v>3</v>
      </c>
      <c r="G673" s="15">
        <v>3</v>
      </c>
      <c r="H673" s="14">
        <v>0</v>
      </c>
      <c r="I673" s="14" t="s">
        <v>112</v>
      </c>
      <c r="J673" s="17" t="s">
        <v>55</v>
      </c>
      <c r="K673" s="21"/>
      <c r="L673" s="14"/>
      <c r="M673" s="14"/>
      <c r="N673" s="14"/>
      <c r="O673" s="14"/>
      <c r="P673" s="25" t="s">
        <v>1576</v>
      </c>
      <c r="Q673" s="21"/>
      <c r="R673" s="25"/>
      <c r="S673" s="14">
        <v>102</v>
      </c>
      <c r="T673" s="27">
        <v>45925</v>
      </c>
      <c r="U673" s="27">
        <v>45925</v>
      </c>
      <c r="V673" s="27"/>
      <c r="W673" s="27"/>
      <c r="X673" s="27">
        <v>45930</v>
      </c>
      <c r="Y673" s="14" t="s">
        <v>290</v>
      </c>
      <c r="Z673" s="40" t="str">
        <f>IF(STAT[[#This Row],[sigla]]="","",VLOOKUP(STAT[[#This Row],[sigla]],CRÉDITOS_GERAIS[[sigla]:[credito]],2,))</f>
        <v>Bruna Campos</v>
      </c>
      <c r="AA673" s="14"/>
      <c r="AB673" s="14" t="str">
        <f>STAT[[#This Row],[ilustrador]]</f>
        <v>Bruna Campos</v>
      </c>
      <c r="AC673" s="14">
        <v>4</v>
      </c>
      <c r="AD673" s="22" t="s">
        <v>196</v>
      </c>
      <c r="AE673" s="15" t="s">
        <v>46</v>
      </c>
      <c r="AF673" s="42" t="str">
        <f t="shared" si="10"/>
        <v>P007</v>
      </c>
    </row>
    <row r="674" spans="1:32" ht="115.2" hidden="1" x14ac:dyDescent="0.3">
      <c r="A674" s="12" t="e" cm="1">
        <f t="array" aca="1" ref="A674" ca="1">IF(STAT[[#This Row],[retranca]]="","",       RegxFunc(STAT[[#This Row],[retranca]],  "\w\d{4}\w*_\d")     )</f>
        <v>#NAME?</v>
      </c>
      <c r="B674" s="21" t="s">
        <v>1577</v>
      </c>
      <c r="C674" s="14" t="s">
        <v>72</v>
      </c>
      <c r="D674" s="15" t="s">
        <v>9</v>
      </c>
      <c r="E674" s="15" t="s">
        <v>10</v>
      </c>
      <c r="F674" s="14"/>
      <c r="G674" s="15">
        <v>1</v>
      </c>
      <c r="H674" s="14">
        <v>1</v>
      </c>
      <c r="I674" s="14">
        <v>1</v>
      </c>
      <c r="J674" s="17" t="s">
        <v>55</v>
      </c>
      <c r="K674" s="21"/>
      <c r="L674" s="14"/>
      <c r="M674" s="14"/>
      <c r="N674" s="14"/>
      <c r="O674" s="14"/>
      <c r="P674" s="25" t="s">
        <v>1578</v>
      </c>
      <c r="Q674" s="21"/>
      <c r="R674" s="25"/>
      <c r="S674" s="14">
        <v>103</v>
      </c>
      <c r="T674" s="27">
        <v>45925</v>
      </c>
      <c r="U674" s="27">
        <v>45926</v>
      </c>
      <c r="V674" s="27">
        <v>45933</v>
      </c>
      <c r="W674" s="27">
        <v>45933</v>
      </c>
      <c r="X674" s="27">
        <v>45938</v>
      </c>
      <c r="Y674" s="14" t="s">
        <v>1579</v>
      </c>
      <c r="Z674" s="40" t="str">
        <f>IF(STAT[[#This Row],[sigla]]="","",VLOOKUP(STAT[[#This Row],[sigla]],CRÉDITOS_GERAIS[[sigla]:[credito]],2,))</f>
        <v>Raquel Teixeira</v>
      </c>
      <c r="AA674" s="14"/>
      <c r="AB674" s="14" t="str">
        <f>STAT[[#This Row],[ilustrador]]</f>
        <v>Raquel Teixeira</v>
      </c>
      <c r="AC674" s="14">
        <v>3</v>
      </c>
      <c r="AD674" s="22" t="s">
        <v>1580</v>
      </c>
      <c r="AE674" s="15" t="s">
        <v>87</v>
      </c>
      <c r="AF674" s="42" t="str">
        <f t="shared" si="10"/>
        <v>P007</v>
      </c>
    </row>
    <row r="675" spans="1:32" ht="43.2" hidden="1" x14ac:dyDescent="0.3">
      <c r="A675" s="12" t="e" cm="1">
        <f t="array" aca="1" ref="A675" ca="1">IF(STAT[[#This Row],[retranca]]="","",       RegxFunc(STAT[[#This Row],[retranca]],  "\w\d{4}\w*_\d")     )</f>
        <v>#NAME?</v>
      </c>
      <c r="B675" s="21" t="s">
        <v>1581</v>
      </c>
      <c r="C675" s="14" t="s">
        <v>72</v>
      </c>
      <c r="D675" s="15" t="s">
        <v>288</v>
      </c>
      <c r="E675" s="15" t="s">
        <v>10</v>
      </c>
      <c r="F675" s="14"/>
      <c r="G675" s="15">
        <v>1</v>
      </c>
      <c r="H675" s="14">
        <v>1</v>
      </c>
      <c r="I675" s="14">
        <v>1</v>
      </c>
      <c r="J675" s="17" t="s">
        <v>55</v>
      </c>
      <c r="K675" s="21"/>
      <c r="L675" s="14"/>
      <c r="M675" s="14"/>
      <c r="N675" s="14"/>
      <c r="O675" s="14"/>
      <c r="P675" s="25" t="s">
        <v>1582</v>
      </c>
      <c r="Q675" s="21"/>
      <c r="R675" s="22"/>
      <c r="S675" s="14">
        <v>103</v>
      </c>
      <c r="T675" s="27">
        <v>45925</v>
      </c>
      <c r="U675" s="27">
        <v>45926</v>
      </c>
      <c r="V675" s="27">
        <v>45928</v>
      </c>
      <c r="W675" s="27">
        <v>45928</v>
      </c>
      <c r="X675" s="27">
        <v>45929</v>
      </c>
      <c r="Y675" s="14" t="s">
        <v>119</v>
      </c>
      <c r="Z675" s="40" t="str">
        <f>IF(STAT[[#This Row],[sigla]]="","",VLOOKUP(STAT[[#This Row],[sigla]],CRÉDITOS_GERAIS[[sigla]:[credito]],2,))</f>
        <v>Bianca Tavares</v>
      </c>
      <c r="AA675" s="14"/>
      <c r="AB675" s="14" t="str">
        <f>STAT[[#This Row],[ilustrador]]</f>
        <v>Bianca Tavares</v>
      </c>
      <c r="AC675" s="14">
        <v>7</v>
      </c>
      <c r="AD675" s="22" t="s">
        <v>1583</v>
      </c>
      <c r="AE675" s="15" t="s">
        <v>46</v>
      </c>
      <c r="AF675" s="42" t="str">
        <f t="shared" si="10"/>
        <v>P007</v>
      </c>
    </row>
    <row r="676" spans="1:32" ht="115.2" hidden="1" x14ac:dyDescent="0.3">
      <c r="A676" s="12" t="e" cm="1">
        <f t="array" aca="1" ref="A676" ca="1">IF(STAT[[#This Row],[retranca]]="","",       RegxFunc(STAT[[#This Row],[retranca]],  "\w\d{4}\w*_\d")     )</f>
        <v>#NAME?</v>
      </c>
      <c r="B676" s="21" t="s">
        <v>1584</v>
      </c>
      <c r="C676" s="14" t="s">
        <v>72</v>
      </c>
      <c r="D676" s="15" t="s">
        <v>9</v>
      </c>
      <c r="E676" s="15" t="s">
        <v>10</v>
      </c>
      <c r="F676" s="14"/>
      <c r="G676" s="15">
        <v>1</v>
      </c>
      <c r="H676" s="14">
        <v>1</v>
      </c>
      <c r="I676" s="14">
        <v>1</v>
      </c>
      <c r="J676" s="17" t="s">
        <v>55</v>
      </c>
      <c r="K676" s="21"/>
      <c r="L676" s="14"/>
      <c r="M676" s="14"/>
      <c r="N676" s="14"/>
      <c r="O676" s="14"/>
      <c r="P676" s="25" t="s">
        <v>1585</v>
      </c>
      <c r="Q676" s="21"/>
      <c r="R676" s="22"/>
      <c r="S676" s="14">
        <v>103</v>
      </c>
      <c r="T676" s="27">
        <v>45925</v>
      </c>
      <c r="U676" s="27">
        <v>45926</v>
      </c>
      <c r="V676" s="27">
        <v>45933</v>
      </c>
      <c r="W676" s="27">
        <v>45933</v>
      </c>
      <c r="X676" s="27">
        <v>45938</v>
      </c>
      <c r="Y676" s="14" t="s">
        <v>1579</v>
      </c>
      <c r="Z676" s="40" t="str">
        <f>IF(STAT[[#This Row],[sigla]]="","",VLOOKUP(STAT[[#This Row],[sigla]],CRÉDITOS_GERAIS[[sigla]:[credito]],2,))</f>
        <v>Raquel Teixeira</v>
      </c>
      <c r="AA676" s="14"/>
      <c r="AB676" s="14" t="str">
        <f>STAT[[#This Row],[ilustrador]]</f>
        <v>Raquel Teixeira</v>
      </c>
      <c r="AC676" s="14">
        <v>3</v>
      </c>
      <c r="AD676" s="22" t="s">
        <v>1586</v>
      </c>
      <c r="AE676" s="15" t="s">
        <v>87</v>
      </c>
      <c r="AF676" s="42" t="str">
        <f t="shared" si="10"/>
        <v>P007</v>
      </c>
    </row>
    <row r="677" spans="1:32" ht="86.4" hidden="1" x14ac:dyDescent="0.3">
      <c r="A677" s="12" t="e" cm="1">
        <f t="array" aca="1" ref="A677" ca="1">IF(STAT[[#This Row],[retranca]]="","",       RegxFunc(STAT[[#This Row],[retranca]],  "\w\d{4}\w*_\d")     )</f>
        <v>#NAME?</v>
      </c>
      <c r="B677" s="21" t="s">
        <v>1587</v>
      </c>
      <c r="C677" s="14" t="s">
        <v>72</v>
      </c>
      <c r="D677" s="15" t="s">
        <v>9</v>
      </c>
      <c r="E677" s="15" t="s">
        <v>10</v>
      </c>
      <c r="F677" s="14"/>
      <c r="G677" s="15">
        <v>1</v>
      </c>
      <c r="H677" s="14">
        <v>1</v>
      </c>
      <c r="I677" s="14">
        <v>1</v>
      </c>
      <c r="J677" s="17" t="s">
        <v>55</v>
      </c>
      <c r="K677" s="21"/>
      <c r="L677" s="14"/>
      <c r="M677" s="14"/>
      <c r="N677" s="14"/>
      <c r="O677" s="14"/>
      <c r="P677" s="25" t="s">
        <v>1588</v>
      </c>
      <c r="Q677" s="21"/>
      <c r="R677" s="22"/>
      <c r="S677" s="14">
        <v>103</v>
      </c>
      <c r="T677" s="27">
        <v>45925</v>
      </c>
      <c r="U677" s="27">
        <v>45926</v>
      </c>
      <c r="V677" s="27">
        <v>45933</v>
      </c>
      <c r="W677" s="27">
        <v>45933</v>
      </c>
      <c r="X677" s="27">
        <v>45938</v>
      </c>
      <c r="Y677" s="14" t="s">
        <v>1579</v>
      </c>
      <c r="Z677" s="40" t="str">
        <f>IF(STAT[[#This Row],[sigla]]="","",VLOOKUP(STAT[[#This Row],[sigla]],CRÉDITOS_GERAIS[[sigla]:[credito]],2,))</f>
        <v>Raquel Teixeira</v>
      </c>
      <c r="AA677" s="14"/>
      <c r="AB677" s="14" t="str">
        <f>STAT[[#This Row],[ilustrador]]</f>
        <v>Raquel Teixeira</v>
      </c>
      <c r="AC677" s="14">
        <v>4</v>
      </c>
      <c r="AD677" s="22" t="s">
        <v>1586</v>
      </c>
      <c r="AE677" s="15" t="s">
        <v>87</v>
      </c>
      <c r="AF677" s="42" t="str">
        <f t="shared" si="10"/>
        <v>P007</v>
      </c>
    </row>
    <row r="678" spans="1:32" ht="28.8" hidden="1" x14ac:dyDescent="0.3">
      <c r="A678" s="12" t="e" cm="1">
        <f t="array" aca="1" ref="A678" ca="1">IF(STAT[[#This Row],[retranca]]="","",       RegxFunc(STAT[[#This Row],[retranca]],  "\w\d{4}\w*_\d")     )</f>
        <v>#NAME?</v>
      </c>
      <c r="B678" s="21" t="s">
        <v>1589</v>
      </c>
      <c r="C678" s="14" t="s">
        <v>72</v>
      </c>
      <c r="D678" s="15" t="s">
        <v>9</v>
      </c>
      <c r="E678" s="15" t="s">
        <v>10</v>
      </c>
      <c r="F678" s="14"/>
      <c r="G678" s="15">
        <v>1</v>
      </c>
      <c r="H678" s="14">
        <v>1</v>
      </c>
      <c r="I678" s="14">
        <v>1</v>
      </c>
      <c r="J678" s="17" t="s">
        <v>55</v>
      </c>
      <c r="K678" s="21"/>
      <c r="L678" s="14"/>
      <c r="M678" s="14"/>
      <c r="N678" s="14"/>
      <c r="O678" s="14"/>
      <c r="P678" s="25" t="s">
        <v>1590</v>
      </c>
      <c r="Q678" s="21"/>
      <c r="R678" s="22"/>
      <c r="S678" s="14">
        <v>103</v>
      </c>
      <c r="T678" s="27">
        <v>45925</v>
      </c>
      <c r="U678" s="27">
        <v>45926</v>
      </c>
      <c r="V678" s="27">
        <v>45928</v>
      </c>
      <c r="W678" s="27">
        <v>45928</v>
      </c>
      <c r="X678" s="27">
        <v>45929</v>
      </c>
      <c r="Y678" s="14" t="s">
        <v>119</v>
      </c>
      <c r="Z678" s="40" t="str">
        <f>IF(STAT[[#This Row],[sigla]]="","",VLOOKUP(STAT[[#This Row],[sigla]],CRÉDITOS_GERAIS[[sigla]:[credito]],2,))</f>
        <v>Bianca Tavares</v>
      </c>
      <c r="AA678" s="14"/>
      <c r="AB678" s="14" t="str">
        <f>STAT[[#This Row],[ilustrador]]</f>
        <v>Bianca Tavares</v>
      </c>
      <c r="AC678" s="14">
        <v>7</v>
      </c>
      <c r="AD678" s="22" t="s">
        <v>1583</v>
      </c>
      <c r="AE678" s="15" t="s">
        <v>46</v>
      </c>
      <c r="AF678" s="42" t="str">
        <f t="shared" si="10"/>
        <v>P007</v>
      </c>
    </row>
    <row r="679" spans="1:32" ht="129.6" hidden="1" x14ac:dyDescent="0.3">
      <c r="A679" s="12" t="e" cm="1">
        <f t="array" aca="1" ref="A679" ca="1">IF(STAT[[#This Row],[retranca]]="","",       RegxFunc(STAT[[#This Row],[retranca]],  "\w\d{4}\w*_\d")     )</f>
        <v>#NAME?</v>
      </c>
      <c r="B679" s="21" t="s">
        <v>1591</v>
      </c>
      <c r="C679" s="14" t="s">
        <v>72</v>
      </c>
      <c r="D679" s="15" t="s">
        <v>9</v>
      </c>
      <c r="E679" s="15" t="s">
        <v>10</v>
      </c>
      <c r="F679" s="14"/>
      <c r="G679" s="15">
        <v>1</v>
      </c>
      <c r="H679" s="14">
        <v>1</v>
      </c>
      <c r="I679" s="14">
        <v>1</v>
      </c>
      <c r="J679" s="17" t="s">
        <v>55</v>
      </c>
      <c r="K679" s="21"/>
      <c r="L679" s="14"/>
      <c r="M679" s="14"/>
      <c r="N679" s="14"/>
      <c r="O679" s="14"/>
      <c r="P679" s="25" t="s">
        <v>1592</v>
      </c>
      <c r="Q679" s="21"/>
      <c r="R679" s="22"/>
      <c r="S679" s="14">
        <v>103</v>
      </c>
      <c r="T679" s="27">
        <v>45925</v>
      </c>
      <c r="U679" s="27">
        <v>45926</v>
      </c>
      <c r="V679" s="27">
        <v>45933</v>
      </c>
      <c r="W679" s="27">
        <v>45933</v>
      </c>
      <c r="X679" s="27">
        <v>45938</v>
      </c>
      <c r="Y679" s="14" t="s">
        <v>1579</v>
      </c>
      <c r="Z679" s="40" t="str">
        <f>IF(STAT[[#This Row],[sigla]]="","",VLOOKUP(STAT[[#This Row],[sigla]],CRÉDITOS_GERAIS[[sigla]:[credito]],2,))</f>
        <v>Raquel Teixeira</v>
      </c>
      <c r="AA679" s="14"/>
      <c r="AB679" s="14" t="str">
        <f>STAT[[#This Row],[ilustrador]]</f>
        <v>Raquel Teixeira</v>
      </c>
      <c r="AC679" s="14">
        <v>4</v>
      </c>
      <c r="AD679" s="22" t="s">
        <v>1586</v>
      </c>
      <c r="AE679" s="15" t="s">
        <v>87</v>
      </c>
      <c r="AF679" s="42" t="str">
        <f t="shared" si="10"/>
        <v>P007</v>
      </c>
    </row>
    <row r="680" spans="1:32" ht="144" hidden="1" x14ac:dyDescent="0.3">
      <c r="A680" s="12" t="e" cm="1">
        <f t="array" aca="1" ref="A680" ca="1">IF(STAT[[#This Row],[retranca]]="","",       RegxFunc(STAT[[#This Row],[retranca]],  "\w\d{4}\w*_\d")     )</f>
        <v>#NAME?</v>
      </c>
      <c r="B680" s="21" t="s">
        <v>1593</v>
      </c>
      <c r="C680" s="14" t="s">
        <v>72</v>
      </c>
      <c r="D680" s="15" t="s">
        <v>9</v>
      </c>
      <c r="E680" s="15" t="s">
        <v>10</v>
      </c>
      <c r="F680" s="14"/>
      <c r="G680" s="15">
        <v>1</v>
      </c>
      <c r="H680" s="14">
        <v>1</v>
      </c>
      <c r="I680" s="14">
        <v>1</v>
      </c>
      <c r="J680" s="17" t="s">
        <v>55</v>
      </c>
      <c r="K680" s="21"/>
      <c r="L680" s="14"/>
      <c r="M680" s="14"/>
      <c r="N680" s="14"/>
      <c r="O680" s="14"/>
      <c r="P680" s="25" t="s">
        <v>1594</v>
      </c>
      <c r="Q680" s="21"/>
      <c r="R680" s="22"/>
      <c r="S680" s="14">
        <v>103</v>
      </c>
      <c r="T680" s="27">
        <v>45925</v>
      </c>
      <c r="U680" s="27">
        <v>45926</v>
      </c>
      <c r="V680" s="27">
        <v>45928</v>
      </c>
      <c r="W680" s="27">
        <v>45928</v>
      </c>
      <c r="X680" s="27">
        <v>45929</v>
      </c>
      <c r="Y680" s="14" t="s">
        <v>119</v>
      </c>
      <c r="Z680" s="40" t="str">
        <f>IF(STAT[[#This Row],[sigla]]="","",VLOOKUP(STAT[[#This Row],[sigla]],CRÉDITOS_GERAIS[[sigla]:[credito]],2,))</f>
        <v>Bianca Tavares</v>
      </c>
      <c r="AA680" s="14"/>
      <c r="AB680" s="14" t="str">
        <f>STAT[[#This Row],[ilustrador]]</f>
        <v>Bianca Tavares</v>
      </c>
      <c r="AC680" s="14">
        <v>6</v>
      </c>
      <c r="AD680" s="22" t="s">
        <v>1583</v>
      </c>
      <c r="AE680" s="15" t="s">
        <v>46</v>
      </c>
      <c r="AF680" s="42" t="str">
        <f t="shared" si="10"/>
        <v>P007</v>
      </c>
    </row>
    <row r="681" spans="1:32" hidden="1" x14ac:dyDescent="0.3">
      <c r="A681" s="12" t="e" cm="1">
        <f t="array" aca="1" ref="A681" ca="1">IF(STAT[[#This Row],[retranca]]="","",       RegxFunc(STAT[[#This Row],[retranca]],  "\w\d{4}\w*_\d")     )</f>
        <v>#NAME?</v>
      </c>
      <c r="B681" s="21" t="s">
        <v>1595</v>
      </c>
      <c r="C681" s="14" t="s">
        <v>122</v>
      </c>
      <c r="D681" s="15" t="s">
        <v>9</v>
      </c>
      <c r="E681" s="15" t="s">
        <v>10</v>
      </c>
      <c r="F681" s="14">
        <v>61</v>
      </c>
      <c r="G681" s="15">
        <v>3</v>
      </c>
      <c r="H681" s="14">
        <v>8</v>
      </c>
      <c r="I681" s="14">
        <v>8</v>
      </c>
      <c r="J681" s="17" t="s">
        <v>55</v>
      </c>
      <c r="K681" s="21"/>
      <c r="L681" s="14"/>
      <c r="M681" s="14"/>
      <c r="N681" s="14"/>
      <c r="O681" s="14"/>
      <c r="P681" s="25" t="s">
        <v>1596</v>
      </c>
      <c r="Q681" s="21"/>
      <c r="R681" s="22"/>
      <c r="S681" s="14">
        <v>104</v>
      </c>
      <c r="T681" s="27">
        <v>45926</v>
      </c>
      <c r="U681" s="27">
        <v>45926</v>
      </c>
      <c r="V681" s="27"/>
      <c r="W681" s="27"/>
      <c r="X681" s="27">
        <v>45926</v>
      </c>
      <c r="Y681" s="14" t="s">
        <v>755</v>
      </c>
      <c r="Z681" s="40" t="str">
        <f>IF(STAT[[#This Row],[sigla]]="","",VLOOKUP(STAT[[#This Row],[sigla]],CRÉDITOS_GERAIS[[sigla]:[credito]],2,))</f>
        <v>Sergio Lima</v>
      </c>
      <c r="AA681" s="14" t="s">
        <v>79</v>
      </c>
      <c r="AB681" s="14" t="str">
        <f>STAT[[#This Row],[ilustrador]]</f>
        <v>Sergio Lima</v>
      </c>
      <c r="AC681" s="14">
        <v>13</v>
      </c>
      <c r="AD681" s="22" t="s">
        <v>909</v>
      </c>
      <c r="AE681" s="15" t="s">
        <v>46</v>
      </c>
      <c r="AF681" s="42" t="str">
        <f t="shared" si="10"/>
        <v>P007</v>
      </c>
    </row>
    <row r="682" spans="1:32" hidden="1" x14ac:dyDescent="0.3">
      <c r="A682" s="12" t="e" cm="1">
        <f t="array" aca="1" ref="A682" ca="1">IF(STAT[[#This Row],[retranca]]="","",       RegxFunc(STAT[[#This Row],[retranca]],  "\w\d{4}\w*_\d")     )</f>
        <v>#NAME?</v>
      </c>
      <c r="B682" s="21" t="s">
        <v>1597</v>
      </c>
      <c r="C682" s="14" t="s">
        <v>1084</v>
      </c>
      <c r="D682" s="15" t="s">
        <v>9</v>
      </c>
      <c r="E682" s="15" t="s">
        <v>10</v>
      </c>
      <c r="F682" s="14">
        <v>56</v>
      </c>
      <c r="G682" s="15">
        <v>3</v>
      </c>
      <c r="H682" s="14">
        <v>8</v>
      </c>
      <c r="I682" s="14">
        <v>8</v>
      </c>
      <c r="J682" s="17" t="s">
        <v>55</v>
      </c>
      <c r="K682" s="21"/>
      <c r="L682" s="14"/>
      <c r="M682" s="14"/>
      <c r="N682" s="14"/>
      <c r="O682" s="14"/>
      <c r="P682" s="25" t="s">
        <v>1598</v>
      </c>
      <c r="Q682" s="21"/>
      <c r="R682" s="22"/>
      <c r="S682" s="14">
        <v>104</v>
      </c>
      <c r="T682" s="27">
        <v>45926</v>
      </c>
      <c r="U682" s="27">
        <v>45926</v>
      </c>
      <c r="V682" s="27"/>
      <c r="W682" s="27"/>
      <c r="X682" s="27">
        <v>45926</v>
      </c>
      <c r="Y682" s="14" t="s">
        <v>23</v>
      </c>
      <c r="Z682" s="40" t="str">
        <f>IF(STAT[[#This Row],[sigla]]="","",VLOOKUP(STAT[[#This Row],[sigla]],CRÉDITOS_GERAIS[[sigla]:[credito]],2,))</f>
        <v>Thamires Paredes</v>
      </c>
      <c r="AA682" s="14" t="s">
        <v>79</v>
      </c>
      <c r="AB682" s="14" t="str">
        <f>STAT[[#This Row],[ilustrador]]</f>
        <v>Thamires Paredes</v>
      </c>
      <c r="AC682" s="14">
        <v>13</v>
      </c>
      <c r="AD682" s="22" t="s">
        <v>909</v>
      </c>
      <c r="AE682" s="15" t="s">
        <v>46</v>
      </c>
      <c r="AF682" s="42" t="str">
        <f t="shared" si="10"/>
        <v>P007</v>
      </c>
    </row>
    <row r="683" spans="1:32" ht="100.8" hidden="1" x14ac:dyDescent="0.3">
      <c r="A683" s="12" t="e" cm="1">
        <f t="array" aca="1" ref="A683" ca="1">IF(STAT[[#This Row],[retranca]]="","",       RegxFunc(STAT[[#This Row],[retranca]],  "\w\d{4}\w*_\d")     )</f>
        <v>#NAME?</v>
      </c>
      <c r="B683" s="21" t="s">
        <v>1599</v>
      </c>
      <c r="C683" s="14" t="s">
        <v>122</v>
      </c>
      <c r="D683" s="15" t="s">
        <v>9</v>
      </c>
      <c r="E683" s="15" t="s">
        <v>10</v>
      </c>
      <c r="F683" s="14">
        <v>4</v>
      </c>
      <c r="G683" s="15">
        <v>3</v>
      </c>
      <c r="H683" s="14">
        <v>0</v>
      </c>
      <c r="I683" s="14" t="s">
        <v>112</v>
      </c>
      <c r="J683" s="17" t="s">
        <v>55</v>
      </c>
      <c r="K683" s="21"/>
      <c r="L683" s="14"/>
      <c r="M683" s="14"/>
      <c r="N683" s="14"/>
      <c r="O683" s="14"/>
      <c r="P683" s="25" t="s">
        <v>1600</v>
      </c>
      <c r="Q683" s="21"/>
      <c r="R683" s="22"/>
      <c r="S683" s="14">
        <v>105</v>
      </c>
      <c r="T683" s="27">
        <v>45926</v>
      </c>
      <c r="U683" s="27">
        <v>45926</v>
      </c>
      <c r="V683" s="27"/>
      <c r="W683" s="27"/>
      <c r="X683" s="27">
        <v>45927</v>
      </c>
      <c r="Y683" s="14" t="s">
        <v>290</v>
      </c>
      <c r="Z683" s="40" t="str">
        <f>IF(STAT[[#This Row],[sigla]]="","",VLOOKUP(STAT[[#This Row],[sigla]],CRÉDITOS_GERAIS[[sigla]:[credito]],2,))</f>
        <v>Bruna Campos</v>
      </c>
      <c r="AA683" s="14"/>
      <c r="AB683" s="14" t="str">
        <f>STAT[[#This Row],[ilustrador]]</f>
        <v>Bruna Campos</v>
      </c>
      <c r="AC683" s="14">
        <v>6</v>
      </c>
      <c r="AD683" s="22" t="s">
        <v>196</v>
      </c>
      <c r="AE683" s="15" t="s">
        <v>46</v>
      </c>
      <c r="AF683" s="42" t="str">
        <f t="shared" si="10"/>
        <v>P007</v>
      </c>
    </row>
    <row r="684" spans="1:32" ht="43.2" hidden="1" x14ac:dyDescent="0.3">
      <c r="A684" s="12" t="e" cm="1">
        <f t="array" aca="1" ref="A684" ca="1">IF(STAT[[#This Row],[retranca]]="","",       RegxFunc(STAT[[#This Row],[retranca]],  "\w\d{4}\w*_\d")     )</f>
        <v>#NAME?</v>
      </c>
      <c r="B684" s="21" t="s">
        <v>1601</v>
      </c>
      <c r="C684" s="14" t="s">
        <v>72</v>
      </c>
      <c r="D684" s="15" t="s">
        <v>9</v>
      </c>
      <c r="E684" s="15" t="s">
        <v>10</v>
      </c>
      <c r="F684" s="14"/>
      <c r="G684" s="15">
        <v>1</v>
      </c>
      <c r="H684" s="14">
        <v>3</v>
      </c>
      <c r="I684" s="14">
        <v>3</v>
      </c>
      <c r="J684" s="17" t="s">
        <v>55</v>
      </c>
      <c r="K684" s="21"/>
      <c r="L684" s="14"/>
      <c r="M684" s="14"/>
      <c r="N684" s="14"/>
      <c r="O684" s="14"/>
      <c r="P684" s="25" t="s">
        <v>1602</v>
      </c>
      <c r="Q684" s="21"/>
      <c r="R684" s="22"/>
      <c r="S684" s="14">
        <v>106</v>
      </c>
      <c r="T684" s="27">
        <v>45926</v>
      </c>
      <c r="U684" s="27">
        <v>45926</v>
      </c>
      <c r="V684" s="27">
        <v>45930</v>
      </c>
      <c r="W684" s="27">
        <v>45932</v>
      </c>
      <c r="X684" s="27">
        <v>45933</v>
      </c>
      <c r="Y684" s="14" t="s">
        <v>94</v>
      </c>
      <c r="Z684" s="40" t="str">
        <f>IF(STAT[[#This Row],[sigla]]="","",VLOOKUP(STAT[[#This Row],[sigla]],CRÉDITOS_GERAIS[[sigla]:[credito]],2,))</f>
        <v>Thais Castro</v>
      </c>
      <c r="AA684" s="14"/>
      <c r="AB684" s="14" t="str">
        <f>STAT[[#This Row],[ilustrador]]</f>
        <v>Thais Castro</v>
      </c>
      <c r="AC684" s="14">
        <v>7</v>
      </c>
      <c r="AD684" s="22" t="s">
        <v>1603</v>
      </c>
      <c r="AE684" s="15" t="s">
        <v>87</v>
      </c>
      <c r="AF684" s="42" t="str">
        <f t="shared" si="10"/>
        <v>P007</v>
      </c>
    </row>
    <row r="685" spans="1:32" ht="43.2" hidden="1" x14ac:dyDescent="0.3">
      <c r="A685" s="12" t="e" cm="1">
        <f t="array" aca="1" ref="A685" ca="1">IF(STAT[[#This Row],[retranca]]="","",       RegxFunc(STAT[[#This Row],[retranca]],  "\w\d{4}\w*_\d")     )</f>
        <v>#NAME?</v>
      </c>
      <c r="B685" s="21" t="s">
        <v>1604</v>
      </c>
      <c r="C685" s="14" t="s">
        <v>72</v>
      </c>
      <c r="D685" s="15" t="s">
        <v>9</v>
      </c>
      <c r="E685" s="15" t="s">
        <v>10</v>
      </c>
      <c r="F685" s="14"/>
      <c r="G685" s="15">
        <v>1</v>
      </c>
      <c r="H685" s="14">
        <v>3</v>
      </c>
      <c r="I685" s="14">
        <v>3</v>
      </c>
      <c r="J685" s="17" t="s">
        <v>55</v>
      </c>
      <c r="K685" s="21"/>
      <c r="L685" s="14"/>
      <c r="M685" s="14"/>
      <c r="N685" s="14"/>
      <c r="O685" s="14"/>
      <c r="P685" s="25" t="s">
        <v>1605</v>
      </c>
      <c r="Q685" s="21"/>
      <c r="R685" s="22"/>
      <c r="S685" s="14">
        <v>106</v>
      </c>
      <c r="T685" s="27">
        <v>45926</v>
      </c>
      <c r="U685" s="27">
        <v>45926</v>
      </c>
      <c r="V685" s="27">
        <v>45930</v>
      </c>
      <c r="W685" s="27">
        <v>45932</v>
      </c>
      <c r="X685" s="27">
        <v>45933</v>
      </c>
      <c r="Y685" s="14" t="s">
        <v>94</v>
      </c>
      <c r="Z685" s="40" t="str">
        <f>IF(STAT[[#This Row],[sigla]]="","",VLOOKUP(STAT[[#This Row],[sigla]],CRÉDITOS_GERAIS[[sigla]:[credito]],2,))</f>
        <v>Thais Castro</v>
      </c>
      <c r="AA685" s="14"/>
      <c r="AB685" s="14" t="str">
        <f>STAT[[#This Row],[ilustrador]]</f>
        <v>Thais Castro</v>
      </c>
      <c r="AC685" s="14">
        <v>5</v>
      </c>
      <c r="AD685" s="22" t="s">
        <v>1603</v>
      </c>
      <c r="AE685" s="15" t="s">
        <v>87</v>
      </c>
      <c r="AF685" s="42" t="str">
        <f t="shared" si="10"/>
        <v>P007</v>
      </c>
    </row>
    <row r="686" spans="1:32" ht="28.8" hidden="1" x14ac:dyDescent="0.3">
      <c r="A686" s="12" t="e" cm="1">
        <f t="array" aca="1" ref="A686" ca="1">IF(STAT[[#This Row],[retranca]]="","",       RegxFunc(STAT[[#This Row],[retranca]],  "\w\d{4}\w*_\d")     )</f>
        <v>#NAME?</v>
      </c>
      <c r="B686" s="21" t="s">
        <v>1606</v>
      </c>
      <c r="C686" s="14" t="s">
        <v>72</v>
      </c>
      <c r="D686" s="15" t="s">
        <v>9</v>
      </c>
      <c r="E686" s="15" t="s">
        <v>10</v>
      </c>
      <c r="F686" s="14"/>
      <c r="G686" s="15">
        <v>1</v>
      </c>
      <c r="H686" s="14">
        <v>3</v>
      </c>
      <c r="I686" s="14">
        <v>3</v>
      </c>
      <c r="J686" s="17" t="s">
        <v>55</v>
      </c>
      <c r="K686" s="21"/>
      <c r="L686" s="14"/>
      <c r="M686" s="14"/>
      <c r="N686" s="14"/>
      <c r="O686" s="14"/>
      <c r="P686" s="25" t="s">
        <v>1607</v>
      </c>
      <c r="Q686" s="21"/>
      <c r="R686" s="22"/>
      <c r="S686" s="14">
        <v>106</v>
      </c>
      <c r="T686" s="27">
        <v>45926</v>
      </c>
      <c r="U686" s="27">
        <v>45926</v>
      </c>
      <c r="V686" s="27">
        <v>45930</v>
      </c>
      <c r="W686" s="27">
        <v>45932</v>
      </c>
      <c r="X686" s="27">
        <v>45933</v>
      </c>
      <c r="Y686" s="14" t="s">
        <v>94</v>
      </c>
      <c r="Z686" s="40" t="str">
        <f>IF(STAT[[#This Row],[sigla]]="","",VLOOKUP(STAT[[#This Row],[sigla]],CRÉDITOS_GERAIS[[sigla]:[credito]],2,))</f>
        <v>Thais Castro</v>
      </c>
      <c r="AA686" s="14"/>
      <c r="AB686" s="14" t="str">
        <f>STAT[[#This Row],[ilustrador]]</f>
        <v>Thais Castro</v>
      </c>
      <c r="AC686" s="14">
        <v>7</v>
      </c>
      <c r="AD686" s="22" t="s">
        <v>1603</v>
      </c>
      <c r="AE686" s="15" t="s">
        <v>87</v>
      </c>
      <c r="AF686" s="42" t="str">
        <f t="shared" si="10"/>
        <v>P007</v>
      </c>
    </row>
    <row r="687" spans="1:32" ht="57.6" hidden="1" x14ac:dyDescent="0.3">
      <c r="A687" s="12" t="e" cm="1">
        <f t="array" aca="1" ref="A687" ca="1">IF(STAT[[#This Row],[retranca]]="","",       RegxFunc(STAT[[#This Row],[retranca]],  "\w\d{4}\w*_\d")     )</f>
        <v>#NAME?</v>
      </c>
      <c r="B687" s="21" t="s">
        <v>1608</v>
      </c>
      <c r="C687" s="14" t="s">
        <v>72</v>
      </c>
      <c r="D687" s="15" t="s">
        <v>9</v>
      </c>
      <c r="E687" s="15" t="s">
        <v>10</v>
      </c>
      <c r="F687" s="14"/>
      <c r="G687" s="15">
        <v>1</v>
      </c>
      <c r="H687" s="14">
        <v>3</v>
      </c>
      <c r="I687" s="14">
        <v>3</v>
      </c>
      <c r="J687" s="17" t="s">
        <v>55</v>
      </c>
      <c r="K687" s="21"/>
      <c r="L687" s="14"/>
      <c r="M687" s="14"/>
      <c r="N687" s="14"/>
      <c r="O687" s="14"/>
      <c r="P687" s="25" t="s">
        <v>1609</v>
      </c>
      <c r="Q687" s="21"/>
      <c r="R687" s="22"/>
      <c r="S687" s="14">
        <v>106</v>
      </c>
      <c r="T687" s="27">
        <v>45926</v>
      </c>
      <c r="U687" s="27">
        <v>45926</v>
      </c>
      <c r="V687" s="27">
        <v>45930</v>
      </c>
      <c r="W687" s="27">
        <v>45932</v>
      </c>
      <c r="X687" s="27">
        <v>45933</v>
      </c>
      <c r="Y687" s="14" t="s">
        <v>94</v>
      </c>
      <c r="Z687" s="40" t="str">
        <f>IF(STAT[[#This Row],[sigla]]="","",VLOOKUP(STAT[[#This Row],[sigla]],CRÉDITOS_GERAIS[[sigla]:[credito]],2,))</f>
        <v>Thais Castro</v>
      </c>
      <c r="AA687" s="14"/>
      <c r="AB687" s="14" t="str">
        <f>STAT[[#This Row],[ilustrador]]</f>
        <v>Thais Castro</v>
      </c>
      <c r="AC687" s="14">
        <v>6</v>
      </c>
      <c r="AD687" s="22" t="s">
        <v>1603</v>
      </c>
      <c r="AE687" s="15" t="s">
        <v>87</v>
      </c>
      <c r="AF687" s="42" t="str">
        <f t="shared" si="10"/>
        <v>P007</v>
      </c>
    </row>
    <row r="688" spans="1:32" ht="28.8" hidden="1" x14ac:dyDescent="0.3">
      <c r="A688" s="12" t="e" cm="1">
        <f t="array" aca="1" ref="A688" ca="1">IF(STAT[[#This Row],[retranca]]="","",       RegxFunc(STAT[[#This Row],[retranca]],  "\w\d{4}\w*_\d")     )</f>
        <v>#NAME?</v>
      </c>
      <c r="B688" s="21" t="s">
        <v>1610</v>
      </c>
      <c r="C688" s="14" t="s">
        <v>72</v>
      </c>
      <c r="D688" s="15" t="s">
        <v>9</v>
      </c>
      <c r="E688" s="15" t="s">
        <v>10</v>
      </c>
      <c r="F688" s="14"/>
      <c r="G688" s="15">
        <v>1</v>
      </c>
      <c r="H688" s="14">
        <v>3</v>
      </c>
      <c r="I688" s="14">
        <v>3</v>
      </c>
      <c r="J688" s="17" t="s">
        <v>55</v>
      </c>
      <c r="K688" s="21"/>
      <c r="L688" s="14"/>
      <c r="M688" s="14"/>
      <c r="N688" s="14"/>
      <c r="O688" s="14"/>
      <c r="P688" s="25" t="s">
        <v>1611</v>
      </c>
      <c r="Q688" s="21"/>
      <c r="R688" s="22"/>
      <c r="S688" s="14">
        <v>106</v>
      </c>
      <c r="T688" s="27">
        <v>45926</v>
      </c>
      <c r="U688" s="27">
        <v>45926</v>
      </c>
      <c r="V688" s="27"/>
      <c r="W688" s="27"/>
      <c r="X688" s="27">
        <v>45926</v>
      </c>
      <c r="Y688" s="14" t="s">
        <v>23</v>
      </c>
      <c r="Z688" s="40" t="str">
        <f>IF(STAT[[#This Row],[sigla]]="","",VLOOKUP(STAT[[#This Row],[sigla]],CRÉDITOS_GERAIS[[sigla]:[credito]],2,))</f>
        <v>Thamires Paredes</v>
      </c>
      <c r="AA688" s="14" t="s">
        <v>90</v>
      </c>
      <c r="AB688" s="14" t="str">
        <f>STAT[[#This Row],[ilustrador]]</f>
        <v>Thamires Paredes</v>
      </c>
      <c r="AC688" s="14">
        <v>14</v>
      </c>
      <c r="AD688" s="22" t="s">
        <v>229</v>
      </c>
      <c r="AE688" s="15" t="s">
        <v>46</v>
      </c>
      <c r="AF688" s="42" t="str">
        <f t="shared" si="10"/>
        <v>P007</v>
      </c>
    </row>
    <row r="689" spans="1:32" ht="100.8" hidden="1" x14ac:dyDescent="0.3">
      <c r="A689" s="12" t="e" cm="1">
        <f t="array" aca="1" ref="A689" ca="1">IF(STAT[[#This Row],[retranca]]="","",       RegxFunc(STAT[[#This Row],[retranca]],  "\w\d{4}\w*_\d")     )</f>
        <v>#NAME?</v>
      </c>
      <c r="B689" s="21" t="s">
        <v>1612</v>
      </c>
      <c r="C689" s="14" t="s">
        <v>72</v>
      </c>
      <c r="D689" s="15" t="s">
        <v>9</v>
      </c>
      <c r="E689" s="15" t="s">
        <v>10</v>
      </c>
      <c r="F689" s="14"/>
      <c r="G689" s="15">
        <v>1</v>
      </c>
      <c r="H689" s="14">
        <v>3</v>
      </c>
      <c r="I689" s="14">
        <v>3</v>
      </c>
      <c r="J689" s="17" t="s">
        <v>55</v>
      </c>
      <c r="K689" s="21"/>
      <c r="L689" s="14"/>
      <c r="M689" s="14"/>
      <c r="N689" s="14"/>
      <c r="O689" s="14"/>
      <c r="P689" s="25" t="s">
        <v>1613</v>
      </c>
      <c r="Q689" s="21"/>
      <c r="R689" s="22"/>
      <c r="S689" s="14">
        <v>106</v>
      </c>
      <c r="T689" s="27">
        <v>45926</v>
      </c>
      <c r="U689" s="27">
        <v>45926</v>
      </c>
      <c r="V689" s="27">
        <v>45930</v>
      </c>
      <c r="W689" s="27">
        <v>45932</v>
      </c>
      <c r="X689" s="27">
        <v>45933</v>
      </c>
      <c r="Y689" s="14" t="s">
        <v>94</v>
      </c>
      <c r="Z689" s="40" t="str">
        <f>IF(STAT[[#This Row],[sigla]]="","",VLOOKUP(STAT[[#This Row],[sigla]],CRÉDITOS_GERAIS[[sigla]:[credito]],2,))</f>
        <v>Thais Castro</v>
      </c>
      <c r="AA689" s="14"/>
      <c r="AB689" s="14" t="str">
        <f>STAT[[#This Row],[ilustrador]]</f>
        <v>Thais Castro</v>
      </c>
      <c r="AC689" s="14">
        <v>3</v>
      </c>
      <c r="AD689" s="22" t="s">
        <v>1603</v>
      </c>
      <c r="AE689" s="15" t="s">
        <v>87</v>
      </c>
      <c r="AF689" s="42" t="str">
        <f t="shared" si="10"/>
        <v>P007</v>
      </c>
    </row>
    <row r="690" spans="1:32" hidden="1" x14ac:dyDescent="0.3">
      <c r="A690" s="12" t="e" cm="1">
        <f t="array" aca="1" ref="A690" ca="1">IF(STAT[[#This Row],[retranca]]="","",       RegxFunc(STAT[[#This Row],[retranca]],  "\w\d{4}\w*_\d")     )</f>
        <v>#NAME?</v>
      </c>
      <c r="B690" s="21" t="s">
        <v>1614</v>
      </c>
      <c r="C690" s="14" t="s">
        <v>122</v>
      </c>
      <c r="D690" s="15" t="s">
        <v>9</v>
      </c>
      <c r="E690" s="15" t="s">
        <v>471</v>
      </c>
      <c r="F690" s="14">
        <v>5</v>
      </c>
      <c r="G690" s="15">
        <v>3</v>
      </c>
      <c r="H690" s="14">
        <v>5</v>
      </c>
      <c r="I690" s="14">
        <v>5</v>
      </c>
      <c r="J690" s="17" t="s">
        <v>55</v>
      </c>
      <c r="K690" s="21"/>
      <c r="L690" s="14"/>
      <c r="M690" s="14"/>
      <c r="N690" s="14"/>
      <c r="O690" s="14"/>
      <c r="P690" s="25" t="s">
        <v>1615</v>
      </c>
      <c r="Q690" s="21"/>
      <c r="R690" s="22"/>
      <c r="S690" s="14">
        <v>107</v>
      </c>
      <c r="T690" s="27">
        <v>45929</v>
      </c>
      <c r="U690" s="27">
        <v>45929</v>
      </c>
      <c r="V690" s="27"/>
      <c r="W690" s="27"/>
      <c r="X690" s="27">
        <v>45929</v>
      </c>
      <c r="Y690" s="14" t="s">
        <v>1263</v>
      </c>
      <c r="Z690" s="40" t="str">
        <f>IF(STAT[[#This Row],[sigla]]="","",VLOOKUP(STAT[[#This Row],[sigla]],CRÉDITOS_GERAIS[[sigla]:[credito]],2,))</f>
        <v>Gabriella Imai</v>
      </c>
      <c r="AA690" s="14"/>
      <c r="AB690" s="14" t="str">
        <f>STAT[[#This Row],[ilustrador]]</f>
        <v>Gabriella Imai</v>
      </c>
      <c r="AC690" s="14">
        <v>8</v>
      </c>
      <c r="AD690" s="22" t="s">
        <v>196</v>
      </c>
      <c r="AE690" s="15" t="s">
        <v>46</v>
      </c>
      <c r="AF690" s="42" t="str">
        <f t="shared" si="10"/>
        <v>P007</v>
      </c>
    </row>
    <row r="691" spans="1:32" ht="57.6" hidden="1" x14ac:dyDescent="0.3">
      <c r="A691" s="12" t="e" cm="1">
        <f t="array" aca="1" ref="A691" ca="1">IF(STAT[[#This Row],[retranca]]="","",       RegxFunc(STAT[[#This Row],[retranca]],  "\w\d{4}\w*_\d")     )</f>
        <v>#NAME?</v>
      </c>
      <c r="B691" s="21" t="s">
        <v>1616</v>
      </c>
      <c r="C691" s="14" t="s">
        <v>122</v>
      </c>
      <c r="D691" s="15" t="s">
        <v>9</v>
      </c>
      <c r="E691" s="15" t="s">
        <v>471</v>
      </c>
      <c r="F691" s="14">
        <v>12</v>
      </c>
      <c r="G691" s="15">
        <v>3</v>
      </c>
      <c r="H691" s="14">
        <v>5</v>
      </c>
      <c r="I691" s="14">
        <v>5</v>
      </c>
      <c r="J691" s="17" t="s">
        <v>55</v>
      </c>
      <c r="K691" s="21"/>
      <c r="L691" s="14"/>
      <c r="M691" s="14"/>
      <c r="N691" s="14"/>
      <c r="O691" s="14"/>
      <c r="P691" s="25" t="s">
        <v>1617</v>
      </c>
      <c r="Q691" s="21"/>
      <c r="R691" s="22"/>
      <c r="S691" s="14">
        <v>107</v>
      </c>
      <c r="T691" s="27">
        <v>45929</v>
      </c>
      <c r="U691" s="27">
        <v>45929</v>
      </c>
      <c r="V691" s="27">
        <v>45929</v>
      </c>
      <c r="W691" s="27">
        <v>45929</v>
      </c>
      <c r="X691" s="27">
        <v>45929</v>
      </c>
      <c r="Y691" s="14" t="s">
        <v>375</v>
      </c>
      <c r="Z691" s="40" t="str">
        <f>IF(STAT[[#This Row],[sigla]]="","",VLOOKUP(STAT[[#This Row],[sigla]],CRÉDITOS_GERAIS[[sigla]:[credito]],2,))</f>
        <v>Lídia Farias</v>
      </c>
      <c r="AA691" s="14"/>
      <c r="AB691" s="14" t="str">
        <f>STAT[[#This Row],[ilustrador]]</f>
        <v>Lídia Farias</v>
      </c>
      <c r="AC691" s="14">
        <v>6</v>
      </c>
      <c r="AD691" s="22" t="s">
        <v>1618</v>
      </c>
      <c r="AE691" s="15" t="s">
        <v>87</v>
      </c>
      <c r="AF691" s="42" t="str">
        <f t="shared" si="10"/>
        <v>P007</v>
      </c>
    </row>
    <row r="692" spans="1:32" ht="28.8" hidden="1" x14ac:dyDescent="0.3">
      <c r="A692" s="12" t="e" cm="1">
        <f t="array" aca="1" ref="A692" ca="1">IF(STAT[[#This Row],[retranca]]="","",       RegxFunc(STAT[[#This Row],[retranca]],  "\w\d{4}\w*_\d")     )</f>
        <v>#NAME?</v>
      </c>
      <c r="B692" s="21" t="s">
        <v>1619</v>
      </c>
      <c r="C692" s="14" t="s">
        <v>122</v>
      </c>
      <c r="D692" s="15" t="s">
        <v>9</v>
      </c>
      <c r="E692" s="15" t="s">
        <v>471</v>
      </c>
      <c r="F692" s="14">
        <v>15</v>
      </c>
      <c r="G692" s="15">
        <v>3</v>
      </c>
      <c r="H692" s="14">
        <v>5</v>
      </c>
      <c r="I692" s="14">
        <v>5</v>
      </c>
      <c r="J692" s="17" t="s">
        <v>55</v>
      </c>
      <c r="K692" s="21"/>
      <c r="L692" s="14"/>
      <c r="M692" s="14"/>
      <c r="N692" s="14"/>
      <c r="O692" s="14"/>
      <c r="P692" s="25" t="s">
        <v>1620</v>
      </c>
      <c r="Q692" s="21"/>
      <c r="R692" s="22"/>
      <c r="S692" s="14">
        <v>107</v>
      </c>
      <c r="T692" s="27">
        <v>45929</v>
      </c>
      <c r="U692" s="27">
        <v>45929</v>
      </c>
      <c r="V692" s="27"/>
      <c r="W692" s="27"/>
      <c r="X692" s="27">
        <v>45929</v>
      </c>
      <c r="Y692" s="14" t="s">
        <v>1263</v>
      </c>
      <c r="Z692" s="40" t="str">
        <f>IF(STAT[[#This Row],[sigla]]="","",VLOOKUP(STAT[[#This Row],[sigla]],CRÉDITOS_GERAIS[[sigla]:[credito]],2,))</f>
        <v>Gabriella Imai</v>
      </c>
      <c r="AA692" s="14"/>
      <c r="AB692" s="14" t="str">
        <f>STAT[[#This Row],[ilustrador]]</f>
        <v>Gabriella Imai</v>
      </c>
      <c r="AC692" s="14">
        <v>8</v>
      </c>
      <c r="AD692" s="22" t="s">
        <v>196</v>
      </c>
      <c r="AE692" s="15" t="s">
        <v>46</v>
      </c>
      <c r="AF692" s="42" t="str">
        <f t="shared" si="10"/>
        <v>P007</v>
      </c>
    </row>
    <row r="693" spans="1:32" hidden="1" x14ac:dyDescent="0.3">
      <c r="A693" s="12" t="e" cm="1">
        <f t="array" aca="1" ref="A693" ca="1">IF(STAT[[#This Row],[retranca]]="","",       RegxFunc(STAT[[#This Row],[retranca]],  "\w\d{4}\w*_\d")     )</f>
        <v>#NAME?</v>
      </c>
      <c r="B693" s="21" t="s">
        <v>1621</v>
      </c>
      <c r="C693" s="14" t="s">
        <v>72</v>
      </c>
      <c r="D693" s="15" t="s">
        <v>9</v>
      </c>
      <c r="E693" s="15" t="s">
        <v>471</v>
      </c>
      <c r="F693" s="14">
        <v>33</v>
      </c>
      <c r="G693" s="15">
        <v>3</v>
      </c>
      <c r="H693" s="14">
        <v>6</v>
      </c>
      <c r="I693" s="14">
        <v>6</v>
      </c>
      <c r="J693" s="17" t="s">
        <v>11</v>
      </c>
      <c r="K693" s="21"/>
      <c r="L693" s="14"/>
      <c r="M693" s="14"/>
      <c r="N693" s="14"/>
      <c r="O693" s="14"/>
      <c r="P693" s="25" t="s">
        <v>1622</v>
      </c>
      <c r="Q693" s="21"/>
      <c r="R693" s="22"/>
      <c r="S693" s="14"/>
      <c r="T693" s="27"/>
      <c r="U693" s="27"/>
      <c r="V693" s="27"/>
      <c r="W693" s="27"/>
      <c r="X693" s="27"/>
      <c r="Y693" s="14" t="s">
        <v>119</v>
      </c>
      <c r="Z693" s="40" t="str">
        <f>IF(STAT[[#This Row],[sigla]]="","",VLOOKUP(STAT[[#This Row],[sigla]],CRÉDITOS_GERAIS[[sigla]:[credito]],2,))</f>
        <v>Bianca Tavares</v>
      </c>
      <c r="AA693" s="14"/>
      <c r="AB693" s="14" t="str">
        <f>STAT[[#This Row],[ilustrador]]</f>
        <v>Bianca Tavares</v>
      </c>
      <c r="AC693" s="14"/>
      <c r="AD693" s="22"/>
      <c r="AE693" s="15"/>
      <c r="AF693" s="42" t="str">
        <f t="shared" si="10"/>
        <v>P007</v>
      </c>
    </row>
    <row r="694" spans="1:32" ht="43.2" hidden="1" x14ac:dyDescent="0.3">
      <c r="A694" s="12" t="e" cm="1">
        <f t="array" aca="1" ref="A694" ca="1">IF(STAT[[#This Row],[retranca]]="","",       RegxFunc(STAT[[#This Row],[retranca]],  "\w\d{4}\w*_\d")     )</f>
        <v>#NAME?</v>
      </c>
      <c r="B694" s="21" t="s">
        <v>1623</v>
      </c>
      <c r="C694" s="14" t="s">
        <v>72</v>
      </c>
      <c r="D694" s="15" t="s">
        <v>9</v>
      </c>
      <c r="E694" s="15" t="s">
        <v>471</v>
      </c>
      <c r="F694" s="14"/>
      <c r="G694" s="15">
        <v>1</v>
      </c>
      <c r="H694" s="14">
        <v>4</v>
      </c>
      <c r="I694" s="14">
        <v>4</v>
      </c>
      <c r="J694" s="17" t="s">
        <v>55</v>
      </c>
      <c r="K694" s="21"/>
      <c r="L694" s="14"/>
      <c r="M694" s="14"/>
      <c r="N694" s="14"/>
      <c r="O694" s="14"/>
      <c r="P694" s="25" t="s">
        <v>1624</v>
      </c>
      <c r="Q694" s="21"/>
      <c r="R694" s="22"/>
      <c r="S694" s="14">
        <v>108</v>
      </c>
      <c r="T694" s="27">
        <v>45929</v>
      </c>
      <c r="U694" s="27">
        <v>45929</v>
      </c>
      <c r="V694" s="27">
        <v>45930</v>
      </c>
      <c r="W694" s="27">
        <v>45931</v>
      </c>
      <c r="X694" s="27">
        <v>45932</v>
      </c>
      <c r="Y694" s="14" t="s">
        <v>375</v>
      </c>
      <c r="Z694" s="40" t="str">
        <f>IF(STAT[[#This Row],[sigla]]="","",VLOOKUP(STAT[[#This Row],[sigla]],CRÉDITOS_GERAIS[[sigla]:[credito]],2,))</f>
        <v>Lídia Farias</v>
      </c>
      <c r="AA694" s="14"/>
      <c r="AB694" s="14" t="str">
        <f>STAT[[#This Row],[ilustrador]]</f>
        <v>Lídia Farias</v>
      </c>
      <c r="AC694" s="14">
        <v>7</v>
      </c>
      <c r="AD694" s="22" t="s">
        <v>1625</v>
      </c>
      <c r="AE694" s="15" t="s">
        <v>87</v>
      </c>
      <c r="AF694" s="42" t="str">
        <f t="shared" si="10"/>
        <v>P007</v>
      </c>
    </row>
    <row r="695" spans="1:32" ht="43.2" hidden="1" x14ac:dyDescent="0.3">
      <c r="A695" s="12" t="e" cm="1">
        <f t="array" aca="1" ref="A695" ca="1">IF(STAT[[#This Row],[retranca]]="","",       RegxFunc(STAT[[#This Row],[retranca]],  "\w\d{4}\w*_\d")     )</f>
        <v>#NAME?</v>
      </c>
      <c r="B695" s="21" t="s">
        <v>1626</v>
      </c>
      <c r="C695" s="14" t="s">
        <v>72</v>
      </c>
      <c r="D695" s="15" t="s">
        <v>9</v>
      </c>
      <c r="E695" s="15" t="s">
        <v>471</v>
      </c>
      <c r="F695" s="14"/>
      <c r="G695" s="15">
        <v>1</v>
      </c>
      <c r="H695" s="14">
        <v>4</v>
      </c>
      <c r="I695" s="14">
        <v>4</v>
      </c>
      <c r="J695" s="17" t="s">
        <v>55</v>
      </c>
      <c r="K695" s="21"/>
      <c r="L695" s="14"/>
      <c r="M695" s="14"/>
      <c r="N695" s="14"/>
      <c r="O695" s="14"/>
      <c r="P695" s="25" t="s">
        <v>1627</v>
      </c>
      <c r="Q695" s="21"/>
      <c r="R695" s="22"/>
      <c r="S695" s="14">
        <v>108</v>
      </c>
      <c r="T695" s="27">
        <v>45929</v>
      </c>
      <c r="U695" s="27">
        <v>45929</v>
      </c>
      <c r="V695" s="27">
        <v>45930</v>
      </c>
      <c r="W695" s="27">
        <v>45931</v>
      </c>
      <c r="X695" s="27">
        <v>45932</v>
      </c>
      <c r="Y695" s="14" t="s">
        <v>375</v>
      </c>
      <c r="Z695" s="40" t="str">
        <f>IF(STAT[[#This Row],[sigla]]="","",VLOOKUP(STAT[[#This Row],[sigla]],CRÉDITOS_GERAIS[[sigla]:[credito]],2,))</f>
        <v>Lídia Farias</v>
      </c>
      <c r="AA695" s="14"/>
      <c r="AB695" s="14" t="str">
        <f>STAT[[#This Row],[ilustrador]]</f>
        <v>Lídia Farias</v>
      </c>
      <c r="AC695" s="14">
        <v>6</v>
      </c>
      <c r="AD695" s="22" t="s">
        <v>1625</v>
      </c>
      <c r="AE695" s="15" t="s">
        <v>87</v>
      </c>
      <c r="AF695" s="42" t="str">
        <f t="shared" si="10"/>
        <v>P007</v>
      </c>
    </row>
    <row r="696" spans="1:32" ht="28.8" hidden="1" x14ac:dyDescent="0.3">
      <c r="A696" s="12" t="e" cm="1">
        <f t="array" aca="1" ref="A696" ca="1">IF(STAT[[#This Row],[retranca]]="","",       RegxFunc(STAT[[#This Row],[retranca]],  "\w\d{4}\w*_\d")     )</f>
        <v>#NAME?</v>
      </c>
      <c r="B696" s="21" t="s">
        <v>1628</v>
      </c>
      <c r="C696" s="14" t="s">
        <v>72</v>
      </c>
      <c r="D696" s="15" t="s">
        <v>9</v>
      </c>
      <c r="E696" s="15" t="s">
        <v>471</v>
      </c>
      <c r="F696" s="14"/>
      <c r="G696" s="15">
        <v>1</v>
      </c>
      <c r="H696" s="14">
        <v>5</v>
      </c>
      <c r="I696" s="14">
        <v>5</v>
      </c>
      <c r="J696" s="17" t="s">
        <v>11</v>
      </c>
      <c r="K696" s="21"/>
      <c r="L696" s="14"/>
      <c r="M696" s="14"/>
      <c r="N696" s="14"/>
      <c r="O696" s="14"/>
      <c r="P696" s="25" t="s">
        <v>1629</v>
      </c>
      <c r="Q696" s="21"/>
      <c r="R696" s="22"/>
      <c r="S696" s="14"/>
      <c r="T696" s="27"/>
      <c r="U696" s="27"/>
      <c r="V696" s="27"/>
      <c r="W696" s="27"/>
      <c r="X696" s="27"/>
      <c r="Y696" s="14" t="s">
        <v>1572</v>
      </c>
      <c r="Z696" s="40" t="str">
        <f>IF(STAT[[#This Row],[sigla]]="","",VLOOKUP(STAT[[#This Row],[sigla]],CRÉDITOS_GERAIS[[sigla]:[credito]],2,))</f>
        <v>Sabrina Eras</v>
      </c>
      <c r="AA696" s="14"/>
      <c r="AB696" s="14" t="str">
        <f>STAT[[#This Row],[ilustrador]]</f>
        <v>Sabrina Eras</v>
      </c>
      <c r="AC696" s="14"/>
      <c r="AD696" s="22"/>
      <c r="AE696" s="15"/>
      <c r="AF696" s="42" t="str">
        <f t="shared" si="10"/>
        <v>P007</v>
      </c>
    </row>
    <row r="697" spans="1:32" ht="43.2" hidden="1" x14ac:dyDescent="0.3">
      <c r="A697" s="12" t="e" cm="1">
        <f t="array" aca="1" ref="A697" ca="1">IF(STAT[[#This Row],[retranca]]="","",       RegxFunc(STAT[[#This Row],[retranca]],  "\w\d{4}\w*_\d")     )</f>
        <v>#NAME?</v>
      </c>
      <c r="B697" s="21" t="s">
        <v>1630</v>
      </c>
      <c r="C697" s="14" t="s">
        <v>72</v>
      </c>
      <c r="D697" s="15" t="s">
        <v>9</v>
      </c>
      <c r="E697" s="15" t="s">
        <v>471</v>
      </c>
      <c r="F697" s="14"/>
      <c r="G697" s="15">
        <v>1</v>
      </c>
      <c r="H697" s="14">
        <v>5</v>
      </c>
      <c r="I697" s="14">
        <v>5</v>
      </c>
      <c r="J697" s="17" t="s">
        <v>55</v>
      </c>
      <c r="K697" s="21"/>
      <c r="L697" s="14"/>
      <c r="M697" s="14"/>
      <c r="N697" s="14"/>
      <c r="O697" s="14"/>
      <c r="P697" s="25" t="s">
        <v>1631</v>
      </c>
      <c r="Q697" s="21"/>
      <c r="R697" s="22"/>
      <c r="S697" s="14">
        <v>109</v>
      </c>
      <c r="T697" s="27">
        <v>45930</v>
      </c>
      <c r="U697" s="27">
        <v>45930</v>
      </c>
      <c r="V697" s="27">
        <v>45931</v>
      </c>
      <c r="W697" s="27">
        <v>45932</v>
      </c>
      <c r="X697" s="27">
        <v>45933</v>
      </c>
      <c r="Y697" s="14" t="s">
        <v>84</v>
      </c>
      <c r="Z697" s="40" t="str">
        <f>IF(STAT[[#This Row],[sigla]]="","",VLOOKUP(STAT[[#This Row],[sigla]],CRÉDITOS_GERAIS[[sigla]:[credito]],2,))</f>
        <v>Gabriel Brum</v>
      </c>
      <c r="AA697" s="14"/>
      <c r="AB697" s="14" t="str">
        <f>STAT[[#This Row],[ilustrador]]</f>
        <v>Gabriel Brum</v>
      </c>
      <c r="AC697" s="14">
        <v>7</v>
      </c>
      <c r="AD697" s="22" t="s">
        <v>1603</v>
      </c>
      <c r="AE697" s="15" t="s">
        <v>87</v>
      </c>
      <c r="AF697" s="42" t="str">
        <f t="shared" si="10"/>
        <v>P007</v>
      </c>
    </row>
    <row r="698" spans="1:32" ht="57.6" hidden="1" x14ac:dyDescent="0.3">
      <c r="A698" s="12" t="e" cm="1">
        <f t="array" aca="1" ref="A698" ca="1">IF(STAT[[#This Row],[retranca]]="","",       RegxFunc(STAT[[#This Row],[retranca]],  "\w\d{4}\w*_\d")     )</f>
        <v>#NAME?</v>
      </c>
      <c r="B698" s="21" t="s">
        <v>1632</v>
      </c>
      <c r="C698" s="14" t="s">
        <v>72</v>
      </c>
      <c r="D698" s="15" t="s">
        <v>9</v>
      </c>
      <c r="E698" s="15" t="s">
        <v>471</v>
      </c>
      <c r="F698" s="14"/>
      <c r="G698" s="15">
        <v>1</v>
      </c>
      <c r="H698" s="14">
        <v>5</v>
      </c>
      <c r="I698" s="14">
        <v>5</v>
      </c>
      <c r="J698" s="17" t="s">
        <v>55</v>
      </c>
      <c r="K698" s="21"/>
      <c r="L698" s="14"/>
      <c r="M698" s="14"/>
      <c r="N698" s="14"/>
      <c r="O698" s="14"/>
      <c r="P698" s="25" t="s">
        <v>1633</v>
      </c>
      <c r="Q698" s="21"/>
      <c r="R698" s="22"/>
      <c r="S698" s="14">
        <v>109</v>
      </c>
      <c r="T698" s="27">
        <v>45930</v>
      </c>
      <c r="U698" s="27">
        <v>45930</v>
      </c>
      <c r="V698" s="27">
        <v>45931</v>
      </c>
      <c r="W698" s="27">
        <v>45932</v>
      </c>
      <c r="X698" s="27">
        <v>45933</v>
      </c>
      <c r="Y698" s="14" t="s">
        <v>84</v>
      </c>
      <c r="Z698" s="40" t="str">
        <f>IF(STAT[[#This Row],[sigla]]="","",VLOOKUP(STAT[[#This Row],[sigla]],CRÉDITOS_GERAIS[[sigla]:[credito]],2,))</f>
        <v>Gabriel Brum</v>
      </c>
      <c r="AA698" s="14"/>
      <c r="AB698" s="14" t="str">
        <f>STAT[[#This Row],[ilustrador]]</f>
        <v>Gabriel Brum</v>
      </c>
      <c r="AC698" s="14">
        <v>5</v>
      </c>
      <c r="AD698" s="22" t="s">
        <v>1603</v>
      </c>
      <c r="AE698" s="15" t="s">
        <v>87</v>
      </c>
      <c r="AF698" s="42" t="str">
        <f t="shared" si="10"/>
        <v>P007</v>
      </c>
    </row>
    <row r="699" spans="1:32" ht="28.8" hidden="1" x14ac:dyDescent="0.3">
      <c r="A699" s="12" t="e" cm="1">
        <f t="array" aca="1" ref="A699" ca="1">IF(STAT[[#This Row],[retranca]]="","",       RegxFunc(STAT[[#This Row],[retranca]],  "\w\d{4}\w*_\d")     )</f>
        <v>#NAME?</v>
      </c>
      <c r="B699" s="21" t="s">
        <v>1634</v>
      </c>
      <c r="C699" s="14" t="s">
        <v>72</v>
      </c>
      <c r="D699" s="15" t="s">
        <v>9</v>
      </c>
      <c r="E699" s="15" t="s">
        <v>471</v>
      </c>
      <c r="F699" s="14"/>
      <c r="G699" s="15">
        <v>1</v>
      </c>
      <c r="H699" s="14">
        <v>5</v>
      </c>
      <c r="I699" s="14">
        <v>5</v>
      </c>
      <c r="J699" s="17" t="s">
        <v>11</v>
      </c>
      <c r="K699" s="21"/>
      <c r="L699" s="14"/>
      <c r="M699" s="14"/>
      <c r="N699" s="14"/>
      <c r="O699" s="14"/>
      <c r="P699" s="25" t="s">
        <v>1635</v>
      </c>
      <c r="Q699" s="21"/>
      <c r="R699" s="22"/>
      <c r="S699" s="14"/>
      <c r="T699" s="27"/>
      <c r="U699" s="27"/>
      <c r="V699" s="27"/>
      <c r="W699" s="27"/>
      <c r="X699" s="27"/>
      <c r="Y699" s="14" t="s">
        <v>1572</v>
      </c>
      <c r="Z699" s="40" t="str">
        <f>IF(STAT[[#This Row],[sigla]]="","",VLOOKUP(STAT[[#This Row],[sigla]],CRÉDITOS_GERAIS[[sigla]:[credito]],2,))</f>
        <v>Sabrina Eras</v>
      </c>
      <c r="AA699" s="14"/>
      <c r="AB699" s="14" t="str">
        <f>STAT[[#This Row],[ilustrador]]</f>
        <v>Sabrina Eras</v>
      </c>
      <c r="AC699" s="14"/>
      <c r="AD699" s="22"/>
      <c r="AE699" s="15"/>
      <c r="AF699" s="42" t="str">
        <f t="shared" si="10"/>
        <v>P007</v>
      </c>
    </row>
    <row r="700" spans="1:32" ht="144" hidden="1" x14ac:dyDescent="0.3">
      <c r="A700" s="12" t="e" cm="1">
        <f t="array" aca="1" ref="A700" ca="1">IF(STAT[[#This Row],[retranca]]="","",       RegxFunc(STAT[[#This Row],[retranca]],  "\w\d{4}\w*_\d")     )</f>
        <v>#NAME?</v>
      </c>
      <c r="B700" s="21" t="s">
        <v>1636</v>
      </c>
      <c r="C700" s="14" t="s">
        <v>72</v>
      </c>
      <c r="D700" s="15" t="s">
        <v>9</v>
      </c>
      <c r="E700" s="15" t="s">
        <v>471</v>
      </c>
      <c r="F700" s="14"/>
      <c r="G700" s="15">
        <v>1</v>
      </c>
      <c r="H700" s="14">
        <v>5</v>
      </c>
      <c r="I700" s="14">
        <v>5</v>
      </c>
      <c r="J700" s="17" t="s">
        <v>55</v>
      </c>
      <c r="K700" s="21"/>
      <c r="L700" s="14"/>
      <c r="M700" s="14"/>
      <c r="N700" s="14"/>
      <c r="O700" s="14"/>
      <c r="P700" s="25" t="s">
        <v>1637</v>
      </c>
      <c r="Q700" s="21"/>
      <c r="R700" s="22"/>
      <c r="S700" s="14">
        <v>109</v>
      </c>
      <c r="T700" s="27">
        <v>45930</v>
      </c>
      <c r="U700" s="27">
        <v>45930</v>
      </c>
      <c r="V700" s="27">
        <v>45931</v>
      </c>
      <c r="W700" s="27">
        <v>45932</v>
      </c>
      <c r="X700" s="27">
        <v>45933</v>
      </c>
      <c r="Y700" s="14" t="s">
        <v>84</v>
      </c>
      <c r="Z700" s="40" t="str">
        <f>IF(STAT[[#This Row],[sigla]]="","",VLOOKUP(STAT[[#This Row],[sigla]],CRÉDITOS_GERAIS[[sigla]:[credito]],2,))</f>
        <v>Gabriel Brum</v>
      </c>
      <c r="AA700" s="14"/>
      <c r="AB700" s="14" t="str">
        <f>STAT[[#This Row],[ilustrador]]</f>
        <v>Gabriel Brum</v>
      </c>
      <c r="AC700" s="14">
        <v>3</v>
      </c>
      <c r="AD700" s="22" t="s">
        <v>1603</v>
      </c>
      <c r="AE700" s="15" t="s">
        <v>87</v>
      </c>
      <c r="AF700" s="42" t="str">
        <f t="shared" si="10"/>
        <v>P007</v>
      </c>
    </row>
    <row r="701" spans="1:32" hidden="1" x14ac:dyDescent="0.3">
      <c r="A701" s="12" t="e" cm="1">
        <f t="array" aca="1" ref="A701" ca="1">IF(STAT[[#This Row],[retranca]]="","",       RegxFunc(STAT[[#This Row],[retranca]],  "\w\d{4}\w*_\d")     )</f>
        <v>#NAME?</v>
      </c>
      <c r="B701" s="21" t="s">
        <v>1638</v>
      </c>
      <c r="C701" s="14" t="s">
        <v>72</v>
      </c>
      <c r="D701" s="15" t="s">
        <v>9</v>
      </c>
      <c r="E701" s="15" t="s">
        <v>471</v>
      </c>
      <c r="F701" s="14"/>
      <c r="G701" s="15">
        <v>1</v>
      </c>
      <c r="H701" s="14">
        <v>6</v>
      </c>
      <c r="I701" s="14">
        <v>6</v>
      </c>
      <c r="J701" s="17" t="s">
        <v>55</v>
      </c>
      <c r="K701" s="21"/>
      <c r="L701" s="14"/>
      <c r="M701" s="14"/>
      <c r="N701" s="14"/>
      <c r="O701" s="14"/>
      <c r="P701" s="25" t="s">
        <v>1639</v>
      </c>
      <c r="Q701" s="21"/>
      <c r="R701" s="22"/>
      <c r="S701" s="14">
        <v>110</v>
      </c>
      <c r="T701" s="27">
        <v>45930</v>
      </c>
      <c r="U701" s="27">
        <v>45931</v>
      </c>
      <c r="V701" s="27">
        <v>45932</v>
      </c>
      <c r="W701" s="27">
        <v>45932</v>
      </c>
      <c r="X701" s="27">
        <v>45936</v>
      </c>
      <c r="Y701" s="14" t="s">
        <v>119</v>
      </c>
      <c r="Z701" s="40" t="str">
        <f>IF(STAT[[#This Row],[sigla]]="","",VLOOKUP(STAT[[#This Row],[sigla]],CRÉDITOS_GERAIS[[sigla]:[credito]],2,))</f>
        <v>Bianca Tavares</v>
      </c>
      <c r="AA701" s="14"/>
      <c r="AB701" s="14" t="str">
        <f>STAT[[#This Row],[ilustrador]]</f>
        <v>Bianca Tavares</v>
      </c>
      <c r="AC701" s="14">
        <v>5</v>
      </c>
      <c r="AD701" s="22" t="s">
        <v>1640</v>
      </c>
      <c r="AE701" s="15" t="s">
        <v>87</v>
      </c>
      <c r="AF701" s="42" t="str">
        <f t="shared" si="10"/>
        <v>P007</v>
      </c>
    </row>
    <row r="702" spans="1:32" ht="43.2" hidden="1" x14ac:dyDescent="0.3">
      <c r="A702" s="12" t="e" cm="1">
        <f t="array" aca="1" ref="A702" ca="1">IF(STAT[[#This Row],[retranca]]="","",       RegxFunc(STAT[[#This Row],[retranca]],  "\w\d{4}\w*_\d")     )</f>
        <v>#NAME?</v>
      </c>
      <c r="B702" s="21" t="s">
        <v>1641</v>
      </c>
      <c r="C702" s="14" t="s">
        <v>72</v>
      </c>
      <c r="D702" s="15" t="s">
        <v>9</v>
      </c>
      <c r="E702" s="15" t="s">
        <v>471</v>
      </c>
      <c r="F702" s="14"/>
      <c r="G702" s="15">
        <v>1</v>
      </c>
      <c r="H702" s="14">
        <v>6</v>
      </c>
      <c r="I702" s="14">
        <v>6</v>
      </c>
      <c r="J702" s="17" t="s">
        <v>55</v>
      </c>
      <c r="K702" s="21"/>
      <c r="L702" s="14"/>
      <c r="M702" s="14"/>
      <c r="N702" s="14"/>
      <c r="O702" s="14"/>
      <c r="P702" s="25" t="s">
        <v>1642</v>
      </c>
      <c r="Q702" s="21"/>
      <c r="R702" s="22"/>
      <c r="S702" s="14">
        <v>110</v>
      </c>
      <c r="T702" s="27">
        <v>45930</v>
      </c>
      <c r="U702" s="27">
        <v>45930</v>
      </c>
      <c r="V702" s="27"/>
      <c r="W702" s="27"/>
      <c r="X702" s="27">
        <v>45931</v>
      </c>
      <c r="Y702" s="14" t="s">
        <v>43</v>
      </c>
      <c r="Z702" s="40" t="e">
        <f>IF(STAT[[#This Row],[sigla]]="","",VLOOKUP(STAT[[#This Row],[sigla]],CRÉDITOS_GERAIS[[sigla]:[credito]],2,))</f>
        <v>#N/A</v>
      </c>
      <c r="AA702" s="14" t="s">
        <v>90</v>
      </c>
      <c r="AB702" s="14" t="e">
        <f>STAT[[#This Row],[ilustrador]]</f>
        <v>#N/A</v>
      </c>
      <c r="AC702" s="14">
        <v>14</v>
      </c>
      <c r="AD702" s="22" t="s">
        <v>978</v>
      </c>
      <c r="AE702" s="15" t="s">
        <v>46</v>
      </c>
      <c r="AF702" s="42" t="str">
        <f t="shared" si="10"/>
        <v>P007</v>
      </c>
    </row>
    <row r="703" spans="1:32" ht="57.6" hidden="1" x14ac:dyDescent="0.3">
      <c r="A703" s="12" t="e" cm="1">
        <f t="array" aca="1" ref="A703" ca="1">IF(STAT[[#This Row],[retranca]]="","",       RegxFunc(STAT[[#This Row],[retranca]],  "\w\d{4}\w*_\d")     )</f>
        <v>#NAME?</v>
      </c>
      <c r="B703" s="21" t="s">
        <v>1643</v>
      </c>
      <c r="C703" s="14" t="s">
        <v>72</v>
      </c>
      <c r="D703" s="15" t="s">
        <v>9</v>
      </c>
      <c r="E703" s="15" t="s">
        <v>471</v>
      </c>
      <c r="F703" s="14"/>
      <c r="G703" s="15">
        <v>1</v>
      </c>
      <c r="H703" s="14">
        <v>6</v>
      </c>
      <c r="I703" s="14">
        <v>6</v>
      </c>
      <c r="J703" s="17" t="s">
        <v>55</v>
      </c>
      <c r="K703" s="21"/>
      <c r="L703" s="14"/>
      <c r="M703" s="14"/>
      <c r="N703" s="14"/>
      <c r="O703" s="14"/>
      <c r="P703" s="25" t="s">
        <v>1644</v>
      </c>
      <c r="Q703" s="21"/>
      <c r="R703" s="22"/>
      <c r="S703" s="14">
        <v>110</v>
      </c>
      <c r="T703" s="27">
        <v>45930</v>
      </c>
      <c r="U703" s="27">
        <v>45931</v>
      </c>
      <c r="V703" s="27">
        <v>45932</v>
      </c>
      <c r="W703" s="27">
        <v>45932</v>
      </c>
      <c r="X703" s="27">
        <v>45936</v>
      </c>
      <c r="Y703" s="14" t="s">
        <v>119</v>
      </c>
      <c r="Z703" s="40" t="str">
        <f>IF(STAT[[#This Row],[sigla]]="","",VLOOKUP(STAT[[#This Row],[sigla]],CRÉDITOS_GERAIS[[sigla]:[credito]],2,))</f>
        <v>Bianca Tavares</v>
      </c>
      <c r="AA703" s="14"/>
      <c r="AB703" s="14" t="str">
        <f>STAT[[#This Row],[ilustrador]]</f>
        <v>Bianca Tavares</v>
      </c>
      <c r="AC703" s="14">
        <v>6</v>
      </c>
      <c r="AD703" s="22" t="s">
        <v>1640</v>
      </c>
      <c r="AE703" s="15" t="s">
        <v>87</v>
      </c>
      <c r="AF703" s="42" t="str">
        <f t="shared" si="10"/>
        <v>P007</v>
      </c>
    </row>
    <row r="704" spans="1:32" ht="43.2" hidden="1" x14ac:dyDescent="0.3">
      <c r="A704" s="12" t="e" cm="1">
        <f t="array" aca="1" ref="A704" ca="1">IF(STAT[[#This Row],[retranca]]="","",       RegxFunc(STAT[[#This Row],[retranca]],  "\w\d{4}\w*_\d")     )</f>
        <v>#NAME?</v>
      </c>
      <c r="B704" s="21" t="s">
        <v>1645</v>
      </c>
      <c r="C704" s="14" t="s">
        <v>72</v>
      </c>
      <c r="D704" s="15" t="s">
        <v>9</v>
      </c>
      <c r="E704" s="15" t="s">
        <v>1646</v>
      </c>
      <c r="F704" s="14"/>
      <c r="G704" s="15">
        <v>2</v>
      </c>
      <c r="H704" s="14">
        <v>0</v>
      </c>
      <c r="I704" s="14" t="s">
        <v>1647</v>
      </c>
      <c r="J704" s="17" t="s">
        <v>11</v>
      </c>
      <c r="K704" s="21"/>
      <c r="L704" s="14"/>
      <c r="M704" s="14"/>
      <c r="N704" s="14"/>
      <c r="O704" s="14"/>
      <c r="P704" s="25" t="s">
        <v>1648</v>
      </c>
      <c r="Q704" s="21"/>
      <c r="R704" s="22"/>
      <c r="S704" s="14"/>
      <c r="T704" s="27"/>
      <c r="U704" s="27"/>
      <c r="V704" s="27"/>
      <c r="W704" s="27"/>
      <c r="X704" s="27"/>
      <c r="Y704" s="14" t="s">
        <v>109</v>
      </c>
      <c r="Z704" s="40" t="str">
        <f>IF(STAT[[#This Row],[sigla]]="","",VLOOKUP(STAT[[#This Row],[sigla]],CRÉDITOS_GERAIS[[sigla]:[credito]],2,))</f>
        <v>Clarice Baracho</v>
      </c>
      <c r="AA704" s="14"/>
      <c r="AB704" s="14" t="str">
        <f>STAT[[#This Row],[ilustrador]]</f>
        <v>Clarice Baracho</v>
      </c>
      <c r="AC704" s="14"/>
      <c r="AD704" s="22"/>
      <c r="AE704" s="15"/>
      <c r="AF704" s="42" t="str">
        <f t="shared" si="10"/>
        <v>P007</v>
      </c>
    </row>
    <row r="705" spans="1:32" ht="28.8" hidden="1" x14ac:dyDescent="0.3">
      <c r="A705" s="12" t="e" cm="1">
        <f t="array" aca="1" ref="A705" ca="1">IF(STAT[[#This Row],[retranca]]="","",       RegxFunc(STAT[[#This Row],[retranca]],  "\w\d{4}\w*_\d")     )</f>
        <v>#NAME?</v>
      </c>
      <c r="B705" s="21" t="s">
        <v>1649</v>
      </c>
      <c r="C705" s="14" t="s">
        <v>72</v>
      </c>
      <c r="D705" s="15" t="s">
        <v>9</v>
      </c>
      <c r="E705" s="15" t="s">
        <v>1646</v>
      </c>
      <c r="F705" s="14"/>
      <c r="G705" s="15">
        <v>3</v>
      </c>
      <c r="H705" s="14">
        <v>0</v>
      </c>
      <c r="I705" s="14" t="s">
        <v>1647</v>
      </c>
      <c r="J705" s="17" t="s">
        <v>11</v>
      </c>
      <c r="K705" s="21"/>
      <c r="L705" s="14"/>
      <c r="M705" s="14"/>
      <c r="N705" s="14"/>
      <c r="O705" s="14"/>
      <c r="P705" s="25" t="s">
        <v>1650</v>
      </c>
      <c r="Q705" s="21"/>
      <c r="R705" s="22"/>
      <c r="S705" s="14"/>
      <c r="T705" s="27"/>
      <c r="U705" s="27"/>
      <c r="V705" s="27"/>
      <c r="W705" s="27"/>
      <c r="X705" s="27"/>
      <c r="Y705" s="14" t="s">
        <v>1651</v>
      </c>
      <c r="Z705" s="40" t="str">
        <f>IF(STAT[[#This Row],[sigla]]="","",VLOOKUP(STAT[[#This Row],[sigla]],CRÉDITOS_GERAIS[[sigla]:[credito]],2,))</f>
        <v>Guilherme Rodrigues</v>
      </c>
      <c r="AA705" s="14"/>
      <c r="AB705" s="14" t="str">
        <f>STAT[[#This Row],[ilustrador]]</f>
        <v>Guilherme Rodrigues</v>
      </c>
      <c r="AC705" s="14"/>
      <c r="AD705" s="22"/>
      <c r="AE705" s="15"/>
      <c r="AF705" s="42" t="str">
        <f t="shared" si="10"/>
        <v>P007</v>
      </c>
    </row>
    <row r="706" spans="1:32" ht="28.8" hidden="1" x14ac:dyDescent="0.3">
      <c r="A706" s="12" t="e" cm="1">
        <f t="array" aca="1" ref="A706" ca="1">IF(STAT[[#This Row],[retranca]]="","",       RegxFunc(STAT[[#This Row],[retranca]],  "\w\d{4}\w*_\d")     )</f>
        <v>#NAME?</v>
      </c>
      <c r="B706" s="21" t="s">
        <v>1652</v>
      </c>
      <c r="C706" s="14" t="s">
        <v>72</v>
      </c>
      <c r="D706" s="15" t="s">
        <v>9</v>
      </c>
      <c r="E706" s="15" t="s">
        <v>1646</v>
      </c>
      <c r="F706" s="14"/>
      <c r="G706" s="15">
        <v>4</v>
      </c>
      <c r="H706" s="14">
        <v>0</v>
      </c>
      <c r="I706" s="14" t="s">
        <v>1647</v>
      </c>
      <c r="J706" s="17" t="s">
        <v>11</v>
      </c>
      <c r="K706" s="21"/>
      <c r="L706" s="14"/>
      <c r="M706" s="14"/>
      <c r="N706" s="14"/>
      <c r="O706" s="14"/>
      <c r="P706" s="25" t="s">
        <v>1653</v>
      </c>
      <c r="Q706" s="21"/>
      <c r="R706" s="22"/>
      <c r="S706" s="14"/>
      <c r="T706" s="27"/>
      <c r="U706" s="27"/>
      <c r="V706" s="27"/>
      <c r="W706" s="27"/>
      <c r="X706" s="27"/>
      <c r="Y706" s="14" t="s">
        <v>902</v>
      </c>
      <c r="Z706" s="40" t="str">
        <f>IF(STAT[[#This Row],[sigla]]="","",VLOOKUP(STAT[[#This Row],[sigla]],CRÉDITOS_GERAIS[[sigla]:[credito]],2,))</f>
        <v>Waldomiro Neto</v>
      </c>
      <c r="AA706" s="14"/>
      <c r="AB706" s="14" t="str">
        <f>STAT[[#This Row],[ilustrador]]</f>
        <v>Waldomiro Neto</v>
      </c>
      <c r="AC706" s="14"/>
      <c r="AD706" s="22"/>
      <c r="AE706" s="15"/>
      <c r="AF706" s="42" t="str">
        <f t="shared" ref="AF706:AF735" si="11">"P007"</f>
        <v>P007</v>
      </c>
    </row>
    <row r="707" spans="1:32" ht="28.8" hidden="1" x14ac:dyDescent="0.3">
      <c r="A707" s="12" t="e" cm="1">
        <f t="array" aca="1" ref="A707" ca="1">IF(STAT[[#This Row],[retranca]]="","",       RegxFunc(STAT[[#This Row],[retranca]],  "\w\d{4}\w*_\d")     )</f>
        <v>#NAME?</v>
      </c>
      <c r="B707" s="21" t="s">
        <v>1654</v>
      </c>
      <c r="C707" s="14" t="s">
        <v>72</v>
      </c>
      <c r="D707" s="15" t="s">
        <v>9</v>
      </c>
      <c r="E707" s="15" t="s">
        <v>1646</v>
      </c>
      <c r="F707" s="14"/>
      <c r="G707" s="15">
        <v>5</v>
      </c>
      <c r="H707" s="14">
        <v>0</v>
      </c>
      <c r="I707" s="14" t="s">
        <v>1647</v>
      </c>
      <c r="J707" s="17" t="s">
        <v>11</v>
      </c>
      <c r="K707" s="21"/>
      <c r="L707" s="14"/>
      <c r="M707" s="14"/>
      <c r="N707" s="14"/>
      <c r="O707" s="14"/>
      <c r="P707" s="25" t="s">
        <v>1655</v>
      </c>
      <c r="Q707" s="21"/>
      <c r="R707" s="22"/>
      <c r="S707" s="14"/>
      <c r="T707" s="27"/>
      <c r="U707" s="27"/>
      <c r="V707" s="27"/>
      <c r="W707" s="27"/>
      <c r="X707" s="27"/>
      <c r="Y707" s="14" t="s">
        <v>74</v>
      </c>
      <c r="Z707" s="40" t="str">
        <f>IF(STAT[[#This Row],[sigla]]="","",VLOOKUP(STAT[[#This Row],[sigla]],CRÉDITOS_GERAIS[[sigla]:[credito]],2,))</f>
        <v>Jorge Zaiba</v>
      </c>
      <c r="AA707" s="14"/>
      <c r="AB707" s="14" t="str">
        <f>STAT[[#This Row],[ilustrador]]</f>
        <v>Jorge Zaiba</v>
      </c>
      <c r="AC707" s="14"/>
      <c r="AD707" s="22"/>
      <c r="AE707" s="15"/>
      <c r="AF707" s="42" t="str">
        <f t="shared" si="11"/>
        <v>P007</v>
      </c>
    </row>
    <row r="708" spans="1:32" ht="28.8" hidden="1" x14ac:dyDescent="0.3">
      <c r="A708" s="12" t="e" cm="1">
        <f t="array" aca="1" ref="A708" ca="1">IF(STAT[[#This Row],[retranca]]="","",       RegxFunc(STAT[[#This Row],[retranca]],  "\w\d{4}\w*_\d")     )</f>
        <v>#NAME?</v>
      </c>
      <c r="B708" s="21" t="s">
        <v>1656</v>
      </c>
      <c r="C708" s="14" t="s">
        <v>72</v>
      </c>
      <c r="D708" s="15" t="s">
        <v>9</v>
      </c>
      <c r="E708" s="15" t="s">
        <v>1646</v>
      </c>
      <c r="F708" s="14"/>
      <c r="G708" s="15">
        <v>6</v>
      </c>
      <c r="H708" s="14">
        <v>0</v>
      </c>
      <c r="I708" s="14" t="s">
        <v>1647</v>
      </c>
      <c r="J708" s="17" t="s">
        <v>11</v>
      </c>
      <c r="K708" s="21"/>
      <c r="L708" s="14"/>
      <c r="M708" s="14"/>
      <c r="N708" s="14"/>
      <c r="O708" s="14"/>
      <c r="P708" s="25" t="s">
        <v>1657</v>
      </c>
      <c r="Q708" s="21"/>
      <c r="R708" s="22"/>
      <c r="S708" s="14"/>
      <c r="T708" s="27"/>
      <c r="U708" s="27"/>
      <c r="V708" s="27"/>
      <c r="W708" s="27"/>
      <c r="X708" s="27"/>
      <c r="Y708" s="14" t="s">
        <v>74</v>
      </c>
      <c r="Z708" s="40" t="str">
        <f>IF(STAT[[#This Row],[sigla]]="","",VLOOKUP(STAT[[#This Row],[sigla]],CRÉDITOS_GERAIS[[sigla]:[credito]],2,))</f>
        <v>Jorge Zaiba</v>
      </c>
      <c r="AA708" s="14"/>
      <c r="AB708" s="14" t="str">
        <f>STAT[[#This Row],[ilustrador]]</f>
        <v>Jorge Zaiba</v>
      </c>
      <c r="AC708" s="14"/>
      <c r="AD708" s="22"/>
      <c r="AE708" s="15"/>
      <c r="AF708" s="42" t="str">
        <f t="shared" si="11"/>
        <v>P007</v>
      </c>
    </row>
    <row r="709" spans="1:32" ht="72" hidden="1" x14ac:dyDescent="0.3">
      <c r="A709" s="12" t="e" cm="1">
        <f t="array" aca="1" ref="A709" ca="1">IF(STAT[[#This Row],[retranca]]="","",       RegxFunc(STAT[[#This Row],[retranca]],  "\w\d{4}\w*_\d")     )</f>
        <v>#NAME?</v>
      </c>
      <c r="B709" s="21" t="s">
        <v>1658</v>
      </c>
      <c r="C709" s="14" t="s">
        <v>72</v>
      </c>
      <c r="D709" s="15" t="s">
        <v>9</v>
      </c>
      <c r="E709" s="15" t="s">
        <v>471</v>
      </c>
      <c r="F709" s="14"/>
      <c r="G709" s="15">
        <v>1</v>
      </c>
      <c r="H709" s="14">
        <v>7</v>
      </c>
      <c r="I709" s="14">
        <v>7</v>
      </c>
      <c r="J709" s="17" t="s">
        <v>55</v>
      </c>
      <c r="K709" s="21"/>
      <c r="L709" s="14"/>
      <c r="M709" s="14"/>
      <c r="N709" s="14"/>
      <c r="O709" s="14"/>
      <c r="P709" s="25" t="s">
        <v>1659</v>
      </c>
      <c r="Q709" s="21"/>
      <c r="R709" s="22"/>
      <c r="S709" s="14">
        <v>111</v>
      </c>
      <c r="T709" s="27">
        <v>45931</v>
      </c>
      <c r="U709" s="27">
        <v>45932</v>
      </c>
      <c r="V709" s="27">
        <v>45936</v>
      </c>
      <c r="W709" s="27">
        <v>45937</v>
      </c>
      <c r="X709" s="27">
        <v>45937</v>
      </c>
      <c r="Y709" s="14" t="s">
        <v>583</v>
      </c>
      <c r="Z709" s="40" t="str">
        <f>IF(STAT[[#This Row],[sigla]]="","",VLOOKUP(STAT[[#This Row],[sigla]],CRÉDITOS_GERAIS[[sigla]:[credito]],2,))</f>
        <v>Karina Oliveira</v>
      </c>
      <c r="AA709" s="14"/>
      <c r="AB709" s="14" t="str">
        <f>STAT[[#This Row],[ilustrador]]</f>
        <v>Karina Oliveira</v>
      </c>
      <c r="AC709" s="14">
        <v>6</v>
      </c>
      <c r="AD709" s="22" t="s">
        <v>1660</v>
      </c>
      <c r="AE709" s="15" t="s">
        <v>87</v>
      </c>
      <c r="AF709" s="42" t="str">
        <f t="shared" si="11"/>
        <v>P007</v>
      </c>
    </row>
    <row r="710" spans="1:32" ht="72" hidden="1" x14ac:dyDescent="0.3">
      <c r="A710" s="12" t="e" cm="1">
        <f t="array" aca="1" ref="A710" ca="1">IF(STAT[[#This Row],[retranca]]="","",       RegxFunc(STAT[[#This Row],[retranca]],  "\w\d{4}\w*_\d")     )</f>
        <v>#NAME?</v>
      </c>
      <c r="B710" s="21" t="s">
        <v>1661</v>
      </c>
      <c r="C710" s="14" t="s">
        <v>72</v>
      </c>
      <c r="D710" s="15" t="s">
        <v>9</v>
      </c>
      <c r="E710" s="15" t="s">
        <v>471</v>
      </c>
      <c r="F710" s="14"/>
      <c r="G710" s="15">
        <v>1</v>
      </c>
      <c r="H710" s="14">
        <v>7</v>
      </c>
      <c r="I710" s="14">
        <v>7</v>
      </c>
      <c r="J710" s="17" t="s">
        <v>55</v>
      </c>
      <c r="K710" s="21"/>
      <c r="L710" s="14"/>
      <c r="M710" s="14"/>
      <c r="N710" s="14"/>
      <c r="O710" s="14"/>
      <c r="P710" s="25" t="s">
        <v>1662</v>
      </c>
      <c r="Q710" s="21"/>
      <c r="R710" s="22"/>
      <c r="S710" s="14">
        <v>111</v>
      </c>
      <c r="T710" s="27">
        <v>45931</v>
      </c>
      <c r="U710" s="27">
        <v>45932</v>
      </c>
      <c r="V710" s="27">
        <v>45936</v>
      </c>
      <c r="W710" s="27">
        <v>45937</v>
      </c>
      <c r="X710" s="27">
        <v>45938</v>
      </c>
      <c r="Y710" s="14" t="s">
        <v>583</v>
      </c>
      <c r="Z710" s="40" t="str">
        <f>IF(STAT[[#This Row],[sigla]]="","",VLOOKUP(STAT[[#This Row],[sigla]],CRÉDITOS_GERAIS[[sigla]:[credito]],2,))</f>
        <v>Karina Oliveira</v>
      </c>
      <c r="AA710" s="14"/>
      <c r="AB710" s="14" t="str">
        <f>STAT[[#This Row],[ilustrador]]</f>
        <v>Karina Oliveira</v>
      </c>
      <c r="AC710" s="14">
        <v>6</v>
      </c>
      <c r="AD710" s="22" t="s">
        <v>1660</v>
      </c>
      <c r="AE710" s="15" t="s">
        <v>87</v>
      </c>
      <c r="AF710" s="42" t="str">
        <f t="shared" si="11"/>
        <v>P007</v>
      </c>
    </row>
    <row r="711" spans="1:32" ht="57.6" hidden="1" x14ac:dyDescent="0.3">
      <c r="A711" s="12" t="e" cm="1">
        <f t="array" aca="1" ref="A711" ca="1">IF(STAT[[#This Row],[retranca]]="","",       RegxFunc(STAT[[#This Row],[retranca]],  "\w\d{4}\w*_\d")     )</f>
        <v>#NAME?</v>
      </c>
      <c r="B711" s="21" t="s">
        <v>1663</v>
      </c>
      <c r="C711" s="14" t="s">
        <v>72</v>
      </c>
      <c r="D711" s="15" t="s">
        <v>9</v>
      </c>
      <c r="E711" s="15" t="s">
        <v>471</v>
      </c>
      <c r="F711" s="14"/>
      <c r="G711" s="15">
        <v>1</v>
      </c>
      <c r="H711" s="14">
        <v>7</v>
      </c>
      <c r="I711" s="14">
        <v>7</v>
      </c>
      <c r="J711" s="17" t="s">
        <v>55</v>
      </c>
      <c r="K711" s="21"/>
      <c r="L711" s="14"/>
      <c r="M711" s="14"/>
      <c r="N711" s="14"/>
      <c r="O711" s="14"/>
      <c r="P711" s="25" t="s">
        <v>1664</v>
      </c>
      <c r="Q711" s="21"/>
      <c r="R711" s="22"/>
      <c r="S711" s="14">
        <v>111</v>
      </c>
      <c r="T711" s="27">
        <v>45931</v>
      </c>
      <c r="U711" s="27">
        <v>45932</v>
      </c>
      <c r="V711" s="27">
        <v>45936</v>
      </c>
      <c r="W711" s="27">
        <v>45937</v>
      </c>
      <c r="X711" s="27">
        <v>45937</v>
      </c>
      <c r="Y711" s="14" t="s">
        <v>583</v>
      </c>
      <c r="Z711" s="40" t="str">
        <f>IF(STAT[[#This Row],[sigla]]="","",VLOOKUP(STAT[[#This Row],[sigla]],CRÉDITOS_GERAIS[[sigla]:[credito]],2,))</f>
        <v>Karina Oliveira</v>
      </c>
      <c r="AA711" s="14"/>
      <c r="AB711" s="14" t="str">
        <f>STAT[[#This Row],[ilustrador]]</f>
        <v>Karina Oliveira</v>
      </c>
      <c r="AC711" s="14">
        <v>7</v>
      </c>
      <c r="AD711" s="22" t="s">
        <v>1660</v>
      </c>
      <c r="AE711" s="15" t="s">
        <v>87</v>
      </c>
      <c r="AF711" s="42" t="str">
        <f t="shared" si="11"/>
        <v>P007</v>
      </c>
    </row>
    <row r="712" spans="1:32" ht="72" hidden="1" x14ac:dyDescent="0.3">
      <c r="A712" s="12" t="e" cm="1">
        <f t="array" aca="1" ref="A712" ca="1">IF(STAT[[#This Row],[retranca]]="","",       RegxFunc(STAT[[#This Row],[retranca]],  "\w\d{4}\w*_\d")     )</f>
        <v>#NAME?</v>
      </c>
      <c r="B712" s="21" t="s">
        <v>1665</v>
      </c>
      <c r="C712" s="14" t="s">
        <v>72</v>
      </c>
      <c r="D712" s="15" t="s">
        <v>9</v>
      </c>
      <c r="E712" s="15" t="s">
        <v>471</v>
      </c>
      <c r="F712" s="14"/>
      <c r="G712" s="15">
        <v>1</v>
      </c>
      <c r="H712" s="14">
        <v>7</v>
      </c>
      <c r="I712" s="14">
        <v>7</v>
      </c>
      <c r="J712" s="17" t="s">
        <v>55</v>
      </c>
      <c r="K712" s="21"/>
      <c r="L712" s="14"/>
      <c r="M712" s="14"/>
      <c r="N712" s="14"/>
      <c r="O712" s="14"/>
      <c r="P712" s="25" t="s">
        <v>1666</v>
      </c>
      <c r="Q712" s="21"/>
      <c r="R712" s="22"/>
      <c r="S712" s="14">
        <v>111</v>
      </c>
      <c r="T712" s="27">
        <v>45931</v>
      </c>
      <c r="U712" s="27">
        <v>45931</v>
      </c>
      <c r="V712" s="27"/>
      <c r="W712" s="27"/>
      <c r="X712" s="27">
        <v>45932</v>
      </c>
      <c r="Y712" s="14" t="s">
        <v>290</v>
      </c>
      <c r="Z712" s="40" t="str">
        <f>IF(STAT[[#This Row],[sigla]]="","",VLOOKUP(STAT[[#This Row],[sigla]],CRÉDITOS_GERAIS[[sigla]:[credito]],2,))</f>
        <v>Bruna Campos</v>
      </c>
      <c r="AA712" s="14"/>
      <c r="AB712" s="14" t="str">
        <f>STAT[[#This Row],[ilustrador]]</f>
        <v>Bruna Campos</v>
      </c>
      <c r="AC712" s="14">
        <v>7</v>
      </c>
      <c r="AD712" s="22" t="s">
        <v>196</v>
      </c>
      <c r="AE712" s="15" t="s">
        <v>46</v>
      </c>
      <c r="AF712" s="42" t="str">
        <f t="shared" si="11"/>
        <v>P007</v>
      </c>
    </row>
    <row r="713" spans="1:32" ht="72" hidden="1" x14ac:dyDescent="0.3">
      <c r="A713" s="12" t="e" cm="1">
        <f t="array" aca="1" ref="A713" ca="1">IF(STAT[[#This Row],[retranca]]="","",       RegxFunc(STAT[[#This Row],[retranca]],  "\w\d{4}\w*_\d")     )</f>
        <v>#NAME?</v>
      </c>
      <c r="B713" s="21" t="s">
        <v>1667</v>
      </c>
      <c r="C713" s="14" t="s">
        <v>72</v>
      </c>
      <c r="D713" s="15" t="s">
        <v>9</v>
      </c>
      <c r="E713" s="15" t="s">
        <v>471</v>
      </c>
      <c r="F713" s="14"/>
      <c r="G713" s="15">
        <v>1</v>
      </c>
      <c r="H713" s="14">
        <v>7</v>
      </c>
      <c r="I713" s="14">
        <v>7</v>
      </c>
      <c r="J713" s="17" t="s">
        <v>55</v>
      </c>
      <c r="K713" s="21"/>
      <c r="L713" s="14"/>
      <c r="M713" s="14"/>
      <c r="N713" s="14"/>
      <c r="O713" s="14"/>
      <c r="P713" s="25" t="s">
        <v>1668</v>
      </c>
      <c r="Q713" s="21"/>
      <c r="R713" s="22"/>
      <c r="S713" s="14">
        <v>111</v>
      </c>
      <c r="T713" s="27">
        <v>45931</v>
      </c>
      <c r="U713" s="27">
        <v>45931</v>
      </c>
      <c r="V713" s="27"/>
      <c r="W713" s="27"/>
      <c r="X713" s="27">
        <v>45932</v>
      </c>
      <c r="Y713" s="14" t="s">
        <v>290</v>
      </c>
      <c r="Z713" s="40" t="str">
        <f>IF(STAT[[#This Row],[sigla]]="","",VLOOKUP(STAT[[#This Row],[sigla]],CRÉDITOS_GERAIS[[sigla]:[credito]],2,))</f>
        <v>Bruna Campos</v>
      </c>
      <c r="AA713" s="14"/>
      <c r="AB713" s="14" t="str">
        <f>STAT[[#This Row],[ilustrador]]</f>
        <v>Bruna Campos</v>
      </c>
      <c r="AC713" s="14">
        <v>8</v>
      </c>
      <c r="AD713" s="22" t="s">
        <v>196</v>
      </c>
      <c r="AE713" s="15" t="s">
        <v>46</v>
      </c>
      <c r="AF713" s="42" t="str">
        <f t="shared" si="11"/>
        <v>P007</v>
      </c>
    </row>
    <row r="714" spans="1:32" ht="115.2" hidden="1" x14ac:dyDescent="0.3">
      <c r="A714" s="12" t="e" cm="1">
        <f t="array" aca="1" ref="A714" ca="1">IF(STAT[[#This Row],[retranca]]="","",       RegxFunc(STAT[[#This Row],[retranca]],  "\w\d{4}\w*_\d")     )</f>
        <v>#NAME?</v>
      </c>
      <c r="B714" s="21" t="s">
        <v>1669</v>
      </c>
      <c r="C714" s="14" t="s">
        <v>72</v>
      </c>
      <c r="D714" s="15" t="s">
        <v>9</v>
      </c>
      <c r="E714" s="15" t="s">
        <v>471</v>
      </c>
      <c r="F714" s="14"/>
      <c r="G714" s="15">
        <v>1</v>
      </c>
      <c r="H714" s="14">
        <v>7</v>
      </c>
      <c r="I714" s="14">
        <v>7</v>
      </c>
      <c r="J714" s="17" t="s">
        <v>55</v>
      </c>
      <c r="K714" s="21"/>
      <c r="L714" s="14"/>
      <c r="M714" s="14"/>
      <c r="N714" s="14"/>
      <c r="O714" s="14"/>
      <c r="P714" s="25" t="s">
        <v>1670</v>
      </c>
      <c r="Q714" s="21"/>
      <c r="R714" s="22"/>
      <c r="S714" s="14">
        <v>111</v>
      </c>
      <c r="T714" s="27">
        <v>45931</v>
      </c>
      <c r="U714" s="27">
        <v>45932</v>
      </c>
      <c r="V714" s="27">
        <v>45936</v>
      </c>
      <c r="W714" s="27">
        <v>45937</v>
      </c>
      <c r="X714" s="27">
        <v>45938</v>
      </c>
      <c r="Y714" s="14" t="s">
        <v>583</v>
      </c>
      <c r="Z714" s="40" t="str">
        <f>IF(STAT[[#This Row],[sigla]]="","",VLOOKUP(STAT[[#This Row],[sigla]],CRÉDITOS_GERAIS[[sigla]:[credito]],2,))</f>
        <v>Karina Oliveira</v>
      </c>
      <c r="AA714" s="14"/>
      <c r="AB714" s="14" t="str">
        <f>STAT[[#This Row],[ilustrador]]</f>
        <v>Karina Oliveira</v>
      </c>
      <c r="AC714" s="14">
        <v>5</v>
      </c>
      <c r="AD714" s="22" t="s">
        <v>1660</v>
      </c>
      <c r="AE714" s="15" t="s">
        <v>87</v>
      </c>
      <c r="AF714" s="42" t="str">
        <f t="shared" si="11"/>
        <v>P007</v>
      </c>
    </row>
    <row r="715" spans="1:32" ht="43.2" hidden="1" x14ac:dyDescent="0.3">
      <c r="A715" s="12" t="e" cm="1">
        <f t="array" aca="1" ref="A715" ca="1">IF(STAT[[#This Row],[retranca]]="","",       RegxFunc(STAT[[#This Row],[retranca]],  "\w\d{4}\w*_\d")     )</f>
        <v>#NAME?</v>
      </c>
      <c r="B715" s="21" t="s">
        <v>1671</v>
      </c>
      <c r="C715" s="14" t="s">
        <v>72</v>
      </c>
      <c r="D715" s="15" t="s">
        <v>9</v>
      </c>
      <c r="E715" s="15" t="s">
        <v>471</v>
      </c>
      <c r="F715" s="14"/>
      <c r="G715" s="15">
        <v>1</v>
      </c>
      <c r="H715" s="14">
        <v>8</v>
      </c>
      <c r="I715" s="14">
        <v>8</v>
      </c>
      <c r="J715" s="17" t="s">
        <v>55</v>
      </c>
      <c r="K715" s="21"/>
      <c r="L715" s="14"/>
      <c r="M715" s="14"/>
      <c r="N715" s="14"/>
      <c r="O715" s="14"/>
      <c r="P715" s="25" t="s">
        <v>1672</v>
      </c>
      <c r="Q715" s="21"/>
      <c r="R715" s="22"/>
      <c r="S715" s="14">
        <v>112</v>
      </c>
      <c r="T715" s="27">
        <v>45937</v>
      </c>
      <c r="U715" s="27">
        <v>45937</v>
      </c>
      <c r="V715" s="27">
        <v>45938</v>
      </c>
      <c r="W715" s="27">
        <v>45938</v>
      </c>
      <c r="X715" s="27">
        <v>45940</v>
      </c>
      <c r="Y715" s="14" t="s">
        <v>109</v>
      </c>
      <c r="Z715" s="40" t="str">
        <f>IF(STAT[[#This Row],[sigla]]="","",VLOOKUP(STAT[[#This Row],[sigla]],CRÉDITOS_GERAIS[[sigla]:[credito]],2,))</f>
        <v>Clarice Baracho</v>
      </c>
      <c r="AA715" s="14"/>
      <c r="AB715" s="14" t="str">
        <f>STAT[[#This Row],[ilustrador]]</f>
        <v>Clarice Baracho</v>
      </c>
      <c r="AC715" s="14">
        <v>6</v>
      </c>
      <c r="AD715" s="22" t="s">
        <v>1673</v>
      </c>
      <c r="AE715" s="15" t="s">
        <v>87</v>
      </c>
      <c r="AF715" s="42" t="str">
        <f t="shared" si="11"/>
        <v>P007</v>
      </c>
    </row>
    <row r="716" spans="1:32" ht="72" hidden="1" x14ac:dyDescent="0.3">
      <c r="A716" s="12" t="e" cm="1">
        <f t="array" aca="1" ref="A716" ca="1">IF(STAT[[#This Row],[retranca]]="","",       RegxFunc(STAT[[#This Row],[retranca]],  "\w\d{4}\w*_\d")     )</f>
        <v>#NAME?</v>
      </c>
      <c r="B716" s="21" t="s">
        <v>1674</v>
      </c>
      <c r="C716" s="14" t="s">
        <v>72</v>
      </c>
      <c r="D716" s="15" t="s">
        <v>9</v>
      </c>
      <c r="E716" s="15" t="s">
        <v>471</v>
      </c>
      <c r="F716" s="14"/>
      <c r="G716" s="15">
        <v>1</v>
      </c>
      <c r="H716" s="14">
        <v>8</v>
      </c>
      <c r="I716" s="14">
        <v>8</v>
      </c>
      <c r="J716" s="17" t="s">
        <v>55</v>
      </c>
      <c r="K716" s="21"/>
      <c r="L716" s="14"/>
      <c r="M716" s="14"/>
      <c r="N716" s="14"/>
      <c r="O716" s="14"/>
      <c r="P716" s="25" t="s">
        <v>1675</v>
      </c>
      <c r="Q716" s="21"/>
      <c r="R716" s="22"/>
      <c r="S716" s="14">
        <v>112</v>
      </c>
      <c r="T716" s="27">
        <v>45937</v>
      </c>
      <c r="U716" s="27">
        <v>45937</v>
      </c>
      <c r="V716" s="27">
        <v>45938</v>
      </c>
      <c r="W716" s="27">
        <v>45938</v>
      </c>
      <c r="X716" s="27">
        <v>45940</v>
      </c>
      <c r="Y716" s="14" t="s">
        <v>109</v>
      </c>
      <c r="Z716" s="40" t="str">
        <f>IF(STAT[[#This Row],[sigla]]="","",VLOOKUP(STAT[[#This Row],[sigla]],CRÉDITOS_GERAIS[[sigla]:[credito]],2,))</f>
        <v>Clarice Baracho</v>
      </c>
      <c r="AA716" s="14"/>
      <c r="AB716" s="14" t="str">
        <f>STAT[[#This Row],[ilustrador]]</f>
        <v>Clarice Baracho</v>
      </c>
      <c r="AC716" s="14">
        <v>7</v>
      </c>
      <c r="AD716" s="22" t="s">
        <v>1673</v>
      </c>
      <c r="AE716" s="15" t="s">
        <v>87</v>
      </c>
      <c r="AF716" s="42" t="str">
        <f t="shared" si="11"/>
        <v>P007</v>
      </c>
    </row>
    <row r="717" spans="1:32" ht="57.6" hidden="1" x14ac:dyDescent="0.3">
      <c r="A717" s="12" t="e" cm="1">
        <f t="array" aca="1" ref="A717" ca="1">IF(STAT[[#This Row],[retranca]]="","",       RegxFunc(STAT[[#This Row],[retranca]],  "\w\d{4}\w*_\d")     )</f>
        <v>#NAME?</v>
      </c>
      <c r="B717" s="21" t="s">
        <v>1676</v>
      </c>
      <c r="C717" s="14" t="s">
        <v>122</v>
      </c>
      <c r="D717" s="15" t="s">
        <v>9</v>
      </c>
      <c r="E717" s="15" t="s">
        <v>471</v>
      </c>
      <c r="F717" s="14"/>
      <c r="G717" s="15">
        <v>0</v>
      </c>
      <c r="H717" s="14">
        <v>7</v>
      </c>
      <c r="I717" s="14">
        <v>7</v>
      </c>
      <c r="J717" s="17" t="s">
        <v>18</v>
      </c>
      <c r="K717" s="21"/>
      <c r="L717" s="14"/>
      <c r="M717" s="14"/>
      <c r="N717" s="14"/>
      <c r="O717" s="14"/>
      <c r="P717" s="25" t="s">
        <v>1677</v>
      </c>
      <c r="Q717" s="21"/>
      <c r="R717" s="22"/>
      <c r="S717" s="14">
        <v>113</v>
      </c>
      <c r="T717" s="27">
        <v>45940</v>
      </c>
      <c r="U717" s="27">
        <v>45940</v>
      </c>
      <c r="V717" s="27"/>
      <c r="W717" s="27"/>
      <c r="X717" s="27">
        <v>45940</v>
      </c>
      <c r="Y717" s="14" t="s">
        <v>1572</v>
      </c>
      <c r="Z717" s="40" t="str">
        <f>IF(STAT[[#This Row],[sigla]]="","",VLOOKUP(STAT[[#This Row],[sigla]],CRÉDITOS_GERAIS[[sigla]:[credito]],2,))</f>
        <v>Sabrina Eras</v>
      </c>
      <c r="AA717" s="14" t="s">
        <v>90</v>
      </c>
      <c r="AB717" s="14" t="str">
        <f>STAT[[#This Row],[ilustrador]]</f>
        <v>Sabrina Eras</v>
      </c>
      <c r="AC717" s="14">
        <v>13</v>
      </c>
      <c r="AD717" s="22" t="s">
        <v>229</v>
      </c>
      <c r="AE717" s="15" t="s">
        <v>46</v>
      </c>
      <c r="AF717" s="42" t="str">
        <f t="shared" si="11"/>
        <v>P007</v>
      </c>
    </row>
    <row r="718" spans="1:32" hidden="1" x14ac:dyDescent="0.3">
      <c r="A718" s="12" t="e" cm="1">
        <f t="array" aca="1" ref="A718" ca="1">IF(STAT[[#This Row],[retranca]]="","",       RegxFunc(STAT[[#This Row],[retranca]],  "\w\d{4}\w*_\d")     )</f>
        <v>#NAME?</v>
      </c>
      <c r="B718" s="21" t="s">
        <v>1678</v>
      </c>
      <c r="C718" s="14" t="s">
        <v>72</v>
      </c>
      <c r="D718" s="15" t="s">
        <v>9</v>
      </c>
      <c r="E718" s="15" t="s">
        <v>471</v>
      </c>
      <c r="F718" s="14"/>
      <c r="G718" s="15">
        <v>1</v>
      </c>
      <c r="H718" s="14">
        <v>4</v>
      </c>
      <c r="I718" s="14">
        <v>4</v>
      </c>
      <c r="J718" s="17" t="s">
        <v>11</v>
      </c>
      <c r="K718" s="21"/>
      <c r="L718" s="14"/>
      <c r="M718" s="14"/>
      <c r="N718" s="14"/>
      <c r="O718" s="14"/>
      <c r="P718" s="25" t="s">
        <v>1679</v>
      </c>
      <c r="Q718" s="21"/>
      <c r="R718" s="22"/>
      <c r="S718" s="14"/>
      <c r="T718" s="27"/>
      <c r="U718" s="27"/>
      <c r="V718" s="27"/>
      <c r="W718" s="27"/>
      <c r="X718" s="27"/>
      <c r="Y718" s="14" t="s">
        <v>1572</v>
      </c>
      <c r="Z718" s="40" t="str">
        <f>IF(STAT[[#This Row],[sigla]]="","",VLOOKUP(STAT[[#This Row],[sigla]],CRÉDITOS_GERAIS[[sigla]:[credito]],2,))</f>
        <v>Sabrina Eras</v>
      </c>
      <c r="AA718" s="14"/>
      <c r="AB718" s="14" t="str">
        <f>STAT[[#This Row],[ilustrador]]</f>
        <v>Sabrina Eras</v>
      </c>
      <c r="AC718" s="14"/>
      <c r="AD718" s="22"/>
      <c r="AE718" s="15"/>
      <c r="AF718" s="42" t="str">
        <f t="shared" si="11"/>
        <v>P007</v>
      </c>
    </row>
    <row r="719" spans="1:32" hidden="1" x14ac:dyDescent="0.3">
      <c r="A719" s="12" t="e" cm="1">
        <f t="array" aca="1" ref="A719" ca="1">IF(STAT[[#This Row],[retranca]]="","",       RegxFunc(STAT[[#This Row],[retranca]],  "\w\d{4}\w*_\d")     )</f>
        <v>#NAME?</v>
      </c>
      <c r="B719" s="21" t="s">
        <v>1680</v>
      </c>
      <c r="C719" s="14" t="s">
        <v>72</v>
      </c>
      <c r="D719" s="15" t="s">
        <v>9</v>
      </c>
      <c r="E719" s="15" t="s">
        <v>471</v>
      </c>
      <c r="F719" s="14"/>
      <c r="G719" s="15">
        <v>1</v>
      </c>
      <c r="H719" s="14">
        <v>5</v>
      </c>
      <c r="I719" s="14">
        <v>5</v>
      </c>
      <c r="J719" s="17" t="s">
        <v>11</v>
      </c>
      <c r="K719" s="21"/>
      <c r="L719" s="14"/>
      <c r="M719" s="14"/>
      <c r="N719" s="14"/>
      <c r="O719" s="14"/>
      <c r="P719" s="25" t="s">
        <v>1681</v>
      </c>
      <c r="Q719" s="21"/>
      <c r="R719" s="22"/>
      <c r="S719" s="14"/>
      <c r="T719" s="27"/>
      <c r="U719" s="27"/>
      <c r="V719" s="27"/>
      <c r="W719" s="27"/>
      <c r="X719" s="27"/>
      <c r="Y719" s="14" t="s">
        <v>59</v>
      </c>
      <c r="Z719" s="40" t="str">
        <f>IF(STAT[[#This Row],[sigla]]="","",VLOOKUP(STAT[[#This Row],[sigla]],CRÉDITOS_GERAIS[[sigla]:[credito]],2,))</f>
        <v>Isabela Santos</v>
      </c>
      <c r="AA719" s="14"/>
      <c r="AB719" s="14" t="str">
        <f>STAT[[#This Row],[ilustrador]]</f>
        <v>Isabela Santos</v>
      </c>
      <c r="AC719" s="14"/>
      <c r="AD719" s="22"/>
      <c r="AE719" s="15"/>
      <c r="AF719" s="42" t="str">
        <f t="shared" si="11"/>
        <v>P007</v>
      </c>
    </row>
    <row r="720" spans="1:32" ht="43.2" hidden="1" x14ac:dyDescent="0.3">
      <c r="A720" s="12" t="e" cm="1">
        <f t="array" aca="1" ref="A720" ca="1">IF(STAT[[#This Row],[retranca]]="","",       RegxFunc(STAT[[#This Row],[retranca]],  "\w\d{4}\w*_\d")     )</f>
        <v>#NAME?</v>
      </c>
      <c r="B720" s="21" t="s">
        <v>1682</v>
      </c>
      <c r="C720" s="14" t="s">
        <v>122</v>
      </c>
      <c r="D720" s="15" t="s">
        <v>9</v>
      </c>
      <c r="E720" s="15" t="s">
        <v>10</v>
      </c>
      <c r="F720" s="14">
        <v>7</v>
      </c>
      <c r="G720" s="15">
        <v>0</v>
      </c>
      <c r="H720" s="14">
        <v>0</v>
      </c>
      <c r="I720" s="14" t="s">
        <v>1683</v>
      </c>
      <c r="J720" s="17" t="s">
        <v>55</v>
      </c>
      <c r="K720" s="21"/>
      <c r="L720" s="14"/>
      <c r="M720" s="14"/>
      <c r="N720" s="14"/>
      <c r="O720" s="14"/>
      <c r="P720" s="25" t="s">
        <v>1684</v>
      </c>
      <c r="Q720" s="21"/>
      <c r="R720" s="22"/>
      <c r="S720" s="14"/>
      <c r="T720" s="27"/>
      <c r="U720" s="27">
        <v>45947</v>
      </c>
      <c r="V720" s="27"/>
      <c r="W720" s="27"/>
      <c r="X720" s="27">
        <v>45950</v>
      </c>
      <c r="Y720" s="14" t="s">
        <v>290</v>
      </c>
      <c r="Z720" s="40" t="str">
        <f>IF(STAT[[#This Row],[sigla]]="","",VLOOKUP(STAT[[#This Row],[sigla]],CRÉDITOS_GERAIS[[sigla]:[credito]],2,))</f>
        <v>Bruna Campos</v>
      </c>
      <c r="AA720" s="14"/>
      <c r="AB720" s="14" t="str">
        <f>STAT[[#This Row],[ilustrador]]</f>
        <v>Bruna Campos</v>
      </c>
      <c r="AC720" s="14">
        <v>6</v>
      </c>
      <c r="AD720" s="22" t="s">
        <v>196</v>
      </c>
      <c r="AE720" s="15" t="s">
        <v>46</v>
      </c>
      <c r="AF720" s="42" t="str">
        <f t="shared" si="11"/>
        <v>P007</v>
      </c>
    </row>
    <row r="721" spans="1:32" ht="28.8" hidden="1" x14ac:dyDescent="0.3">
      <c r="A721" s="12" t="e" cm="1">
        <f t="array" aca="1" ref="A721" ca="1">IF(STAT[[#This Row],[retranca]]="","",       RegxFunc(STAT[[#This Row],[retranca]],  "\w\d{4}\w*_\d")     )</f>
        <v>#NAME?</v>
      </c>
      <c r="B721" s="21" t="s">
        <v>1685</v>
      </c>
      <c r="C721" s="14" t="s">
        <v>122</v>
      </c>
      <c r="D721" s="15" t="s">
        <v>9</v>
      </c>
      <c r="E721" s="15" t="s">
        <v>1686</v>
      </c>
      <c r="F721" s="14"/>
      <c r="G721" s="15">
        <v>0</v>
      </c>
      <c r="H721" s="14">
        <v>0</v>
      </c>
      <c r="I721" s="14" t="s">
        <v>1687</v>
      </c>
      <c r="J721" s="17" t="s">
        <v>55</v>
      </c>
      <c r="K721" s="21"/>
      <c r="L721" s="14"/>
      <c r="M721" s="14"/>
      <c r="N721" s="14"/>
      <c r="O721" s="14"/>
      <c r="P721" s="25" t="s">
        <v>1688</v>
      </c>
      <c r="Q721" s="21"/>
      <c r="R721" s="22"/>
      <c r="S721" s="14"/>
      <c r="T721" s="27"/>
      <c r="U721" s="27">
        <v>45953</v>
      </c>
      <c r="V721" s="27"/>
      <c r="W721" s="27"/>
      <c r="X721" s="27">
        <v>45954</v>
      </c>
      <c r="Y721" s="14" t="s">
        <v>1263</v>
      </c>
      <c r="Z721" s="40" t="s">
        <v>1520</v>
      </c>
      <c r="AA721" s="14"/>
      <c r="AB721" s="14" t="str">
        <f>STAT[[#This Row],[ilustrador]]</f>
        <v>Gabriella Imai</v>
      </c>
      <c r="AC721" s="14">
        <v>7</v>
      </c>
      <c r="AD721" s="22" t="s">
        <v>1689</v>
      </c>
      <c r="AE721" s="15" t="s">
        <v>46</v>
      </c>
      <c r="AF721" s="42" t="str">
        <f t="shared" si="11"/>
        <v>P007</v>
      </c>
    </row>
    <row r="722" spans="1:32" ht="28.8" hidden="1" x14ac:dyDescent="0.3">
      <c r="A722" s="12" t="e" cm="1">
        <f t="array" aca="1" ref="A722" ca="1">IF(STAT[[#This Row],[retranca]]="","",       RegxFunc(STAT[[#This Row],[retranca]],  "\w\d{4}\w*_\d")     )</f>
        <v>#NAME?</v>
      </c>
      <c r="B722" s="21" t="s">
        <v>1690</v>
      </c>
      <c r="C722" s="14" t="s">
        <v>122</v>
      </c>
      <c r="D722" s="15" t="s">
        <v>9</v>
      </c>
      <c r="E722" s="15" t="s">
        <v>10</v>
      </c>
      <c r="F722" s="14">
        <v>8</v>
      </c>
      <c r="G722" s="15">
        <v>0</v>
      </c>
      <c r="H722" s="14">
        <v>0</v>
      </c>
      <c r="I722" s="14" t="s">
        <v>1683</v>
      </c>
      <c r="J722" s="17" t="s">
        <v>55</v>
      </c>
      <c r="K722" s="21"/>
      <c r="L722" s="14"/>
      <c r="M722" s="14"/>
      <c r="N722" s="14"/>
      <c r="O722" s="14"/>
      <c r="P722" s="25" t="s">
        <v>1691</v>
      </c>
      <c r="Q722" s="21"/>
      <c r="R722" s="22"/>
      <c r="S722" s="14"/>
      <c r="T722" s="27"/>
      <c r="U722" s="27">
        <v>45958</v>
      </c>
      <c r="V722" s="27"/>
      <c r="W722" s="27"/>
      <c r="X722" s="27">
        <v>45958</v>
      </c>
      <c r="Y722" s="14" t="s">
        <v>290</v>
      </c>
      <c r="Z722" s="40" t="str">
        <f>IF(STAT[[#This Row],[sigla]]="","",VLOOKUP(STAT[[#This Row],[sigla]],CRÉDITOS_GERAIS[[sigla]:[credito]],2,))</f>
        <v>Bruna Campos</v>
      </c>
      <c r="AA722" s="14"/>
      <c r="AB722" s="14" t="str">
        <f>STAT[[#This Row],[ilustrador]]</f>
        <v>Bruna Campos</v>
      </c>
      <c r="AC722" s="14">
        <v>6</v>
      </c>
      <c r="AD722" s="22" t="s">
        <v>196</v>
      </c>
      <c r="AE722" s="15" t="s">
        <v>46</v>
      </c>
      <c r="AF722" s="42" t="str">
        <f t="shared" si="11"/>
        <v>P007</v>
      </c>
    </row>
    <row r="723" spans="1:32" ht="28.8" hidden="1" x14ac:dyDescent="0.3">
      <c r="A723" s="12" t="e" cm="1">
        <f t="array" aca="1" ref="A723" ca="1">IF(STAT[[#This Row],[retranca]]="","",       RegxFunc(STAT[[#This Row],[retranca]],  "\w\d{4}\w*_\d")     )</f>
        <v>#NAME?</v>
      </c>
      <c r="B723" s="21" t="s">
        <v>1692</v>
      </c>
      <c r="C723" s="14" t="s">
        <v>122</v>
      </c>
      <c r="D723" s="15" t="s">
        <v>9</v>
      </c>
      <c r="E723" s="15" t="s">
        <v>10</v>
      </c>
      <c r="F723" s="14">
        <v>11</v>
      </c>
      <c r="G723" s="15">
        <v>0</v>
      </c>
      <c r="H723" s="14">
        <v>0</v>
      </c>
      <c r="I723" s="14" t="s">
        <v>1683</v>
      </c>
      <c r="J723" s="17" t="s">
        <v>55</v>
      </c>
      <c r="K723" s="21"/>
      <c r="L723" s="14"/>
      <c r="M723" s="14"/>
      <c r="N723" s="14"/>
      <c r="O723" s="14"/>
      <c r="P723" s="25" t="s">
        <v>1693</v>
      </c>
      <c r="Q723" s="21"/>
      <c r="R723" s="22"/>
      <c r="S723" s="14"/>
      <c r="T723" s="27"/>
      <c r="U723" s="27">
        <v>45954</v>
      </c>
      <c r="V723" s="27"/>
      <c r="W723" s="27"/>
      <c r="X723" s="27">
        <v>45958</v>
      </c>
      <c r="Y723" s="14" t="s">
        <v>290</v>
      </c>
      <c r="Z723" s="40" t="str">
        <f>IF(STAT[[#This Row],[sigla]]="","",VLOOKUP(STAT[[#This Row],[sigla]],CRÉDITOS_GERAIS[[sigla]:[credito]],2,))</f>
        <v>Bruna Campos</v>
      </c>
      <c r="AA723" s="14"/>
      <c r="AB723" s="14" t="str">
        <f>STAT[[#This Row],[ilustrador]]</f>
        <v>Bruna Campos</v>
      </c>
      <c r="AC723" s="14">
        <v>4</v>
      </c>
      <c r="AD723" s="22" t="s">
        <v>196</v>
      </c>
      <c r="AE723" s="15" t="s">
        <v>46</v>
      </c>
      <c r="AF723" s="42" t="str">
        <f t="shared" si="11"/>
        <v>P007</v>
      </c>
    </row>
    <row r="724" spans="1:32" ht="28.8" hidden="1" x14ac:dyDescent="0.3">
      <c r="A724" s="12" t="e" cm="1">
        <f t="array" aca="1" ref="A724" ca="1">IF(STAT[[#This Row],[retranca]]="","",       RegxFunc(STAT[[#This Row],[retranca]],  "\w\d{4}\w*_\d")     )</f>
        <v>#NAME?</v>
      </c>
      <c r="B724" s="21" t="s">
        <v>1694</v>
      </c>
      <c r="C724" s="14" t="s">
        <v>122</v>
      </c>
      <c r="D724" s="15" t="s">
        <v>9</v>
      </c>
      <c r="E724" s="15" t="s">
        <v>10</v>
      </c>
      <c r="F724" s="14">
        <v>6</v>
      </c>
      <c r="G724" s="15">
        <v>0</v>
      </c>
      <c r="H724" s="14">
        <v>0</v>
      </c>
      <c r="I724" s="14" t="s">
        <v>1683</v>
      </c>
      <c r="J724" s="17" t="s">
        <v>55</v>
      </c>
      <c r="K724" s="21"/>
      <c r="L724" s="14"/>
      <c r="M724" s="14"/>
      <c r="N724" s="14"/>
      <c r="O724" s="14"/>
      <c r="P724" s="25" t="s">
        <v>1695</v>
      </c>
      <c r="Q724" s="21"/>
      <c r="R724" s="22"/>
      <c r="S724" s="14"/>
      <c r="T724" s="27"/>
      <c r="U724" s="27">
        <v>45954</v>
      </c>
      <c r="V724" s="27"/>
      <c r="W724" s="27"/>
      <c r="X724" s="27">
        <v>45957</v>
      </c>
      <c r="Y724" s="14" t="s">
        <v>1263</v>
      </c>
      <c r="Z724" s="40" t="str">
        <f>IF(STAT[[#This Row],[sigla]]="","",VLOOKUP(STAT[[#This Row],[sigla]],CRÉDITOS_GERAIS[[sigla]:[credito]],2,))</f>
        <v>Gabriella Imai</v>
      </c>
      <c r="AA724" s="14"/>
      <c r="AB724" s="14" t="str">
        <f>STAT[[#This Row],[ilustrador]]</f>
        <v>Gabriella Imai</v>
      </c>
      <c r="AC724" s="14">
        <v>5</v>
      </c>
      <c r="AD724" s="22" t="s">
        <v>1689</v>
      </c>
      <c r="AE724" s="15" t="s">
        <v>46</v>
      </c>
      <c r="AF724" s="42" t="str">
        <f t="shared" si="11"/>
        <v>P007</v>
      </c>
    </row>
    <row r="725" spans="1:32" ht="57.6" hidden="1" x14ac:dyDescent="0.3">
      <c r="A725" s="12" t="e" cm="1">
        <f t="array" aca="1" ref="A725" ca="1">IF(STAT[[#This Row],[retranca]]="","",       RegxFunc(STAT[[#This Row],[retranca]],  "\w\d{4}\w*_\d")     )</f>
        <v>#NAME?</v>
      </c>
      <c r="B725" s="21" t="s">
        <v>1696</v>
      </c>
      <c r="C725" s="14" t="s">
        <v>122</v>
      </c>
      <c r="D725" s="15" t="s">
        <v>9</v>
      </c>
      <c r="E725" s="15" t="s">
        <v>10</v>
      </c>
      <c r="F725" s="14">
        <v>10</v>
      </c>
      <c r="G725" s="15">
        <v>0</v>
      </c>
      <c r="H725" s="14">
        <v>0</v>
      </c>
      <c r="I725" s="14" t="s">
        <v>1683</v>
      </c>
      <c r="J725" s="17" t="s">
        <v>55</v>
      </c>
      <c r="K725" s="21"/>
      <c r="L725" s="14"/>
      <c r="M725" s="14"/>
      <c r="N725" s="14"/>
      <c r="O725" s="14"/>
      <c r="P725" s="25" t="s">
        <v>1697</v>
      </c>
      <c r="Q725" s="21"/>
      <c r="R725" s="22"/>
      <c r="S725" s="14"/>
      <c r="T725" s="27"/>
      <c r="U725" s="27">
        <v>45957</v>
      </c>
      <c r="V725" s="27"/>
      <c r="W725" s="27"/>
      <c r="X725" s="27">
        <v>45958</v>
      </c>
      <c r="Y725" s="14" t="s">
        <v>145</v>
      </c>
      <c r="Z725" s="40" t="str">
        <f>IF(STAT[[#This Row],[sigla]]="","",VLOOKUP(STAT[[#This Row],[sigla]],CRÉDITOS_GERAIS[[sigla]:[credito]],2,))</f>
        <v>Rafaela Panissa</v>
      </c>
      <c r="AA725" s="14"/>
      <c r="AB725" s="14" t="str">
        <f>STAT[[#This Row],[ilustrador]]</f>
        <v>Rafaela Panissa</v>
      </c>
      <c r="AC725" s="14">
        <v>6</v>
      </c>
      <c r="AD725" s="22" t="s">
        <v>196</v>
      </c>
      <c r="AE725" s="15" t="s">
        <v>46</v>
      </c>
      <c r="AF725" s="42" t="str">
        <f t="shared" si="11"/>
        <v>P007</v>
      </c>
    </row>
    <row r="726" spans="1:32" ht="86.4" hidden="1" x14ac:dyDescent="0.3">
      <c r="A726" s="12" t="e" cm="1">
        <f t="array" aca="1" ref="A726" ca="1">IF(STAT[[#This Row],[retranca]]="","",       RegxFunc(STAT[[#This Row],[retranca]],  "\w\d{4}\w*_\d")     )</f>
        <v>#NAME?</v>
      </c>
      <c r="B726" s="21" t="s">
        <v>1698</v>
      </c>
      <c r="C726" s="14" t="s">
        <v>122</v>
      </c>
      <c r="D726" s="15" t="s">
        <v>9</v>
      </c>
      <c r="E726" s="15" t="s">
        <v>10</v>
      </c>
      <c r="F726" s="14">
        <v>16</v>
      </c>
      <c r="G726" s="15">
        <v>0</v>
      </c>
      <c r="H726" s="14">
        <v>0</v>
      </c>
      <c r="I726" s="14" t="s">
        <v>1683</v>
      </c>
      <c r="J726" s="17" t="s">
        <v>55</v>
      </c>
      <c r="K726" s="21"/>
      <c r="L726" s="14"/>
      <c r="M726" s="14"/>
      <c r="N726" s="14"/>
      <c r="O726" s="14"/>
      <c r="P726" s="25" t="s">
        <v>1699</v>
      </c>
      <c r="Q726" s="21"/>
      <c r="R726" s="22"/>
      <c r="S726" s="14"/>
      <c r="T726" s="27"/>
      <c r="U726" s="27">
        <v>45959</v>
      </c>
      <c r="V726" s="27"/>
      <c r="W726" s="27"/>
      <c r="X726" s="27">
        <v>45959</v>
      </c>
      <c r="Y726" s="14" t="s">
        <v>1263</v>
      </c>
      <c r="Z726" s="40" t="str">
        <f>IF(STAT[[#This Row],[sigla]]="","",VLOOKUP(STAT[[#This Row],[sigla]],CRÉDITOS_GERAIS[[sigla]:[credito]],2,))</f>
        <v>Gabriella Imai</v>
      </c>
      <c r="AA726" s="14"/>
      <c r="AB726" s="14" t="str">
        <f>STAT[[#This Row],[ilustrador]]</f>
        <v>Gabriella Imai</v>
      </c>
      <c r="AC726" s="14"/>
      <c r="AD726" s="22"/>
      <c r="AE726" s="15"/>
      <c r="AF726" s="42" t="str">
        <f t="shared" si="11"/>
        <v>P007</v>
      </c>
    </row>
    <row r="727" spans="1:32" ht="43.2" hidden="1" x14ac:dyDescent="0.3">
      <c r="A727" s="12" t="e" cm="1">
        <f t="array" aca="1" ref="A727" ca="1">IF(STAT[[#This Row],[retranca]]="","",       RegxFunc(STAT[[#This Row],[retranca]],  "\w\d{4}\w*_\d")     )</f>
        <v>#NAME?</v>
      </c>
      <c r="B727" s="21" t="s">
        <v>1700</v>
      </c>
      <c r="C727" s="14" t="s">
        <v>1084</v>
      </c>
      <c r="D727" s="15" t="s">
        <v>9</v>
      </c>
      <c r="E727" s="15" t="s">
        <v>10</v>
      </c>
      <c r="F727" s="14">
        <v>6</v>
      </c>
      <c r="G727" s="15">
        <v>0</v>
      </c>
      <c r="H727" s="14">
        <v>0</v>
      </c>
      <c r="I727" s="14" t="s">
        <v>1683</v>
      </c>
      <c r="J727" s="17" t="s">
        <v>55</v>
      </c>
      <c r="K727" s="21"/>
      <c r="L727" s="14"/>
      <c r="M727" s="14"/>
      <c r="N727" s="14"/>
      <c r="O727" s="14"/>
      <c r="P727" s="25" t="s">
        <v>1701</v>
      </c>
      <c r="Q727" s="21"/>
      <c r="R727" s="22"/>
      <c r="S727" s="14">
        <v>114</v>
      </c>
      <c r="T727" s="27">
        <v>45958</v>
      </c>
      <c r="U727" s="27">
        <v>45958</v>
      </c>
      <c r="V727" s="27"/>
      <c r="W727" s="27"/>
      <c r="X727" s="27">
        <v>45960</v>
      </c>
      <c r="Y727" s="14" t="s">
        <v>1263</v>
      </c>
      <c r="Z727" s="40" t="str">
        <f>IF(STAT[[#This Row],[sigla]]="","",VLOOKUP(STAT[[#This Row],[sigla]],CRÉDITOS_GERAIS[[sigla]:[credito]],2,))</f>
        <v>Gabriella Imai</v>
      </c>
      <c r="AA727" s="14"/>
      <c r="AB727" s="14" t="str">
        <f>STAT[[#This Row],[ilustrador]]</f>
        <v>Gabriella Imai</v>
      </c>
      <c r="AC727" s="14">
        <v>5</v>
      </c>
      <c r="AD727" s="22" t="s">
        <v>146</v>
      </c>
      <c r="AE727" s="15" t="s">
        <v>46</v>
      </c>
      <c r="AF727" s="42" t="str">
        <f t="shared" si="11"/>
        <v>P007</v>
      </c>
    </row>
    <row r="728" spans="1:32" ht="43.2" hidden="1" x14ac:dyDescent="0.3">
      <c r="A728" s="12" t="e" cm="1">
        <f t="array" aca="1" ref="A728" ca="1">IF(STAT[[#This Row],[retranca]]="","",       RegxFunc(STAT[[#This Row],[retranca]],  "\w\d{4}\w*_\d")     )</f>
        <v>#NAME?</v>
      </c>
      <c r="B728" s="21" t="s">
        <v>1702</v>
      </c>
      <c r="C728" s="14" t="s">
        <v>122</v>
      </c>
      <c r="D728" s="15" t="s">
        <v>9</v>
      </c>
      <c r="E728" s="15" t="s">
        <v>10</v>
      </c>
      <c r="F728" s="14">
        <v>5</v>
      </c>
      <c r="G728" s="15">
        <v>1</v>
      </c>
      <c r="H728" s="14">
        <v>0</v>
      </c>
      <c r="I728" s="14" t="s">
        <v>1683</v>
      </c>
      <c r="J728" s="17" t="s">
        <v>11</v>
      </c>
      <c r="K728" s="21"/>
      <c r="L728" s="14"/>
      <c r="M728" s="14"/>
      <c r="N728" s="14"/>
      <c r="O728" s="14"/>
      <c r="P728" s="25" t="s">
        <v>1703</v>
      </c>
      <c r="Q728" s="21"/>
      <c r="R728" s="22"/>
      <c r="S728" s="14"/>
      <c r="T728" s="27"/>
      <c r="U728" s="27"/>
      <c r="V728" s="27"/>
      <c r="W728" s="27"/>
      <c r="X728" s="27"/>
      <c r="Y728" s="14" t="s">
        <v>1263</v>
      </c>
      <c r="Z728" s="40" t="str">
        <f>IF(STAT[[#This Row],[sigla]]="","",VLOOKUP(STAT[[#This Row],[sigla]],CRÉDITOS_GERAIS[[sigla]:[credito]],2,))</f>
        <v>Gabriella Imai</v>
      </c>
      <c r="AA728" s="14"/>
      <c r="AB728" s="14" t="str">
        <f>STAT[[#This Row],[ilustrador]]</f>
        <v>Gabriella Imai</v>
      </c>
      <c r="AC728" s="14"/>
      <c r="AD728" s="22"/>
      <c r="AE728" s="15"/>
      <c r="AF728" s="42" t="str">
        <f t="shared" si="11"/>
        <v>P007</v>
      </c>
    </row>
    <row r="729" spans="1:32" ht="43.2" hidden="1" x14ac:dyDescent="0.3">
      <c r="A729" s="12" t="e" cm="1">
        <f t="array" aca="1" ref="A729" ca="1">IF(STAT[[#This Row],[retranca]]="","",       RegxFunc(STAT[[#This Row],[retranca]],  "\w\d{4}\w*_\d")     )</f>
        <v>#NAME?</v>
      </c>
      <c r="B729" s="21" t="s">
        <v>1704</v>
      </c>
      <c r="C729" s="14" t="s">
        <v>122</v>
      </c>
      <c r="D729" s="15" t="s">
        <v>9</v>
      </c>
      <c r="E729" s="15" t="s">
        <v>10</v>
      </c>
      <c r="F729" s="14">
        <v>6</v>
      </c>
      <c r="G729" s="15">
        <v>1</v>
      </c>
      <c r="H729" s="14">
        <v>0</v>
      </c>
      <c r="I729" s="14" t="s">
        <v>1683</v>
      </c>
      <c r="J729" s="17" t="s">
        <v>55</v>
      </c>
      <c r="K729" s="21"/>
      <c r="L729" s="14"/>
      <c r="M729" s="14"/>
      <c r="N729" s="14"/>
      <c r="O729" s="14"/>
      <c r="P729" s="25" t="s">
        <v>1705</v>
      </c>
      <c r="Q729" s="21"/>
      <c r="R729" s="22"/>
      <c r="S729" s="14">
        <v>115</v>
      </c>
      <c r="T729" s="27">
        <v>45958</v>
      </c>
      <c r="U729" s="27">
        <v>45958</v>
      </c>
      <c r="V729" s="27"/>
      <c r="W729" s="27"/>
      <c r="X729" s="27">
        <v>45959</v>
      </c>
      <c r="Y729" s="14" t="s">
        <v>290</v>
      </c>
      <c r="Z729" s="40" t="str">
        <f>IF(STAT[[#This Row],[sigla]]="","",VLOOKUP(STAT[[#This Row],[sigla]],CRÉDITOS_GERAIS[[sigla]:[credito]],2,))</f>
        <v>Bruna Campos</v>
      </c>
      <c r="AA729" s="14"/>
      <c r="AB729" s="14" t="str">
        <f>STAT[[#This Row],[ilustrador]]</f>
        <v>Bruna Campos</v>
      </c>
      <c r="AC729" s="14">
        <v>8</v>
      </c>
      <c r="AD729" s="22" t="s">
        <v>196</v>
      </c>
      <c r="AE729" s="15" t="s">
        <v>46</v>
      </c>
      <c r="AF729" s="42" t="str">
        <f t="shared" si="11"/>
        <v>P007</v>
      </c>
    </row>
    <row r="730" spans="1:32" ht="57.6" hidden="1" x14ac:dyDescent="0.3">
      <c r="A730" s="12" t="e" cm="1">
        <f t="array" aca="1" ref="A730" ca="1">IF(STAT[[#This Row],[retranca]]="","",       RegxFunc(STAT[[#This Row],[retranca]],  "\w\d{4}\w*_\d")     )</f>
        <v>#NAME?</v>
      </c>
      <c r="B730" s="21" t="s">
        <v>1706</v>
      </c>
      <c r="C730" s="14" t="s">
        <v>122</v>
      </c>
      <c r="D730" s="15" t="s">
        <v>9</v>
      </c>
      <c r="E730" s="15" t="s">
        <v>10</v>
      </c>
      <c r="F730" s="14">
        <v>7</v>
      </c>
      <c r="G730" s="15">
        <v>1</v>
      </c>
      <c r="H730" s="14">
        <v>0</v>
      </c>
      <c r="I730" s="14" t="s">
        <v>1683</v>
      </c>
      <c r="J730" s="17" t="s">
        <v>18</v>
      </c>
      <c r="K730" s="21"/>
      <c r="L730" s="14"/>
      <c r="M730" s="14"/>
      <c r="N730" s="14"/>
      <c r="O730" s="14"/>
      <c r="P730" s="25" t="s">
        <v>1707</v>
      </c>
      <c r="Q730" s="21"/>
      <c r="R730" s="22"/>
      <c r="S730" s="14">
        <v>115</v>
      </c>
      <c r="T730" s="27">
        <v>45958</v>
      </c>
      <c r="U730" s="27">
        <v>45958</v>
      </c>
      <c r="V730" s="27"/>
      <c r="W730" s="27"/>
      <c r="X730" s="27">
        <v>45959</v>
      </c>
      <c r="Y730" s="14" t="s">
        <v>290</v>
      </c>
      <c r="Z730" s="40" t="str">
        <f>IF(STAT[[#This Row],[sigla]]="","",VLOOKUP(STAT[[#This Row],[sigla]],CRÉDITOS_GERAIS[[sigla]:[credito]],2,))</f>
        <v>Bruna Campos</v>
      </c>
      <c r="AA730" s="14"/>
      <c r="AB730" s="14" t="str">
        <f>STAT[[#This Row],[ilustrador]]</f>
        <v>Bruna Campos</v>
      </c>
      <c r="AC730" s="14">
        <v>13</v>
      </c>
      <c r="AD730" s="22" t="s">
        <v>196</v>
      </c>
      <c r="AE730" s="15" t="s">
        <v>46</v>
      </c>
      <c r="AF730" s="42" t="str">
        <f t="shared" si="11"/>
        <v>P007</v>
      </c>
    </row>
    <row r="731" spans="1:32" ht="72" hidden="1" x14ac:dyDescent="0.3">
      <c r="A731" s="12" t="e" cm="1">
        <f t="array" aca="1" ref="A731" ca="1">IF(STAT[[#This Row],[retranca]]="","",       RegxFunc(STAT[[#This Row],[retranca]],  "\w\d{4}\w*_\d")     )</f>
        <v>#NAME?</v>
      </c>
      <c r="B731" s="21" t="s">
        <v>1708</v>
      </c>
      <c r="C731" s="14" t="s">
        <v>122</v>
      </c>
      <c r="D731" s="15" t="s">
        <v>9</v>
      </c>
      <c r="E731" s="15" t="s">
        <v>10</v>
      </c>
      <c r="F731" s="14">
        <v>8</v>
      </c>
      <c r="G731" s="15">
        <v>1</v>
      </c>
      <c r="H731" s="14">
        <v>0</v>
      </c>
      <c r="I731" s="14" t="s">
        <v>1683</v>
      </c>
      <c r="J731" s="17" t="s">
        <v>18</v>
      </c>
      <c r="K731" s="21"/>
      <c r="L731" s="14"/>
      <c r="M731" s="14"/>
      <c r="N731" s="14"/>
      <c r="O731" s="14"/>
      <c r="P731" s="25" t="s">
        <v>1709</v>
      </c>
      <c r="Q731" s="21"/>
      <c r="R731" s="22"/>
      <c r="S731" s="14">
        <v>115</v>
      </c>
      <c r="T731" s="27">
        <v>45958</v>
      </c>
      <c r="U731" s="27">
        <v>45958</v>
      </c>
      <c r="V731" s="27"/>
      <c r="W731" s="27"/>
      <c r="X731" s="27">
        <v>45959</v>
      </c>
      <c r="Y731" s="14" t="s">
        <v>290</v>
      </c>
      <c r="Z731" s="40" t="str">
        <f>IF(STAT[[#This Row],[sigla]]="","",VLOOKUP(STAT[[#This Row],[sigla]],CRÉDITOS_GERAIS[[sigla]:[credito]],2,))</f>
        <v>Bruna Campos</v>
      </c>
      <c r="AA731" s="14"/>
      <c r="AB731" s="14" t="str">
        <f>STAT[[#This Row],[ilustrador]]</f>
        <v>Bruna Campos</v>
      </c>
      <c r="AC731" s="14">
        <v>13</v>
      </c>
      <c r="AD731" s="22" t="s">
        <v>196</v>
      </c>
      <c r="AE731" s="15" t="s">
        <v>46</v>
      </c>
      <c r="AF731" s="42" t="str">
        <f t="shared" si="11"/>
        <v>P007</v>
      </c>
    </row>
    <row r="732" spans="1:32" ht="72" hidden="1" x14ac:dyDescent="0.3">
      <c r="A732" s="12" t="e" cm="1">
        <f t="array" aca="1" ref="A732" ca="1">IF(STAT[[#This Row],[retranca]]="","",       RegxFunc(STAT[[#This Row],[retranca]],  "\w\d{4}\w*_\d")     )</f>
        <v>#NAME?</v>
      </c>
      <c r="B732" s="21" t="s">
        <v>1710</v>
      </c>
      <c r="C732" s="14" t="s">
        <v>122</v>
      </c>
      <c r="D732" s="15" t="s">
        <v>9</v>
      </c>
      <c r="E732" s="15" t="s">
        <v>10</v>
      </c>
      <c r="F732" s="14">
        <v>10</v>
      </c>
      <c r="G732" s="15">
        <v>1</v>
      </c>
      <c r="H732" s="14">
        <v>0</v>
      </c>
      <c r="I732" s="14" t="s">
        <v>1683</v>
      </c>
      <c r="J732" s="17" t="s">
        <v>11</v>
      </c>
      <c r="K732" s="21"/>
      <c r="L732" s="14"/>
      <c r="M732" s="14"/>
      <c r="N732" s="14"/>
      <c r="O732" s="14"/>
      <c r="P732" s="25" t="s">
        <v>1711</v>
      </c>
      <c r="Q732" s="21"/>
      <c r="R732" s="22"/>
      <c r="S732" s="14"/>
      <c r="T732" s="27"/>
      <c r="U732" s="27"/>
      <c r="V732" s="27"/>
      <c r="W732" s="27"/>
      <c r="X732" s="27"/>
      <c r="Y732" s="14"/>
      <c r="Z732" s="40" t="str">
        <f>IF(STAT[[#This Row],[sigla]]="","",VLOOKUP(STAT[[#This Row],[sigla]],CRÉDITOS_GERAIS[[sigla]:[credito]],2,))</f>
        <v/>
      </c>
      <c r="AA732" s="14"/>
      <c r="AB732" s="14" t="str">
        <f>STAT[[#This Row],[ilustrador]]</f>
        <v/>
      </c>
      <c r="AC732" s="14"/>
      <c r="AD732" s="22"/>
      <c r="AE732" s="15"/>
      <c r="AF732" s="42" t="str">
        <f t="shared" si="11"/>
        <v>P007</v>
      </c>
    </row>
    <row r="733" spans="1:32" ht="28.8" hidden="1" x14ac:dyDescent="0.3">
      <c r="A733" s="12" t="e" cm="1">
        <f t="array" aca="1" ref="A733" ca="1">IF(STAT[[#This Row],[retranca]]="","",       RegxFunc(STAT[[#This Row],[retranca]],  "\w\d{4}\w*_\d")     )</f>
        <v>#NAME?</v>
      </c>
      <c r="B733" s="21" t="s">
        <v>1712</v>
      </c>
      <c r="C733" s="14" t="s">
        <v>122</v>
      </c>
      <c r="D733" s="15" t="s">
        <v>9</v>
      </c>
      <c r="E733" s="15" t="s">
        <v>10</v>
      </c>
      <c r="F733" s="14">
        <v>11</v>
      </c>
      <c r="G733" s="15">
        <v>1</v>
      </c>
      <c r="H733" s="14">
        <v>0</v>
      </c>
      <c r="I733" s="14" t="s">
        <v>1683</v>
      </c>
      <c r="J733" s="17" t="s">
        <v>11</v>
      </c>
      <c r="K733" s="21"/>
      <c r="L733" s="14"/>
      <c r="M733" s="14"/>
      <c r="N733" s="14"/>
      <c r="O733" s="14"/>
      <c r="P733" s="25" t="s">
        <v>1713</v>
      </c>
      <c r="Q733" s="21"/>
      <c r="R733" s="22"/>
      <c r="S733" s="14"/>
      <c r="T733" s="27"/>
      <c r="U733" s="27"/>
      <c r="V733" s="27"/>
      <c r="W733" s="27"/>
      <c r="X733" s="27"/>
      <c r="Y733" s="14"/>
      <c r="Z733" s="40" t="str">
        <f>IF(STAT[[#This Row],[sigla]]="","",VLOOKUP(STAT[[#This Row],[sigla]],CRÉDITOS_GERAIS[[sigla]:[credito]],2,))</f>
        <v/>
      </c>
      <c r="AA733" s="14"/>
      <c r="AB733" s="14" t="str">
        <f>STAT[[#This Row],[ilustrador]]</f>
        <v/>
      </c>
      <c r="AC733" s="14"/>
      <c r="AD733" s="22"/>
      <c r="AE733" s="15"/>
      <c r="AF733" s="42" t="str">
        <f t="shared" si="11"/>
        <v>P007</v>
      </c>
    </row>
    <row r="734" spans="1:32" ht="28.8" hidden="1" x14ac:dyDescent="0.3">
      <c r="A734" s="12" t="e" cm="1">
        <f t="array" aca="1" ref="A734" ca="1">IF(STAT[[#This Row],[retranca]]="","",       RegxFunc(STAT[[#This Row],[retranca]],  "\w\d{4}\w*_\d")     )</f>
        <v>#NAME?</v>
      </c>
      <c r="B734" s="21" t="s">
        <v>1714</v>
      </c>
      <c r="C734" s="14" t="s">
        <v>122</v>
      </c>
      <c r="D734" s="15" t="s">
        <v>9</v>
      </c>
      <c r="E734" s="15" t="s">
        <v>10</v>
      </c>
      <c r="F734" s="14">
        <v>16</v>
      </c>
      <c r="G734" s="15">
        <v>1</v>
      </c>
      <c r="H734" s="14">
        <v>0</v>
      </c>
      <c r="I734" s="14" t="s">
        <v>1683</v>
      </c>
      <c r="J734" s="17" t="s">
        <v>11</v>
      </c>
      <c r="K734" s="21"/>
      <c r="L734" s="14"/>
      <c r="M734" s="14"/>
      <c r="N734" s="14"/>
      <c r="O734" s="14"/>
      <c r="P734" s="25" t="s">
        <v>1715</v>
      </c>
      <c r="Q734" s="21"/>
      <c r="R734" s="22"/>
      <c r="S734" s="14"/>
      <c r="T734" s="27"/>
      <c r="U734" s="27"/>
      <c r="V734" s="27"/>
      <c r="W734" s="27"/>
      <c r="X734" s="27"/>
      <c r="Y734" s="14"/>
      <c r="Z734" s="40" t="str">
        <f>IF(STAT[[#This Row],[sigla]]="","",VLOOKUP(STAT[[#This Row],[sigla]],CRÉDITOS_GERAIS[[sigla]:[credito]],2,))</f>
        <v/>
      </c>
      <c r="AA734" s="14"/>
      <c r="AB734" s="14" t="str">
        <f>STAT[[#This Row],[ilustrador]]</f>
        <v/>
      </c>
      <c r="AC734" s="14"/>
      <c r="AD734" s="22"/>
      <c r="AE734" s="15"/>
      <c r="AF734" s="42" t="str">
        <f t="shared" si="11"/>
        <v>P007</v>
      </c>
    </row>
    <row r="735" spans="1:32" ht="28.8" hidden="1" x14ac:dyDescent="0.3">
      <c r="A735" s="12" t="e" cm="1">
        <f t="array" aca="1" ref="A735" ca="1">IF(STAT[[#This Row],[retranca]]="","",       RegxFunc(STAT[[#This Row],[retranca]],  "\w\d{4}\w*_\d")     )</f>
        <v>#NAME?</v>
      </c>
      <c r="B735" s="21" t="s">
        <v>1716</v>
      </c>
      <c r="C735" s="14" t="s">
        <v>8</v>
      </c>
      <c r="D735" s="15" t="s">
        <v>9</v>
      </c>
      <c r="E735" s="15" t="s">
        <v>10</v>
      </c>
      <c r="F735" s="14">
        <v>6</v>
      </c>
      <c r="G735" s="15">
        <v>1</v>
      </c>
      <c r="H735" s="14">
        <v>0</v>
      </c>
      <c r="I735" s="14" t="s">
        <v>1683</v>
      </c>
      <c r="J735" s="17" t="s">
        <v>11</v>
      </c>
      <c r="K735" s="21"/>
      <c r="L735" s="14"/>
      <c r="M735" s="14"/>
      <c r="N735" s="14"/>
      <c r="O735" s="14"/>
      <c r="P735" s="25" t="s">
        <v>1717</v>
      </c>
      <c r="Q735" s="21"/>
      <c r="R735" s="22"/>
      <c r="S735" s="14">
        <v>116</v>
      </c>
      <c r="T735" s="27">
        <v>45959</v>
      </c>
      <c r="U735" s="27"/>
      <c r="V735" s="27"/>
      <c r="W735" s="27"/>
      <c r="X735" s="27"/>
      <c r="Y735" s="14"/>
      <c r="Z735" s="40" t="str">
        <f>IF(STAT[[#This Row],[sigla]]="","",VLOOKUP(STAT[[#This Row],[sigla]],CRÉDITOS_GERAIS[[sigla]:[credito]],2,))</f>
        <v/>
      </c>
      <c r="AA735" s="14"/>
      <c r="AB735" s="14" t="str">
        <f>STAT[[#This Row],[ilustrador]]</f>
        <v/>
      </c>
      <c r="AC735" s="14"/>
      <c r="AD735" s="22"/>
      <c r="AE735" s="15"/>
      <c r="AF735" s="42" t="str">
        <f t="shared" si="11"/>
        <v>P007</v>
      </c>
    </row>
    <row r="736" spans="1:32" x14ac:dyDescent="0.3">
      <c r="A736" s="1"/>
    </row>
    <row r="737" spans="19:29" x14ac:dyDescent="0.3">
      <c r="S737" s="22"/>
      <c r="T737" s="23"/>
      <c r="AC737" s="9"/>
    </row>
  </sheetData>
  <sheetProtection formatCells="0" formatColumns="0" formatRows="0" sort="0" autoFilter="0" pivotTables="0"/>
  <dataConsolidate/>
  <phoneticPr fontId="6" type="noConversion"/>
  <dataValidations count="1">
    <dataValidation allowBlank="1" showErrorMessage="1" sqref="C1" xr:uid="{1121667E-FF50-4A3F-B60B-99F424BF42CA}"/>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12">
        <x14:dataValidation type="list" allowBlank="1" showInputMessage="1" showErrorMessage="1" xr:uid="{A4AAE0A3-41DE-47CE-BFF4-560E9E50A505}">
          <x14:formula1>
            <xm:f>LISTAS!$A$1:$A$9</xm:f>
          </x14:formula1>
          <xm:sqref>C2:C298 C300:C735</xm:sqref>
        </x14:dataValidation>
        <x14:dataValidation type="list" allowBlank="1" showInputMessage="1" showErrorMessage="1" xr:uid="{77B0CD4B-2B6C-405D-9919-958BC5D6C3B0}">
          <x14:formula1>
            <xm:f>LISTAS!$B:$B</xm:f>
          </x14:formula1>
          <xm:sqref>D360:D447 D449:D735 D2:D358</xm:sqref>
        </x14:dataValidation>
        <x14:dataValidation type="list" allowBlank="1" showInputMessage="1" showErrorMessage="1" xr:uid="{A4919FB1-6371-46EE-B3E4-6E149018ED63}">
          <x14:formula1>
            <xm:f>LISTAS!$E:$E</xm:f>
          </x14:formula1>
          <xm:sqref>J422:J735 J2:J420</xm:sqref>
        </x14:dataValidation>
        <x14:dataValidation type="list" allowBlank="1" showInputMessage="1" showErrorMessage="1" xr:uid="{A4645A3A-B115-4039-B1C9-4227973C9390}">
          <x14:formula1>
            <xm:f>LISTAS!$C:$C</xm:f>
          </x14:formula1>
          <xm:sqref>E482:E518 E520:E735 E2:E480</xm:sqref>
        </x14:dataValidation>
        <x14:dataValidation type="list" allowBlank="1" showInputMessage="1" showErrorMessage="1" xr:uid="{9833E61E-EB49-447A-AF34-784A0A3E1207}">
          <x14:formula1>
            <xm:f>LISTAS!$D:$D</xm:f>
          </x14:formula1>
          <xm:sqref>G482:G735 G2:G480 H599</xm:sqref>
        </x14:dataValidation>
        <x14:dataValidation type="list" allowBlank="1" showInputMessage="1" showErrorMessage="1" xr:uid="{39745072-E50C-45A3-AE69-014CB84AE254}">
          <x14:formula1>
            <xm:f>LISTAS!$F:$F</xm:f>
          </x14:formula1>
          <xm:sqref>O504:O735 O2:O502</xm:sqref>
        </x14:dataValidation>
        <x14:dataValidation type="list" allowBlank="1" showInputMessage="1" showErrorMessage="1" xr:uid="{575AA042-CB2C-4F8F-A304-810CCCE229D9}">
          <x14:formula1>
            <xm:f>LISTAS!$G:$G</xm:f>
          </x14:formula1>
          <xm:sqref>AC234 AC178:AC184 AC89 AC2:AC87 AC149:AC155 AC162:AC168 AC307 AC337 AC456 AC464 AC91:AC143</xm:sqref>
        </x14:dataValidation>
        <x14:dataValidation type="list" allowBlank="1" showInputMessage="1" showErrorMessage="1" xr:uid="{9E9136CD-C7EC-47C1-B672-944ABFB4418C}">
          <x14:formula1>
            <xm:f>LISTAS!$H:$H</xm:f>
          </x14:formula1>
          <xm:sqref>AE2:AE735</xm:sqref>
        </x14:dataValidation>
        <x14:dataValidation type="list" allowBlank="1" showInputMessage="1" showErrorMessage="1" xr:uid="{ECB9CDE8-B356-4592-9FEF-336408628C10}">
          <x14:formula1>
            <xm:f>LISTAS!$J:$J</xm:f>
          </x14:formula1>
          <xm:sqref>K2:K645</xm:sqref>
        </x14:dataValidation>
        <x14:dataValidation type="list" allowBlank="1" showInputMessage="1" showErrorMessage="1" xr:uid="{EE431375-FED7-4B48-AF74-A2B522F85450}">
          <x14:formula1>
            <xm:f>'CRÉDITOS_GERAIS'!$A$2:$A$335</xm:f>
          </x14:formula1>
          <xm:sqref>Q2:Q110 Q112:Q128 Q130:Q439 Q441:Q480 Q482:Q726 Q728:Q735</xm:sqref>
        </x14:dataValidation>
        <x14:dataValidation type="list" allowBlank="1" showInputMessage="1" showErrorMessage="1" xr:uid="{6E617D77-B8DD-4934-9BF7-2C72AA5F2F7E}">
          <x14:formula1>
            <xm:f>'CRÉDITOS_GERAIS'!$C$2:$C$335</xm:f>
          </x14:formula1>
          <xm:sqref>AA2:AA735</xm:sqref>
        </x14:dataValidation>
        <x14:dataValidation type="list" allowBlank="1" showInputMessage="1" showErrorMessage="1" xr:uid="{DE55F3F9-09A4-4E16-95EB-37B9DB73D7E4}">
          <x14:formula1>
            <xm:f>'CRÉDITOS_GERAIS'!$B$2:$B$335</xm:f>
          </x14:formula1>
          <xm:sqref>Y2:Y735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FF6B-7731-47B1-BDA5-13CF9341BCEC}">
  <dimension ref="A1:C335"/>
  <sheetViews>
    <sheetView tabSelected="1" workbookViewId="0">
      <selection activeCell="A2" sqref="A2"/>
    </sheetView>
  </sheetViews>
  <sheetFormatPr defaultRowHeight="14.4" x14ac:dyDescent="0.3"/>
  <cols>
    <col min="1" max="1" width="46.5546875" customWidth="1"/>
    <col min="2" max="2" width="13.33203125" bestFit="1" customWidth="1"/>
    <col min="3" max="3" width="42.88671875" bestFit="1" customWidth="1"/>
  </cols>
  <sheetData>
    <row r="1" spans="1:3" x14ac:dyDescent="0.3">
      <c r="A1" t="s">
        <v>2495</v>
      </c>
      <c r="B1" t="s">
        <v>2489</v>
      </c>
      <c r="C1" t="s">
        <v>2487</v>
      </c>
    </row>
    <row r="2" spans="1:3" x14ac:dyDescent="0.3">
      <c r="A2" t="s">
        <v>1718</v>
      </c>
      <c r="B2" s="4" t="s">
        <v>1719</v>
      </c>
      <c r="C2" t="s">
        <v>760</v>
      </c>
    </row>
    <row r="3" spans="1:3" x14ac:dyDescent="0.3">
      <c r="A3" t="s">
        <v>1720</v>
      </c>
      <c r="B3" s="4" t="s">
        <v>1721</v>
      </c>
      <c r="C3" t="s">
        <v>1722</v>
      </c>
    </row>
    <row r="4" spans="1:3" x14ac:dyDescent="0.3">
      <c r="A4" t="s">
        <v>1723</v>
      </c>
      <c r="B4" s="4" t="s">
        <v>1724</v>
      </c>
      <c r="C4" t="s">
        <v>1725</v>
      </c>
    </row>
    <row r="5" spans="1:3" x14ac:dyDescent="0.3">
      <c r="A5" t="s">
        <v>1726</v>
      </c>
      <c r="B5" s="4" t="s">
        <v>1727</v>
      </c>
      <c r="C5" t="s">
        <v>1728</v>
      </c>
    </row>
    <row r="6" spans="1:3" x14ac:dyDescent="0.3">
      <c r="A6" t="s">
        <v>1729</v>
      </c>
      <c r="B6" s="4" t="s">
        <v>1730</v>
      </c>
      <c r="C6" t="s">
        <v>1731</v>
      </c>
    </row>
    <row r="7" spans="1:3" x14ac:dyDescent="0.3">
      <c r="A7" t="s">
        <v>1732</v>
      </c>
      <c r="B7" s="4" t="s">
        <v>1733</v>
      </c>
      <c r="C7" t="s">
        <v>1734</v>
      </c>
    </row>
    <row r="8" spans="1:3" x14ac:dyDescent="0.3">
      <c r="A8" t="s">
        <v>1735</v>
      </c>
      <c r="B8" s="4" t="s">
        <v>1736</v>
      </c>
      <c r="C8" t="s">
        <v>1735</v>
      </c>
    </row>
    <row r="9" spans="1:3" x14ac:dyDescent="0.3">
      <c r="A9" t="s">
        <v>1737</v>
      </c>
      <c r="B9" s="4" t="s">
        <v>1738</v>
      </c>
      <c r="C9" t="s">
        <v>1737</v>
      </c>
    </row>
    <row r="10" spans="1:3" x14ac:dyDescent="0.3">
      <c r="A10" t="s">
        <v>1739</v>
      </c>
      <c r="B10" s="4" t="s">
        <v>1740</v>
      </c>
      <c r="C10" t="s">
        <v>1739</v>
      </c>
    </row>
    <row r="11" spans="1:3" x14ac:dyDescent="0.3">
      <c r="A11" t="s">
        <v>1741</v>
      </c>
      <c r="B11" s="4" t="s">
        <v>1742</v>
      </c>
      <c r="C11" t="s">
        <v>1741</v>
      </c>
    </row>
    <row r="12" spans="1:3" x14ac:dyDescent="0.3">
      <c r="A12" t="s">
        <v>1743</v>
      </c>
      <c r="B12" s="4" t="s">
        <v>1744</v>
      </c>
      <c r="C12" t="s">
        <v>1743</v>
      </c>
    </row>
    <row r="13" spans="1:3" x14ac:dyDescent="0.3">
      <c r="A13" t="s">
        <v>1745</v>
      </c>
      <c r="B13" s="4" t="s">
        <v>1746</v>
      </c>
      <c r="C13" t="s">
        <v>1745</v>
      </c>
    </row>
    <row r="14" spans="1:3" x14ac:dyDescent="0.3">
      <c r="A14" t="s">
        <v>1747</v>
      </c>
      <c r="B14" s="4" t="s">
        <v>1748</v>
      </c>
      <c r="C14" t="s">
        <v>1747</v>
      </c>
    </row>
    <row r="15" spans="1:3" x14ac:dyDescent="0.3">
      <c r="A15" t="s">
        <v>1749</v>
      </c>
      <c r="B15" s="4" t="s">
        <v>1750</v>
      </c>
      <c r="C15" t="s">
        <v>1749</v>
      </c>
    </row>
    <row r="16" spans="1:3" x14ac:dyDescent="0.3">
      <c r="A16" t="s">
        <v>1751</v>
      </c>
      <c r="B16" s="4" t="s">
        <v>876</v>
      </c>
      <c r="C16" t="s">
        <v>1751</v>
      </c>
    </row>
    <row r="17" spans="1:3" x14ac:dyDescent="0.3">
      <c r="A17" t="s">
        <v>1752</v>
      </c>
      <c r="B17" s="4" t="s">
        <v>1753</v>
      </c>
      <c r="C17" t="s">
        <v>1752</v>
      </c>
    </row>
    <row r="18" spans="1:3" x14ac:dyDescent="0.3">
      <c r="A18" t="s">
        <v>1754</v>
      </c>
      <c r="B18" s="4" t="s">
        <v>1755</v>
      </c>
      <c r="C18" t="s">
        <v>1756</v>
      </c>
    </row>
    <row r="19" spans="1:3" x14ac:dyDescent="0.3">
      <c r="A19" t="s">
        <v>1757</v>
      </c>
      <c r="B19" s="4" t="s">
        <v>1758</v>
      </c>
      <c r="C19" t="s">
        <v>1757</v>
      </c>
    </row>
    <row r="20" spans="1:3" x14ac:dyDescent="0.3">
      <c r="A20" t="s">
        <v>1759</v>
      </c>
      <c r="B20" s="4" t="s">
        <v>1760</v>
      </c>
      <c r="C20" t="s">
        <v>1759</v>
      </c>
    </row>
    <row r="21" spans="1:3" x14ac:dyDescent="0.3">
      <c r="A21" t="s">
        <v>1761</v>
      </c>
      <c r="B21" s="4" t="s">
        <v>1762</v>
      </c>
      <c r="C21" t="s">
        <v>1761</v>
      </c>
    </row>
    <row r="22" spans="1:3" x14ac:dyDescent="0.3">
      <c r="A22" t="s">
        <v>1763</v>
      </c>
      <c r="B22" s="4" t="s">
        <v>1764</v>
      </c>
      <c r="C22" t="s">
        <v>1765</v>
      </c>
    </row>
    <row r="23" spans="1:3" x14ac:dyDescent="0.3">
      <c r="A23" t="s">
        <v>1766</v>
      </c>
      <c r="B23" s="4" t="s">
        <v>1767</v>
      </c>
      <c r="C23" t="s">
        <v>1766</v>
      </c>
    </row>
    <row r="24" spans="1:3" x14ac:dyDescent="0.3">
      <c r="A24" t="s">
        <v>1768</v>
      </c>
      <c r="B24" s="4" t="s">
        <v>1769</v>
      </c>
      <c r="C24" t="s">
        <v>1770</v>
      </c>
    </row>
    <row r="25" spans="1:3" x14ac:dyDescent="0.3">
      <c r="A25" t="s">
        <v>1771</v>
      </c>
      <c r="B25" s="4" t="s">
        <v>1772</v>
      </c>
      <c r="C25" t="s">
        <v>1771</v>
      </c>
    </row>
    <row r="26" spans="1:3" x14ac:dyDescent="0.3">
      <c r="A26" t="s">
        <v>1773</v>
      </c>
      <c r="B26" s="4" t="s">
        <v>1774</v>
      </c>
      <c r="C26" t="s">
        <v>1773</v>
      </c>
    </row>
    <row r="27" spans="1:3" x14ac:dyDescent="0.3">
      <c r="A27" t="s">
        <v>1775</v>
      </c>
      <c r="B27" s="4" t="s">
        <v>1776</v>
      </c>
      <c r="C27" t="s">
        <v>1775</v>
      </c>
    </row>
    <row r="28" spans="1:3" x14ac:dyDescent="0.3">
      <c r="A28" t="s">
        <v>1777</v>
      </c>
      <c r="B28" s="4" t="s">
        <v>1778</v>
      </c>
      <c r="C28" t="s">
        <v>1779</v>
      </c>
    </row>
    <row r="29" spans="1:3" x14ac:dyDescent="0.3">
      <c r="A29" t="s">
        <v>1780</v>
      </c>
      <c r="B29" s="4" t="s">
        <v>1781</v>
      </c>
      <c r="C29" t="s">
        <v>1782</v>
      </c>
    </row>
    <row r="30" spans="1:3" x14ac:dyDescent="0.3">
      <c r="A30" t="s">
        <v>1783</v>
      </c>
      <c r="B30" s="4" t="s">
        <v>1784</v>
      </c>
      <c r="C30" t="s">
        <v>1783</v>
      </c>
    </row>
    <row r="31" spans="1:3" x14ac:dyDescent="0.3">
      <c r="A31" t="s">
        <v>1785</v>
      </c>
      <c r="B31" s="4" t="s">
        <v>1786</v>
      </c>
      <c r="C31" t="s">
        <v>1787</v>
      </c>
    </row>
    <row r="32" spans="1:3" x14ac:dyDescent="0.3">
      <c r="A32" t="s">
        <v>1788</v>
      </c>
      <c r="B32" s="4" t="s">
        <v>1789</v>
      </c>
      <c r="C32" t="s">
        <v>1788</v>
      </c>
    </row>
    <row r="33" spans="1:3" x14ac:dyDescent="0.3">
      <c r="A33" t="s">
        <v>1790</v>
      </c>
      <c r="B33" s="4" t="s">
        <v>1791</v>
      </c>
      <c r="C33" t="s">
        <v>1790</v>
      </c>
    </row>
    <row r="34" spans="1:3" x14ac:dyDescent="0.3">
      <c r="A34" t="s">
        <v>1792</v>
      </c>
      <c r="B34" s="4" t="s">
        <v>1793</v>
      </c>
      <c r="C34" t="s">
        <v>1792</v>
      </c>
    </row>
    <row r="35" spans="1:3" x14ac:dyDescent="0.3">
      <c r="A35" t="s">
        <v>1794</v>
      </c>
      <c r="B35" s="4" t="s">
        <v>1795</v>
      </c>
      <c r="C35" t="s">
        <v>1794</v>
      </c>
    </row>
    <row r="36" spans="1:3" x14ac:dyDescent="0.3">
      <c r="A36" t="s">
        <v>1796</v>
      </c>
      <c r="B36" s="4" t="s">
        <v>1797</v>
      </c>
      <c r="C36" t="s">
        <v>1796</v>
      </c>
    </row>
    <row r="37" spans="1:3" x14ac:dyDescent="0.3">
      <c r="A37" t="s">
        <v>120</v>
      </c>
      <c r="B37" s="4" t="s">
        <v>119</v>
      </c>
      <c r="C37" t="s">
        <v>120</v>
      </c>
    </row>
    <row r="38" spans="1:3" x14ac:dyDescent="0.3">
      <c r="A38" t="s">
        <v>1798</v>
      </c>
      <c r="B38" s="4" t="s">
        <v>1799</v>
      </c>
      <c r="C38" t="s">
        <v>1798</v>
      </c>
    </row>
    <row r="39" spans="1:3" x14ac:dyDescent="0.3">
      <c r="A39" t="s">
        <v>24</v>
      </c>
      <c r="B39" s="4" t="s">
        <v>1800</v>
      </c>
      <c r="C39" t="s">
        <v>24</v>
      </c>
    </row>
    <row r="40" spans="1:3" x14ac:dyDescent="0.3">
      <c r="A40" t="s">
        <v>1801</v>
      </c>
      <c r="B40" s="4" t="s">
        <v>290</v>
      </c>
      <c r="C40" t="s">
        <v>90</v>
      </c>
    </row>
    <row r="41" spans="1:3" x14ac:dyDescent="0.3">
      <c r="A41" t="s">
        <v>1802</v>
      </c>
      <c r="B41" s="4" t="s">
        <v>1803</v>
      </c>
      <c r="C41" t="s">
        <v>1802</v>
      </c>
    </row>
    <row r="42" spans="1:3" x14ac:dyDescent="0.3">
      <c r="A42" t="s">
        <v>1804</v>
      </c>
      <c r="B42" s="4" t="s">
        <v>1805</v>
      </c>
      <c r="C42" t="s">
        <v>1804</v>
      </c>
    </row>
    <row r="43" spans="1:3" x14ac:dyDescent="0.3">
      <c r="A43" t="s">
        <v>1806</v>
      </c>
      <c r="B43" s="4" t="s">
        <v>1807</v>
      </c>
      <c r="C43" t="s">
        <v>1806</v>
      </c>
    </row>
    <row r="44" spans="1:3" x14ac:dyDescent="0.3">
      <c r="A44" t="s">
        <v>1808</v>
      </c>
      <c r="B44" s="4" t="s">
        <v>1809</v>
      </c>
      <c r="C44" t="s">
        <v>1810</v>
      </c>
    </row>
    <row r="45" spans="1:3" x14ac:dyDescent="0.3">
      <c r="A45" t="s">
        <v>1811</v>
      </c>
      <c r="B45" s="4" t="s">
        <v>1812</v>
      </c>
      <c r="C45" t="s">
        <v>1813</v>
      </c>
    </row>
    <row r="46" spans="1:3" x14ac:dyDescent="0.3">
      <c r="A46" t="s">
        <v>1814</v>
      </c>
      <c r="B46" s="4" t="s">
        <v>1815</v>
      </c>
      <c r="C46" t="s">
        <v>1816</v>
      </c>
    </row>
    <row r="47" spans="1:3" x14ac:dyDescent="0.3">
      <c r="A47" t="s">
        <v>1817</v>
      </c>
      <c r="B47" s="4" t="s">
        <v>1818</v>
      </c>
      <c r="C47" t="s">
        <v>1817</v>
      </c>
    </row>
    <row r="48" spans="1:3" x14ac:dyDescent="0.3">
      <c r="A48" t="s">
        <v>1819</v>
      </c>
      <c r="B48" s="4" t="s">
        <v>1820</v>
      </c>
      <c r="C48" t="s">
        <v>1821</v>
      </c>
    </row>
    <row r="49" spans="1:3" x14ac:dyDescent="0.3">
      <c r="A49" t="s">
        <v>1822</v>
      </c>
      <c r="B49" s="4" t="s">
        <v>1823</v>
      </c>
      <c r="C49" t="s">
        <v>1822</v>
      </c>
    </row>
    <row r="50" spans="1:3" x14ac:dyDescent="0.3">
      <c r="A50" t="s">
        <v>51</v>
      </c>
      <c r="B50" s="4" t="s">
        <v>1824</v>
      </c>
      <c r="C50" t="s">
        <v>1825</v>
      </c>
    </row>
    <row r="51" spans="1:3" x14ac:dyDescent="0.3">
      <c r="A51" t="s">
        <v>1826</v>
      </c>
      <c r="B51" s="4" t="s">
        <v>1827</v>
      </c>
      <c r="C51" t="s">
        <v>1828</v>
      </c>
    </row>
    <row r="52" spans="1:3" x14ac:dyDescent="0.3">
      <c r="A52" t="s">
        <v>1829</v>
      </c>
      <c r="B52" s="4" t="s">
        <v>1830</v>
      </c>
      <c r="C52" t="s">
        <v>414</v>
      </c>
    </row>
    <row r="53" spans="1:3" x14ac:dyDescent="0.3">
      <c r="A53" t="s">
        <v>1831</v>
      </c>
      <c r="B53" s="4" t="s">
        <v>1832</v>
      </c>
      <c r="C53" t="s">
        <v>1831</v>
      </c>
    </row>
    <row r="54" spans="1:3" x14ac:dyDescent="0.3">
      <c r="A54" t="s">
        <v>1833</v>
      </c>
      <c r="B54" s="4" t="s">
        <v>1834</v>
      </c>
      <c r="C54" t="s">
        <v>1835</v>
      </c>
    </row>
    <row r="55" spans="1:3" x14ac:dyDescent="0.3">
      <c r="A55" t="s">
        <v>1836</v>
      </c>
      <c r="B55" s="4" t="s">
        <v>1837</v>
      </c>
      <c r="C55" t="s">
        <v>1836</v>
      </c>
    </row>
    <row r="56" spans="1:3" x14ac:dyDescent="0.3">
      <c r="A56" t="s">
        <v>1838</v>
      </c>
      <c r="B56" s="4" t="s">
        <v>1839</v>
      </c>
      <c r="C56" t="s">
        <v>1838</v>
      </c>
    </row>
    <row r="57" spans="1:3" x14ac:dyDescent="0.3">
      <c r="A57" t="s">
        <v>1840</v>
      </c>
      <c r="B57" s="4" t="s">
        <v>1841</v>
      </c>
      <c r="C57" t="s">
        <v>1840</v>
      </c>
    </row>
    <row r="58" spans="1:3" x14ac:dyDescent="0.3">
      <c r="A58" t="s">
        <v>1842</v>
      </c>
      <c r="B58" s="4" t="s">
        <v>1843</v>
      </c>
      <c r="C58" t="s">
        <v>1844</v>
      </c>
    </row>
    <row r="59" spans="1:3" x14ac:dyDescent="0.3">
      <c r="A59" t="s">
        <v>1845</v>
      </c>
      <c r="B59" s="4" t="s">
        <v>1846</v>
      </c>
      <c r="C59" t="s">
        <v>1845</v>
      </c>
    </row>
    <row r="60" spans="1:3" x14ac:dyDescent="0.3">
      <c r="A60" t="s">
        <v>1847</v>
      </c>
      <c r="B60" s="4" t="s">
        <v>1848</v>
      </c>
      <c r="C60" t="s">
        <v>1847</v>
      </c>
    </row>
    <row r="61" spans="1:3" x14ac:dyDescent="0.3">
      <c r="A61" t="s">
        <v>1849</v>
      </c>
      <c r="B61" s="4" t="s">
        <v>1850</v>
      </c>
      <c r="C61" t="s">
        <v>1849</v>
      </c>
    </row>
    <row r="62" spans="1:3" x14ac:dyDescent="0.3">
      <c r="A62" t="s">
        <v>1851</v>
      </c>
      <c r="B62" s="4" t="s">
        <v>1852</v>
      </c>
      <c r="C62" t="s">
        <v>1851</v>
      </c>
    </row>
    <row r="63" spans="1:3" x14ac:dyDescent="0.3">
      <c r="A63" t="s">
        <v>1853</v>
      </c>
      <c r="B63" s="4" t="s">
        <v>1854</v>
      </c>
      <c r="C63" t="s">
        <v>1853</v>
      </c>
    </row>
    <row r="64" spans="1:3" x14ac:dyDescent="0.3">
      <c r="A64" t="s">
        <v>1855</v>
      </c>
      <c r="B64" s="4" t="s">
        <v>1856</v>
      </c>
      <c r="C64" t="s">
        <v>1855</v>
      </c>
    </row>
    <row r="65" spans="1:3" x14ac:dyDescent="0.3">
      <c r="A65" t="s">
        <v>1857</v>
      </c>
      <c r="B65" s="4" t="s">
        <v>1858</v>
      </c>
      <c r="C65" t="s">
        <v>1857</v>
      </c>
    </row>
    <row r="66" spans="1:3" x14ac:dyDescent="0.3">
      <c r="A66" t="s">
        <v>1859</v>
      </c>
      <c r="B66" s="4" t="s">
        <v>1860</v>
      </c>
      <c r="C66" t="s">
        <v>1859</v>
      </c>
    </row>
    <row r="67" spans="1:3" x14ac:dyDescent="0.3">
      <c r="A67" t="s">
        <v>1861</v>
      </c>
      <c r="B67" s="4" t="s">
        <v>1862</v>
      </c>
      <c r="C67" t="s">
        <v>1861</v>
      </c>
    </row>
    <row r="68" spans="1:3" x14ac:dyDescent="0.3">
      <c r="A68" t="s">
        <v>1863</v>
      </c>
      <c r="B68" s="4" t="s">
        <v>1864</v>
      </c>
      <c r="C68" t="s">
        <v>1863</v>
      </c>
    </row>
    <row r="69" spans="1:3" x14ac:dyDescent="0.3">
      <c r="A69" t="s">
        <v>110</v>
      </c>
      <c r="B69" s="4" t="s">
        <v>109</v>
      </c>
      <c r="C69" t="s">
        <v>110</v>
      </c>
    </row>
    <row r="70" spans="1:3" x14ac:dyDescent="0.3">
      <c r="A70" t="s">
        <v>1865</v>
      </c>
      <c r="B70" s="4" t="s">
        <v>1866</v>
      </c>
      <c r="C70" t="s">
        <v>1865</v>
      </c>
    </row>
    <row r="71" spans="1:3" x14ac:dyDescent="0.3">
      <c r="A71" t="s">
        <v>1867</v>
      </c>
      <c r="B71" s="4" t="s">
        <v>1868</v>
      </c>
      <c r="C71" t="s">
        <v>1867</v>
      </c>
    </row>
    <row r="72" spans="1:3" x14ac:dyDescent="0.3">
      <c r="A72" t="s">
        <v>1869</v>
      </c>
      <c r="B72" s="4" t="s">
        <v>1870</v>
      </c>
      <c r="C72" t="s">
        <v>1869</v>
      </c>
    </row>
    <row r="73" spans="1:3" x14ac:dyDescent="0.3">
      <c r="A73" t="s">
        <v>1871</v>
      </c>
      <c r="B73" s="4" t="s">
        <v>1872</v>
      </c>
      <c r="C73" t="s">
        <v>1871</v>
      </c>
    </row>
    <row r="74" spans="1:3" x14ac:dyDescent="0.3">
      <c r="A74" t="s">
        <v>1873</v>
      </c>
      <c r="B74" s="4" t="s">
        <v>1874</v>
      </c>
      <c r="C74" t="s">
        <v>1873</v>
      </c>
    </row>
    <row r="75" spans="1:3" x14ac:dyDescent="0.3">
      <c r="A75" t="s">
        <v>1875</v>
      </c>
      <c r="B75" s="4" t="s">
        <v>1876</v>
      </c>
      <c r="C75" t="s">
        <v>1877</v>
      </c>
    </row>
    <row r="76" spans="1:3" x14ac:dyDescent="0.3">
      <c r="A76" t="s">
        <v>1878</v>
      </c>
      <c r="B76" s="4" t="s">
        <v>1879</v>
      </c>
      <c r="C76" t="s">
        <v>1880</v>
      </c>
    </row>
    <row r="77" spans="1:3" x14ac:dyDescent="0.3">
      <c r="A77" t="s">
        <v>1881</v>
      </c>
      <c r="B77" s="4" t="s">
        <v>1882</v>
      </c>
      <c r="C77" t="s">
        <v>1881</v>
      </c>
    </row>
    <row r="78" spans="1:3" x14ac:dyDescent="0.3">
      <c r="A78" t="s">
        <v>1883</v>
      </c>
      <c r="B78" s="4" t="s">
        <v>1884</v>
      </c>
      <c r="C78" t="s">
        <v>1883</v>
      </c>
    </row>
    <row r="79" spans="1:3" x14ac:dyDescent="0.3">
      <c r="A79" t="s">
        <v>1885</v>
      </c>
      <c r="B79" s="4" t="s">
        <v>1886</v>
      </c>
      <c r="C79" t="s">
        <v>1885</v>
      </c>
    </row>
    <row r="80" spans="1:3" x14ac:dyDescent="0.3">
      <c r="A80" t="s">
        <v>1887</v>
      </c>
      <c r="B80" s="4" t="s">
        <v>1888</v>
      </c>
      <c r="C80" t="s">
        <v>1887</v>
      </c>
    </row>
    <row r="81" spans="1:3" x14ac:dyDescent="0.3">
      <c r="A81" t="s">
        <v>1889</v>
      </c>
      <c r="B81" s="4" t="s">
        <v>1890</v>
      </c>
      <c r="C81" t="s">
        <v>1889</v>
      </c>
    </row>
    <row r="82" spans="1:3" x14ac:dyDescent="0.3">
      <c r="A82" t="s">
        <v>1891</v>
      </c>
      <c r="B82" s="4" t="s">
        <v>1892</v>
      </c>
      <c r="C82" t="s">
        <v>1891</v>
      </c>
    </row>
    <row r="83" spans="1:3" x14ac:dyDescent="0.3">
      <c r="A83" t="s">
        <v>1893</v>
      </c>
      <c r="B83" s="4" t="s">
        <v>1894</v>
      </c>
      <c r="C83" t="s">
        <v>1893</v>
      </c>
    </row>
    <row r="84" spans="1:3" x14ac:dyDescent="0.3">
      <c r="A84" t="s">
        <v>1895</v>
      </c>
      <c r="B84" s="4" t="s">
        <v>1896</v>
      </c>
      <c r="C84" t="s">
        <v>1897</v>
      </c>
    </row>
    <row r="85" spans="1:3" x14ac:dyDescent="0.3">
      <c r="A85" t="s">
        <v>1898</v>
      </c>
      <c r="B85" s="4" t="s">
        <v>1899</v>
      </c>
      <c r="C85" t="s">
        <v>1898</v>
      </c>
    </row>
    <row r="86" spans="1:3" x14ac:dyDescent="0.3">
      <c r="A86" t="s">
        <v>1900</v>
      </c>
      <c r="B86" s="4" t="s">
        <v>1901</v>
      </c>
      <c r="C86" t="s">
        <v>1902</v>
      </c>
    </row>
    <row r="87" spans="1:3" x14ac:dyDescent="0.3">
      <c r="A87" t="s">
        <v>1903</v>
      </c>
      <c r="B87" s="4" t="s">
        <v>1904</v>
      </c>
      <c r="C87" t="s">
        <v>60</v>
      </c>
    </row>
    <row r="88" spans="1:3" x14ac:dyDescent="0.3">
      <c r="A88" t="s">
        <v>1905</v>
      </c>
      <c r="B88" s="4" t="s">
        <v>1906</v>
      </c>
      <c r="C88" t="s">
        <v>1905</v>
      </c>
    </row>
    <row r="89" spans="1:3" x14ac:dyDescent="0.3">
      <c r="A89" t="s">
        <v>1907</v>
      </c>
      <c r="B89" s="4" t="s">
        <v>1908</v>
      </c>
      <c r="C89" t="s">
        <v>1907</v>
      </c>
    </row>
    <row r="90" spans="1:3" x14ac:dyDescent="0.3">
      <c r="A90" t="s">
        <v>100</v>
      </c>
      <c r="B90" s="4" t="s">
        <v>99</v>
      </c>
      <c r="C90" t="s">
        <v>100</v>
      </c>
    </row>
    <row r="91" spans="1:3" x14ac:dyDescent="0.3">
      <c r="A91" t="s">
        <v>1909</v>
      </c>
      <c r="B91" s="4" t="s">
        <v>1467</v>
      </c>
      <c r="C91" t="s">
        <v>1910</v>
      </c>
    </row>
    <row r="92" spans="1:3" x14ac:dyDescent="0.3">
      <c r="A92" t="s">
        <v>1911</v>
      </c>
      <c r="B92" s="4" t="s">
        <v>1912</v>
      </c>
      <c r="C92" t="s">
        <v>1913</v>
      </c>
    </row>
    <row r="93" spans="1:3" x14ac:dyDescent="0.3">
      <c r="A93" t="s">
        <v>1914</v>
      </c>
      <c r="B93" s="4" t="s">
        <v>1651</v>
      </c>
      <c r="C93" t="s">
        <v>1915</v>
      </c>
    </row>
    <row r="94" spans="1:3" x14ac:dyDescent="0.3">
      <c r="A94" t="s">
        <v>1916</v>
      </c>
      <c r="B94" s="4" t="s">
        <v>1917</v>
      </c>
      <c r="C94" t="s">
        <v>1916</v>
      </c>
    </row>
    <row r="95" spans="1:3" x14ac:dyDescent="0.3">
      <c r="A95" t="s">
        <v>1918</v>
      </c>
      <c r="B95" s="4" t="s">
        <v>1919</v>
      </c>
      <c r="C95" t="s">
        <v>1920</v>
      </c>
    </row>
    <row r="96" spans="1:3" x14ac:dyDescent="0.3">
      <c r="A96" t="s">
        <v>1921</v>
      </c>
      <c r="B96" s="4" t="s">
        <v>1483</v>
      </c>
      <c r="C96" t="s">
        <v>1922</v>
      </c>
    </row>
    <row r="97" spans="1:3" x14ac:dyDescent="0.3">
      <c r="A97" t="s">
        <v>1923</v>
      </c>
      <c r="B97" s="4" t="s">
        <v>1924</v>
      </c>
      <c r="C97" t="s">
        <v>1923</v>
      </c>
    </row>
    <row r="98" spans="1:3" x14ac:dyDescent="0.3">
      <c r="A98" t="s">
        <v>1925</v>
      </c>
      <c r="B98" s="4" t="s">
        <v>1926</v>
      </c>
      <c r="C98" t="s">
        <v>1927</v>
      </c>
    </row>
    <row r="99" spans="1:3" x14ac:dyDescent="0.3">
      <c r="A99" t="s">
        <v>1928</v>
      </c>
      <c r="B99" s="4" t="s">
        <v>1929</v>
      </c>
      <c r="C99" t="s">
        <v>1928</v>
      </c>
    </row>
    <row r="100" spans="1:3" x14ac:dyDescent="0.3">
      <c r="A100" t="s">
        <v>1930</v>
      </c>
      <c r="B100" s="4" t="s">
        <v>1931</v>
      </c>
      <c r="C100" t="s">
        <v>1932</v>
      </c>
    </row>
    <row r="101" spans="1:3" x14ac:dyDescent="0.3">
      <c r="A101" t="s">
        <v>1933</v>
      </c>
      <c r="B101" s="4" t="s">
        <v>1934</v>
      </c>
      <c r="C101" t="s">
        <v>1935</v>
      </c>
    </row>
    <row r="102" spans="1:3" x14ac:dyDescent="0.3">
      <c r="A102" t="s">
        <v>1936</v>
      </c>
      <c r="B102" s="4" t="s">
        <v>1937</v>
      </c>
      <c r="C102" t="s">
        <v>1936</v>
      </c>
    </row>
    <row r="103" spans="1:3" x14ac:dyDescent="0.3">
      <c r="A103" t="s">
        <v>1938</v>
      </c>
      <c r="B103" s="4" t="s">
        <v>1939</v>
      </c>
      <c r="C103" t="s">
        <v>1940</v>
      </c>
    </row>
    <row r="104" spans="1:3" x14ac:dyDescent="0.3">
      <c r="A104" t="s">
        <v>1941</v>
      </c>
      <c r="B104" s="4" t="s">
        <v>1942</v>
      </c>
      <c r="C104" t="s">
        <v>1941</v>
      </c>
    </row>
    <row r="105" spans="1:3" x14ac:dyDescent="0.3">
      <c r="A105" t="s">
        <v>1943</v>
      </c>
      <c r="B105" s="4" t="s">
        <v>1944</v>
      </c>
      <c r="C105" t="s">
        <v>1943</v>
      </c>
    </row>
    <row r="106" spans="1:3" x14ac:dyDescent="0.3">
      <c r="A106" t="s">
        <v>1945</v>
      </c>
      <c r="B106" s="4" t="s">
        <v>1946</v>
      </c>
      <c r="C106" t="s">
        <v>1945</v>
      </c>
    </row>
    <row r="107" spans="1:3" x14ac:dyDescent="0.3">
      <c r="A107" t="s">
        <v>1947</v>
      </c>
      <c r="B107" s="4" t="s">
        <v>1948</v>
      </c>
      <c r="C107" t="s">
        <v>1949</v>
      </c>
    </row>
    <row r="108" spans="1:3" x14ac:dyDescent="0.3">
      <c r="A108" t="s">
        <v>1950</v>
      </c>
      <c r="B108" s="4" t="s">
        <v>1951</v>
      </c>
      <c r="C108" t="s">
        <v>1952</v>
      </c>
    </row>
    <row r="109" spans="1:3" x14ac:dyDescent="0.3">
      <c r="A109" t="s">
        <v>1953</v>
      </c>
      <c r="B109" s="4" t="s">
        <v>1954</v>
      </c>
      <c r="C109" t="s">
        <v>1955</v>
      </c>
    </row>
    <row r="110" spans="1:3" x14ac:dyDescent="0.3">
      <c r="A110" t="s">
        <v>1956</v>
      </c>
      <c r="B110" s="4" t="s">
        <v>1957</v>
      </c>
      <c r="C110" t="s">
        <v>1956</v>
      </c>
    </row>
    <row r="111" spans="1:3" x14ac:dyDescent="0.3">
      <c r="A111" t="s">
        <v>1959</v>
      </c>
      <c r="B111" s="4" t="s">
        <v>1960</v>
      </c>
      <c r="C111" t="s">
        <v>1959</v>
      </c>
    </row>
    <row r="112" spans="1:3" x14ac:dyDescent="0.3">
      <c r="A112" t="s">
        <v>1961</v>
      </c>
      <c r="B112" s="4" t="s">
        <v>1962</v>
      </c>
      <c r="C112" t="s">
        <v>1961</v>
      </c>
    </row>
    <row r="113" spans="1:3" x14ac:dyDescent="0.3">
      <c r="A113" t="s">
        <v>1963</v>
      </c>
      <c r="B113" s="4" t="s">
        <v>1964</v>
      </c>
      <c r="C113" t="s">
        <v>1965</v>
      </c>
    </row>
    <row r="114" spans="1:3" x14ac:dyDescent="0.3">
      <c r="A114" t="s">
        <v>1966</v>
      </c>
      <c r="B114" s="4" t="s">
        <v>1967</v>
      </c>
      <c r="C114" t="s">
        <v>1966</v>
      </c>
    </row>
    <row r="115" spans="1:3" x14ac:dyDescent="0.3">
      <c r="A115" t="s">
        <v>1968</v>
      </c>
      <c r="B115" s="4" t="s">
        <v>1436</v>
      </c>
      <c r="C115" t="s">
        <v>1969</v>
      </c>
    </row>
    <row r="116" spans="1:3" x14ac:dyDescent="0.3">
      <c r="A116" t="s">
        <v>1970</v>
      </c>
      <c r="B116" s="4" t="s">
        <v>1971</v>
      </c>
      <c r="C116" t="s">
        <v>1970</v>
      </c>
    </row>
    <row r="117" spans="1:3" x14ac:dyDescent="0.3">
      <c r="A117" t="s">
        <v>1972</v>
      </c>
      <c r="B117" s="4" t="s">
        <v>1973</v>
      </c>
      <c r="C117" t="s">
        <v>1972</v>
      </c>
    </row>
    <row r="118" spans="1:3" x14ac:dyDescent="0.3">
      <c r="A118" t="s">
        <v>1974</v>
      </c>
      <c r="B118" s="4" t="s">
        <v>1975</v>
      </c>
      <c r="C118" t="s">
        <v>1974</v>
      </c>
    </row>
    <row r="119" spans="1:3" x14ac:dyDescent="0.3">
      <c r="A119" t="s">
        <v>609</v>
      </c>
      <c r="B119" s="4" t="s">
        <v>741</v>
      </c>
      <c r="C119" t="s">
        <v>609</v>
      </c>
    </row>
    <row r="120" spans="1:3" x14ac:dyDescent="0.3">
      <c r="A120" t="s">
        <v>1976</v>
      </c>
      <c r="B120" s="4" t="s">
        <v>1977</v>
      </c>
      <c r="C120" t="s">
        <v>1976</v>
      </c>
    </row>
    <row r="121" spans="1:3" x14ac:dyDescent="0.3">
      <c r="A121" t="s">
        <v>1978</v>
      </c>
      <c r="B121" s="4" t="s">
        <v>1979</v>
      </c>
      <c r="C121" t="s">
        <v>1978</v>
      </c>
    </row>
    <row r="122" spans="1:3" x14ac:dyDescent="0.3">
      <c r="A122" t="s">
        <v>1980</v>
      </c>
      <c r="B122" s="4" t="s">
        <v>1981</v>
      </c>
      <c r="C122" t="s">
        <v>1980</v>
      </c>
    </row>
    <row r="123" spans="1:3" x14ac:dyDescent="0.3">
      <c r="A123" t="s">
        <v>1982</v>
      </c>
      <c r="B123" s="4" t="s">
        <v>1983</v>
      </c>
      <c r="C123" t="s">
        <v>1984</v>
      </c>
    </row>
    <row r="124" spans="1:3" x14ac:dyDescent="0.3">
      <c r="A124" t="s">
        <v>64</v>
      </c>
      <c r="B124" s="4" t="s">
        <v>65</v>
      </c>
      <c r="C124" t="s">
        <v>66</v>
      </c>
    </row>
    <row r="125" spans="1:3" x14ac:dyDescent="0.3">
      <c r="A125" t="s">
        <v>1985</v>
      </c>
      <c r="B125" s="4" t="s">
        <v>1986</v>
      </c>
      <c r="C125" t="s">
        <v>1985</v>
      </c>
    </row>
    <row r="126" spans="1:3" x14ac:dyDescent="0.3">
      <c r="A126" t="s">
        <v>1987</v>
      </c>
      <c r="B126" s="4" t="s">
        <v>84</v>
      </c>
      <c r="C126" t="s">
        <v>85</v>
      </c>
    </row>
    <row r="127" spans="1:3" x14ac:dyDescent="0.3">
      <c r="A127" t="s">
        <v>1988</v>
      </c>
      <c r="B127" s="4" t="s">
        <v>1989</v>
      </c>
      <c r="C127" t="s">
        <v>1990</v>
      </c>
    </row>
    <row r="128" spans="1:3" x14ac:dyDescent="0.3">
      <c r="A128" t="s">
        <v>1991</v>
      </c>
      <c r="B128" s="4" t="s">
        <v>1992</v>
      </c>
      <c r="C128" t="s">
        <v>1991</v>
      </c>
    </row>
    <row r="129" spans="1:3" x14ac:dyDescent="0.3">
      <c r="A129" t="s">
        <v>1993</v>
      </c>
      <c r="B129" s="4" t="s">
        <v>1994</v>
      </c>
      <c r="C129" t="s">
        <v>1993</v>
      </c>
    </row>
    <row r="130" spans="1:3" x14ac:dyDescent="0.3">
      <c r="A130" t="s">
        <v>1520</v>
      </c>
      <c r="B130" s="4" t="s">
        <v>1263</v>
      </c>
      <c r="C130" t="s">
        <v>1520</v>
      </c>
    </row>
    <row r="131" spans="1:3" x14ac:dyDescent="0.3">
      <c r="A131" t="s">
        <v>1995</v>
      </c>
      <c r="B131" s="4" t="s">
        <v>1996</v>
      </c>
      <c r="C131" t="s">
        <v>1997</v>
      </c>
    </row>
    <row r="132" spans="1:3" x14ac:dyDescent="0.3">
      <c r="A132" t="s">
        <v>1998</v>
      </c>
      <c r="B132" s="4" t="s">
        <v>1999</v>
      </c>
      <c r="C132" t="s">
        <v>1998</v>
      </c>
    </row>
    <row r="133" spans="1:3" x14ac:dyDescent="0.3">
      <c r="A133" t="s">
        <v>2000</v>
      </c>
      <c r="B133" s="4" t="s">
        <v>2001</v>
      </c>
      <c r="C133" t="s">
        <v>2002</v>
      </c>
    </row>
    <row r="134" spans="1:3" x14ac:dyDescent="0.3">
      <c r="A134" t="s">
        <v>2003</v>
      </c>
      <c r="B134" s="4" t="s">
        <v>2004</v>
      </c>
      <c r="C134" t="s">
        <v>2005</v>
      </c>
    </row>
    <row r="135" spans="1:3" x14ac:dyDescent="0.3">
      <c r="A135" t="s">
        <v>2006</v>
      </c>
      <c r="B135" s="4" t="s">
        <v>2007</v>
      </c>
      <c r="C135" t="s">
        <v>2006</v>
      </c>
    </row>
    <row r="136" spans="1:3" x14ac:dyDescent="0.3">
      <c r="A136" t="s">
        <v>2008</v>
      </c>
      <c r="B136" s="4" t="s">
        <v>2009</v>
      </c>
      <c r="C136" t="s">
        <v>2008</v>
      </c>
    </row>
    <row r="137" spans="1:3" x14ac:dyDescent="0.3">
      <c r="A137" t="s">
        <v>2010</v>
      </c>
      <c r="B137" s="4" t="s">
        <v>2011</v>
      </c>
      <c r="C137" t="s">
        <v>2010</v>
      </c>
    </row>
    <row r="138" spans="1:3" x14ac:dyDescent="0.3">
      <c r="A138" t="s">
        <v>2012</v>
      </c>
      <c r="B138" s="4" t="s">
        <v>2013</v>
      </c>
      <c r="C138" t="s">
        <v>2014</v>
      </c>
    </row>
    <row r="139" spans="1:3" x14ac:dyDescent="0.3">
      <c r="A139" t="s">
        <v>2015</v>
      </c>
      <c r="B139" s="4" t="s">
        <v>2016</v>
      </c>
      <c r="C139" t="s">
        <v>2015</v>
      </c>
    </row>
    <row r="140" spans="1:3" x14ac:dyDescent="0.3">
      <c r="A140" t="s">
        <v>2017</v>
      </c>
      <c r="B140" s="4" t="s">
        <v>2018</v>
      </c>
      <c r="C140" t="s">
        <v>2017</v>
      </c>
    </row>
    <row r="141" spans="1:3" x14ac:dyDescent="0.3">
      <c r="A141" t="s">
        <v>2019</v>
      </c>
      <c r="B141" s="4" t="s">
        <v>2020</v>
      </c>
      <c r="C141" t="s">
        <v>2019</v>
      </c>
    </row>
    <row r="142" spans="1:3" x14ac:dyDescent="0.3">
      <c r="A142" t="s">
        <v>2021</v>
      </c>
      <c r="B142" s="4" t="s">
        <v>2022</v>
      </c>
      <c r="C142" t="s">
        <v>2021</v>
      </c>
    </row>
    <row r="143" spans="1:3" x14ac:dyDescent="0.3">
      <c r="A143" t="s">
        <v>2023</v>
      </c>
      <c r="B143" s="4" t="s">
        <v>429</v>
      </c>
      <c r="C143" t="s">
        <v>2023</v>
      </c>
    </row>
    <row r="144" spans="1:3" x14ac:dyDescent="0.3">
      <c r="A144" t="s">
        <v>2024</v>
      </c>
      <c r="B144" s="4" t="s">
        <v>2025</v>
      </c>
      <c r="C144" t="s">
        <v>115</v>
      </c>
    </row>
    <row r="145" spans="1:3" x14ac:dyDescent="0.3">
      <c r="A145" t="s">
        <v>2026</v>
      </c>
      <c r="B145" s="4" t="s">
        <v>2027</v>
      </c>
      <c r="C145" t="s">
        <v>2026</v>
      </c>
    </row>
    <row r="146" spans="1:3" x14ac:dyDescent="0.3">
      <c r="A146" t="s">
        <v>2028</v>
      </c>
      <c r="B146" s="4" t="s">
        <v>2029</v>
      </c>
      <c r="C146" t="s">
        <v>2030</v>
      </c>
    </row>
    <row r="147" spans="1:3" x14ac:dyDescent="0.3">
      <c r="A147" t="s">
        <v>2031</v>
      </c>
      <c r="B147" s="4" t="s">
        <v>2032</v>
      </c>
      <c r="C147" t="s">
        <v>2033</v>
      </c>
    </row>
    <row r="148" spans="1:3" x14ac:dyDescent="0.3">
      <c r="A148" t="s">
        <v>2034</v>
      </c>
      <c r="B148" s="4" t="s">
        <v>2035</v>
      </c>
      <c r="C148" t="s">
        <v>2034</v>
      </c>
    </row>
    <row r="149" spans="1:3" x14ac:dyDescent="0.3">
      <c r="A149" t="s">
        <v>2036</v>
      </c>
      <c r="B149" s="4" t="s">
        <v>2037</v>
      </c>
      <c r="C149" t="s">
        <v>2036</v>
      </c>
    </row>
    <row r="150" spans="1:3" x14ac:dyDescent="0.3">
      <c r="A150" t="s">
        <v>2038</v>
      </c>
      <c r="B150" s="4" t="s">
        <v>2039</v>
      </c>
      <c r="C150" t="s">
        <v>2040</v>
      </c>
    </row>
    <row r="151" spans="1:3" x14ac:dyDescent="0.3">
      <c r="A151" t="s">
        <v>2041</v>
      </c>
      <c r="B151" s="4" t="s">
        <v>2042</v>
      </c>
      <c r="C151" t="s">
        <v>2041</v>
      </c>
    </row>
    <row r="152" spans="1:3" x14ac:dyDescent="0.3">
      <c r="A152" t="s">
        <v>2043</v>
      </c>
      <c r="B152" s="4" t="s">
        <v>2044</v>
      </c>
      <c r="C152" t="s">
        <v>2045</v>
      </c>
    </row>
    <row r="153" spans="1:3" x14ac:dyDescent="0.3">
      <c r="A153" t="s">
        <v>2046</v>
      </c>
      <c r="B153" s="4" t="s">
        <v>2047</v>
      </c>
      <c r="C153" t="s">
        <v>2046</v>
      </c>
    </row>
    <row r="154" spans="1:3" x14ac:dyDescent="0.3">
      <c r="A154" t="s">
        <v>2048</v>
      </c>
      <c r="B154" s="4" t="s">
        <v>2049</v>
      </c>
      <c r="C154" t="s">
        <v>2050</v>
      </c>
    </row>
    <row r="155" spans="1:3" x14ac:dyDescent="0.3">
      <c r="A155" t="s">
        <v>2051</v>
      </c>
      <c r="B155" s="4" t="s">
        <v>2052</v>
      </c>
      <c r="C155" t="s">
        <v>2051</v>
      </c>
    </row>
    <row r="156" spans="1:3" x14ac:dyDescent="0.3">
      <c r="A156" t="s">
        <v>2053</v>
      </c>
      <c r="B156" s="4" t="s">
        <v>2054</v>
      </c>
      <c r="C156" t="s">
        <v>2053</v>
      </c>
    </row>
    <row r="157" spans="1:3" x14ac:dyDescent="0.3">
      <c r="A157" t="s">
        <v>39</v>
      </c>
      <c r="B157" s="4" t="s">
        <v>59</v>
      </c>
      <c r="C157" t="s">
        <v>61</v>
      </c>
    </row>
    <row r="158" spans="1:3" x14ac:dyDescent="0.3">
      <c r="A158" t="s">
        <v>2055</v>
      </c>
      <c r="B158" s="4" t="s">
        <v>915</v>
      </c>
      <c r="C158" t="s">
        <v>2055</v>
      </c>
    </row>
    <row r="159" spans="1:3" x14ac:dyDescent="0.3">
      <c r="A159" t="s">
        <v>2056</v>
      </c>
      <c r="B159" s="4" t="s">
        <v>2057</v>
      </c>
      <c r="C159" t="s">
        <v>2056</v>
      </c>
    </row>
    <row r="160" spans="1:3" x14ac:dyDescent="0.3">
      <c r="A160" t="s">
        <v>2058</v>
      </c>
      <c r="B160" s="4" t="s">
        <v>2059</v>
      </c>
      <c r="C160" t="s">
        <v>2058</v>
      </c>
    </row>
    <row r="161" spans="1:3" x14ac:dyDescent="0.3">
      <c r="A161" t="s">
        <v>2060</v>
      </c>
      <c r="B161" s="4" t="s">
        <v>2061</v>
      </c>
      <c r="C161" t="s">
        <v>2060</v>
      </c>
    </row>
    <row r="162" spans="1:3" x14ac:dyDescent="0.3">
      <c r="A162" t="s">
        <v>2062</v>
      </c>
      <c r="B162" s="4" t="s">
        <v>2063</v>
      </c>
      <c r="C162" t="s">
        <v>2062</v>
      </c>
    </row>
    <row r="163" spans="1:3" x14ac:dyDescent="0.3">
      <c r="A163" t="s">
        <v>2064</v>
      </c>
      <c r="B163" s="4" t="s">
        <v>2065</v>
      </c>
      <c r="C163" t="s">
        <v>2064</v>
      </c>
    </row>
    <row r="164" spans="1:3" x14ac:dyDescent="0.3">
      <c r="A164" t="s">
        <v>2066</v>
      </c>
      <c r="B164" s="4" t="s">
        <v>2067</v>
      </c>
      <c r="C164" t="s">
        <v>2068</v>
      </c>
    </row>
    <row r="165" spans="1:3" x14ac:dyDescent="0.3">
      <c r="A165" t="s">
        <v>2069</v>
      </c>
      <c r="B165" s="4" t="s">
        <v>2070</v>
      </c>
      <c r="C165" t="s">
        <v>2069</v>
      </c>
    </row>
    <row r="166" spans="1:3" x14ac:dyDescent="0.3">
      <c r="A166" t="s">
        <v>2071</v>
      </c>
      <c r="B166" s="4" t="s">
        <v>2072</v>
      </c>
      <c r="C166" t="s">
        <v>2071</v>
      </c>
    </row>
    <row r="167" spans="1:3" x14ac:dyDescent="0.3">
      <c r="A167" t="s">
        <v>2073</v>
      </c>
      <c r="B167" s="4" t="s">
        <v>2074</v>
      </c>
      <c r="C167" t="s">
        <v>2073</v>
      </c>
    </row>
    <row r="168" spans="1:3" x14ac:dyDescent="0.3">
      <c r="A168" t="s">
        <v>2075</v>
      </c>
      <c r="B168" s="4" t="s">
        <v>2076</v>
      </c>
      <c r="C168" t="s">
        <v>2077</v>
      </c>
    </row>
    <row r="169" spans="1:3" x14ac:dyDescent="0.3">
      <c r="A169" t="s">
        <v>2078</v>
      </c>
      <c r="B169" s="4" t="s">
        <v>2079</v>
      </c>
      <c r="C169" t="s">
        <v>2080</v>
      </c>
    </row>
    <row r="170" spans="1:3" x14ac:dyDescent="0.3">
      <c r="A170" t="s">
        <v>2081</v>
      </c>
      <c r="B170" s="4" t="s">
        <v>2082</v>
      </c>
      <c r="C170" t="s">
        <v>2081</v>
      </c>
    </row>
    <row r="171" spans="1:3" x14ac:dyDescent="0.3">
      <c r="A171" t="s">
        <v>2083</v>
      </c>
      <c r="B171" s="4" t="s">
        <v>2084</v>
      </c>
      <c r="C171" t="s">
        <v>2083</v>
      </c>
    </row>
    <row r="172" spans="1:3" x14ac:dyDescent="0.3">
      <c r="A172" t="s">
        <v>2085</v>
      </c>
      <c r="B172" s="4" t="s">
        <v>2086</v>
      </c>
      <c r="C172" t="s">
        <v>2087</v>
      </c>
    </row>
    <row r="173" spans="1:3" x14ac:dyDescent="0.3">
      <c r="A173" t="s">
        <v>16</v>
      </c>
      <c r="B173" s="4" t="s">
        <v>74</v>
      </c>
      <c r="C173" t="s">
        <v>16</v>
      </c>
    </row>
    <row r="174" spans="1:3" x14ac:dyDescent="0.3">
      <c r="A174" t="s">
        <v>2088</v>
      </c>
      <c r="B174" s="4" t="s">
        <v>2089</v>
      </c>
      <c r="C174" t="s">
        <v>2090</v>
      </c>
    </row>
    <row r="175" spans="1:3" x14ac:dyDescent="0.3">
      <c r="A175" t="s">
        <v>2091</v>
      </c>
      <c r="B175" s="4" t="s">
        <v>2092</v>
      </c>
      <c r="C175" t="s">
        <v>2091</v>
      </c>
    </row>
    <row r="176" spans="1:3" x14ac:dyDescent="0.3">
      <c r="A176" t="s">
        <v>2093</v>
      </c>
      <c r="B176" s="4" t="s">
        <v>2094</v>
      </c>
      <c r="C176" t="s">
        <v>2093</v>
      </c>
    </row>
    <row r="177" spans="1:3" x14ac:dyDescent="0.3">
      <c r="A177" t="s">
        <v>2095</v>
      </c>
      <c r="B177" s="4" t="s">
        <v>2096</v>
      </c>
      <c r="C177" t="s">
        <v>2095</v>
      </c>
    </row>
    <row r="178" spans="1:3" x14ac:dyDescent="0.3">
      <c r="A178" t="s">
        <v>2097</v>
      </c>
      <c r="B178" s="4" t="s">
        <v>1470</v>
      </c>
      <c r="C178" t="s">
        <v>2097</v>
      </c>
    </row>
    <row r="179" spans="1:3" x14ac:dyDescent="0.3">
      <c r="A179" t="s">
        <v>2098</v>
      </c>
      <c r="B179" s="4" t="s">
        <v>2099</v>
      </c>
      <c r="C179" t="s">
        <v>2098</v>
      </c>
    </row>
    <row r="180" spans="1:3" x14ac:dyDescent="0.3">
      <c r="A180" t="s">
        <v>2100</v>
      </c>
      <c r="B180" s="4" t="s">
        <v>2101</v>
      </c>
      <c r="C180" t="s">
        <v>2102</v>
      </c>
    </row>
    <row r="181" spans="1:3" x14ac:dyDescent="0.3">
      <c r="A181" t="s">
        <v>2103</v>
      </c>
      <c r="B181" s="4" t="s">
        <v>2104</v>
      </c>
      <c r="C181" t="s">
        <v>2105</v>
      </c>
    </row>
    <row r="182" spans="1:3" x14ac:dyDescent="0.3">
      <c r="A182" t="s">
        <v>2106</v>
      </c>
      <c r="B182" s="4" t="s">
        <v>583</v>
      </c>
      <c r="C182" t="s">
        <v>2106</v>
      </c>
    </row>
    <row r="183" spans="1:3" x14ac:dyDescent="0.3">
      <c r="A183" t="s">
        <v>2107</v>
      </c>
      <c r="B183" s="4" t="s">
        <v>2108</v>
      </c>
      <c r="C183" t="s">
        <v>2107</v>
      </c>
    </row>
    <row r="184" spans="1:3" x14ac:dyDescent="0.3">
      <c r="A184" t="s">
        <v>2109</v>
      </c>
      <c r="B184" s="4" t="s">
        <v>2110</v>
      </c>
      <c r="C184" t="s">
        <v>2109</v>
      </c>
    </row>
    <row r="185" spans="1:3" x14ac:dyDescent="0.3">
      <c r="A185" t="s">
        <v>2111</v>
      </c>
      <c r="B185" s="4" t="s">
        <v>2112</v>
      </c>
      <c r="C185" t="s">
        <v>2111</v>
      </c>
    </row>
    <row r="186" spans="1:3" x14ac:dyDescent="0.3">
      <c r="A186" t="s">
        <v>2113</v>
      </c>
      <c r="B186" s="4" t="s">
        <v>2114</v>
      </c>
      <c r="C186" t="s">
        <v>2115</v>
      </c>
    </row>
    <row r="187" spans="1:3" x14ac:dyDescent="0.3">
      <c r="A187" t="s">
        <v>2116</v>
      </c>
      <c r="B187" s="4" t="s">
        <v>2117</v>
      </c>
      <c r="C187" t="s">
        <v>2118</v>
      </c>
    </row>
    <row r="188" spans="1:3" x14ac:dyDescent="0.3">
      <c r="A188" t="s">
        <v>2119</v>
      </c>
      <c r="B188" s="4" t="s">
        <v>2120</v>
      </c>
      <c r="C188" t="s">
        <v>2119</v>
      </c>
    </row>
    <row r="189" spans="1:3" x14ac:dyDescent="0.3">
      <c r="A189" t="s">
        <v>2121</v>
      </c>
      <c r="B189" s="4" t="s">
        <v>2122</v>
      </c>
      <c r="C189" t="s">
        <v>2121</v>
      </c>
    </row>
    <row r="190" spans="1:3" x14ac:dyDescent="0.3">
      <c r="A190" t="s">
        <v>2123</v>
      </c>
      <c r="B190" s="4" t="s">
        <v>2124</v>
      </c>
      <c r="C190" t="s">
        <v>2123</v>
      </c>
    </row>
    <row r="191" spans="1:3" x14ac:dyDescent="0.3">
      <c r="A191" t="s">
        <v>2125</v>
      </c>
      <c r="B191" s="4" t="s">
        <v>2126</v>
      </c>
      <c r="C191" t="s">
        <v>2127</v>
      </c>
    </row>
    <row r="192" spans="1:3" x14ac:dyDescent="0.3">
      <c r="A192" t="s">
        <v>2128</v>
      </c>
      <c r="B192" s="4" t="s">
        <v>2129</v>
      </c>
      <c r="C192" t="s">
        <v>2128</v>
      </c>
    </row>
    <row r="193" spans="1:3" x14ac:dyDescent="0.3">
      <c r="A193" t="s">
        <v>2130</v>
      </c>
      <c r="B193" s="4" t="s">
        <v>2131</v>
      </c>
      <c r="C193" t="s">
        <v>2132</v>
      </c>
    </row>
    <row r="194" spans="1:3" x14ac:dyDescent="0.3">
      <c r="A194" t="s">
        <v>2133</v>
      </c>
      <c r="B194" s="4" t="s">
        <v>2134</v>
      </c>
      <c r="C194" t="s">
        <v>2135</v>
      </c>
    </row>
    <row r="195" spans="1:3" x14ac:dyDescent="0.3">
      <c r="A195" t="s">
        <v>2136</v>
      </c>
      <c r="B195" s="4" t="s">
        <v>2137</v>
      </c>
      <c r="C195" t="s">
        <v>2138</v>
      </c>
    </row>
    <row r="196" spans="1:3" x14ac:dyDescent="0.3">
      <c r="A196" t="s">
        <v>2139</v>
      </c>
      <c r="B196" s="4" t="s">
        <v>2140</v>
      </c>
      <c r="C196" t="s">
        <v>2139</v>
      </c>
    </row>
    <row r="197" spans="1:3" x14ac:dyDescent="0.3">
      <c r="A197" t="s">
        <v>2141</v>
      </c>
      <c r="B197" s="4" t="s">
        <v>2142</v>
      </c>
      <c r="C197" t="s">
        <v>2141</v>
      </c>
    </row>
    <row r="198" spans="1:3" x14ac:dyDescent="0.3">
      <c r="A198" t="s">
        <v>2143</v>
      </c>
      <c r="B198" s="4" t="s">
        <v>2144</v>
      </c>
      <c r="C198" t="s">
        <v>2145</v>
      </c>
    </row>
    <row r="199" spans="1:3" x14ac:dyDescent="0.3">
      <c r="A199" t="s">
        <v>2146</v>
      </c>
      <c r="B199" s="4" t="s">
        <v>2147</v>
      </c>
      <c r="C199" t="s">
        <v>2146</v>
      </c>
    </row>
    <row r="200" spans="1:3" x14ac:dyDescent="0.3">
      <c r="A200" t="s">
        <v>2148</v>
      </c>
      <c r="B200" s="4" t="s">
        <v>2149</v>
      </c>
      <c r="C200" t="s">
        <v>2148</v>
      </c>
    </row>
    <row r="201" spans="1:3" x14ac:dyDescent="0.3">
      <c r="A201" t="s">
        <v>2150</v>
      </c>
      <c r="B201" s="4" t="s">
        <v>2151</v>
      </c>
      <c r="C201" t="s">
        <v>2150</v>
      </c>
    </row>
    <row r="202" spans="1:3" x14ac:dyDescent="0.3">
      <c r="A202" t="s">
        <v>2152</v>
      </c>
      <c r="B202" s="4" t="s">
        <v>375</v>
      </c>
      <c r="C202" t="s">
        <v>2152</v>
      </c>
    </row>
    <row r="203" spans="1:3" x14ac:dyDescent="0.3">
      <c r="A203" t="s">
        <v>2153</v>
      </c>
      <c r="B203" s="4" t="s">
        <v>1493</v>
      </c>
      <c r="C203" t="s">
        <v>2154</v>
      </c>
    </row>
    <row r="204" spans="1:3" x14ac:dyDescent="0.3">
      <c r="A204" t="s">
        <v>2155</v>
      </c>
      <c r="B204" s="4" t="s">
        <v>2156</v>
      </c>
      <c r="C204" t="s">
        <v>2155</v>
      </c>
    </row>
    <row r="205" spans="1:3" x14ac:dyDescent="0.3">
      <c r="A205" t="s">
        <v>2157</v>
      </c>
      <c r="B205" s="4" t="s">
        <v>2158</v>
      </c>
      <c r="C205" t="s">
        <v>2159</v>
      </c>
    </row>
    <row r="206" spans="1:3" x14ac:dyDescent="0.3">
      <c r="A206" t="s">
        <v>2160</v>
      </c>
      <c r="B206" s="4" t="s">
        <v>2161</v>
      </c>
      <c r="C206" t="s">
        <v>2160</v>
      </c>
    </row>
    <row r="207" spans="1:3" x14ac:dyDescent="0.3">
      <c r="A207" t="s">
        <v>2162</v>
      </c>
      <c r="B207" s="4" t="s">
        <v>2163</v>
      </c>
      <c r="C207" t="s">
        <v>2164</v>
      </c>
    </row>
    <row r="208" spans="1:3" x14ac:dyDescent="0.3">
      <c r="A208" t="s">
        <v>2165</v>
      </c>
      <c r="B208" s="4" t="s">
        <v>2166</v>
      </c>
      <c r="C208" t="s">
        <v>2165</v>
      </c>
    </row>
    <row r="209" spans="1:3" x14ac:dyDescent="0.3">
      <c r="A209" t="s">
        <v>2167</v>
      </c>
      <c r="B209" s="4" t="s">
        <v>2168</v>
      </c>
      <c r="C209" t="s">
        <v>2169</v>
      </c>
    </row>
    <row r="210" spans="1:3" x14ac:dyDescent="0.3">
      <c r="A210" t="s">
        <v>2170</v>
      </c>
      <c r="B210" s="4" t="s">
        <v>2171</v>
      </c>
      <c r="C210" t="s">
        <v>2172</v>
      </c>
    </row>
    <row r="211" spans="1:3" x14ac:dyDescent="0.3">
      <c r="A211" t="s">
        <v>2173</v>
      </c>
      <c r="B211" s="4" t="s">
        <v>2174</v>
      </c>
      <c r="C211" t="s">
        <v>2175</v>
      </c>
    </row>
    <row r="212" spans="1:3" x14ac:dyDescent="0.3">
      <c r="A212" t="s">
        <v>2176</v>
      </c>
      <c r="B212" s="4" t="s">
        <v>2177</v>
      </c>
      <c r="C212" t="s">
        <v>2176</v>
      </c>
    </row>
    <row r="213" spans="1:3" x14ac:dyDescent="0.3">
      <c r="A213" t="s">
        <v>2178</v>
      </c>
      <c r="B213" s="4" t="s">
        <v>2179</v>
      </c>
      <c r="C213" t="s">
        <v>2178</v>
      </c>
    </row>
    <row r="214" spans="1:3" x14ac:dyDescent="0.3">
      <c r="A214" t="s">
        <v>2180</v>
      </c>
      <c r="B214" s="4" t="s">
        <v>2181</v>
      </c>
      <c r="C214" t="s">
        <v>2182</v>
      </c>
    </row>
    <row r="215" spans="1:3" x14ac:dyDescent="0.3">
      <c r="A215" t="s">
        <v>2183</v>
      </c>
      <c r="B215" s="4" t="s">
        <v>296</v>
      </c>
      <c r="C215" t="s">
        <v>2183</v>
      </c>
    </row>
    <row r="216" spans="1:3" x14ac:dyDescent="0.3">
      <c r="A216" t="s">
        <v>2184</v>
      </c>
      <c r="B216" s="4" t="s">
        <v>2185</v>
      </c>
      <c r="C216" t="s">
        <v>2184</v>
      </c>
    </row>
    <row r="217" spans="1:3" x14ac:dyDescent="0.3">
      <c r="A217" t="s">
        <v>2186</v>
      </c>
      <c r="B217" s="4" t="s">
        <v>2187</v>
      </c>
      <c r="C217" t="s">
        <v>2186</v>
      </c>
    </row>
    <row r="218" spans="1:3" x14ac:dyDescent="0.3">
      <c r="A218" t="s">
        <v>2188</v>
      </c>
      <c r="B218" s="4" t="s">
        <v>2189</v>
      </c>
      <c r="C218" t="s">
        <v>2188</v>
      </c>
    </row>
    <row r="219" spans="1:3" x14ac:dyDescent="0.3">
      <c r="A219" t="s">
        <v>2190</v>
      </c>
      <c r="B219" s="4" t="s">
        <v>2191</v>
      </c>
      <c r="C219" t="s">
        <v>2192</v>
      </c>
    </row>
    <row r="220" spans="1:3" x14ac:dyDescent="0.3">
      <c r="A220" t="s">
        <v>2193</v>
      </c>
      <c r="B220" s="4" t="s">
        <v>2194</v>
      </c>
      <c r="C220" t="s">
        <v>2193</v>
      </c>
    </row>
    <row r="221" spans="1:3" x14ac:dyDescent="0.3">
      <c r="A221" t="s">
        <v>2195</v>
      </c>
      <c r="B221" s="4" t="s">
        <v>2196</v>
      </c>
      <c r="C221" t="s">
        <v>2195</v>
      </c>
    </row>
    <row r="222" spans="1:3" x14ac:dyDescent="0.3">
      <c r="A222" s="64" t="s">
        <v>2490</v>
      </c>
      <c r="B222" s="65" t="s">
        <v>2493</v>
      </c>
      <c r="C222" s="64" t="s">
        <v>2490</v>
      </c>
    </row>
    <row r="223" spans="1:3" x14ac:dyDescent="0.3">
      <c r="A223" t="s">
        <v>2197</v>
      </c>
      <c r="B223" s="4" t="s">
        <v>2198</v>
      </c>
      <c r="C223" t="s">
        <v>2197</v>
      </c>
    </row>
    <row r="224" spans="1:3" x14ac:dyDescent="0.3">
      <c r="A224" t="s">
        <v>2199</v>
      </c>
      <c r="B224" s="4" t="s">
        <v>2200</v>
      </c>
      <c r="C224" t="s">
        <v>2201</v>
      </c>
    </row>
    <row r="225" spans="1:3" x14ac:dyDescent="0.3">
      <c r="A225" t="s">
        <v>2202</v>
      </c>
      <c r="B225" t="s">
        <v>2203</v>
      </c>
      <c r="C225" t="s">
        <v>2202</v>
      </c>
    </row>
    <row r="226" spans="1:3" x14ac:dyDescent="0.3">
      <c r="A226" t="s">
        <v>2204</v>
      </c>
      <c r="B226" t="s">
        <v>2205</v>
      </c>
      <c r="C226" t="s">
        <v>2206</v>
      </c>
    </row>
    <row r="227" spans="1:3" x14ac:dyDescent="0.3">
      <c r="A227" t="s">
        <v>2207</v>
      </c>
      <c r="B227" t="s">
        <v>2208</v>
      </c>
      <c r="C227" t="s">
        <v>2207</v>
      </c>
    </row>
    <row r="228" spans="1:3" x14ac:dyDescent="0.3">
      <c r="A228" t="s">
        <v>2209</v>
      </c>
      <c r="B228" t="s">
        <v>2210</v>
      </c>
      <c r="C228" t="s">
        <v>2209</v>
      </c>
    </row>
    <row r="229" spans="1:3" x14ac:dyDescent="0.3">
      <c r="A229" t="s">
        <v>2211</v>
      </c>
      <c r="B229" t="s">
        <v>2212</v>
      </c>
      <c r="C229" t="s">
        <v>2211</v>
      </c>
    </row>
    <row r="230" spans="1:3" x14ac:dyDescent="0.3">
      <c r="A230" t="s">
        <v>2213</v>
      </c>
      <c r="B230" t="s">
        <v>2214</v>
      </c>
      <c r="C230" t="s">
        <v>2213</v>
      </c>
    </row>
    <row r="231" spans="1:3" x14ac:dyDescent="0.3">
      <c r="A231" t="s">
        <v>2215</v>
      </c>
      <c r="B231" t="s">
        <v>2216</v>
      </c>
      <c r="C231" t="s">
        <v>2217</v>
      </c>
    </row>
    <row r="232" spans="1:3" x14ac:dyDescent="0.3">
      <c r="A232" t="s">
        <v>2218</v>
      </c>
      <c r="B232" t="s">
        <v>2219</v>
      </c>
      <c r="C232" t="s">
        <v>2218</v>
      </c>
    </row>
    <row r="233" spans="1:3" x14ac:dyDescent="0.3">
      <c r="A233" t="s">
        <v>2220</v>
      </c>
      <c r="B233" t="s">
        <v>2221</v>
      </c>
      <c r="C233" t="s">
        <v>2220</v>
      </c>
    </row>
    <row r="234" spans="1:3" x14ac:dyDescent="0.3">
      <c r="A234" s="64" t="s">
        <v>2491</v>
      </c>
      <c r="B234" s="64" t="s">
        <v>2494</v>
      </c>
      <c r="C234" s="64" t="s">
        <v>2492</v>
      </c>
    </row>
    <row r="235" spans="1:3" x14ac:dyDescent="0.3">
      <c r="A235" t="s">
        <v>2222</v>
      </c>
      <c r="B235" t="s">
        <v>2223</v>
      </c>
      <c r="C235" t="s">
        <v>2222</v>
      </c>
    </row>
    <row r="236" spans="1:3" x14ac:dyDescent="0.3">
      <c r="A236" t="s">
        <v>2224</v>
      </c>
      <c r="B236" t="s">
        <v>2225</v>
      </c>
      <c r="C236" t="s">
        <v>2224</v>
      </c>
    </row>
    <row r="237" spans="1:3" x14ac:dyDescent="0.3">
      <c r="A237" t="s">
        <v>2226</v>
      </c>
      <c r="B237" t="s">
        <v>2227</v>
      </c>
      <c r="C237" t="s">
        <v>2226</v>
      </c>
    </row>
    <row r="238" spans="1:3" x14ac:dyDescent="0.3">
      <c r="A238" t="s">
        <v>2228</v>
      </c>
      <c r="B238" t="s">
        <v>2229</v>
      </c>
      <c r="C238" t="s">
        <v>2228</v>
      </c>
    </row>
    <row r="239" spans="1:3" x14ac:dyDescent="0.3">
      <c r="A239" t="s">
        <v>2230</v>
      </c>
      <c r="B239" t="s">
        <v>2231</v>
      </c>
      <c r="C239" t="s">
        <v>1958</v>
      </c>
    </row>
    <row r="240" spans="1:3" x14ac:dyDescent="0.3">
      <c r="A240" t="s">
        <v>2232</v>
      </c>
      <c r="B240" t="s">
        <v>2233</v>
      </c>
      <c r="C240" t="s">
        <v>2232</v>
      </c>
    </row>
    <row r="241" spans="1:3" x14ac:dyDescent="0.3">
      <c r="A241" t="s">
        <v>2234</v>
      </c>
      <c r="B241" t="s">
        <v>2235</v>
      </c>
      <c r="C241" t="s">
        <v>2236</v>
      </c>
    </row>
    <row r="242" spans="1:3" x14ac:dyDescent="0.3">
      <c r="A242" t="s">
        <v>2237</v>
      </c>
      <c r="B242" t="s">
        <v>2238</v>
      </c>
      <c r="C242" t="s">
        <v>2237</v>
      </c>
    </row>
    <row r="243" spans="1:3" x14ac:dyDescent="0.3">
      <c r="A243" t="s">
        <v>2239</v>
      </c>
      <c r="B243" t="s">
        <v>994</v>
      </c>
      <c r="C243" t="s">
        <v>2239</v>
      </c>
    </row>
    <row r="244" spans="1:3" x14ac:dyDescent="0.3">
      <c r="A244" t="s">
        <v>2240</v>
      </c>
      <c r="B244" t="s">
        <v>2241</v>
      </c>
      <c r="C244" t="s">
        <v>2240</v>
      </c>
    </row>
    <row r="245" spans="1:3" x14ac:dyDescent="0.3">
      <c r="A245" t="s">
        <v>2242</v>
      </c>
      <c r="B245" t="s">
        <v>2243</v>
      </c>
      <c r="C245" t="s">
        <v>2242</v>
      </c>
    </row>
    <row r="246" spans="1:3" x14ac:dyDescent="0.3">
      <c r="A246" t="s">
        <v>2244</v>
      </c>
      <c r="B246" t="s">
        <v>2245</v>
      </c>
      <c r="C246" t="s">
        <v>2246</v>
      </c>
    </row>
    <row r="247" spans="1:3" x14ac:dyDescent="0.3">
      <c r="A247" t="s">
        <v>2247</v>
      </c>
      <c r="B247" t="s">
        <v>2248</v>
      </c>
      <c r="C247" t="s">
        <v>2247</v>
      </c>
    </row>
    <row r="248" spans="1:3" x14ac:dyDescent="0.3">
      <c r="A248" t="s">
        <v>2249</v>
      </c>
      <c r="B248" t="s">
        <v>2250</v>
      </c>
      <c r="C248" t="s">
        <v>2251</v>
      </c>
    </row>
    <row r="249" spans="1:3" x14ac:dyDescent="0.3">
      <c r="A249" t="s">
        <v>2252</v>
      </c>
      <c r="B249" t="s">
        <v>2253</v>
      </c>
      <c r="C249" t="s">
        <v>2252</v>
      </c>
    </row>
    <row r="250" spans="1:3" x14ac:dyDescent="0.3">
      <c r="A250" t="s">
        <v>2254</v>
      </c>
      <c r="B250" t="s">
        <v>2255</v>
      </c>
      <c r="C250" t="s">
        <v>2256</v>
      </c>
    </row>
    <row r="251" spans="1:3" x14ac:dyDescent="0.3">
      <c r="A251" t="s">
        <v>2257</v>
      </c>
      <c r="B251" t="s">
        <v>2258</v>
      </c>
      <c r="C251" t="s">
        <v>2257</v>
      </c>
    </row>
    <row r="252" spans="1:3" x14ac:dyDescent="0.3">
      <c r="A252" t="s">
        <v>2259</v>
      </c>
      <c r="B252" t="s">
        <v>2260</v>
      </c>
      <c r="C252" t="s">
        <v>2259</v>
      </c>
    </row>
    <row r="253" spans="1:3" x14ac:dyDescent="0.3">
      <c r="A253" t="s">
        <v>2261</v>
      </c>
      <c r="B253" t="s">
        <v>2262</v>
      </c>
      <c r="C253" t="s">
        <v>2263</v>
      </c>
    </row>
    <row r="254" spans="1:3" x14ac:dyDescent="0.3">
      <c r="A254" t="s">
        <v>2264</v>
      </c>
      <c r="B254" t="s">
        <v>2265</v>
      </c>
      <c r="C254" t="s">
        <v>2264</v>
      </c>
    </row>
    <row r="255" spans="1:3" x14ac:dyDescent="0.3">
      <c r="A255" t="s">
        <v>2266</v>
      </c>
      <c r="B255" t="s">
        <v>2267</v>
      </c>
      <c r="C255" t="s">
        <v>2268</v>
      </c>
    </row>
    <row r="256" spans="1:3" x14ac:dyDescent="0.3">
      <c r="A256" t="s">
        <v>2269</v>
      </c>
      <c r="B256" t="s">
        <v>2270</v>
      </c>
      <c r="C256" t="s">
        <v>2269</v>
      </c>
    </row>
    <row r="257" spans="1:3" x14ac:dyDescent="0.3">
      <c r="A257" t="s">
        <v>2271</v>
      </c>
      <c r="B257" t="s">
        <v>2272</v>
      </c>
      <c r="C257" t="s">
        <v>2273</v>
      </c>
    </row>
    <row r="258" spans="1:3" x14ac:dyDescent="0.3">
      <c r="A258" t="s">
        <v>2274</v>
      </c>
      <c r="B258" t="s">
        <v>2275</v>
      </c>
      <c r="C258" t="s">
        <v>2276</v>
      </c>
    </row>
    <row r="259" spans="1:3" x14ac:dyDescent="0.3">
      <c r="A259" t="s">
        <v>2277</v>
      </c>
      <c r="B259" t="s">
        <v>2278</v>
      </c>
      <c r="C259" t="s">
        <v>2277</v>
      </c>
    </row>
    <row r="260" spans="1:3" x14ac:dyDescent="0.3">
      <c r="A260" t="s">
        <v>2279</v>
      </c>
      <c r="B260" t="s">
        <v>2280</v>
      </c>
      <c r="C260" t="s">
        <v>2279</v>
      </c>
    </row>
    <row r="261" spans="1:3" x14ac:dyDescent="0.3">
      <c r="A261" t="s">
        <v>2281</v>
      </c>
      <c r="B261" t="s">
        <v>2282</v>
      </c>
      <c r="C261" t="s">
        <v>2283</v>
      </c>
    </row>
    <row r="262" spans="1:3" x14ac:dyDescent="0.3">
      <c r="A262" t="s">
        <v>2284</v>
      </c>
      <c r="B262" t="s">
        <v>2285</v>
      </c>
      <c r="C262" t="s">
        <v>2286</v>
      </c>
    </row>
    <row r="263" spans="1:3" x14ac:dyDescent="0.3">
      <c r="A263" t="s">
        <v>2287</v>
      </c>
      <c r="B263" t="s">
        <v>2288</v>
      </c>
      <c r="C263" t="s">
        <v>2287</v>
      </c>
    </row>
    <row r="264" spans="1:3" x14ac:dyDescent="0.3">
      <c r="A264" t="s">
        <v>2289</v>
      </c>
      <c r="B264" t="s">
        <v>2290</v>
      </c>
      <c r="C264" t="s">
        <v>2289</v>
      </c>
    </row>
    <row r="265" spans="1:3" x14ac:dyDescent="0.3">
      <c r="A265" t="s">
        <v>2291</v>
      </c>
      <c r="B265" t="s">
        <v>2292</v>
      </c>
      <c r="C265" t="s">
        <v>2293</v>
      </c>
    </row>
    <row r="266" spans="1:3" x14ac:dyDescent="0.3">
      <c r="A266" t="s">
        <v>2294</v>
      </c>
      <c r="B266" t="s">
        <v>2295</v>
      </c>
      <c r="C266" t="s">
        <v>2296</v>
      </c>
    </row>
    <row r="267" spans="1:3" x14ac:dyDescent="0.3">
      <c r="A267" t="s">
        <v>2297</v>
      </c>
      <c r="B267" t="s">
        <v>114</v>
      </c>
      <c r="C267" t="s">
        <v>115</v>
      </c>
    </row>
    <row r="268" spans="1:3" x14ac:dyDescent="0.3">
      <c r="A268" t="s">
        <v>2298</v>
      </c>
      <c r="B268" t="s">
        <v>2299</v>
      </c>
      <c r="C268" t="s">
        <v>2298</v>
      </c>
    </row>
    <row r="269" spans="1:3" x14ac:dyDescent="0.3">
      <c r="A269" t="s">
        <v>2300</v>
      </c>
      <c r="B269" t="s">
        <v>2301</v>
      </c>
      <c r="C269" t="s">
        <v>2302</v>
      </c>
    </row>
    <row r="270" spans="1:3" x14ac:dyDescent="0.3">
      <c r="A270" t="s">
        <v>2303</v>
      </c>
      <c r="B270" t="s">
        <v>145</v>
      </c>
      <c r="C270" t="s">
        <v>79</v>
      </c>
    </row>
    <row r="271" spans="1:3" x14ac:dyDescent="0.3">
      <c r="A271" t="s">
        <v>2304</v>
      </c>
      <c r="B271" t="s">
        <v>552</v>
      </c>
      <c r="C271" t="s">
        <v>2304</v>
      </c>
    </row>
    <row r="272" spans="1:3" x14ac:dyDescent="0.3">
      <c r="A272" t="s">
        <v>2305</v>
      </c>
      <c r="B272" t="s">
        <v>2306</v>
      </c>
      <c r="C272" t="s">
        <v>2305</v>
      </c>
    </row>
    <row r="273" spans="1:3" x14ac:dyDescent="0.3">
      <c r="A273" t="s">
        <v>2307</v>
      </c>
      <c r="B273" t="s">
        <v>2308</v>
      </c>
      <c r="C273" t="s">
        <v>2307</v>
      </c>
    </row>
    <row r="274" spans="1:3" x14ac:dyDescent="0.3">
      <c r="A274" t="s">
        <v>2309</v>
      </c>
      <c r="B274" t="s">
        <v>2310</v>
      </c>
      <c r="C274" t="s">
        <v>2309</v>
      </c>
    </row>
    <row r="275" spans="1:3" x14ac:dyDescent="0.3">
      <c r="A275" t="s">
        <v>2311</v>
      </c>
      <c r="B275" t="s">
        <v>919</v>
      </c>
      <c r="C275" t="s">
        <v>2311</v>
      </c>
    </row>
    <row r="276" spans="1:3" x14ac:dyDescent="0.3">
      <c r="A276" t="s">
        <v>2312</v>
      </c>
      <c r="B276" t="s">
        <v>2313</v>
      </c>
      <c r="C276" t="s">
        <v>2312</v>
      </c>
    </row>
    <row r="277" spans="1:3" x14ac:dyDescent="0.3">
      <c r="A277" t="s">
        <v>2314</v>
      </c>
      <c r="B277" t="s">
        <v>2315</v>
      </c>
      <c r="C277" t="s">
        <v>2314</v>
      </c>
    </row>
    <row r="278" spans="1:3" x14ac:dyDescent="0.3">
      <c r="A278" t="s">
        <v>2316</v>
      </c>
      <c r="B278" t="s">
        <v>361</v>
      </c>
      <c r="C278" t="s">
        <v>2316</v>
      </c>
    </row>
    <row r="279" spans="1:3" x14ac:dyDescent="0.3">
      <c r="A279" t="s">
        <v>2317</v>
      </c>
      <c r="B279" t="s">
        <v>2318</v>
      </c>
      <c r="C279" t="s">
        <v>2319</v>
      </c>
    </row>
    <row r="280" spans="1:3" x14ac:dyDescent="0.3">
      <c r="A280" t="s">
        <v>2320</v>
      </c>
      <c r="B280" t="s">
        <v>2321</v>
      </c>
      <c r="C280" t="s">
        <v>2322</v>
      </c>
    </row>
    <row r="281" spans="1:3" x14ac:dyDescent="0.3">
      <c r="A281" t="s">
        <v>2323</v>
      </c>
      <c r="B281" t="s">
        <v>2324</v>
      </c>
      <c r="C281" t="s">
        <v>2323</v>
      </c>
    </row>
    <row r="282" spans="1:3" x14ac:dyDescent="0.3">
      <c r="A282" t="s">
        <v>2325</v>
      </c>
      <c r="B282" t="s">
        <v>2326</v>
      </c>
      <c r="C282" t="s">
        <v>2325</v>
      </c>
    </row>
    <row r="283" spans="1:3" x14ac:dyDescent="0.3">
      <c r="A283" t="s">
        <v>2327</v>
      </c>
      <c r="B283" t="s">
        <v>2328</v>
      </c>
      <c r="C283" t="s">
        <v>2329</v>
      </c>
    </row>
    <row r="284" spans="1:3" x14ac:dyDescent="0.3">
      <c r="A284" t="s">
        <v>2330</v>
      </c>
      <c r="B284" t="s">
        <v>2331</v>
      </c>
      <c r="C284" t="s">
        <v>2330</v>
      </c>
    </row>
    <row r="285" spans="1:3" x14ac:dyDescent="0.3">
      <c r="A285" t="s">
        <v>2332</v>
      </c>
      <c r="B285" t="s">
        <v>2333</v>
      </c>
      <c r="C285" t="s">
        <v>2332</v>
      </c>
    </row>
    <row r="286" spans="1:3" x14ac:dyDescent="0.3">
      <c r="A286" t="s">
        <v>2334</v>
      </c>
      <c r="B286" t="s">
        <v>2335</v>
      </c>
      <c r="C286" t="s">
        <v>2334</v>
      </c>
    </row>
    <row r="287" spans="1:3" x14ac:dyDescent="0.3">
      <c r="A287" t="s">
        <v>2336</v>
      </c>
      <c r="B287" t="s">
        <v>2337</v>
      </c>
      <c r="C287" t="s">
        <v>2336</v>
      </c>
    </row>
    <row r="288" spans="1:3" x14ac:dyDescent="0.3">
      <c r="A288" t="s">
        <v>69</v>
      </c>
      <c r="B288" t="s">
        <v>70</v>
      </c>
      <c r="C288" t="s">
        <v>69</v>
      </c>
    </row>
    <row r="289" spans="1:3" x14ac:dyDescent="0.3">
      <c r="A289" t="s">
        <v>2338</v>
      </c>
      <c r="B289" t="s">
        <v>2339</v>
      </c>
      <c r="C289" t="s">
        <v>2338</v>
      </c>
    </row>
    <row r="290" spans="1:3" x14ac:dyDescent="0.3">
      <c r="A290" t="s">
        <v>2340</v>
      </c>
      <c r="B290" t="s">
        <v>2341</v>
      </c>
      <c r="C290" t="s">
        <v>2340</v>
      </c>
    </row>
    <row r="291" spans="1:3" x14ac:dyDescent="0.3">
      <c r="A291" t="s">
        <v>2342</v>
      </c>
      <c r="B291" t="s">
        <v>912</v>
      </c>
      <c r="C291" t="s">
        <v>2343</v>
      </c>
    </row>
    <row r="292" spans="1:3" x14ac:dyDescent="0.3">
      <c r="A292" t="s">
        <v>2344</v>
      </c>
      <c r="B292" t="s">
        <v>2345</v>
      </c>
      <c r="C292" t="s">
        <v>2346</v>
      </c>
    </row>
    <row r="293" spans="1:3" x14ac:dyDescent="0.3">
      <c r="A293" t="s">
        <v>2347</v>
      </c>
      <c r="B293" t="s">
        <v>2348</v>
      </c>
      <c r="C293" t="s">
        <v>2349</v>
      </c>
    </row>
    <row r="294" spans="1:3" x14ac:dyDescent="0.3">
      <c r="A294" t="s">
        <v>2350</v>
      </c>
      <c r="B294" t="s">
        <v>2351</v>
      </c>
      <c r="C294" t="s">
        <v>2350</v>
      </c>
    </row>
    <row r="295" spans="1:3" x14ac:dyDescent="0.3">
      <c r="A295" t="s">
        <v>2352</v>
      </c>
      <c r="B295" t="s">
        <v>2353</v>
      </c>
      <c r="C295" t="s">
        <v>2352</v>
      </c>
    </row>
    <row r="296" spans="1:3" x14ac:dyDescent="0.3">
      <c r="A296" t="s">
        <v>2354</v>
      </c>
      <c r="B296" t="s">
        <v>1572</v>
      </c>
      <c r="C296" t="s">
        <v>2354</v>
      </c>
    </row>
    <row r="297" spans="1:3" x14ac:dyDescent="0.3">
      <c r="A297" t="s">
        <v>2355</v>
      </c>
      <c r="B297" t="s">
        <v>2356</v>
      </c>
      <c r="C297" t="s">
        <v>2357</v>
      </c>
    </row>
    <row r="298" spans="1:3" x14ac:dyDescent="0.3">
      <c r="A298" t="s">
        <v>2358</v>
      </c>
      <c r="B298" t="s">
        <v>2359</v>
      </c>
      <c r="C298" t="s">
        <v>2360</v>
      </c>
    </row>
    <row r="299" spans="1:3" x14ac:dyDescent="0.3">
      <c r="A299" t="s">
        <v>2361</v>
      </c>
      <c r="B299" t="s">
        <v>2362</v>
      </c>
      <c r="C299" t="s">
        <v>2363</v>
      </c>
    </row>
    <row r="300" spans="1:3" x14ac:dyDescent="0.3">
      <c r="A300" t="s">
        <v>2364</v>
      </c>
      <c r="B300" t="s">
        <v>755</v>
      </c>
      <c r="C300" t="s">
        <v>620</v>
      </c>
    </row>
    <row r="301" spans="1:3" x14ac:dyDescent="0.3">
      <c r="A301" t="s">
        <v>2365</v>
      </c>
      <c r="B301" t="s">
        <v>2366</v>
      </c>
      <c r="C301" t="s">
        <v>2365</v>
      </c>
    </row>
    <row r="302" spans="1:3" x14ac:dyDescent="0.3">
      <c r="A302" t="s">
        <v>2367</v>
      </c>
      <c r="B302" t="s">
        <v>2368</v>
      </c>
      <c r="C302" t="s">
        <v>2367</v>
      </c>
    </row>
    <row r="303" spans="1:3" x14ac:dyDescent="0.3">
      <c r="A303" t="s">
        <v>2369</v>
      </c>
      <c r="B303" t="s">
        <v>2370</v>
      </c>
      <c r="C303" t="s">
        <v>2371</v>
      </c>
    </row>
    <row r="304" spans="1:3" x14ac:dyDescent="0.3">
      <c r="A304" t="s">
        <v>2372</v>
      </c>
      <c r="B304" t="s">
        <v>2373</v>
      </c>
      <c r="C304" t="s">
        <v>2372</v>
      </c>
    </row>
    <row r="305" spans="1:3" x14ac:dyDescent="0.3">
      <c r="A305" t="s">
        <v>2374</v>
      </c>
      <c r="B305" t="s">
        <v>2375</v>
      </c>
      <c r="C305" t="s">
        <v>2374</v>
      </c>
    </row>
    <row r="306" spans="1:3" x14ac:dyDescent="0.3">
      <c r="A306" t="s">
        <v>2376</v>
      </c>
      <c r="B306" t="s">
        <v>2377</v>
      </c>
      <c r="C306" t="s">
        <v>2378</v>
      </c>
    </row>
    <row r="307" spans="1:3" x14ac:dyDescent="0.3">
      <c r="A307" t="s">
        <v>2379</v>
      </c>
      <c r="B307" t="s">
        <v>2380</v>
      </c>
      <c r="C307" t="s">
        <v>2381</v>
      </c>
    </row>
    <row r="308" spans="1:3" x14ac:dyDescent="0.3">
      <c r="A308" t="s">
        <v>2382</v>
      </c>
      <c r="B308" t="s">
        <v>2383</v>
      </c>
      <c r="C308" t="s">
        <v>2382</v>
      </c>
    </row>
    <row r="309" spans="1:3" x14ac:dyDescent="0.3">
      <c r="A309" t="s">
        <v>2384</v>
      </c>
      <c r="B309" t="s">
        <v>2385</v>
      </c>
      <c r="C309" t="s">
        <v>2386</v>
      </c>
    </row>
    <row r="310" spans="1:3" x14ac:dyDescent="0.3">
      <c r="A310" t="s">
        <v>2387</v>
      </c>
      <c r="B310" t="s">
        <v>2388</v>
      </c>
      <c r="C310" t="s">
        <v>2387</v>
      </c>
    </row>
    <row r="311" spans="1:3" x14ac:dyDescent="0.3">
      <c r="A311" t="s">
        <v>2389</v>
      </c>
      <c r="B311" t="s">
        <v>2390</v>
      </c>
      <c r="C311" t="s">
        <v>2391</v>
      </c>
    </row>
    <row r="312" spans="1:3" x14ac:dyDescent="0.3">
      <c r="A312" t="s">
        <v>2392</v>
      </c>
      <c r="B312" t="s">
        <v>2393</v>
      </c>
      <c r="C312" t="s">
        <v>2392</v>
      </c>
    </row>
    <row r="313" spans="1:3" x14ac:dyDescent="0.3">
      <c r="A313" t="s">
        <v>2394</v>
      </c>
      <c r="B313" t="s">
        <v>2395</v>
      </c>
      <c r="C313" t="s">
        <v>2396</v>
      </c>
    </row>
    <row r="314" spans="1:3" x14ac:dyDescent="0.3">
      <c r="A314" t="s">
        <v>2397</v>
      </c>
      <c r="B314" t="s">
        <v>2398</v>
      </c>
      <c r="C314" t="s">
        <v>1514</v>
      </c>
    </row>
    <row r="315" spans="1:3" x14ac:dyDescent="0.3">
      <c r="A315" t="s">
        <v>2399</v>
      </c>
      <c r="B315" t="s">
        <v>2400</v>
      </c>
      <c r="C315" t="s">
        <v>2399</v>
      </c>
    </row>
    <row r="316" spans="1:3" x14ac:dyDescent="0.3">
      <c r="A316" t="s">
        <v>2401</v>
      </c>
      <c r="B316" t="s">
        <v>2402</v>
      </c>
      <c r="C316" t="s">
        <v>2403</v>
      </c>
    </row>
    <row r="317" spans="1:3" x14ac:dyDescent="0.3">
      <c r="A317" t="s">
        <v>2404</v>
      </c>
      <c r="B317" t="s">
        <v>451</v>
      </c>
      <c r="C317" t="s">
        <v>44</v>
      </c>
    </row>
    <row r="318" spans="1:3" x14ac:dyDescent="0.3">
      <c r="A318" t="s">
        <v>95</v>
      </c>
      <c r="B318" t="s">
        <v>94</v>
      </c>
      <c r="C318" t="s">
        <v>95</v>
      </c>
    </row>
    <row r="319" spans="1:3" x14ac:dyDescent="0.3">
      <c r="A319" t="s">
        <v>22</v>
      </c>
      <c r="B319" t="s">
        <v>23</v>
      </c>
      <c r="C319" t="s">
        <v>80</v>
      </c>
    </row>
    <row r="320" spans="1:3" x14ac:dyDescent="0.3">
      <c r="A320" t="s">
        <v>2405</v>
      </c>
      <c r="B320" t="s">
        <v>2406</v>
      </c>
      <c r="C320" t="s">
        <v>2407</v>
      </c>
    </row>
    <row r="321" spans="1:3" x14ac:dyDescent="0.3">
      <c r="A321" t="s">
        <v>2408</v>
      </c>
      <c r="B321" t="s">
        <v>2409</v>
      </c>
      <c r="C321" t="s">
        <v>2410</v>
      </c>
    </row>
    <row r="322" spans="1:3" x14ac:dyDescent="0.3">
      <c r="A322" t="s">
        <v>2411</v>
      </c>
      <c r="B322" t="s">
        <v>2412</v>
      </c>
      <c r="C322" t="s">
        <v>2413</v>
      </c>
    </row>
    <row r="323" spans="1:3" x14ac:dyDescent="0.3">
      <c r="A323" t="s">
        <v>2414</v>
      </c>
      <c r="B323" t="s">
        <v>2415</v>
      </c>
      <c r="C323" t="s">
        <v>2414</v>
      </c>
    </row>
    <row r="324" spans="1:3" x14ac:dyDescent="0.3">
      <c r="A324" t="s">
        <v>2416</v>
      </c>
      <c r="B324" t="s">
        <v>2417</v>
      </c>
      <c r="C324" t="s">
        <v>2416</v>
      </c>
    </row>
    <row r="325" spans="1:3" x14ac:dyDescent="0.3">
      <c r="A325" t="s">
        <v>2418</v>
      </c>
      <c r="B325" t="s">
        <v>2419</v>
      </c>
      <c r="C325" t="s">
        <v>2201</v>
      </c>
    </row>
    <row r="326" spans="1:3" x14ac:dyDescent="0.3">
      <c r="A326" t="s">
        <v>2420</v>
      </c>
      <c r="B326" t="s">
        <v>2421</v>
      </c>
      <c r="C326" t="s">
        <v>2420</v>
      </c>
    </row>
    <row r="327" spans="1:3" x14ac:dyDescent="0.3">
      <c r="A327" t="s">
        <v>2422</v>
      </c>
      <c r="B327" t="s">
        <v>2423</v>
      </c>
      <c r="C327" t="s">
        <v>2424</v>
      </c>
    </row>
    <row r="328" spans="1:3" x14ac:dyDescent="0.3">
      <c r="A328" t="s">
        <v>2425</v>
      </c>
      <c r="B328" t="s">
        <v>2426</v>
      </c>
      <c r="C328" t="s">
        <v>2427</v>
      </c>
    </row>
    <row r="329" spans="1:3" x14ac:dyDescent="0.3">
      <c r="A329" t="s">
        <v>2428</v>
      </c>
      <c r="B329" t="s">
        <v>207</v>
      </c>
      <c r="C329" t="s">
        <v>610</v>
      </c>
    </row>
    <row r="330" spans="1:3" x14ac:dyDescent="0.3">
      <c r="A330" t="s">
        <v>2429</v>
      </c>
      <c r="B330" t="s">
        <v>2430</v>
      </c>
      <c r="C330" t="s">
        <v>2429</v>
      </c>
    </row>
    <row r="331" spans="1:3" x14ac:dyDescent="0.3">
      <c r="A331" t="s">
        <v>2431</v>
      </c>
      <c r="B331" t="s">
        <v>2432</v>
      </c>
      <c r="C331" t="s">
        <v>2431</v>
      </c>
    </row>
    <row r="332" spans="1:3" x14ac:dyDescent="0.3">
      <c r="A332" t="s">
        <v>2433</v>
      </c>
      <c r="B332" t="s">
        <v>902</v>
      </c>
      <c r="C332" t="s">
        <v>2434</v>
      </c>
    </row>
    <row r="333" spans="1:3" x14ac:dyDescent="0.3">
      <c r="A333" t="s">
        <v>2435</v>
      </c>
      <c r="B333" t="s">
        <v>2436</v>
      </c>
      <c r="C333" t="s">
        <v>2437</v>
      </c>
    </row>
    <row r="334" spans="1:3" x14ac:dyDescent="0.3">
      <c r="A334" t="s">
        <v>2438</v>
      </c>
      <c r="B334" t="s">
        <v>2439</v>
      </c>
      <c r="C334" t="s">
        <v>2440</v>
      </c>
    </row>
    <row r="335" spans="1:3" x14ac:dyDescent="0.3">
      <c r="A335" t="s">
        <v>2441</v>
      </c>
      <c r="B335" t="s">
        <v>2442</v>
      </c>
      <c r="C335" t="s">
        <v>2441</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2E144-F79B-4714-B5BD-628F4EF64A45}">
  <sheetPr codeName="Planilha2"/>
  <dimension ref="A1:J28"/>
  <sheetViews>
    <sheetView workbookViewId="0">
      <selection activeCell="E21" sqref="E21"/>
    </sheetView>
  </sheetViews>
  <sheetFormatPr defaultRowHeight="14.4" x14ac:dyDescent="0.3"/>
  <cols>
    <col min="1" max="1" width="22.109375" customWidth="1"/>
    <col min="2" max="2" width="30" customWidth="1"/>
    <col min="3" max="3" width="23" customWidth="1"/>
    <col min="6" max="6" width="15.88671875" customWidth="1"/>
    <col min="7" max="7" width="23" customWidth="1"/>
    <col min="8" max="8" width="28.109375" customWidth="1"/>
    <col min="9" max="9" width="29.88671875" bestFit="1" customWidth="1"/>
    <col min="10" max="10" width="50.5546875" bestFit="1" customWidth="1"/>
  </cols>
  <sheetData>
    <row r="1" spans="1:10" x14ac:dyDescent="0.3">
      <c r="A1" s="2" t="s">
        <v>2443</v>
      </c>
      <c r="B1" s="43" t="s">
        <v>9</v>
      </c>
      <c r="C1" s="2" t="s">
        <v>2444</v>
      </c>
      <c r="D1" s="4">
        <v>0</v>
      </c>
      <c r="E1" t="s">
        <v>18</v>
      </c>
      <c r="F1" s="6" t="s">
        <v>2445</v>
      </c>
      <c r="G1">
        <v>1</v>
      </c>
      <c r="H1" t="s">
        <v>2446</v>
      </c>
      <c r="I1" t="s">
        <v>2447</v>
      </c>
      <c r="J1" t="s">
        <v>19</v>
      </c>
    </row>
    <row r="2" spans="1:10" x14ac:dyDescent="0.3">
      <c r="A2" s="2" t="s">
        <v>2448</v>
      </c>
      <c r="B2" s="44" t="s">
        <v>288</v>
      </c>
      <c r="C2" s="2" t="s">
        <v>2449</v>
      </c>
      <c r="D2" s="4">
        <v>1</v>
      </c>
      <c r="E2" t="s">
        <v>55</v>
      </c>
      <c r="F2" s="6" t="s">
        <v>2450</v>
      </c>
      <c r="G2">
        <v>2</v>
      </c>
      <c r="H2" t="s">
        <v>46</v>
      </c>
      <c r="I2" t="s">
        <v>2447</v>
      </c>
      <c r="J2" t="s">
        <v>12</v>
      </c>
    </row>
    <row r="3" spans="1:10" x14ac:dyDescent="0.3">
      <c r="A3" s="2" t="s">
        <v>2451</v>
      </c>
      <c r="B3" s="44" t="s">
        <v>794</v>
      </c>
      <c r="C3" s="2" t="s">
        <v>2452</v>
      </c>
      <c r="D3" s="4">
        <v>2</v>
      </c>
      <c r="E3" t="s">
        <v>11</v>
      </c>
      <c r="F3" s="6" t="s">
        <v>2453</v>
      </c>
      <c r="G3">
        <v>3</v>
      </c>
      <c r="H3" t="s">
        <v>2454</v>
      </c>
      <c r="J3" t="s">
        <v>2455</v>
      </c>
    </row>
    <row r="4" spans="1:10" x14ac:dyDescent="0.3">
      <c r="A4" s="2" t="s">
        <v>1084</v>
      </c>
      <c r="B4" s="43" t="s">
        <v>2456</v>
      </c>
      <c r="C4" s="2" t="s">
        <v>2457</v>
      </c>
      <c r="D4" s="4">
        <v>3</v>
      </c>
      <c r="F4" s="6"/>
      <c r="G4">
        <v>4</v>
      </c>
      <c r="H4" t="s">
        <v>87</v>
      </c>
      <c r="J4" t="s">
        <v>36</v>
      </c>
    </row>
    <row r="5" spans="1:10" x14ac:dyDescent="0.3">
      <c r="A5" s="2" t="s">
        <v>2458</v>
      </c>
      <c r="B5" s="44" t="s">
        <v>1481</v>
      </c>
      <c r="C5" s="2" t="s">
        <v>10</v>
      </c>
      <c r="D5" s="4">
        <v>4</v>
      </c>
      <c r="F5" s="6"/>
      <c r="G5">
        <v>5</v>
      </c>
      <c r="H5" t="s">
        <v>2459</v>
      </c>
      <c r="J5" t="s">
        <v>2460</v>
      </c>
    </row>
    <row r="6" spans="1:10" x14ac:dyDescent="0.3">
      <c r="A6" s="2" t="s">
        <v>2461</v>
      </c>
      <c r="B6" s="43" t="s">
        <v>607</v>
      </c>
      <c r="C6" s="2" t="s">
        <v>1686</v>
      </c>
      <c r="D6" s="4">
        <v>5</v>
      </c>
      <c r="F6" s="6"/>
      <c r="G6">
        <v>6</v>
      </c>
    </row>
    <row r="7" spans="1:10" x14ac:dyDescent="0.3">
      <c r="A7" s="2" t="s">
        <v>122</v>
      </c>
      <c r="B7" s="43" t="s">
        <v>2462</v>
      </c>
      <c r="C7" s="2" t="s">
        <v>1646</v>
      </c>
      <c r="D7" s="4">
        <v>6</v>
      </c>
      <c r="F7" s="6"/>
      <c r="G7">
        <v>7</v>
      </c>
    </row>
    <row r="8" spans="1:10" x14ac:dyDescent="0.3">
      <c r="A8" s="2" t="s">
        <v>72</v>
      </c>
      <c r="B8" s="43" t="s">
        <v>143</v>
      </c>
      <c r="C8" s="2" t="s">
        <v>471</v>
      </c>
      <c r="D8" s="5" t="s">
        <v>2463</v>
      </c>
      <c r="F8" s="6"/>
      <c r="G8">
        <v>8</v>
      </c>
    </row>
    <row r="9" spans="1:10" x14ac:dyDescent="0.3">
      <c r="A9" s="2" t="s">
        <v>8</v>
      </c>
      <c r="B9" s="43" t="s">
        <v>532</v>
      </c>
      <c r="C9" s="2"/>
      <c r="F9" s="6"/>
      <c r="G9">
        <v>9</v>
      </c>
    </row>
    <row r="10" spans="1:10" x14ac:dyDescent="0.3">
      <c r="A10" s="2"/>
      <c r="B10" s="43" t="s">
        <v>2464</v>
      </c>
      <c r="C10" s="2"/>
      <c r="F10" s="6"/>
      <c r="G10">
        <v>10</v>
      </c>
    </row>
    <row r="11" spans="1:10" x14ac:dyDescent="0.3">
      <c r="A11" s="2"/>
      <c r="B11" s="45"/>
      <c r="F11" s="6"/>
      <c r="G11">
        <v>11</v>
      </c>
    </row>
    <row r="12" spans="1:10" x14ac:dyDescent="0.3">
      <c r="A12" s="2"/>
      <c r="F12" s="6"/>
      <c r="G12">
        <v>12</v>
      </c>
    </row>
    <row r="13" spans="1:10" x14ac:dyDescent="0.3">
      <c r="F13" s="6"/>
      <c r="G13">
        <v>13</v>
      </c>
    </row>
    <row r="14" spans="1:10" x14ac:dyDescent="0.3">
      <c r="G14">
        <v>14</v>
      </c>
    </row>
    <row r="22" spans="2:2" x14ac:dyDescent="0.3">
      <c r="B22" s="3"/>
    </row>
    <row r="28" spans="2:2" x14ac:dyDescent="0.3">
      <c r="B28" s="2"/>
    </row>
  </sheetData>
  <dataValidations count="1">
    <dataValidation type="list" allowBlank="1" showInputMessage="1" showErrorMessage="1" sqref="A20" xr:uid="{6D2069AD-09B2-4797-A000-10B868EDD2AE}">
      <formula1>$A:$A</formula1>
    </dataValidation>
  </dataValidation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5E5B6A881E6CA4EA9E0A82F7294BCF9" ma:contentTypeVersion="17" ma:contentTypeDescription="Crie um novo documento." ma:contentTypeScope="" ma:versionID="8489cf4733c4c010a0f3b09aec691580">
  <xsd:schema xmlns:xsd="http://www.w3.org/2001/XMLSchema" xmlns:xs="http://www.w3.org/2001/XMLSchema" xmlns:p="http://schemas.microsoft.com/office/2006/metadata/properties" xmlns:ns2="3c73bd8d-3c0e-48df-8c8c-ee8cdcb920f7" xmlns:ns3="6f5d26af-b2e4-4c11-9a86-35786eb4b3c5" targetNamespace="http://schemas.microsoft.com/office/2006/metadata/properties" ma:root="true" ma:fieldsID="de0bad3903913f87575039d7df95b8b1" ns2:_="" ns3:_="">
    <xsd:import namespace="3c73bd8d-3c0e-48df-8c8c-ee8cdcb920f7"/>
    <xsd:import namespace="6f5d26af-b2e4-4c11-9a86-35786eb4b3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status" minOccurs="0"/>
                <xsd:element ref="ns2:Respons_x00e1_vel" minOccurs="0"/>
                <xsd:element ref="ns2:Observa_x00e7__x00e3_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73bd8d-3c0e-48df-8c8c-ee8cdcb920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status" ma:index="21" nillable="true" ma:displayName="status" ma:format="Dropdown" ma:internalName="status">
      <xsd:simpleType>
        <xsd:restriction base="dms:Choice">
          <xsd:enumeration value="Em uso"/>
          <xsd:enumeration value="Liberado"/>
          <xsd:enumeration value="Revisão"/>
          <xsd:enumeration value="Em leitura"/>
          <xsd:enumeration value="ENVIADO_EXTERNO"/>
          <xsd:enumeration value="NÃO USAR"/>
          <xsd:enumeration value="EM PRODUÇÃO"/>
          <xsd:enumeration value="APLICADO"/>
          <xsd:enumeration value="EM EDIÇÃO"/>
          <xsd:enumeration value="EM CHECKLIST"/>
          <xsd:enumeration value="EM REVISÃO"/>
        </xsd:restriction>
      </xsd:simpleType>
    </xsd:element>
    <xsd:element name="Respons_x00e1_vel" ma:index="22" nillable="true" ma:displayName="Responsável" ma:format="Dropdown" ma:internalName="Respons_x00e1_vel">
      <xsd:simpleType>
        <xsd:restriction base="dms:Choice">
          <xsd:enumeration value="Alessandra"/>
          <xsd:enumeration value="Juliana"/>
          <xsd:enumeration value="Gabriela"/>
          <xsd:enumeration value="Milena"/>
          <xsd:enumeration value="Juliana"/>
          <xsd:enumeration value="Daniela"/>
          <xsd:enumeration value="Guiomar"/>
          <xsd:enumeration value="Verônica"/>
          <xsd:enumeration value="Regina"/>
          <xsd:enumeration value="Bia"/>
          <xsd:enumeration value="Natália"/>
          <xsd:enumeration value="José"/>
        </xsd:restriction>
      </xsd:simpleType>
    </xsd:element>
    <xsd:element name="Observa_x00e7__x00e3_o" ma:index="23" nillable="true" ma:displayName="Observação" ma:format="Dropdown" ma:internalName="Observa_x00e7__x00e3_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5d26af-b2e4-4c11-9a86-35786eb4b3c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3cdcd86e-afdf-4c85-93bd-b60c1a1b6ba3}" ma:internalName="TaxCatchAll" ma:showField="CatchAllData" ma:web="6f5d26af-b2e4-4c11-9a86-35786eb4b3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73bd8d-3c0e-48df-8c8c-ee8cdcb920f7">
      <Terms xmlns="http://schemas.microsoft.com/office/infopath/2007/PartnerControls"/>
    </lcf76f155ced4ddcb4097134ff3c332f>
    <TaxCatchAll xmlns="6f5d26af-b2e4-4c11-9a86-35786eb4b3c5" xsi:nil="true"/>
    <status xmlns="3c73bd8d-3c0e-48df-8c8c-ee8cdcb920f7" xsi:nil="true"/>
    <Respons_x00e1_vel xmlns="3c73bd8d-3c0e-48df-8c8c-ee8cdcb920f7" xsi:nil="true"/>
    <Observa_x00e7__x00e3_o xmlns="3c73bd8d-3c0e-48df-8c8c-ee8cdcb920f7"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A996AC-A5A6-4B43-B158-DB3E78F4D6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73bd8d-3c0e-48df-8c8c-ee8cdcb920f7"/>
    <ds:schemaRef ds:uri="6f5d26af-b2e4-4c11-9a86-35786eb4b3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09DC1C-C2B9-4953-AC43-915E710A6B74}">
  <ds:schemaRefs>
    <ds:schemaRef ds:uri="http://schemas.microsoft.com/DataMashup"/>
  </ds:schemaRefs>
</ds:datastoreItem>
</file>

<file path=customXml/itemProps3.xml><?xml version="1.0" encoding="utf-8"?>
<ds:datastoreItem xmlns:ds="http://schemas.openxmlformats.org/officeDocument/2006/customXml" ds:itemID="{7A6045B7-605A-467E-9951-806B8DB2CBB6}">
  <ds:schemaRefs>
    <ds:schemaRef ds:uri="http://schemas.microsoft.com/office/2006/metadata/properties"/>
    <ds:schemaRef ds:uri="http://schemas.microsoft.com/office/infopath/2007/PartnerControls"/>
    <ds:schemaRef ds:uri="3c73bd8d-3c0e-48df-8c8c-ee8cdcb920f7"/>
    <ds:schemaRef ds:uri="6f5d26af-b2e4-4c11-9a86-35786eb4b3c5"/>
  </ds:schemaRefs>
</ds:datastoreItem>
</file>

<file path=customXml/itemProps4.xml><?xml version="1.0" encoding="utf-8"?>
<ds:datastoreItem xmlns:ds="http://schemas.openxmlformats.org/officeDocument/2006/customXml" ds:itemID="{4D9BB644-793F-4B44-A43B-9B5367BBFD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ILUSTRACAO</vt:lpstr>
      <vt:lpstr>CRÉDITOS_GERAIS</vt:lpstr>
      <vt:lpstr>LISTAS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2023-09-25T18:19:59Z</dcterms:created>
  <dcterms:modified xsi:type="dcterms:W3CDTF">2025-11-09T00:22:53Z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0x01010005E5B6A881E6CA4EA9E0A82F7294BCF9</vt:lpwstr>
  </property>
  <property fmtid="{D5CDD505-2E9C-101B-9397-08002B2CF9AE}" pid="3" name="MediaServiceImageTags">
    <vt:lpwstr/>
  </property>
</Properties>
</file>